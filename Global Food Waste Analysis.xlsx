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imge\Desktop\"/>
    </mc:Choice>
  </mc:AlternateContent>
  <xr:revisionPtr revIDLastSave="0" documentId="13_ncr:1_{B2B3F47B-627A-4E33-8754-66C01657D5C7}" xr6:coauthVersionLast="47" xr6:coauthVersionMax="47" xr10:uidLastSave="{00000000-0000-0000-0000-000000000000}"/>
  <bookViews>
    <workbookView xWindow="-108" yWindow="-108" windowWidth="23256" windowHeight="14856" firstSheet="2" activeTab="3" xr2:uid="{00000000-000D-0000-FFFF-FFFF00000000}"/>
  </bookViews>
  <sheets>
    <sheet name="global_food_wastage_dataset" sheetId="2" r:id="rId1"/>
    <sheet name="cleaned data pivot" sheetId="4" r:id="rId2"/>
    <sheet name="Cleaned Data" sheetId="3" r:id="rId3"/>
    <sheet name="Period Based Food Chart" sheetId="5" r:id="rId4"/>
    <sheet name="Country Based Waste Chart" sheetId="6" r:id="rId5"/>
    <sheet name="Correlation Analysis" sheetId="7" r:id="rId6"/>
  </sheets>
  <definedNames>
    <definedName name="_xlnm._FilterDatabase" localSheetId="4" hidden="1">'Country Based Waste Chart'!$A$1:$B$21</definedName>
    <definedName name="_xlnm._FilterDatabase" localSheetId="0" hidden="1">global_food_wastage_dataset!$A$1:$H$5001</definedName>
  </definedNames>
  <calcPr calcId="191029"/>
  <pivotCaches>
    <pivotCache cacheId="32" r:id="rId7"/>
    <pivotCache cacheId="3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I2" i="2"/>
  <c r="H3" i="2"/>
  <c r="I3" i="2"/>
  <c r="H4" i="2"/>
  <c r="I4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H80" i="2"/>
  <c r="I80" i="2"/>
  <c r="H81" i="2"/>
  <c r="I81" i="2"/>
  <c r="H82" i="2"/>
  <c r="I82" i="2"/>
  <c r="H83" i="2"/>
  <c r="I83" i="2"/>
  <c r="H84" i="2"/>
  <c r="I84" i="2"/>
  <c r="H85" i="2"/>
  <c r="I85" i="2"/>
  <c r="H86" i="2"/>
  <c r="I86" i="2"/>
  <c r="H87" i="2"/>
  <c r="I87" i="2"/>
  <c r="H88" i="2"/>
  <c r="I88" i="2"/>
  <c r="H89" i="2"/>
  <c r="I89" i="2"/>
  <c r="H90" i="2"/>
  <c r="I90" i="2"/>
  <c r="H91" i="2"/>
  <c r="I91" i="2"/>
  <c r="H92" i="2"/>
  <c r="I92" i="2"/>
  <c r="H93" i="2"/>
  <c r="I93" i="2"/>
  <c r="H94" i="2"/>
  <c r="I94" i="2"/>
  <c r="H95" i="2"/>
  <c r="I95" i="2"/>
  <c r="H96" i="2"/>
  <c r="I96" i="2"/>
  <c r="H97" i="2"/>
  <c r="I97" i="2"/>
  <c r="H98" i="2"/>
  <c r="I98" i="2"/>
  <c r="H99" i="2"/>
  <c r="I99" i="2"/>
  <c r="H100" i="2"/>
  <c r="I100" i="2"/>
  <c r="H101" i="2"/>
  <c r="I101" i="2"/>
  <c r="H102" i="2"/>
  <c r="I102" i="2"/>
  <c r="H103" i="2"/>
  <c r="I103" i="2"/>
  <c r="H104" i="2"/>
  <c r="I104" i="2"/>
  <c r="H105" i="2"/>
  <c r="I105" i="2"/>
  <c r="H106" i="2"/>
  <c r="I106" i="2"/>
  <c r="H107" i="2"/>
  <c r="I107" i="2"/>
  <c r="H108" i="2"/>
  <c r="I108" i="2"/>
  <c r="H109" i="2"/>
  <c r="I109" i="2"/>
  <c r="H110" i="2"/>
  <c r="I110" i="2"/>
  <c r="H111" i="2"/>
  <c r="I111" i="2"/>
  <c r="H112" i="2"/>
  <c r="I112" i="2"/>
  <c r="H113" i="2"/>
  <c r="I113" i="2"/>
  <c r="H114" i="2"/>
  <c r="I114" i="2"/>
  <c r="H115" i="2"/>
  <c r="I115" i="2"/>
  <c r="H116" i="2"/>
  <c r="I116" i="2"/>
  <c r="H117" i="2"/>
  <c r="I117" i="2"/>
  <c r="H118" i="2"/>
  <c r="I118" i="2"/>
  <c r="H119" i="2"/>
  <c r="I119" i="2"/>
  <c r="H120" i="2"/>
  <c r="I120" i="2"/>
  <c r="H121" i="2"/>
  <c r="I121" i="2"/>
  <c r="H122" i="2"/>
  <c r="I122" i="2"/>
  <c r="H123" i="2"/>
  <c r="I123" i="2"/>
  <c r="H124" i="2"/>
  <c r="I124" i="2"/>
  <c r="H125" i="2"/>
  <c r="I125" i="2"/>
  <c r="H126" i="2"/>
  <c r="I126" i="2"/>
  <c r="H127" i="2"/>
  <c r="I127" i="2"/>
  <c r="H128" i="2"/>
  <c r="I128" i="2"/>
  <c r="H129" i="2"/>
  <c r="I129" i="2"/>
  <c r="H130" i="2"/>
  <c r="I130" i="2"/>
  <c r="H131" i="2"/>
  <c r="I131" i="2"/>
  <c r="H132" i="2"/>
  <c r="I132" i="2"/>
  <c r="H133" i="2"/>
  <c r="I133" i="2"/>
  <c r="H134" i="2"/>
  <c r="I134" i="2"/>
  <c r="H135" i="2"/>
  <c r="I135" i="2"/>
  <c r="H136" i="2"/>
  <c r="I136" i="2"/>
  <c r="H137" i="2"/>
  <c r="I137" i="2"/>
  <c r="H138" i="2"/>
  <c r="I138" i="2"/>
  <c r="H139" i="2"/>
  <c r="I139" i="2"/>
  <c r="H140" i="2"/>
  <c r="I140" i="2"/>
  <c r="H141" i="2"/>
  <c r="I141" i="2"/>
  <c r="H142" i="2"/>
  <c r="I142" i="2"/>
  <c r="H143" i="2"/>
  <c r="I143" i="2"/>
  <c r="H144" i="2"/>
  <c r="I144" i="2"/>
  <c r="H145" i="2"/>
  <c r="I145" i="2"/>
  <c r="H146" i="2"/>
  <c r="I146" i="2"/>
  <c r="H147" i="2"/>
  <c r="I147" i="2"/>
  <c r="H148" i="2"/>
  <c r="I148" i="2"/>
  <c r="H149" i="2"/>
  <c r="I149" i="2"/>
  <c r="H150" i="2"/>
  <c r="I150" i="2"/>
  <c r="H151" i="2"/>
  <c r="I151" i="2"/>
  <c r="H152" i="2"/>
  <c r="I152" i="2"/>
  <c r="H153" i="2"/>
  <c r="I153" i="2"/>
  <c r="H154" i="2"/>
  <c r="I154" i="2"/>
  <c r="H155" i="2"/>
  <c r="I155" i="2"/>
  <c r="H156" i="2"/>
  <c r="I156" i="2"/>
  <c r="H157" i="2"/>
  <c r="I157" i="2"/>
  <c r="H158" i="2"/>
  <c r="I158" i="2"/>
  <c r="H159" i="2"/>
  <c r="I159" i="2"/>
  <c r="H160" i="2"/>
  <c r="I160" i="2"/>
  <c r="H161" i="2"/>
  <c r="I161" i="2"/>
  <c r="H162" i="2"/>
  <c r="I162" i="2"/>
  <c r="H163" i="2"/>
  <c r="I163" i="2"/>
  <c r="H164" i="2"/>
  <c r="I164" i="2"/>
  <c r="H165" i="2"/>
  <c r="I165" i="2"/>
  <c r="H166" i="2"/>
  <c r="I166" i="2"/>
  <c r="H167" i="2"/>
  <c r="I167" i="2"/>
  <c r="H168" i="2"/>
  <c r="I168" i="2"/>
  <c r="H169" i="2"/>
  <c r="I169" i="2"/>
  <c r="H170" i="2"/>
  <c r="I170" i="2"/>
  <c r="H171" i="2"/>
  <c r="I171" i="2"/>
  <c r="H172" i="2"/>
  <c r="I172" i="2"/>
  <c r="H173" i="2"/>
  <c r="I173" i="2"/>
  <c r="H174" i="2"/>
  <c r="I174" i="2"/>
  <c r="H175" i="2"/>
  <c r="I175" i="2"/>
  <c r="H176" i="2"/>
  <c r="I176" i="2"/>
  <c r="H177" i="2"/>
  <c r="I177" i="2"/>
  <c r="H178" i="2"/>
  <c r="I178" i="2"/>
  <c r="H179" i="2"/>
  <c r="I179" i="2"/>
  <c r="H180" i="2"/>
  <c r="I180" i="2"/>
  <c r="H181" i="2"/>
  <c r="I181" i="2"/>
  <c r="H182" i="2"/>
  <c r="I182" i="2"/>
  <c r="H183" i="2"/>
  <c r="I183" i="2"/>
  <c r="H184" i="2"/>
  <c r="I184" i="2"/>
  <c r="H185" i="2"/>
  <c r="I185" i="2"/>
  <c r="H186" i="2"/>
  <c r="I186" i="2"/>
  <c r="H187" i="2"/>
  <c r="I187" i="2"/>
  <c r="H188" i="2"/>
  <c r="I188" i="2"/>
  <c r="H189" i="2"/>
  <c r="I189" i="2"/>
  <c r="H190" i="2"/>
  <c r="I190" i="2"/>
  <c r="H191" i="2"/>
  <c r="I191" i="2"/>
  <c r="H192" i="2"/>
  <c r="I192" i="2"/>
  <c r="H193" i="2"/>
  <c r="I193" i="2"/>
  <c r="H194" i="2"/>
  <c r="I194" i="2"/>
  <c r="H195" i="2"/>
  <c r="I195" i="2"/>
  <c r="H196" i="2"/>
  <c r="I196" i="2"/>
  <c r="H197" i="2"/>
  <c r="I197" i="2"/>
  <c r="H198" i="2"/>
  <c r="I198" i="2"/>
  <c r="H199" i="2"/>
  <c r="I199" i="2"/>
  <c r="H200" i="2"/>
  <c r="I200" i="2"/>
  <c r="H201" i="2"/>
  <c r="I201" i="2"/>
  <c r="H202" i="2"/>
  <c r="I202" i="2"/>
  <c r="H203" i="2"/>
  <c r="I203" i="2"/>
  <c r="H204" i="2"/>
  <c r="I204" i="2"/>
  <c r="H205" i="2"/>
  <c r="I205" i="2"/>
  <c r="H206" i="2"/>
  <c r="I206" i="2"/>
  <c r="H207" i="2"/>
  <c r="I207" i="2"/>
  <c r="H208" i="2"/>
  <c r="I208" i="2"/>
  <c r="H209" i="2"/>
  <c r="I209" i="2"/>
  <c r="H210" i="2"/>
  <c r="I210" i="2"/>
  <c r="H211" i="2"/>
  <c r="I211" i="2"/>
  <c r="H212" i="2"/>
  <c r="I212" i="2"/>
  <c r="H213" i="2"/>
  <c r="I213" i="2"/>
  <c r="H214" i="2"/>
  <c r="I214" i="2"/>
  <c r="H215" i="2"/>
  <c r="I215" i="2"/>
  <c r="H216" i="2"/>
  <c r="I216" i="2"/>
  <c r="H217" i="2"/>
  <c r="I217" i="2"/>
  <c r="H218" i="2"/>
  <c r="I218" i="2"/>
  <c r="H219" i="2"/>
  <c r="I219" i="2"/>
  <c r="H220" i="2"/>
  <c r="I220" i="2"/>
  <c r="H221" i="2"/>
  <c r="I221" i="2"/>
  <c r="H222" i="2"/>
  <c r="I222" i="2"/>
  <c r="H223" i="2"/>
  <c r="I223" i="2"/>
  <c r="H224" i="2"/>
  <c r="I224" i="2"/>
  <c r="H225" i="2"/>
  <c r="I225" i="2"/>
  <c r="H226" i="2"/>
  <c r="I226" i="2"/>
  <c r="H227" i="2"/>
  <c r="I227" i="2"/>
  <c r="H228" i="2"/>
  <c r="I228" i="2"/>
  <c r="H229" i="2"/>
  <c r="I229" i="2"/>
  <c r="H230" i="2"/>
  <c r="I230" i="2"/>
  <c r="H231" i="2"/>
  <c r="I231" i="2"/>
  <c r="H232" i="2"/>
  <c r="I232" i="2"/>
  <c r="H233" i="2"/>
  <c r="I233" i="2"/>
  <c r="H234" i="2"/>
  <c r="I234" i="2"/>
  <c r="H235" i="2"/>
  <c r="I235" i="2"/>
  <c r="H236" i="2"/>
  <c r="I236" i="2"/>
  <c r="H237" i="2"/>
  <c r="I237" i="2"/>
  <c r="H238" i="2"/>
  <c r="I238" i="2"/>
  <c r="H239" i="2"/>
  <c r="I239" i="2"/>
  <c r="H240" i="2"/>
  <c r="I240" i="2"/>
  <c r="H241" i="2"/>
  <c r="I241" i="2"/>
  <c r="H242" i="2"/>
  <c r="I242" i="2"/>
  <c r="H243" i="2"/>
  <c r="I243" i="2"/>
  <c r="H244" i="2"/>
  <c r="I244" i="2"/>
  <c r="H245" i="2"/>
  <c r="I245" i="2"/>
  <c r="H246" i="2"/>
  <c r="I246" i="2"/>
  <c r="H247" i="2"/>
  <c r="I247" i="2"/>
  <c r="H248" i="2"/>
  <c r="I248" i="2"/>
  <c r="H249" i="2"/>
  <c r="I249" i="2"/>
  <c r="H250" i="2"/>
  <c r="I250" i="2"/>
  <c r="H251" i="2"/>
  <c r="I251" i="2"/>
  <c r="H252" i="2"/>
  <c r="I252" i="2"/>
  <c r="H253" i="2"/>
  <c r="I253" i="2"/>
  <c r="H254" i="2"/>
  <c r="I254" i="2"/>
  <c r="H255" i="2"/>
  <c r="I255" i="2"/>
  <c r="H256" i="2"/>
  <c r="I256" i="2"/>
  <c r="H257" i="2"/>
  <c r="I257" i="2"/>
  <c r="H258" i="2"/>
  <c r="I258" i="2"/>
  <c r="H259" i="2"/>
  <c r="I259" i="2"/>
  <c r="H260" i="2"/>
  <c r="I260" i="2"/>
  <c r="H261" i="2"/>
  <c r="I261" i="2"/>
  <c r="H262" i="2"/>
  <c r="I262" i="2"/>
  <c r="H263" i="2"/>
  <c r="I263" i="2"/>
  <c r="H264" i="2"/>
  <c r="I264" i="2"/>
  <c r="H265" i="2"/>
  <c r="I265" i="2"/>
  <c r="H266" i="2"/>
  <c r="I266" i="2"/>
  <c r="H267" i="2"/>
  <c r="I267" i="2"/>
  <c r="H268" i="2"/>
  <c r="I268" i="2"/>
  <c r="H269" i="2"/>
  <c r="I269" i="2"/>
  <c r="H270" i="2"/>
  <c r="I270" i="2"/>
  <c r="H271" i="2"/>
  <c r="I271" i="2"/>
  <c r="H272" i="2"/>
  <c r="I272" i="2"/>
  <c r="H273" i="2"/>
  <c r="I273" i="2"/>
  <c r="H274" i="2"/>
  <c r="I274" i="2"/>
  <c r="H275" i="2"/>
  <c r="I275" i="2"/>
  <c r="H276" i="2"/>
  <c r="I276" i="2"/>
  <c r="H277" i="2"/>
  <c r="I277" i="2"/>
  <c r="H278" i="2"/>
  <c r="I278" i="2"/>
  <c r="H279" i="2"/>
  <c r="I279" i="2"/>
  <c r="H280" i="2"/>
  <c r="I280" i="2"/>
  <c r="H281" i="2"/>
  <c r="I281" i="2"/>
  <c r="H282" i="2"/>
  <c r="I282" i="2"/>
  <c r="H283" i="2"/>
  <c r="I283" i="2"/>
  <c r="H284" i="2"/>
  <c r="I284" i="2"/>
  <c r="H285" i="2"/>
  <c r="I285" i="2"/>
  <c r="H286" i="2"/>
  <c r="I286" i="2"/>
  <c r="H287" i="2"/>
  <c r="I287" i="2"/>
  <c r="H288" i="2"/>
  <c r="I288" i="2"/>
  <c r="H289" i="2"/>
  <c r="I289" i="2"/>
  <c r="H290" i="2"/>
  <c r="I290" i="2"/>
  <c r="H291" i="2"/>
  <c r="I291" i="2"/>
  <c r="H292" i="2"/>
  <c r="I292" i="2"/>
  <c r="H293" i="2"/>
  <c r="I293" i="2"/>
  <c r="H294" i="2"/>
  <c r="I294" i="2"/>
  <c r="H295" i="2"/>
  <c r="I295" i="2"/>
  <c r="H296" i="2"/>
  <c r="I296" i="2"/>
  <c r="H297" i="2"/>
  <c r="I297" i="2"/>
  <c r="H298" i="2"/>
  <c r="I298" i="2"/>
  <c r="H299" i="2"/>
  <c r="I299" i="2"/>
  <c r="H300" i="2"/>
  <c r="I300" i="2"/>
  <c r="H301" i="2"/>
  <c r="I301" i="2"/>
  <c r="H302" i="2"/>
  <c r="I302" i="2"/>
  <c r="H303" i="2"/>
  <c r="I303" i="2"/>
  <c r="H304" i="2"/>
  <c r="I304" i="2"/>
  <c r="H305" i="2"/>
  <c r="I305" i="2"/>
  <c r="H306" i="2"/>
  <c r="I306" i="2"/>
  <c r="H307" i="2"/>
  <c r="I307" i="2"/>
  <c r="H308" i="2"/>
  <c r="I308" i="2"/>
  <c r="H309" i="2"/>
  <c r="I309" i="2"/>
  <c r="H310" i="2"/>
  <c r="I310" i="2"/>
  <c r="H311" i="2"/>
  <c r="I311" i="2"/>
  <c r="H312" i="2"/>
  <c r="I312" i="2"/>
  <c r="H313" i="2"/>
  <c r="I313" i="2"/>
  <c r="H314" i="2"/>
  <c r="I314" i="2"/>
  <c r="H315" i="2"/>
  <c r="I315" i="2"/>
  <c r="H316" i="2"/>
  <c r="I316" i="2"/>
  <c r="H317" i="2"/>
  <c r="I317" i="2"/>
  <c r="H318" i="2"/>
  <c r="I318" i="2"/>
  <c r="H319" i="2"/>
  <c r="I319" i="2"/>
  <c r="H320" i="2"/>
  <c r="I320" i="2"/>
  <c r="H321" i="2"/>
  <c r="I321" i="2"/>
  <c r="H322" i="2"/>
  <c r="I322" i="2"/>
  <c r="H323" i="2"/>
  <c r="I323" i="2"/>
  <c r="H324" i="2"/>
  <c r="I324" i="2"/>
  <c r="H325" i="2"/>
  <c r="I325" i="2"/>
  <c r="H326" i="2"/>
  <c r="I326" i="2"/>
  <c r="H327" i="2"/>
  <c r="I327" i="2"/>
  <c r="H328" i="2"/>
  <c r="I328" i="2"/>
  <c r="H329" i="2"/>
  <c r="I329" i="2"/>
  <c r="H330" i="2"/>
  <c r="I330" i="2"/>
  <c r="H331" i="2"/>
  <c r="I331" i="2"/>
  <c r="H332" i="2"/>
  <c r="I332" i="2"/>
  <c r="H333" i="2"/>
  <c r="I333" i="2"/>
  <c r="H334" i="2"/>
  <c r="I334" i="2"/>
  <c r="H335" i="2"/>
  <c r="I335" i="2"/>
  <c r="H336" i="2"/>
  <c r="I336" i="2"/>
  <c r="H337" i="2"/>
  <c r="I337" i="2"/>
  <c r="H338" i="2"/>
  <c r="I338" i="2"/>
  <c r="H339" i="2"/>
  <c r="I339" i="2"/>
  <c r="H340" i="2"/>
  <c r="I340" i="2"/>
  <c r="H341" i="2"/>
  <c r="I341" i="2"/>
  <c r="H342" i="2"/>
  <c r="I342" i="2"/>
  <c r="H343" i="2"/>
  <c r="I343" i="2"/>
  <c r="H344" i="2"/>
  <c r="I344" i="2"/>
  <c r="H345" i="2"/>
  <c r="I345" i="2"/>
  <c r="H346" i="2"/>
  <c r="I346" i="2"/>
  <c r="H347" i="2"/>
  <c r="I347" i="2"/>
  <c r="H348" i="2"/>
  <c r="I348" i="2"/>
  <c r="H349" i="2"/>
  <c r="I349" i="2"/>
  <c r="H350" i="2"/>
  <c r="I350" i="2"/>
  <c r="H351" i="2"/>
  <c r="I351" i="2"/>
  <c r="H352" i="2"/>
  <c r="I352" i="2"/>
  <c r="H353" i="2"/>
  <c r="I353" i="2"/>
  <c r="H354" i="2"/>
  <c r="I354" i="2"/>
  <c r="H355" i="2"/>
  <c r="I355" i="2"/>
  <c r="H356" i="2"/>
  <c r="I356" i="2"/>
  <c r="H357" i="2"/>
  <c r="I357" i="2"/>
  <c r="H358" i="2"/>
  <c r="I358" i="2"/>
  <c r="H359" i="2"/>
  <c r="I359" i="2"/>
  <c r="H360" i="2"/>
  <c r="I360" i="2"/>
  <c r="H361" i="2"/>
  <c r="I361" i="2"/>
  <c r="H362" i="2"/>
  <c r="I362" i="2"/>
  <c r="H363" i="2"/>
  <c r="I363" i="2"/>
  <c r="H364" i="2"/>
  <c r="I364" i="2"/>
  <c r="H365" i="2"/>
  <c r="I365" i="2"/>
  <c r="H366" i="2"/>
  <c r="I366" i="2"/>
  <c r="H367" i="2"/>
  <c r="I367" i="2"/>
  <c r="H368" i="2"/>
  <c r="I368" i="2"/>
  <c r="H369" i="2"/>
  <c r="I369" i="2"/>
  <c r="H370" i="2"/>
  <c r="I370" i="2"/>
  <c r="H371" i="2"/>
  <c r="I371" i="2"/>
  <c r="H372" i="2"/>
  <c r="I372" i="2"/>
  <c r="H373" i="2"/>
  <c r="I373" i="2"/>
  <c r="H374" i="2"/>
  <c r="I374" i="2"/>
  <c r="H375" i="2"/>
  <c r="I375" i="2"/>
  <c r="H376" i="2"/>
  <c r="I376" i="2"/>
  <c r="H377" i="2"/>
  <c r="I377" i="2"/>
  <c r="H378" i="2"/>
  <c r="I378" i="2"/>
  <c r="H379" i="2"/>
  <c r="I379" i="2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H400" i="2"/>
  <c r="I400" i="2"/>
  <c r="H401" i="2"/>
  <c r="I401" i="2"/>
  <c r="H402" i="2"/>
  <c r="I402" i="2"/>
  <c r="H403" i="2"/>
  <c r="I403" i="2"/>
  <c r="H404" i="2"/>
  <c r="I404" i="2"/>
  <c r="H405" i="2"/>
  <c r="I405" i="2"/>
  <c r="H406" i="2"/>
  <c r="I406" i="2"/>
  <c r="H407" i="2"/>
  <c r="I407" i="2"/>
  <c r="H408" i="2"/>
  <c r="I408" i="2"/>
  <c r="H409" i="2"/>
  <c r="I409" i="2"/>
  <c r="H410" i="2"/>
  <c r="I410" i="2"/>
  <c r="H411" i="2"/>
  <c r="I411" i="2"/>
  <c r="H412" i="2"/>
  <c r="I412" i="2"/>
  <c r="H413" i="2"/>
  <c r="I413" i="2"/>
  <c r="H414" i="2"/>
  <c r="I414" i="2"/>
  <c r="H415" i="2"/>
  <c r="I415" i="2"/>
  <c r="H416" i="2"/>
  <c r="I416" i="2"/>
  <c r="H417" i="2"/>
  <c r="I417" i="2"/>
  <c r="H418" i="2"/>
  <c r="I418" i="2"/>
  <c r="H419" i="2"/>
  <c r="I419" i="2"/>
  <c r="H420" i="2"/>
  <c r="I420" i="2"/>
  <c r="H421" i="2"/>
  <c r="I421" i="2"/>
  <c r="H422" i="2"/>
  <c r="I422" i="2"/>
  <c r="H423" i="2"/>
  <c r="I423" i="2"/>
  <c r="H424" i="2"/>
  <c r="I424" i="2"/>
  <c r="H425" i="2"/>
  <c r="I425" i="2"/>
  <c r="H426" i="2"/>
  <c r="I426" i="2"/>
  <c r="H427" i="2"/>
  <c r="I427" i="2"/>
  <c r="H428" i="2"/>
  <c r="I428" i="2"/>
  <c r="H429" i="2"/>
  <c r="I429" i="2"/>
  <c r="H430" i="2"/>
  <c r="I430" i="2"/>
  <c r="H431" i="2"/>
  <c r="I431" i="2"/>
  <c r="H432" i="2"/>
  <c r="I432" i="2"/>
  <c r="H433" i="2"/>
  <c r="I433" i="2"/>
  <c r="H434" i="2"/>
  <c r="I434" i="2"/>
  <c r="H435" i="2"/>
  <c r="I435" i="2"/>
  <c r="H436" i="2"/>
  <c r="I436" i="2"/>
  <c r="H437" i="2"/>
  <c r="I437" i="2"/>
  <c r="H438" i="2"/>
  <c r="I438" i="2"/>
  <c r="H439" i="2"/>
  <c r="I439" i="2"/>
  <c r="H440" i="2"/>
  <c r="I440" i="2"/>
  <c r="H441" i="2"/>
  <c r="I441" i="2"/>
  <c r="H442" i="2"/>
  <c r="I442" i="2"/>
  <c r="H443" i="2"/>
  <c r="I443" i="2"/>
  <c r="H444" i="2"/>
  <c r="I444" i="2"/>
  <c r="H445" i="2"/>
  <c r="I445" i="2"/>
  <c r="H446" i="2"/>
  <c r="I446" i="2"/>
  <c r="H447" i="2"/>
  <c r="I447" i="2"/>
  <c r="H448" i="2"/>
  <c r="I448" i="2"/>
  <c r="H449" i="2"/>
  <c r="I449" i="2"/>
  <c r="H450" i="2"/>
  <c r="I450" i="2"/>
  <c r="H451" i="2"/>
  <c r="I451" i="2"/>
  <c r="H452" i="2"/>
  <c r="I452" i="2"/>
  <c r="H453" i="2"/>
  <c r="I453" i="2"/>
  <c r="H454" i="2"/>
  <c r="I454" i="2"/>
  <c r="H455" i="2"/>
  <c r="I455" i="2"/>
  <c r="H456" i="2"/>
  <c r="I456" i="2"/>
  <c r="H457" i="2"/>
  <c r="I457" i="2"/>
  <c r="H458" i="2"/>
  <c r="I458" i="2"/>
  <c r="H459" i="2"/>
  <c r="I459" i="2"/>
  <c r="H460" i="2"/>
  <c r="I460" i="2"/>
  <c r="H461" i="2"/>
  <c r="I461" i="2"/>
  <c r="H462" i="2"/>
  <c r="I462" i="2"/>
  <c r="H463" i="2"/>
  <c r="I463" i="2"/>
  <c r="H464" i="2"/>
  <c r="I464" i="2"/>
  <c r="H465" i="2"/>
  <c r="I465" i="2"/>
  <c r="H466" i="2"/>
  <c r="I466" i="2"/>
  <c r="H467" i="2"/>
  <c r="I467" i="2"/>
  <c r="H468" i="2"/>
  <c r="I468" i="2"/>
  <c r="H469" i="2"/>
  <c r="I469" i="2"/>
  <c r="H470" i="2"/>
  <c r="I470" i="2"/>
  <c r="H471" i="2"/>
  <c r="I471" i="2"/>
  <c r="H472" i="2"/>
  <c r="I472" i="2"/>
  <c r="H473" i="2"/>
  <c r="I473" i="2"/>
  <c r="H474" i="2"/>
  <c r="I474" i="2"/>
  <c r="H475" i="2"/>
  <c r="I475" i="2"/>
  <c r="H476" i="2"/>
  <c r="I476" i="2"/>
  <c r="H477" i="2"/>
  <c r="I477" i="2"/>
  <c r="H478" i="2"/>
  <c r="I478" i="2"/>
  <c r="H479" i="2"/>
  <c r="I479" i="2"/>
  <c r="H480" i="2"/>
  <c r="I480" i="2"/>
  <c r="H481" i="2"/>
  <c r="I481" i="2"/>
  <c r="H482" i="2"/>
  <c r="I482" i="2"/>
  <c r="H483" i="2"/>
  <c r="I483" i="2"/>
  <c r="H484" i="2"/>
  <c r="I484" i="2"/>
  <c r="H485" i="2"/>
  <c r="I485" i="2"/>
  <c r="H486" i="2"/>
  <c r="I486" i="2"/>
  <c r="H487" i="2"/>
  <c r="I487" i="2"/>
  <c r="H488" i="2"/>
  <c r="I488" i="2"/>
  <c r="H489" i="2"/>
  <c r="I489" i="2"/>
  <c r="H490" i="2"/>
  <c r="I490" i="2"/>
  <c r="H491" i="2"/>
  <c r="I491" i="2"/>
  <c r="H492" i="2"/>
  <c r="I492" i="2"/>
  <c r="H493" i="2"/>
  <c r="I493" i="2"/>
  <c r="H494" i="2"/>
  <c r="I494" i="2"/>
  <c r="H495" i="2"/>
  <c r="I495" i="2"/>
  <c r="H496" i="2"/>
  <c r="I496" i="2"/>
  <c r="H497" i="2"/>
  <c r="I497" i="2"/>
  <c r="H498" i="2"/>
  <c r="I498" i="2"/>
  <c r="H499" i="2"/>
  <c r="I499" i="2"/>
  <c r="H500" i="2"/>
  <c r="I500" i="2"/>
  <c r="H501" i="2"/>
  <c r="I501" i="2"/>
  <c r="H502" i="2"/>
  <c r="I502" i="2"/>
  <c r="H503" i="2"/>
  <c r="I503" i="2"/>
  <c r="H504" i="2"/>
  <c r="I504" i="2"/>
  <c r="H505" i="2"/>
  <c r="I505" i="2"/>
  <c r="H506" i="2"/>
  <c r="I506" i="2"/>
  <c r="H507" i="2"/>
  <c r="I507" i="2"/>
  <c r="H508" i="2"/>
  <c r="I508" i="2"/>
  <c r="H509" i="2"/>
  <c r="I509" i="2"/>
  <c r="H510" i="2"/>
  <c r="I510" i="2"/>
  <c r="H511" i="2"/>
  <c r="I511" i="2"/>
  <c r="H512" i="2"/>
  <c r="I512" i="2"/>
  <c r="H513" i="2"/>
  <c r="I513" i="2"/>
  <c r="H514" i="2"/>
  <c r="I514" i="2"/>
  <c r="H515" i="2"/>
  <c r="I515" i="2"/>
  <c r="H516" i="2"/>
  <c r="I516" i="2"/>
  <c r="H517" i="2"/>
  <c r="I517" i="2"/>
  <c r="H518" i="2"/>
  <c r="I518" i="2"/>
  <c r="H519" i="2"/>
  <c r="I519" i="2"/>
  <c r="H520" i="2"/>
  <c r="I520" i="2"/>
  <c r="H521" i="2"/>
  <c r="I521" i="2"/>
  <c r="H522" i="2"/>
  <c r="I522" i="2"/>
  <c r="H523" i="2"/>
  <c r="I523" i="2"/>
  <c r="H524" i="2"/>
  <c r="I524" i="2"/>
  <c r="H525" i="2"/>
  <c r="I525" i="2"/>
  <c r="H526" i="2"/>
  <c r="I526" i="2"/>
  <c r="H527" i="2"/>
  <c r="I527" i="2"/>
  <c r="H528" i="2"/>
  <c r="I528" i="2"/>
  <c r="H529" i="2"/>
  <c r="I529" i="2"/>
  <c r="H530" i="2"/>
  <c r="I530" i="2"/>
  <c r="H531" i="2"/>
  <c r="I531" i="2"/>
  <c r="H532" i="2"/>
  <c r="I532" i="2"/>
  <c r="H533" i="2"/>
  <c r="I533" i="2"/>
  <c r="H534" i="2"/>
  <c r="I534" i="2"/>
  <c r="H535" i="2"/>
  <c r="I535" i="2"/>
  <c r="H536" i="2"/>
  <c r="I536" i="2"/>
  <c r="H537" i="2"/>
  <c r="I537" i="2"/>
  <c r="H538" i="2"/>
  <c r="I538" i="2"/>
  <c r="H539" i="2"/>
  <c r="I539" i="2"/>
  <c r="H540" i="2"/>
  <c r="I540" i="2"/>
  <c r="H541" i="2"/>
  <c r="I541" i="2"/>
  <c r="H542" i="2"/>
  <c r="I542" i="2"/>
  <c r="H543" i="2"/>
  <c r="I543" i="2"/>
  <c r="H544" i="2"/>
  <c r="I544" i="2"/>
  <c r="H545" i="2"/>
  <c r="I545" i="2"/>
  <c r="H546" i="2"/>
  <c r="I546" i="2"/>
  <c r="H547" i="2"/>
  <c r="I547" i="2"/>
  <c r="H548" i="2"/>
  <c r="I548" i="2"/>
  <c r="H549" i="2"/>
  <c r="I549" i="2"/>
  <c r="H550" i="2"/>
  <c r="I550" i="2"/>
  <c r="H551" i="2"/>
  <c r="I551" i="2"/>
  <c r="H552" i="2"/>
  <c r="I552" i="2"/>
  <c r="H553" i="2"/>
  <c r="I553" i="2"/>
  <c r="H554" i="2"/>
  <c r="I554" i="2"/>
  <c r="H555" i="2"/>
  <c r="I555" i="2"/>
  <c r="H556" i="2"/>
  <c r="I556" i="2"/>
  <c r="H557" i="2"/>
  <c r="I557" i="2"/>
  <c r="H558" i="2"/>
  <c r="I558" i="2"/>
  <c r="H559" i="2"/>
  <c r="I559" i="2"/>
  <c r="H560" i="2"/>
  <c r="I560" i="2"/>
  <c r="H561" i="2"/>
  <c r="I561" i="2"/>
  <c r="H562" i="2"/>
  <c r="I562" i="2"/>
  <c r="H563" i="2"/>
  <c r="I563" i="2"/>
  <c r="H564" i="2"/>
  <c r="I564" i="2"/>
  <c r="H565" i="2"/>
  <c r="I565" i="2"/>
  <c r="H566" i="2"/>
  <c r="I566" i="2"/>
  <c r="H567" i="2"/>
  <c r="I567" i="2"/>
  <c r="H568" i="2"/>
  <c r="I568" i="2"/>
  <c r="H569" i="2"/>
  <c r="I569" i="2"/>
  <c r="H570" i="2"/>
  <c r="I570" i="2"/>
  <c r="H571" i="2"/>
  <c r="I571" i="2"/>
  <c r="H572" i="2"/>
  <c r="I572" i="2"/>
  <c r="H573" i="2"/>
  <c r="I573" i="2"/>
  <c r="H574" i="2"/>
  <c r="I574" i="2"/>
  <c r="H575" i="2"/>
  <c r="I575" i="2"/>
  <c r="H576" i="2"/>
  <c r="I576" i="2"/>
  <c r="H577" i="2"/>
  <c r="I577" i="2"/>
  <c r="H578" i="2"/>
  <c r="I578" i="2"/>
  <c r="H579" i="2"/>
  <c r="I579" i="2"/>
  <c r="H580" i="2"/>
  <c r="I580" i="2"/>
  <c r="H581" i="2"/>
  <c r="I581" i="2"/>
  <c r="H582" i="2"/>
  <c r="I582" i="2"/>
  <c r="H583" i="2"/>
  <c r="I583" i="2"/>
  <c r="H584" i="2"/>
  <c r="I584" i="2"/>
  <c r="H585" i="2"/>
  <c r="I585" i="2"/>
  <c r="H586" i="2"/>
  <c r="I586" i="2"/>
  <c r="H587" i="2"/>
  <c r="I587" i="2"/>
  <c r="H588" i="2"/>
  <c r="I588" i="2"/>
  <c r="H589" i="2"/>
  <c r="I589" i="2"/>
  <c r="H590" i="2"/>
  <c r="I590" i="2"/>
  <c r="H591" i="2"/>
  <c r="I591" i="2"/>
  <c r="H592" i="2"/>
  <c r="I592" i="2"/>
  <c r="H593" i="2"/>
  <c r="I593" i="2"/>
  <c r="H594" i="2"/>
  <c r="I594" i="2"/>
  <c r="H595" i="2"/>
  <c r="I595" i="2"/>
  <c r="H596" i="2"/>
  <c r="I596" i="2"/>
  <c r="H597" i="2"/>
  <c r="I597" i="2"/>
  <c r="H598" i="2"/>
  <c r="I598" i="2"/>
  <c r="H599" i="2"/>
  <c r="I599" i="2"/>
  <c r="H600" i="2"/>
  <c r="I600" i="2"/>
  <c r="H601" i="2"/>
  <c r="I601" i="2"/>
  <c r="H602" i="2"/>
  <c r="I602" i="2"/>
  <c r="H603" i="2"/>
  <c r="I603" i="2"/>
  <c r="H604" i="2"/>
  <c r="I604" i="2"/>
  <c r="H605" i="2"/>
  <c r="I605" i="2"/>
  <c r="H606" i="2"/>
  <c r="I606" i="2"/>
  <c r="H607" i="2"/>
  <c r="I607" i="2"/>
  <c r="H608" i="2"/>
  <c r="I608" i="2"/>
  <c r="H609" i="2"/>
  <c r="I609" i="2"/>
  <c r="H610" i="2"/>
  <c r="I610" i="2"/>
  <c r="H611" i="2"/>
  <c r="I611" i="2"/>
  <c r="H612" i="2"/>
  <c r="I612" i="2"/>
  <c r="H613" i="2"/>
  <c r="I613" i="2"/>
  <c r="H614" i="2"/>
  <c r="I614" i="2"/>
  <c r="H615" i="2"/>
  <c r="I615" i="2"/>
  <c r="H616" i="2"/>
  <c r="I616" i="2"/>
  <c r="H617" i="2"/>
  <c r="I617" i="2"/>
  <c r="H618" i="2"/>
  <c r="I618" i="2"/>
  <c r="H619" i="2"/>
  <c r="I619" i="2"/>
  <c r="H620" i="2"/>
  <c r="I620" i="2"/>
  <c r="H621" i="2"/>
  <c r="I621" i="2"/>
  <c r="H622" i="2"/>
  <c r="I622" i="2"/>
  <c r="H623" i="2"/>
  <c r="I623" i="2"/>
  <c r="H624" i="2"/>
  <c r="I624" i="2"/>
  <c r="H625" i="2"/>
  <c r="I625" i="2"/>
  <c r="H626" i="2"/>
  <c r="I626" i="2"/>
  <c r="H627" i="2"/>
  <c r="I627" i="2"/>
  <c r="H628" i="2"/>
  <c r="I628" i="2"/>
  <c r="H629" i="2"/>
  <c r="I629" i="2"/>
  <c r="H630" i="2"/>
  <c r="I630" i="2"/>
  <c r="H631" i="2"/>
  <c r="I631" i="2"/>
  <c r="H632" i="2"/>
  <c r="I632" i="2"/>
  <c r="H633" i="2"/>
  <c r="I633" i="2"/>
  <c r="H634" i="2"/>
  <c r="I634" i="2"/>
  <c r="H635" i="2"/>
  <c r="I635" i="2"/>
  <c r="H636" i="2"/>
  <c r="I636" i="2"/>
  <c r="H637" i="2"/>
  <c r="I637" i="2"/>
  <c r="H638" i="2"/>
  <c r="I638" i="2"/>
  <c r="H639" i="2"/>
  <c r="I639" i="2"/>
  <c r="H640" i="2"/>
  <c r="I640" i="2"/>
  <c r="H641" i="2"/>
  <c r="I641" i="2"/>
  <c r="H642" i="2"/>
  <c r="I642" i="2"/>
  <c r="H643" i="2"/>
  <c r="I643" i="2"/>
  <c r="H644" i="2"/>
  <c r="I644" i="2"/>
  <c r="H645" i="2"/>
  <c r="I645" i="2"/>
  <c r="H646" i="2"/>
  <c r="I646" i="2"/>
  <c r="H647" i="2"/>
  <c r="I647" i="2"/>
  <c r="H648" i="2"/>
  <c r="I648" i="2"/>
  <c r="H649" i="2"/>
  <c r="I649" i="2"/>
  <c r="H650" i="2"/>
  <c r="I650" i="2"/>
  <c r="H651" i="2"/>
  <c r="I651" i="2"/>
  <c r="H652" i="2"/>
  <c r="I652" i="2"/>
  <c r="H653" i="2"/>
  <c r="I653" i="2"/>
  <c r="H654" i="2"/>
  <c r="I654" i="2"/>
  <c r="H655" i="2"/>
  <c r="I655" i="2"/>
  <c r="H656" i="2"/>
  <c r="I656" i="2"/>
  <c r="H657" i="2"/>
  <c r="I657" i="2"/>
  <c r="H658" i="2"/>
  <c r="I658" i="2"/>
  <c r="H659" i="2"/>
  <c r="I659" i="2"/>
  <c r="H660" i="2"/>
  <c r="I660" i="2"/>
  <c r="H661" i="2"/>
  <c r="I661" i="2"/>
  <c r="H662" i="2"/>
  <c r="I662" i="2"/>
  <c r="H663" i="2"/>
  <c r="I663" i="2"/>
  <c r="H664" i="2"/>
  <c r="I664" i="2"/>
  <c r="H665" i="2"/>
  <c r="I665" i="2"/>
  <c r="H666" i="2"/>
  <c r="I666" i="2"/>
  <c r="H667" i="2"/>
  <c r="I667" i="2"/>
  <c r="H668" i="2"/>
  <c r="I668" i="2"/>
  <c r="H669" i="2"/>
  <c r="I669" i="2"/>
  <c r="H670" i="2"/>
  <c r="I670" i="2"/>
  <c r="H671" i="2"/>
  <c r="I671" i="2"/>
  <c r="H672" i="2"/>
  <c r="I672" i="2"/>
  <c r="H673" i="2"/>
  <c r="I673" i="2"/>
  <c r="H674" i="2"/>
  <c r="I674" i="2"/>
  <c r="H675" i="2"/>
  <c r="I675" i="2"/>
  <c r="H676" i="2"/>
  <c r="I676" i="2"/>
  <c r="H677" i="2"/>
  <c r="I677" i="2"/>
  <c r="H678" i="2"/>
  <c r="I678" i="2"/>
  <c r="H679" i="2"/>
  <c r="I679" i="2"/>
  <c r="H680" i="2"/>
  <c r="I680" i="2"/>
  <c r="H681" i="2"/>
  <c r="I681" i="2"/>
  <c r="H682" i="2"/>
  <c r="I682" i="2"/>
  <c r="H683" i="2"/>
  <c r="I683" i="2"/>
  <c r="H684" i="2"/>
  <c r="I684" i="2"/>
  <c r="H685" i="2"/>
  <c r="I685" i="2"/>
  <c r="H686" i="2"/>
  <c r="I686" i="2"/>
  <c r="H687" i="2"/>
  <c r="I687" i="2"/>
  <c r="H688" i="2"/>
  <c r="I688" i="2"/>
  <c r="H689" i="2"/>
  <c r="I689" i="2"/>
  <c r="H690" i="2"/>
  <c r="I690" i="2"/>
  <c r="H691" i="2"/>
  <c r="I691" i="2"/>
  <c r="H692" i="2"/>
  <c r="I692" i="2"/>
  <c r="H693" i="2"/>
  <c r="I693" i="2"/>
  <c r="H694" i="2"/>
  <c r="I694" i="2"/>
  <c r="H695" i="2"/>
  <c r="I695" i="2"/>
  <c r="H696" i="2"/>
  <c r="I696" i="2"/>
  <c r="H697" i="2"/>
  <c r="I697" i="2"/>
  <c r="H698" i="2"/>
  <c r="I698" i="2"/>
  <c r="H699" i="2"/>
  <c r="I699" i="2"/>
  <c r="H700" i="2"/>
  <c r="I700" i="2"/>
  <c r="H701" i="2"/>
  <c r="I701" i="2"/>
  <c r="H702" i="2"/>
  <c r="I702" i="2"/>
  <c r="H703" i="2"/>
  <c r="I703" i="2"/>
  <c r="H704" i="2"/>
  <c r="I704" i="2"/>
  <c r="H705" i="2"/>
  <c r="I705" i="2"/>
  <c r="H706" i="2"/>
  <c r="I706" i="2"/>
  <c r="H707" i="2"/>
  <c r="I707" i="2"/>
  <c r="H708" i="2"/>
  <c r="I708" i="2"/>
  <c r="H709" i="2"/>
  <c r="I709" i="2"/>
  <c r="H710" i="2"/>
  <c r="I710" i="2"/>
  <c r="H711" i="2"/>
  <c r="I711" i="2"/>
  <c r="H712" i="2"/>
  <c r="I712" i="2"/>
  <c r="H713" i="2"/>
  <c r="I713" i="2"/>
  <c r="H714" i="2"/>
  <c r="I714" i="2"/>
  <c r="H715" i="2"/>
  <c r="I715" i="2"/>
  <c r="H716" i="2"/>
  <c r="I716" i="2"/>
  <c r="H717" i="2"/>
  <c r="I717" i="2"/>
  <c r="H718" i="2"/>
  <c r="I718" i="2"/>
  <c r="H719" i="2"/>
  <c r="I719" i="2"/>
  <c r="H720" i="2"/>
  <c r="I720" i="2"/>
  <c r="H721" i="2"/>
  <c r="I721" i="2"/>
  <c r="H722" i="2"/>
  <c r="I722" i="2"/>
  <c r="H723" i="2"/>
  <c r="I723" i="2"/>
  <c r="H724" i="2"/>
  <c r="I724" i="2"/>
  <c r="H725" i="2"/>
  <c r="I725" i="2"/>
  <c r="H726" i="2"/>
  <c r="I726" i="2"/>
  <c r="H727" i="2"/>
  <c r="I727" i="2"/>
  <c r="H728" i="2"/>
  <c r="I728" i="2"/>
  <c r="H729" i="2"/>
  <c r="I729" i="2"/>
  <c r="H730" i="2"/>
  <c r="I730" i="2"/>
  <c r="H731" i="2"/>
  <c r="I731" i="2"/>
  <c r="H732" i="2"/>
  <c r="I732" i="2"/>
  <c r="H733" i="2"/>
  <c r="I733" i="2"/>
  <c r="H734" i="2"/>
  <c r="I734" i="2"/>
  <c r="H735" i="2"/>
  <c r="I735" i="2"/>
  <c r="H736" i="2"/>
  <c r="I736" i="2"/>
  <c r="H737" i="2"/>
  <c r="I737" i="2"/>
  <c r="H738" i="2"/>
  <c r="I738" i="2"/>
  <c r="H739" i="2"/>
  <c r="I739" i="2"/>
  <c r="H740" i="2"/>
  <c r="I740" i="2"/>
  <c r="H741" i="2"/>
  <c r="I741" i="2"/>
  <c r="H742" i="2"/>
  <c r="I742" i="2"/>
  <c r="H743" i="2"/>
  <c r="I743" i="2"/>
  <c r="H744" i="2"/>
  <c r="I744" i="2"/>
  <c r="H745" i="2"/>
  <c r="I745" i="2"/>
  <c r="H746" i="2"/>
  <c r="I746" i="2"/>
  <c r="H747" i="2"/>
  <c r="I747" i="2"/>
  <c r="H748" i="2"/>
  <c r="I748" i="2"/>
  <c r="H749" i="2"/>
  <c r="I749" i="2"/>
  <c r="H750" i="2"/>
  <c r="I750" i="2"/>
  <c r="H751" i="2"/>
  <c r="I751" i="2"/>
  <c r="H752" i="2"/>
  <c r="I752" i="2"/>
  <c r="H753" i="2"/>
  <c r="I753" i="2"/>
  <c r="H754" i="2"/>
  <c r="I754" i="2"/>
  <c r="H755" i="2"/>
  <c r="I755" i="2"/>
  <c r="H756" i="2"/>
  <c r="I756" i="2"/>
  <c r="H757" i="2"/>
  <c r="I757" i="2"/>
  <c r="H758" i="2"/>
  <c r="I758" i="2"/>
  <c r="H759" i="2"/>
  <c r="I759" i="2"/>
  <c r="H760" i="2"/>
  <c r="I760" i="2"/>
  <c r="H761" i="2"/>
  <c r="I761" i="2"/>
  <c r="H762" i="2"/>
  <c r="I762" i="2"/>
  <c r="H763" i="2"/>
  <c r="I763" i="2"/>
  <c r="H764" i="2"/>
  <c r="I764" i="2"/>
  <c r="H765" i="2"/>
  <c r="I765" i="2"/>
  <c r="H766" i="2"/>
  <c r="I766" i="2"/>
  <c r="H767" i="2"/>
  <c r="I767" i="2"/>
  <c r="H768" i="2"/>
  <c r="I768" i="2"/>
  <c r="H769" i="2"/>
  <c r="I769" i="2"/>
  <c r="H770" i="2"/>
  <c r="I770" i="2"/>
  <c r="H771" i="2"/>
  <c r="I771" i="2"/>
  <c r="H772" i="2"/>
  <c r="I772" i="2"/>
  <c r="H773" i="2"/>
  <c r="I773" i="2"/>
  <c r="H774" i="2"/>
  <c r="I774" i="2"/>
  <c r="H775" i="2"/>
  <c r="I775" i="2"/>
  <c r="H776" i="2"/>
  <c r="I776" i="2"/>
  <c r="H777" i="2"/>
  <c r="I777" i="2"/>
  <c r="H778" i="2"/>
  <c r="I778" i="2"/>
  <c r="H779" i="2"/>
  <c r="I779" i="2"/>
  <c r="H780" i="2"/>
  <c r="I780" i="2"/>
  <c r="H781" i="2"/>
  <c r="I781" i="2"/>
  <c r="H782" i="2"/>
  <c r="I782" i="2"/>
  <c r="H783" i="2"/>
  <c r="I783" i="2"/>
  <c r="H784" i="2"/>
  <c r="I784" i="2"/>
  <c r="H785" i="2"/>
  <c r="I785" i="2"/>
  <c r="H786" i="2"/>
  <c r="I786" i="2"/>
  <c r="H787" i="2"/>
  <c r="I787" i="2"/>
  <c r="H788" i="2"/>
  <c r="I788" i="2"/>
  <c r="H789" i="2"/>
  <c r="I789" i="2"/>
  <c r="H790" i="2"/>
  <c r="I790" i="2"/>
  <c r="H791" i="2"/>
  <c r="I791" i="2"/>
  <c r="H792" i="2"/>
  <c r="I792" i="2"/>
  <c r="H793" i="2"/>
  <c r="I793" i="2"/>
  <c r="H794" i="2"/>
  <c r="I794" i="2"/>
  <c r="H795" i="2"/>
  <c r="I795" i="2"/>
  <c r="H796" i="2"/>
  <c r="I796" i="2"/>
  <c r="H797" i="2"/>
  <c r="I797" i="2"/>
  <c r="H798" i="2"/>
  <c r="I798" i="2"/>
  <c r="H799" i="2"/>
  <c r="I799" i="2"/>
  <c r="H800" i="2"/>
  <c r="I800" i="2"/>
  <c r="H801" i="2"/>
  <c r="I801" i="2"/>
  <c r="H802" i="2"/>
  <c r="I802" i="2"/>
  <c r="H803" i="2"/>
  <c r="I803" i="2"/>
  <c r="H804" i="2"/>
  <c r="I804" i="2"/>
  <c r="H805" i="2"/>
  <c r="I805" i="2"/>
  <c r="H806" i="2"/>
  <c r="I806" i="2"/>
  <c r="H807" i="2"/>
  <c r="I807" i="2"/>
  <c r="H808" i="2"/>
  <c r="I808" i="2"/>
  <c r="H809" i="2"/>
  <c r="I809" i="2"/>
  <c r="H810" i="2"/>
  <c r="I810" i="2"/>
  <c r="H811" i="2"/>
  <c r="I811" i="2"/>
  <c r="H812" i="2"/>
  <c r="I812" i="2"/>
  <c r="H813" i="2"/>
  <c r="I813" i="2"/>
  <c r="H814" i="2"/>
  <c r="I814" i="2"/>
  <c r="H815" i="2"/>
  <c r="I815" i="2"/>
  <c r="H816" i="2"/>
  <c r="I816" i="2"/>
  <c r="H817" i="2"/>
  <c r="I817" i="2"/>
  <c r="H818" i="2"/>
  <c r="I818" i="2"/>
  <c r="H819" i="2"/>
  <c r="I819" i="2"/>
  <c r="H820" i="2"/>
  <c r="I820" i="2"/>
  <c r="H821" i="2"/>
  <c r="I821" i="2"/>
  <c r="H822" i="2"/>
  <c r="I822" i="2"/>
  <c r="H823" i="2"/>
  <c r="I823" i="2"/>
  <c r="H824" i="2"/>
  <c r="I824" i="2"/>
  <c r="H825" i="2"/>
  <c r="I825" i="2"/>
  <c r="H826" i="2"/>
  <c r="I826" i="2"/>
  <c r="H827" i="2"/>
  <c r="I827" i="2"/>
  <c r="H828" i="2"/>
  <c r="I828" i="2"/>
  <c r="H829" i="2"/>
  <c r="I829" i="2"/>
  <c r="H830" i="2"/>
  <c r="I830" i="2"/>
  <c r="H831" i="2"/>
  <c r="I831" i="2"/>
  <c r="H832" i="2"/>
  <c r="I832" i="2"/>
  <c r="H833" i="2"/>
  <c r="I833" i="2"/>
  <c r="H834" i="2"/>
  <c r="I834" i="2"/>
  <c r="H835" i="2"/>
  <c r="I835" i="2"/>
  <c r="H836" i="2"/>
  <c r="I836" i="2"/>
  <c r="H837" i="2"/>
  <c r="I837" i="2"/>
  <c r="H838" i="2"/>
  <c r="I838" i="2"/>
  <c r="H839" i="2"/>
  <c r="I839" i="2"/>
  <c r="H840" i="2"/>
  <c r="I840" i="2"/>
  <c r="H841" i="2"/>
  <c r="I841" i="2"/>
  <c r="H842" i="2"/>
  <c r="I842" i="2"/>
  <c r="H843" i="2"/>
  <c r="I843" i="2"/>
  <c r="H844" i="2"/>
  <c r="I844" i="2"/>
  <c r="H845" i="2"/>
  <c r="I845" i="2"/>
  <c r="H846" i="2"/>
  <c r="I846" i="2"/>
  <c r="H847" i="2"/>
  <c r="I847" i="2"/>
  <c r="H848" i="2"/>
  <c r="I848" i="2"/>
  <c r="H849" i="2"/>
  <c r="I849" i="2"/>
  <c r="H850" i="2"/>
  <c r="I850" i="2"/>
  <c r="H851" i="2"/>
  <c r="I851" i="2"/>
  <c r="H852" i="2"/>
  <c r="I852" i="2"/>
  <c r="H853" i="2"/>
  <c r="I853" i="2"/>
  <c r="H854" i="2"/>
  <c r="I854" i="2"/>
  <c r="H855" i="2"/>
  <c r="I855" i="2"/>
  <c r="H856" i="2"/>
  <c r="I856" i="2"/>
  <c r="H857" i="2"/>
  <c r="I857" i="2"/>
  <c r="H858" i="2"/>
  <c r="I858" i="2"/>
  <c r="H859" i="2"/>
  <c r="I859" i="2"/>
  <c r="H860" i="2"/>
  <c r="I860" i="2"/>
  <c r="H861" i="2"/>
  <c r="I861" i="2"/>
  <c r="H862" i="2"/>
  <c r="I862" i="2"/>
  <c r="H863" i="2"/>
  <c r="I863" i="2"/>
  <c r="H864" i="2"/>
  <c r="I864" i="2"/>
  <c r="H865" i="2"/>
  <c r="I865" i="2"/>
  <c r="H866" i="2"/>
  <c r="I866" i="2"/>
  <c r="H867" i="2"/>
  <c r="I867" i="2"/>
  <c r="H868" i="2"/>
  <c r="I868" i="2"/>
  <c r="H869" i="2"/>
  <c r="I869" i="2"/>
  <c r="H870" i="2"/>
  <c r="I870" i="2"/>
  <c r="H871" i="2"/>
  <c r="I871" i="2"/>
  <c r="H872" i="2"/>
  <c r="I872" i="2"/>
  <c r="H873" i="2"/>
  <c r="I873" i="2"/>
  <c r="H874" i="2"/>
  <c r="I874" i="2"/>
  <c r="H875" i="2"/>
  <c r="I875" i="2"/>
  <c r="H876" i="2"/>
  <c r="I876" i="2"/>
  <c r="H877" i="2"/>
  <c r="I877" i="2"/>
  <c r="H878" i="2"/>
  <c r="I878" i="2"/>
  <c r="H879" i="2"/>
  <c r="I879" i="2"/>
  <c r="H880" i="2"/>
  <c r="I880" i="2"/>
  <c r="H881" i="2"/>
  <c r="I881" i="2"/>
  <c r="H882" i="2"/>
  <c r="I882" i="2"/>
  <c r="H883" i="2"/>
  <c r="I883" i="2"/>
  <c r="H884" i="2"/>
  <c r="I884" i="2"/>
  <c r="H885" i="2"/>
  <c r="I885" i="2"/>
  <c r="H886" i="2"/>
  <c r="I886" i="2"/>
  <c r="H887" i="2"/>
  <c r="I887" i="2"/>
  <c r="H888" i="2"/>
  <c r="I888" i="2"/>
  <c r="H889" i="2"/>
  <c r="I889" i="2"/>
  <c r="H890" i="2"/>
  <c r="I890" i="2"/>
  <c r="H891" i="2"/>
  <c r="I891" i="2"/>
  <c r="H892" i="2"/>
  <c r="I892" i="2"/>
  <c r="H893" i="2"/>
  <c r="I893" i="2"/>
  <c r="H894" i="2"/>
  <c r="I894" i="2"/>
  <c r="H895" i="2"/>
  <c r="I895" i="2"/>
  <c r="H896" i="2"/>
  <c r="I896" i="2"/>
  <c r="H897" i="2"/>
  <c r="I897" i="2"/>
  <c r="H898" i="2"/>
  <c r="I898" i="2"/>
  <c r="H899" i="2"/>
  <c r="I899" i="2"/>
  <c r="H900" i="2"/>
  <c r="I900" i="2"/>
  <c r="H901" i="2"/>
  <c r="I901" i="2"/>
  <c r="H902" i="2"/>
  <c r="I902" i="2"/>
  <c r="H903" i="2"/>
  <c r="I903" i="2"/>
  <c r="H904" i="2"/>
  <c r="I904" i="2"/>
  <c r="H905" i="2"/>
  <c r="I905" i="2"/>
  <c r="H906" i="2"/>
  <c r="I906" i="2"/>
  <c r="H907" i="2"/>
  <c r="I907" i="2"/>
  <c r="H908" i="2"/>
  <c r="I908" i="2"/>
  <c r="H909" i="2"/>
  <c r="I909" i="2"/>
  <c r="H910" i="2"/>
  <c r="I910" i="2"/>
  <c r="H911" i="2"/>
  <c r="I911" i="2"/>
  <c r="H912" i="2"/>
  <c r="I912" i="2"/>
  <c r="H913" i="2"/>
  <c r="I913" i="2"/>
  <c r="H914" i="2"/>
  <c r="I914" i="2"/>
  <c r="H915" i="2"/>
  <c r="I915" i="2"/>
  <c r="H916" i="2"/>
  <c r="I916" i="2"/>
  <c r="H917" i="2"/>
  <c r="I917" i="2"/>
  <c r="H918" i="2"/>
  <c r="I918" i="2"/>
  <c r="H919" i="2"/>
  <c r="I919" i="2"/>
  <c r="H920" i="2"/>
  <c r="I920" i="2"/>
  <c r="H921" i="2"/>
  <c r="I921" i="2"/>
  <c r="H922" i="2"/>
  <c r="I922" i="2"/>
  <c r="H923" i="2"/>
  <c r="I923" i="2"/>
  <c r="H924" i="2"/>
  <c r="I924" i="2"/>
  <c r="H925" i="2"/>
  <c r="I925" i="2"/>
  <c r="H926" i="2"/>
  <c r="I926" i="2"/>
  <c r="H927" i="2"/>
  <c r="I927" i="2"/>
  <c r="H928" i="2"/>
  <c r="I928" i="2"/>
  <c r="H929" i="2"/>
  <c r="I929" i="2"/>
  <c r="H930" i="2"/>
  <c r="I930" i="2"/>
  <c r="H931" i="2"/>
  <c r="I931" i="2"/>
  <c r="H932" i="2"/>
  <c r="I932" i="2"/>
  <c r="H933" i="2"/>
  <c r="I933" i="2"/>
  <c r="H934" i="2"/>
  <c r="I934" i="2"/>
  <c r="H935" i="2"/>
  <c r="I935" i="2"/>
  <c r="H936" i="2"/>
  <c r="I936" i="2"/>
  <c r="H937" i="2"/>
  <c r="I937" i="2"/>
  <c r="H938" i="2"/>
  <c r="I938" i="2"/>
  <c r="H939" i="2"/>
  <c r="I939" i="2"/>
  <c r="H940" i="2"/>
  <c r="I940" i="2"/>
  <c r="H941" i="2"/>
  <c r="I941" i="2"/>
  <c r="H942" i="2"/>
  <c r="I942" i="2"/>
  <c r="H943" i="2"/>
  <c r="I943" i="2"/>
  <c r="H944" i="2"/>
  <c r="I944" i="2"/>
  <c r="H945" i="2"/>
  <c r="I945" i="2"/>
  <c r="H946" i="2"/>
  <c r="I946" i="2"/>
  <c r="H947" i="2"/>
  <c r="I947" i="2"/>
  <c r="H948" i="2"/>
  <c r="I948" i="2"/>
  <c r="H949" i="2"/>
  <c r="I949" i="2"/>
  <c r="H950" i="2"/>
  <c r="I950" i="2"/>
  <c r="H951" i="2"/>
  <c r="I951" i="2"/>
  <c r="H952" i="2"/>
  <c r="I952" i="2"/>
  <c r="H953" i="2"/>
  <c r="I953" i="2"/>
  <c r="H954" i="2"/>
  <c r="I954" i="2"/>
  <c r="H955" i="2"/>
  <c r="I955" i="2"/>
  <c r="H956" i="2"/>
  <c r="I956" i="2"/>
  <c r="H957" i="2"/>
  <c r="I957" i="2"/>
  <c r="H958" i="2"/>
  <c r="I958" i="2"/>
  <c r="H959" i="2"/>
  <c r="I959" i="2"/>
  <c r="H960" i="2"/>
  <c r="I960" i="2"/>
  <c r="H961" i="2"/>
  <c r="I961" i="2"/>
  <c r="H962" i="2"/>
  <c r="I962" i="2"/>
  <c r="H963" i="2"/>
  <c r="I963" i="2"/>
  <c r="H964" i="2"/>
  <c r="I964" i="2"/>
  <c r="H965" i="2"/>
  <c r="I965" i="2"/>
  <c r="H966" i="2"/>
  <c r="I966" i="2"/>
  <c r="H967" i="2"/>
  <c r="I967" i="2"/>
  <c r="H968" i="2"/>
  <c r="I968" i="2"/>
  <c r="H969" i="2"/>
  <c r="I969" i="2"/>
  <c r="H970" i="2"/>
  <c r="I970" i="2"/>
  <c r="H971" i="2"/>
  <c r="I971" i="2"/>
  <c r="H972" i="2"/>
  <c r="I972" i="2"/>
  <c r="H973" i="2"/>
  <c r="I973" i="2"/>
  <c r="H974" i="2"/>
  <c r="I974" i="2"/>
  <c r="H975" i="2"/>
  <c r="I975" i="2"/>
  <c r="H976" i="2"/>
  <c r="I976" i="2"/>
  <c r="H977" i="2"/>
  <c r="I977" i="2"/>
  <c r="H978" i="2"/>
  <c r="I978" i="2"/>
  <c r="H979" i="2"/>
  <c r="I979" i="2"/>
  <c r="H980" i="2"/>
  <c r="I980" i="2"/>
  <c r="H981" i="2"/>
  <c r="I981" i="2"/>
  <c r="H982" i="2"/>
  <c r="I982" i="2"/>
  <c r="H983" i="2"/>
  <c r="I983" i="2"/>
  <c r="H984" i="2"/>
  <c r="I984" i="2"/>
  <c r="H985" i="2"/>
  <c r="I985" i="2"/>
  <c r="H986" i="2"/>
  <c r="I986" i="2"/>
  <c r="H987" i="2"/>
  <c r="I987" i="2"/>
  <c r="H988" i="2"/>
  <c r="I988" i="2"/>
  <c r="H989" i="2"/>
  <c r="I989" i="2"/>
  <c r="H990" i="2"/>
  <c r="I990" i="2"/>
  <c r="H991" i="2"/>
  <c r="I991" i="2"/>
  <c r="H992" i="2"/>
  <c r="I992" i="2"/>
  <c r="H993" i="2"/>
  <c r="I993" i="2"/>
  <c r="H994" i="2"/>
  <c r="I994" i="2"/>
  <c r="H995" i="2"/>
  <c r="I995" i="2"/>
  <c r="H996" i="2"/>
  <c r="I996" i="2"/>
  <c r="H997" i="2"/>
  <c r="I997" i="2"/>
  <c r="H998" i="2"/>
  <c r="I998" i="2"/>
  <c r="H999" i="2"/>
  <c r="I999" i="2"/>
  <c r="H1000" i="2"/>
  <c r="I1000" i="2"/>
  <c r="H1001" i="2"/>
  <c r="I1001" i="2"/>
  <c r="H1002" i="2"/>
  <c r="I1002" i="2"/>
  <c r="H1003" i="2"/>
  <c r="I1003" i="2"/>
  <c r="H1004" i="2"/>
  <c r="I1004" i="2"/>
  <c r="H1005" i="2"/>
  <c r="I1005" i="2"/>
  <c r="H1006" i="2"/>
  <c r="I1006" i="2"/>
  <c r="H1007" i="2"/>
  <c r="I1007" i="2"/>
  <c r="H1008" i="2"/>
  <c r="I1008" i="2"/>
  <c r="H1009" i="2"/>
  <c r="I1009" i="2"/>
  <c r="H1010" i="2"/>
  <c r="I1010" i="2"/>
  <c r="H1011" i="2"/>
  <c r="I1011" i="2"/>
  <c r="H1012" i="2"/>
  <c r="I1012" i="2"/>
  <c r="H1013" i="2"/>
  <c r="I1013" i="2"/>
  <c r="H1014" i="2"/>
  <c r="I1014" i="2"/>
  <c r="H1015" i="2"/>
  <c r="I1015" i="2"/>
  <c r="H1016" i="2"/>
  <c r="I1016" i="2"/>
  <c r="H1017" i="2"/>
  <c r="I1017" i="2"/>
  <c r="H1018" i="2"/>
  <c r="I1018" i="2"/>
  <c r="H1019" i="2"/>
  <c r="I1019" i="2"/>
  <c r="H1020" i="2"/>
  <c r="I1020" i="2"/>
  <c r="H1021" i="2"/>
  <c r="I1021" i="2"/>
  <c r="H1022" i="2"/>
  <c r="I1022" i="2"/>
  <c r="H1023" i="2"/>
  <c r="I1023" i="2"/>
  <c r="H1024" i="2"/>
  <c r="I1024" i="2"/>
  <c r="H1025" i="2"/>
  <c r="I1025" i="2"/>
  <c r="H1026" i="2"/>
  <c r="I1026" i="2"/>
  <c r="H1027" i="2"/>
  <c r="I1027" i="2"/>
  <c r="H1028" i="2"/>
  <c r="I1028" i="2"/>
  <c r="H1029" i="2"/>
  <c r="I1029" i="2"/>
  <c r="H1030" i="2"/>
  <c r="I1030" i="2"/>
  <c r="H1031" i="2"/>
  <c r="I1031" i="2"/>
  <c r="H1032" i="2"/>
  <c r="I1032" i="2"/>
  <c r="H1033" i="2"/>
  <c r="I1033" i="2"/>
  <c r="H1034" i="2"/>
  <c r="I1034" i="2"/>
  <c r="H1035" i="2"/>
  <c r="I1035" i="2"/>
  <c r="H1036" i="2"/>
  <c r="I1036" i="2"/>
  <c r="H1037" i="2"/>
  <c r="I1037" i="2"/>
  <c r="H1038" i="2"/>
  <c r="I1038" i="2"/>
  <c r="H1039" i="2"/>
  <c r="I1039" i="2"/>
  <c r="H1040" i="2"/>
  <c r="I1040" i="2"/>
  <c r="H1041" i="2"/>
  <c r="I1041" i="2"/>
  <c r="H1042" i="2"/>
  <c r="I1042" i="2"/>
  <c r="H1043" i="2"/>
  <c r="I1043" i="2"/>
  <c r="H1044" i="2"/>
  <c r="I1044" i="2"/>
  <c r="H1045" i="2"/>
  <c r="I1045" i="2"/>
  <c r="H1046" i="2"/>
  <c r="I1046" i="2"/>
  <c r="H1047" i="2"/>
  <c r="I1047" i="2"/>
  <c r="H1048" i="2"/>
  <c r="I1048" i="2"/>
  <c r="H1049" i="2"/>
  <c r="I1049" i="2"/>
  <c r="H1050" i="2"/>
  <c r="I1050" i="2"/>
  <c r="H1051" i="2"/>
  <c r="I1051" i="2"/>
  <c r="H1052" i="2"/>
  <c r="I1052" i="2"/>
  <c r="H1053" i="2"/>
  <c r="I1053" i="2"/>
  <c r="H1054" i="2"/>
  <c r="I1054" i="2"/>
  <c r="H1055" i="2"/>
  <c r="I1055" i="2"/>
  <c r="H1056" i="2"/>
  <c r="I1056" i="2"/>
  <c r="H1057" i="2"/>
  <c r="I1057" i="2"/>
  <c r="H1058" i="2"/>
  <c r="I1058" i="2"/>
  <c r="H1059" i="2"/>
  <c r="I1059" i="2"/>
  <c r="H1060" i="2"/>
  <c r="I1060" i="2"/>
  <c r="H1061" i="2"/>
  <c r="I1061" i="2"/>
  <c r="H1062" i="2"/>
  <c r="I1062" i="2"/>
  <c r="H1063" i="2"/>
  <c r="I1063" i="2"/>
  <c r="H1064" i="2"/>
  <c r="I1064" i="2"/>
  <c r="H1065" i="2"/>
  <c r="I1065" i="2"/>
  <c r="H1066" i="2"/>
  <c r="I1066" i="2"/>
  <c r="H1067" i="2"/>
  <c r="I1067" i="2"/>
  <c r="H1068" i="2"/>
  <c r="I1068" i="2"/>
  <c r="H1069" i="2"/>
  <c r="I1069" i="2"/>
  <c r="H1070" i="2"/>
  <c r="I1070" i="2"/>
  <c r="H1071" i="2"/>
  <c r="I1071" i="2"/>
  <c r="H1072" i="2"/>
  <c r="I1072" i="2"/>
  <c r="H1073" i="2"/>
  <c r="I1073" i="2"/>
  <c r="H1074" i="2"/>
  <c r="I1074" i="2"/>
  <c r="H1075" i="2"/>
  <c r="I1075" i="2"/>
  <c r="H1076" i="2"/>
  <c r="I1076" i="2"/>
  <c r="H1077" i="2"/>
  <c r="I1077" i="2"/>
  <c r="H1078" i="2"/>
  <c r="I1078" i="2"/>
  <c r="H1079" i="2"/>
  <c r="I1079" i="2"/>
  <c r="H1080" i="2"/>
  <c r="I1080" i="2"/>
  <c r="H1081" i="2"/>
  <c r="I1081" i="2"/>
  <c r="H1082" i="2"/>
  <c r="I1082" i="2"/>
  <c r="H1083" i="2"/>
  <c r="I1083" i="2"/>
  <c r="H1084" i="2"/>
  <c r="I1084" i="2"/>
  <c r="H1085" i="2"/>
  <c r="I1085" i="2"/>
  <c r="H1086" i="2"/>
  <c r="I1086" i="2"/>
  <c r="H1087" i="2"/>
  <c r="I1087" i="2"/>
  <c r="H1088" i="2"/>
  <c r="I1088" i="2"/>
  <c r="H1089" i="2"/>
  <c r="I1089" i="2"/>
  <c r="H1090" i="2"/>
  <c r="I1090" i="2"/>
  <c r="H1091" i="2"/>
  <c r="I1091" i="2"/>
  <c r="H1092" i="2"/>
  <c r="I1092" i="2"/>
  <c r="H1093" i="2"/>
  <c r="I1093" i="2"/>
  <c r="H1094" i="2"/>
  <c r="I1094" i="2"/>
  <c r="H1095" i="2"/>
  <c r="I1095" i="2"/>
  <c r="H1096" i="2"/>
  <c r="I1096" i="2"/>
  <c r="H1097" i="2"/>
  <c r="I1097" i="2"/>
  <c r="H1098" i="2"/>
  <c r="I1098" i="2"/>
  <c r="H1099" i="2"/>
  <c r="I1099" i="2"/>
  <c r="H1100" i="2"/>
  <c r="I1100" i="2"/>
  <c r="H1101" i="2"/>
  <c r="I1101" i="2"/>
  <c r="H1102" i="2"/>
  <c r="I1102" i="2"/>
  <c r="H1103" i="2"/>
  <c r="I1103" i="2"/>
  <c r="H1104" i="2"/>
  <c r="I1104" i="2"/>
  <c r="H1105" i="2"/>
  <c r="I1105" i="2"/>
  <c r="H1106" i="2"/>
  <c r="I1106" i="2"/>
  <c r="H1107" i="2"/>
  <c r="I1107" i="2"/>
  <c r="H1108" i="2"/>
  <c r="I1108" i="2"/>
  <c r="H1109" i="2"/>
  <c r="I1109" i="2"/>
  <c r="H1110" i="2"/>
  <c r="I1110" i="2"/>
  <c r="H1111" i="2"/>
  <c r="I1111" i="2"/>
  <c r="H1112" i="2"/>
  <c r="I1112" i="2"/>
  <c r="H1113" i="2"/>
  <c r="I1113" i="2"/>
  <c r="H1114" i="2"/>
  <c r="I1114" i="2"/>
  <c r="H1115" i="2"/>
  <c r="I1115" i="2"/>
  <c r="H1116" i="2"/>
  <c r="I1116" i="2"/>
  <c r="H1117" i="2"/>
  <c r="I1117" i="2"/>
  <c r="H1118" i="2"/>
  <c r="I1118" i="2"/>
  <c r="H1119" i="2"/>
  <c r="I1119" i="2"/>
  <c r="H1120" i="2"/>
  <c r="I1120" i="2"/>
  <c r="H1121" i="2"/>
  <c r="I1121" i="2"/>
  <c r="H1122" i="2"/>
  <c r="I1122" i="2"/>
  <c r="H1123" i="2"/>
  <c r="I1123" i="2"/>
  <c r="H1124" i="2"/>
  <c r="I1124" i="2"/>
  <c r="H1125" i="2"/>
  <c r="I1125" i="2"/>
  <c r="H1126" i="2"/>
  <c r="I1126" i="2"/>
  <c r="H1127" i="2"/>
  <c r="I1127" i="2"/>
  <c r="H1128" i="2"/>
  <c r="I1128" i="2"/>
  <c r="H1129" i="2"/>
  <c r="I1129" i="2"/>
  <c r="H1130" i="2"/>
  <c r="I1130" i="2"/>
  <c r="H1131" i="2"/>
  <c r="I1131" i="2"/>
  <c r="H1132" i="2"/>
  <c r="I1132" i="2"/>
  <c r="H1133" i="2"/>
  <c r="I1133" i="2"/>
  <c r="H1134" i="2"/>
  <c r="I1134" i="2"/>
  <c r="H1135" i="2"/>
  <c r="I1135" i="2"/>
  <c r="H1136" i="2"/>
  <c r="I1136" i="2"/>
  <c r="H1137" i="2"/>
  <c r="I1137" i="2"/>
  <c r="H1138" i="2"/>
  <c r="I1138" i="2"/>
  <c r="H1139" i="2"/>
  <c r="I1139" i="2"/>
  <c r="H1140" i="2"/>
  <c r="I1140" i="2"/>
  <c r="H1141" i="2"/>
  <c r="I1141" i="2"/>
  <c r="H1142" i="2"/>
  <c r="I1142" i="2"/>
  <c r="H1143" i="2"/>
  <c r="I1143" i="2"/>
  <c r="H1144" i="2"/>
  <c r="I1144" i="2"/>
  <c r="H1145" i="2"/>
  <c r="I1145" i="2"/>
  <c r="H1146" i="2"/>
  <c r="I1146" i="2"/>
  <c r="H1147" i="2"/>
  <c r="I1147" i="2"/>
  <c r="H1148" i="2"/>
  <c r="I1148" i="2"/>
  <c r="H1149" i="2"/>
  <c r="I1149" i="2"/>
  <c r="H1150" i="2"/>
  <c r="I1150" i="2"/>
  <c r="H1151" i="2"/>
  <c r="I1151" i="2"/>
  <c r="H1152" i="2"/>
  <c r="I1152" i="2"/>
  <c r="H1153" i="2"/>
  <c r="I1153" i="2"/>
  <c r="H1154" i="2"/>
  <c r="I1154" i="2"/>
  <c r="H1155" i="2"/>
  <c r="I1155" i="2"/>
  <c r="H1156" i="2"/>
  <c r="I1156" i="2"/>
  <c r="H1157" i="2"/>
  <c r="I1157" i="2"/>
  <c r="H1158" i="2"/>
  <c r="I1158" i="2"/>
  <c r="H1159" i="2"/>
  <c r="I1159" i="2"/>
  <c r="H1160" i="2"/>
  <c r="I1160" i="2"/>
  <c r="H1161" i="2"/>
  <c r="I1161" i="2"/>
  <c r="H1162" i="2"/>
  <c r="I1162" i="2"/>
  <c r="H1163" i="2"/>
  <c r="I1163" i="2"/>
  <c r="H1164" i="2"/>
  <c r="I1164" i="2"/>
  <c r="H1165" i="2"/>
  <c r="I1165" i="2"/>
  <c r="H1166" i="2"/>
  <c r="I1166" i="2"/>
  <c r="H1167" i="2"/>
  <c r="I1167" i="2"/>
  <c r="H1168" i="2"/>
  <c r="I1168" i="2"/>
  <c r="H1169" i="2"/>
  <c r="I1169" i="2"/>
  <c r="H1170" i="2"/>
  <c r="I1170" i="2"/>
  <c r="H1171" i="2"/>
  <c r="I1171" i="2"/>
  <c r="H1172" i="2"/>
  <c r="I1172" i="2"/>
  <c r="H1173" i="2"/>
  <c r="I1173" i="2"/>
  <c r="H1174" i="2"/>
  <c r="I1174" i="2"/>
  <c r="H1175" i="2"/>
  <c r="I1175" i="2"/>
  <c r="H1176" i="2"/>
  <c r="I1176" i="2"/>
  <c r="H1177" i="2"/>
  <c r="I1177" i="2"/>
  <c r="H1178" i="2"/>
  <c r="I1178" i="2"/>
  <c r="H1179" i="2"/>
  <c r="I1179" i="2"/>
  <c r="H1180" i="2"/>
  <c r="I1180" i="2"/>
  <c r="H1181" i="2"/>
  <c r="I1181" i="2"/>
  <c r="H1182" i="2"/>
  <c r="I1182" i="2"/>
  <c r="H1183" i="2"/>
  <c r="I1183" i="2"/>
  <c r="H1184" i="2"/>
  <c r="I1184" i="2"/>
  <c r="H1185" i="2"/>
  <c r="I1185" i="2"/>
  <c r="H1186" i="2"/>
  <c r="I1186" i="2"/>
  <c r="H1187" i="2"/>
  <c r="I1187" i="2"/>
  <c r="H1188" i="2"/>
  <c r="I1188" i="2"/>
  <c r="H1189" i="2"/>
  <c r="I1189" i="2"/>
  <c r="H1190" i="2"/>
  <c r="I1190" i="2"/>
  <c r="H1191" i="2"/>
  <c r="I1191" i="2"/>
  <c r="H1192" i="2"/>
  <c r="I1192" i="2"/>
  <c r="H1193" i="2"/>
  <c r="I1193" i="2"/>
  <c r="H1194" i="2"/>
  <c r="I1194" i="2"/>
  <c r="H1195" i="2"/>
  <c r="I1195" i="2"/>
  <c r="H1196" i="2"/>
  <c r="I1196" i="2"/>
  <c r="H1197" i="2"/>
  <c r="I1197" i="2"/>
  <c r="H1198" i="2"/>
  <c r="I1198" i="2"/>
  <c r="H1199" i="2"/>
  <c r="I1199" i="2"/>
  <c r="H1200" i="2"/>
  <c r="I1200" i="2"/>
  <c r="H1201" i="2"/>
  <c r="I1201" i="2"/>
  <c r="H1202" i="2"/>
  <c r="I1202" i="2"/>
  <c r="H1203" i="2"/>
  <c r="I1203" i="2"/>
  <c r="H1204" i="2"/>
  <c r="I1204" i="2"/>
  <c r="H1205" i="2"/>
  <c r="I1205" i="2"/>
  <c r="H1206" i="2"/>
  <c r="I1206" i="2"/>
  <c r="H1207" i="2"/>
  <c r="I1207" i="2"/>
  <c r="H1208" i="2"/>
  <c r="I1208" i="2"/>
  <c r="H1209" i="2"/>
  <c r="I1209" i="2"/>
  <c r="H1210" i="2"/>
  <c r="I1210" i="2"/>
  <c r="H1211" i="2"/>
  <c r="I1211" i="2"/>
  <c r="H1212" i="2"/>
  <c r="I1212" i="2"/>
  <c r="H1213" i="2"/>
  <c r="I1213" i="2"/>
  <c r="H1214" i="2"/>
  <c r="I1214" i="2"/>
  <c r="H1215" i="2"/>
  <c r="I1215" i="2"/>
  <c r="H1216" i="2"/>
  <c r="I1216" i="2"/>
  <c r="H1217" i="2"/>
  <c r="I1217" i="2"/>
  <c r="H1218" i="2"/>
  <c r="I1218" i="2"/>
  <c r="H1219" i="2"/>
  <c r="I1219" i="2"/>
  <c r="H1220" i="2"/>
  <c r="I1220" i="2"/>
  <c r="H1221" i="2"/>
  <c r="I1221" i="2"/>
  <c r="H1222" i="2"/>
  <c r="I1222" i="2"/>
  <c r="H1223" i="2"/>
  <c r="I1223" i="2"/>
  <c r="H1224" i="2"/>
  <c r="I1224" i="2"/>
  <c r="H1225" i="2"/>
  <c r="I1225" i="2"/>
  <c r="H1226" i="2"/>
  <c r="I1226" i="2"/>
  <c r="H1227" i="2"/>
  <c r="I1227" i="2"/>
  <c r="H1228" i="2"/>
  <c r="I1228" i="2"/>
  <c r="H1229" i="2"/>
  <c r="I1229" i="2"/>
  <c r="H1230" i="2"/>
  <c r="I1230" i="2"/>
  <c r="H1231" i="2"/>
  <c r="I1231" i="2"/>
  <c r="H1232" i="2"/>
  <c r="I1232" i="2"/>
  <c r="H1233" i="2"/>
  <c r="I1233" i="2"/>
  <c r="H1234" i="2"/>
  <c r="I1234" i="2"/>
  <c r="H1235" i="2"/>
  <c r="I1235" i="2"/>
  <c r="H1236" i="2"/>
  <c r="I1236" i="2"/>
  <c r="H1237" i="2"/>
  <c r="I1237" i="2"/>
  <c r="H1238" i="2"/>
  <c r="I1238" i="2"/>
  <c r="H1239" i="2"/>
  <c r="I1239" i="2"/>
  <c r="H1240" i="2"/>
  <c r="I1240" i="2"/>
  <c r="H1241" i="2"/>
  <c r="I1241" i="2"/>
  <c r="H1242" i="2"/>
  <c r="I1242" i="2"/>
  <c r="H1243" i="2"/>
  <c r="I1243" i="2"/>
  <c r="H1244" i="2"/>
  <c r="I1244" i="2"/>
  <c r="H1245" i="2"/>
  <c r="I1245" i="2"/>
  <c r="H1246" i="2"/>
  <c r="I1246" i="2"/>
  <c r="H1247" i="2"/>
  <c r="I1247" i="2"/>
  <c r="H1248" i="2"/>
  <c r="I1248" i="2"/>
  <c r="H1249" i="2"/>
  <c r="I1249" i="2"/>
  <c r="H1250" i="2"/>
  <c r="I1250" i="2"/>
  <c r="H1251" i="2"/>
  <c r="I1251" i="2"/>
  <c r="H1252" i="2"/>
  <c r="I1252" i="2"/>
  <c r="H1253" i="2"/>
  <c r="I1253" i="2"/>
  <c r="H1254" i="2"/>
  <c r="I1254" i="2"/>
  <c r="H1255" i="2"/>
  <c r="I1255" i="2"/>
  <c r="H1256" i="2"/>
  <c r="I1256" i="2"/>
  <c r="H1257" i="2"/>
  <c r="I1257" i="2"/>
  <c r="H1258" i="2"/>
  <c r="I1258" i="2"/>
  <c r="H1259" i="2"/>
  <c r="I1259" i="2"/>
  <c r="H1260" i="2"/>
  <c r="I1260" i="2"/>
  <c r="H1261" i="2"/>
  <c r="I1261" i="2"/>
  <c r="H1262" i="2"/>
  <c r="I1262" i="2"/>
  <c r="H1263" i="2"/>
  <c r="I1263" i="2"/>
  <c r="H1264" i="2"/>
  <c r="I1264" i="2"/>
  <c r="H1265" i="2"/>
  <c r="I1265" i="2"/>
  <c r="H1266" i="2"/>
  <c r="I1266" i="2"/>
  <c r="H1267" i="2"/>
  <c r="I1267" i="2"/>
  <c r="H1268" i="2"/>
  <c r="I1268" i="2"/>
  <c r="H1269" i="2"/>
  <c r="I1269" i="2"/>
  <c r="H1270" i="2"/>
  <c r="I1270" i="2"/>
  <c r="H1271" i="2"/>
  <c r="I1271" i="2"/>
  <c r="H1272" i="2"/>
  <c r="I1272" i="2"/>
  <c r="H1273" i="2"/>
  <c r="I1273" i="2"/>
  <c r="H1274" i="2"/>
  <c r="I1274" i="2"/>
  <c r="H1275" i="2"/>
  <c r="I1275" i="2"/>
  <c r="H1276" i="2"/>
  <c r="I1276" i="2"/>
  <c r="H1277" i="2"/>
  <c r="I1277" i="2"/>
  <c r="H1278" i="2"/>
  <c r="I1278" i="2"/>
  <c r="H1279" i="2"/>
  <c r="I1279" i="2"/>
  <c r="H1280" i="2"/>
  <c r="I1280" i="2"/>
  <c r="H1281" i="2"/>
  <c r="I1281" i="2"/>
  <c r="H1282" i="2"/>
  <c r="I1282" i="2"/>
  <c r="H1283" i="2"/>
  <c r="I1283" i="2"/>
  <c r="H1284" i="2"/>
  <c r="I1284" i="2"/>
  <c r="H1285" i="2"/>
  <c r="I1285" i="2"/>
  <c r="H1286" i="2"/>
  <c r="I1286" i="2"/>
  <c r="H1287" i="2"/>
  <c r="I1287" i="2"/>
  <c r="H1288" i="2"/>
  <c r="I1288" i="2"/>
  <c r="H1289" i="2"/>
  <c r="I1289" i="2"/>
  <c r="H1290" i="2"/>
  <c r="I1290" i="2"/>
  <c r="H1291" i="2"/>
  <c r="I1291" i="2"/>
  <c r="H1292" i="2"/>
  <c r="I1292" i="2"/>
  <c r="H1293" i="2"/>
  <c r="I1293" i="2"/>
  <c r="H1294" i="2"/>
  <c r="I1294" i="2"/>
  <c r="H1295" i="2"/>
  <c r="I1295" i="2"/>
  <c r="H1296" i="2"/>
  <c r="I1296" i="2"/>
  <c r="H1297" i="2"/>
  <c r="I1297" i="2"/>
  <c r="H1298" i="2"/>
  <c r="I1298" i="2"/>
  <c r="H1299" i="2"/>
  <c r="I1299" i="2"/>
  <c r="H1300" i="2"/>
  <c r="I1300" i="2"/>
  <c r="H1301" i="2"/>
  <c r="I1301" i="2"/>
  <c r="H1302" i="2"/>
  <c r="I1302" i="2"/>
  <c r="H1303" i="2"/>
  <c r="I1303" i="2"/>
  <c r="H1304" i="2"/>
  <c r="I1304" i="2"/>
  <c r="H1305" i="2"/>
  <c r="I1305" i="2"/>
  <c r="H1306" i="2"/>
  <c r="I1306" i="2"/>
  <c r="H1307" i="2"/>
  <c r="I1307" i="2"/>
  <c r="H1308" i="2"/>
  <c r="I1308" i="2"/>
  <c r="H1309" i="2"/>
  <c r="I1309" i="2"/>
  <c r="H1310" i="2"/>
  <c r="I1310" i="2"/>
  <c r="H1311" i="2"/>
  <c r="I1311" i="2"/>
  <c r="H1312" i="2"/>
  <c r="I1312" i="2"/>
  <c r="H1313" i="2"/>
  <c r="I1313" i="2"/>
  <c r="H1314" i="2"/>
  <c r="I1314" i="2"/>
  <c r="H1315" i="2"/>
  <c r="I1315" i="2"/>
  <c r="H1316" i="2"/>
  <c r="I1316" i="2"/>
  <c r="H1317" i="2"/>
  <c r="I1317" i="2"/>
  <c r="H1318" i="2"/>
  <c r="I1318" i="2"/>
  <c r="H1319" i="2"/>
  <c r="I1319" i="2"/>
  <c r="H1320" i="2"/>
  <c r="I1320" i="2"/>
  <c r="H1321" i="2"/>
  <c r="I1321" i="2"/>
  <c r="H1322" i="2"/>
  <c r="I1322" i="2"/>
  <c r="H1323" i="2"/>
  <c r="I1323" i="2"/>
  <c r="H1324" i="2"/>
  <c r="I1324" i="2"/>
  <c r="H1325" i="2"/>
  <c r="I1325" i="2"/>
  <c r="H1326" i="2"/>
  <c r="I1326" i="2"/>
  <c r="H1327" i="2"/>
  <c r="I1327" i="2"/>
  <c r="H1328" i="2"/>
  <c r="I1328" i="2"/>
  <c r="H1329" i="2"/>
  <c r="I1329" i="2"/>
  <c r="H1330" i="2"/>
  <c r="I1330" i="2"/>
  <c r="H1331" i="2"/>
  <c r="I1331" i="2"/>
  <c r="H1332" i="2"/>
  <c r="I1332" i="2"/>
  <c r="H1333" i="2"/>
  <c r="I1333" i="2"/>
  <c r="H1334" i="2"/>
  <c r="I1334" i="2"/>
  <c r="H1335" i="2"/>
  <c r="I1335" i="2"/>
  <c r="H1336" i="2"/>
  <c r="I1336" i="2"/>
  <c r="H1337" i="2"/>
  <c r="I1337" i="2"/>
  <c r="H1338" i="2"/>
  <c r="I1338" i="2"/>
  <c r="H1339" i="2"/>
  <c r="I1339" i="2"/>
  <c r="H1340" i="2"/>
  <c r="I1340" i="2"/>
  <c r="H1341" i="2"/>
  <c r="I1341" i="2"/>
  <c r="H1342" i="2"/>
  <c r="I1342" i="2"/>
  <c r="H1343" i="2"/>
  <c r="I1343" i="2"/>
  <c r="H1344" i="2"/>
  <c r="I1344" i="2"/>
  <c r="H1345" i="2"/>
  <c r="I1345" i="2"/>
  <c r="H1346" i="2"/>
  <c r="I1346" i="2"/>
  <c r="H1347" i="2"/>
  <c r="I1347" i="2"/>
  <c r="H1348" i="2"/>
  <c r="I1348" i="2"/>
  <c r="H1349" i="2"/>
  <c r="I1349" i="2"/>
  <c r="H1350" i="2"/>
  <c r="I1350" i="2"/>
  <c r="H1351" i="2"/>
  <c r="I1351" i="2"/>
  <c r="H1352" i="2"/>
  <c r="I1352" i="2"/>
  <c r="H1353" i="2"/>
  <c r="I1353" i="2"/>
  <c r="H1354" i="2"/>
  <c r="I1354" i="2"/>
  <c r="H1355" i="2"/>
  <c r="I1355" i="2"/>
  <c r="H1356" i="2"/>
  <c r="I1356" i="2"/>
  <c r="H1357" i="2"/>
  <c r="I1357" i="2"/>
  <c r="H1358" i="2"/>
  <c r="I1358" i="2"/>
  <c r="H1359" i="2"/>
  <c r="I1359" i="2"/>
  <c r="H1360" i="2"/>
  <c r="I1360" i="2"/>
  <c r="H1361" i="2"/>
  <c r="I1361" i="2"/>
  <c r="H1362" i="2"/>
  <c r="I1362" i="2"/>
  <c r="H1363" i="2"/>
  <c r="I1363" i="2"/>
  <c r="H1364" i="2"/>
  <c r="I1364" i="2"/>
  <c r="H1365" i="2"/>
  <c r="I1365" i="2"/>
  <c r="H1366" i="2"/>
  <c r="I1366" i="2"/>
  <c r="H1367" i="2"/>
  <c r="I1367" i="2"/>
  <c r="H1368" i="2"/>
  <c r="I1368" i="2"/>
  <c r="H1369" i="2"/>
  <c r="I1369" i="2"/>
  <c r="H1370" i="2"/>
  <c r="I1370" i="2"/>
  <c r="H1371" i="2"/>
  <c r="I1371" i="2"/>
  <c r="H1372" i="2"/>
  <c r="I1372" i="2"/>
  <c r="H1373" i="2"/>
  <c r="I1373" i="2"/>
  <c r="H1374" i="2"/>
  <c r="I1374" i="2"/>
  <c r="H1375" i="2"/>
  <c r="I1375" i="2"/>
  <c r="H1376" i="2"/>
  <c r="I1376" i="2"/>
  <c r="H1377" i="2"/>
  <c r="I1377" i="2"/>
  <c r="H1378" i="2"/>
  <c r="I1378" i="2"/>
  <c r="H1379" i="2"/>
  <c r="I1379" i="2"/>
  <c r="H1380" i="2"/>
  <c r="I1380" i="2"/>
  <c r="H1381" i="2"/>
  <c r="I1381" i="2"/>
  <c r="H1382" i="2"/>
  <c r="I1382" i="2"/>
  <c r="H1383" i="2"/>
  <c r="I1383" i="2"/>
  <c r="H1384" i="2"/>
  <c r="I1384" i="2"/>
  <c r="H1385" i="2"/>
  <c r="I1385" i="2"/>
  <c r="H1386" i="2"/>
  <c r="I1386" i="2"/>
  <c r="H1387" i="2"/>
  <c r="I1387" i="2"/>
  <c r="H1388" i="2"/>
  <c r="I1388" i="2"/>
  <c r="H1389" i="2"/>
  <c r="I1389" i="2"/>
  <c r="H1390" i="2"/>
  <c r="I1390" i="2"/>
  <c r="H1391" i="2"/>
  <c r="I1391" i="2"/>
  <c r="H1392" i="2"/>
  <c r="I1392" i="2"/>
  <c r="H1393" i="2"/>
  <c r="I1393" i="2"/>
  <c r="H1394" i="2"/>
  <c r="I1394" i="2"/>
  <c r="H1395" i="2"/>
  <c r="I1395" i="2"/>
  <c r="H1396" i="2"/>
  <c r="I1396" i="2"/>
  <c r="H1397" i="2"/>
  <c r="I1397" i="2"/>
  <c r="H1398" i="2"/>
  <c r="I1398" i="2"/>
  <c r="H1399" i="2"/>
  <c r="I1399" i="2"/>
  <c r="H1400" i="2"/>
  <c r="I1400" i="2"/>
  <c r="H1401" i="2"/>
  <c r="I1401" i="2"/>
  <c r="H1402" i="2"/>
  <c r="I1402" i="2"/>
  <c r="H1403" i="2"/>
  <c r="I1403" i="2"/>
  <c r="H1404" i="2"/>
  <c r="I1404" i="2"/>
  <c r="H1405" i="2"/>
  <c r="I1405" i="2"/>
  <c r="H1406" i="2"/>
  <c r="I1406" i="2"/>
  <c r="H1407" i="2"/>
  <c r="I1407" i="2"/>
  <c r="H1408" i="2"/>
  <c r="I1408" i="2"/>
  <c r="H1409" i="2"/>
  <c r="I1409" i="2"/>
  <c r="H1410" i="2"/>
  <c r="I1410" i="2"/>
  <c r="H1411" i="2"/>
  <c r="I1411" i="2"/>
  <c r="H1412" i="2"/>
  <c r="I1412" i="2"/>
  <c r="H1413" i="2"/>
  <c r="I1413" i="2"/>
  <c r="H1414" i="2"/>
  <c r="I1414" i="2"/>
  <c r="H1415" i="2"/>
  <c r="I1415" i="2"/>
  <c r="H1416" i="2"/>
  <c r="I1416" i="2"/>
  <c r="H1417" i="2"/>
  <c r="I1417" i="2"/>
  <c r="H1418" i="2"/>
  <c r="I1418" i="2"/>
  <c r="H1419" i="2"/>
  <c r="I1419" i="2"/>
  <c r="H1420" i="2"/>
  <c r="I1420" i="2"/>
  <c r="H1421" i="2"/>
  <c r="I1421" i="2"/>
  <c r="H1422" i="2"/>
  <c r="I1422" i="2"/>
  <c r="H1423" i="2"/>
  <c r="I1423" i="2"/>
  <c r="H1424" i="2"/>
  <c r="I1424" i="2"/>
  <c r="H1425" i="2"/>
  <c r="I1425" i="2"/>
  <c r="H1426" i="2"/>
  <c r="I1426" i="2"/>
  <c r="H1427" i="2"/>
  <c r="I1427" i="2"/>
  <c r="H1428" i="2"/>
  <c r="I1428" i="2"/>
  <c r="H1429" i="2"/>
  <c r="I1429" i="2"/>
  <c r="H1430" i="2"/>
  <c r="I1430" i="2"/>
  <c r="H1431" i="2"/>
  <c r="I1431" i="2"/>
  <c r="H1432" i="2"/>
  <c r="I1432" i="2"/>
  <c r="H1433" i="2"/>
  <c r="I1433" i="2"/>
  <c r="H1434" i="2"/>
  <c r="I1434" i="2"/>
  <c r="H1435" i="2"/>
  <c r="I1435" i="2"/>
  <c r="H1436" i="2"/>
  <c r="I1436" i="2"/>
  <c r="H1437" i="2"/>
  <c r="I1437" i="2"/>
  <c r="H1438" i="2"/>
  <c r="I1438" i="2"/>
  <c r="H1439" i="2"/>
  <c r="I1439" i="2"/>
  <c r="H1440" i="2"/>
  <c r="I1440" i="2"/>
  <c r="H1441" i="2"/>
  <c r="I1441" i="2"/>
  <c r="H1442" i="2"/>
  <c r="I1442" i="2"/>
  <c r="H1443" i="2"/>
  <c r="I1443" i="2"/>
  <c r="H1444" i="2"/>
  <c r="I1444" i="2"/>
  <c r="H1445" i="2"/>
  <c r="I1445" i="2"/>
  <c r="H1446" i="2"/>
  <c r="I1446" i="2"/>
  <c r="H1447" i="2"/>
  <c r="I1447" i="2"/>
  <c r="H1448" i="2"/>
  <c r="I1448" i="2"/>
  <c r="H1449" i="2"/>
  <c r="I1449" i="2"/>
  <c r="H1450" i="2"/>
  <c r="I1450" i="2"/>
  <c r="H1451" i="2"/>
  <c r="I1451" i="2"/>
  <c r="H1452" i="2"/>
  <c r="I1452" i="2"/>
  <c r="H1453" i="2"/>
  <c r="I1453" i="2"/>
  <c r="H1454" i="2"/>
  <c r="I1454" i="2"/>
  <c r="H1455" i="2"/>
  <c r="I1455" i="2"/>
  <c r="H1456" i="2"/>
  <c r="I1456" i="2"/>
  <c r="H1457" i="2"/>
  <c r="I1457" i="2"/>
  <c r="H1458" i="2"/>
  <c r="I1458" i="2"/>
  <c r="H1459" i="2"/>
  <c r="I1459" i="2"/>
  <c r="H1460" i="2"/>
  <c r="I1460" i="2"/>
  <c r="H1461" i="2"/>
  <c r="I1461" i="2"/>
  <c r="H1462" i="2"/>
  <c r="I1462" i="2"/>
  <c r="H1463" i="2"/>
  <c r="I1463" i="2"/>
  <c r="H1464" i="2"/>
  <c r="I1464" i="2"/>
  <c r="H1465" i="2"/>
  <c r="I1465" i="2"/>
  <c r="H1466" i="2"/>
  <c r="I1466" i="2"/>
  <c r="H1467" i="2"/>
  <c r="I1467" i="2"/>
  <c r="H1468" i="2"/>
  <c r="I1468" i="2"/>
  <c r="H1469" i="2"/>
  <c r="I1469" i="2"/>
  <c r="H1470" i="2"/>
  <c r="I1470" i="2"/>
  <c r="H1471" i="2"/>
  <c r="I1471" i="2"/>
  <c r="H1472" i="2"/>
  <c r="I1472" i="2"/>
  <c r="H1473" i="2"/>
  <c r="I1473" i="2"/>
  <c r="H1474" i="2"/>
  <c r="I1474" i="2"/>
  <c r="H1475" i="2"/>
  <c r="I1475" i="2"/>
  <c r="H1476" i="2"/>
  <c r="I1476" i="2"/>
  <c r="H1477" i="2"/>
  <c r="I1477" i="2"/>
  <c r="H1478" i="2"/>
  <c r="I1478" i="2"/>
  <c r="H1479" i="2"/>
  <c r="I1479" i="2"/>
  <c r="H1480" i="2"/>
  <c r="I1480" i="2"/>
  <c r="H1481" i="2"/>
  <c r="I1481" i="2"/>
  <c r="H1482" i="2"/>
  <c r="I1482" i="2"/>
  <c r="H1483" i="2"/>
  <c r="I1483" i="2"/>
  <c r="H1484" i="2"/>
  <c r="I1484" i="2"/>
  <c r="H1485" i="2"/>
  <c r="I1485" i="2"/>
  <c r="H1486" i="2"/>
  <c r="I1486" i="2"/>
  <c r="H1487" i="2"/>
  <c r="I1487" i="2"/>
  <c r="H1488" i="2"/>
  <c r="I1488" i="2"/>
  <c r="H1489" i="2"/>
  <c r="I1489" i="2"/>
  <c r="H1490" i="2"/>
  <c r="I1490" i="2"/>
  <c r="H1491" i="2"/>
  <c r="I1491" i="2"/>
  <c r="H1492" i="2"/>
  <c r="I1492" i="2"/>
  <c r="H1493" i="2"/>
  <c r="I1493" i="2"/>
  <c r="H1494" i="2"/>
  <c r="I1494" i="2"/>
  <c r="H1495" i="2"/>
  <c r="I1495" i="2"/>
  <c r="H1496" i="2"/>
  <c r="I1496" i="2"/>
  <c r="H1497" i="2"/>
  <c r="I1497" i="2"/>
  <c r="H1498" i="2"/>
  <c r="I1498" i="2"/>
  <c r="H1499" i="2"/>
  <c r="I1499" i="2"/>
  <c r="H1500" i="2"/>
  <c r="I1500" i="2"/>
  <c r="H1501" i="2"/>
  <c r="I1501" i="2"/>
  <c r="H1502" i="2"/>
  <c r="I1502" i="2"/>
  <c r="H1503" i="2"/>
  <c r="I1503" i="2"/>
  <c r="H1504" i="2"/>
  <c r="I1504" i="2"/>
  <c r="H1505" i="2"/>
  <c r="I1505" i="2"/>
  <c r="H1506" i="2"/>
  <c r="I1506" i="2"/>
  <c r="H1507" i="2"/>
  <c r="I1507" i="2"/>
  <c r="H1508" i="2"/>
  <c r="I1508" i="2"/>
  <c r="H1509" i="2"/>
  <c r="I1509" i="2"/>
  <c r="H1510" i="2"/>
  <c r="I1510" i="2"/>
  <c r="H1511" i="2"/>
  <c r="I1511" i="2"/>
  <c r="H1512" i="2"/>
  <c r="I1512" i="2"/>
  <c r="H1513" i="2"/>
  <c r="I1513" i="2"/>
  <c r="H1514" i="2"/>
  <c r="I1514" i="2"/>
  <c r="H1515" i="2"/>
  <c r="I1515" i="2"/>
  <c r="H1516" i="2"/>
  <c r="I1516" i="2"/>
  <c r="H1517" i="2"/>
  <c r="I1517" i="2"/>
  <c r="H1518" i="2"/>
  <c r="I1518" i="2"/>
  <c r="H1519" i="2"/>
  <c r="I1519" i="2"/>
  <c r="H1520" i="2"/>
  <c r="I1520" i="2"/>
  <c r="H1521" i="2"/>
  <c r="I1521" i="2"/>
  <c r="H1522" i="2"/>
  <c r="I1522" i="2"/>
  <c r="H1523" i="2"/>
  <c r="I1523" i="2"/>
  <c r="H1524" i="2"/>
  <c r="I1524" i="2"/>
  <c r="H1525" i="2"/>
  <c r="I1525" i="2"/>
  <c r="H1526" i="2"/>
  <c r="I1526" i="2"/>
  <c r="H1527" i="2"/>
  <c r="I1527" i="2"/>
  <c r="H1528" i="2"/>
  <c r="I1528" i="2"/>
  <c r="H1529" i="2"/>
  <c r="I1529" i="2"/>
  <c r="H1530" i="2"/>
  <c r="I1530" i="2"/>
  <c r="H1531" i="2"/>
  <c r="I1531" i="2"/>
  <c r="H1532" i="2"/>
  <c r="I1532" i="2"/>
  <c r="H1533" i="2"/>
  <c r="I1533" i="2"/>
  <c r="H1534" i="2"/>
  <c r="I1534" i="2"/>
  <c r="H1535" i="2"/>
  <c r="I1535" i="2"/>
  <c r="H1536" i="2"/>
  <c r="I1536" i="2"/>
  <c r="H1537" i="2"/>
  <c r="I1537" i="2"/>
  <c r="H1538" i="2"/>
  <c r="I1538" i="2"/>
  <c r="H1539" i="2"/>
  <c r="I1539" i="2"/>
  <c r="H1540" i="2"/>
  <c r="I1540" i="2"/>
  <c r="H1541" i="2"/>
  <c r="I1541" i="2"/>
  <c r="H1542" i="2"/>
  <c r="I1542" i="2"/>
  <c r="H1543" i="2"/>
  <c r="I1543" i="2"/>
  <c r="H1544" i="2"/>
  <c r="I1544" i="2"/>
  <c r="H1545" i="2"/>
  <c r="I1545" i="2"/>
  <c r="H1546" i="2"/>
  <c r="I1546" i="2"/>
  <c r="H1547" i="2"/>
  <c r="I1547" i="2"/>
  <c r="H1548" i="2"/>
  <c r="I1548" i="2"/>
  <c r="H1549" i="2"/>
  <c r="I1549" i="2"/>
  <c r="H1550" i="2"/>
  <c r="I1550" i="2"/>
  <c r="H1551" i="2"/>
  <c r="I1551" i="2"/>
  <c r="H1552" i="2"/>
  <c r="I1552" i="2"/>
  <c r="H1553" i="2"/>
  <c r="I1553" i="2"/>
  <c r="H1554" i="2"/>
  <c r="I1554" i="2"/>
  <c r="H1555" i="2"/>
  <c r="I1555" i="2"/>
  <c r="H1556" i="2"/>
  <c r="I1556" i="2"/>
  <c r="H1557" i="2"/>
  <c r="I1557" i="2"/>
  <c r="H1558" i="2"/>
  <c r="I1558" i="2"/>
  <c r="H1559" i="2"/>
  <c r="I1559" i="2"/>
  <c r="H1560" i="2"/>
  <c r="I1560" i="2"/>
  <c r="H1561" i="2"/>
  <c r="I1561" i="2"/>
  <c r="H1562" i="2"/>
  <c r="I1562" i="2"/>
  <c r="H1563" i="2"/>
  <c r="I1563" i="2"/>
  <c r="H1564" i="2"/>
  <c r="I1564" i="2"/>
  <c r="H1565" i="2"/>
  <c r="I1565" i="2"/>
  <c r="H1566" i="2"/>
  <c r="I1566" i="2"/>
  <c r="H1567" i="2"/>
  <c r="I1567" i="2"/>
  <c r="H1568" i="2"/>
  <c r="I1568" i="2"/>
  <c r="H1569" i="2"/>
  <c r="I1569" i="2"/>
  <c r="H1570" i="2"/>
  <c r="I1570" i="2"/>
  <c r="H1571" i="2"/>
  <c r="I1571" i="2"/>
  <c r="H1572" i="2"/>
  <c r="I1572" i="2"/>
  <c r="H1573" i="2"/>
  <c r="I1573" i="2"/>
  <c r="H1574" i="2"/>
  <c r="I1574" i="2"/>
  <c r="H1575" i="2"/>
  <c r="I1575" i="2"/>
  <c r="H1576" i="2"/>
  <c r="I1576" i="2"/>
  <c r="H1577" i="2"/>
  <c r="I1577" i="2"/>
  <c r="H1578" i="2"/>
  <c r="I1578" i="2"/>
  <c r="H1579" i="2"/>
  <c r="I1579" i="2"/>
  <c r="H1580" i="2"/>
  <c r="I1580" i="2"/>
  <c r="H1581" i="2"/>
  <c r="I1581" i="2"/>
  <c r="H1582" i="2"/>
  <c r="I1582" i="2"/>
  <c r="H1583" i="2"/>
  <c r="I1583" i="2"/>
  <c r="H1584" i="2"/>
  <c r="I1584" i="2"/>
  <c r="H1585" i="2"/>
  <c r="I1585" i="2"/>
  <c r="H1586" i="2"/>
  <c r="I1586" i="2"/>
  <c r="H1587" i="2"/>
  <c r="I1587" i="2"/>
  <c r="H1588" i="2"/>
  <c r="I1588" i="2"/>
  <c r="H1589" i="2"/>
  <c r="I1589" i="2"/>
  <c r="H1590" i="2"/>
  <c r="I1590" i="2"/>
  <c r="H1591" i="2"/>
  <c r="I1591" i="2"/>
  <c r="H1592" i="2"/>
  <c r="I1592" i="2"/>
  <c r="H1593" i="2"/>
  <c r="I1593" i="2"/>
  <c r="H1594" i="2"/>
  <c r="I1594" i="2"/>
  <c r="H1595" i="2"/>
  <c r="I1595" i="2"/>
  <c r="H1596" i="2"/>
  <c r="I1596" i="2"/>
  <c r="H1597" i="2"/>
  <c r="I1597" i="2"/>
  <c r="H1598" i="2"/>
  <c r="I1598" i="2"/>
  <c r="H1599" i="2"/>
  <c r="I1599" i="2"/>
  <c r="H1600" i="2"/>
  <c r="I1600" i="2"/>
  <c r="H1601" i="2"/>
  <c r="I1601" i="2"/>
  <c r="H1602" i="2"/>
  <c r="I1602" i="2"/>
  <c r="H1603" i="2"/>
  <c r="I1603" i="2"/>
  <c r="H1604" i="2"/>
  <c r="I1604" i="2"/>
  <c r="H1605" i="2"/>
  <c r="I1605" i="2"/>
  <c r="H1606" i="2"/>
  <c r="I1606" i="2"/>
  <c r="H1607" i="2"/>
  <c r="I1607" i="2"/>
  <c r="H1608" i="2"/>
  <c r="I1608" i="2"/>
  <c r="H1609" i="2"/>
  <c r="I1609" i="2"/>
  <c r="H1610" i="2"/>
  <c r="I1610" i="2"/>
  <c r="H1611" i="2"/>
  <c r="I1611" i="2"/>
  <c r="H1612" i="2"/>
  <c r="I1612" i="2"/>
  <c r="H1613" i="2"/>
  <c r="I1613" i="2"/>
  <c r="H1614" i="2"/>
  <c r="I1614" i="2"/>
  <c r="H1615" i="2"/>
  <c r="I1615" i="2"/>
  <c r="H1616" i="2"/>
  <c r="I1616" i="2"/>
  <c r="H1617" i="2"/>
  <c r="I1617" i="2"/>
  <c r="H1618" i="2"/>
  <c r="I1618" i="2"/>
  <c r="H1619" i="2"/>
  <c r="I1619" i="2"/>
  <c r="H1620" i="2"/>
  <c r="I1620" i="2"/>
  <c r="H1621" i="2"/>
  <c r="I1621" i="2"/>
  <c r="H1622" i="2"/>
  <c r="I1622" i="2"/>
  <c r="H1623" i="2"/>
  <c r="I1623" i="2"/>
  <c r="H1624" i="2"/>
  <c r="I1624" i="2"/>
  <c r="H1625" i="2"/>
  <c r="I1625" i="2"/>
  <c r="H1626" i="2"/>
  <c r="I1626" i="2"/>
  <c r="H1627" i="2"/>
  <c r="I1627" i="2"/>
  <c r="H1628" i="2"/>
  <c r="I1628" i="2"/>
  <c r="H1629" i="2"/>
  <c r="I1629" i="2"/>
  <c r="H1630" i="2"/>
  <c r="I1630" i="2"/>
  <c r="H1631" i="2"/>
  <c r="I1631" i="2"/>
  <c r="H1632" i="2"/>
  <c r="I1632" i="2"/>
  <c r="H1633" i="2"/>
  <c r="I1633" i="2"/>
  <c r="H1634" i="2"/>
  <c r="I1634" i="2"/>
  <c r="H1635" i="2"/>
  <c r="I1635" i="2"/>
  <c r="H1636" i="2"/>
  <c r="I1636" i="2"/>
  <c r="H1637" i="2"/>
  <c r="I1637" i="2"/>
  <c r="H1638" i="2"/>
  <c r="I1638" i="2"/>
  <c r="H1639" i="2"/>
  <c r="I1639" i="2"/>
  <c r="H1640" i="2"/>
  <c r="I1640" i="2"/>
  <c r="H1641" i="2"/>
  <c r="I1641" i="2"/>
  <c r="H1642" i="2"/>
  <c r="I1642" i="2"/>
  <c r="H1643" i="2"/>
  <c r="I1643" i="2"/>
  <c r="H1644" i="2"/>
  <c r="I1644" i="2"/>
  <c r="H1645" i="2"/>
  <c r="I1645" i="2"/>
  <c r="H1646" i="2"/>
  <c r="I1646" i="2"/>
  <c r="H1647" i="2"/>
  <c r="I1647" i="2"/>
  <c r="H1648" i="2"/>
  <c r="I1648" i="2"/>
  <c r="H1649" i="2"/>
  <c r="I1649" i="2"/>
  <c r="H1650" i="2"/>
  <c r="I1650" i="2"/>
  <c r="H1651" i="2"/>
  <c r="I1651" i="2"/>
  <c r="H1652" i="2"/>
  <c r="I1652" i="2"/>
  <c r="H1653" i="2"/>
  <c r="I1653" i="2"/>
  <c r="H1654" i="2"/>
  <c r="I1654" i="2"/>
  <c r="H1655" i="2"/>
  <c r="I1655" i="2"/>
  <c r="H1656" i="2"/>
  <c r="I1656" i="2"/>
  <c r="H1657" i="2"/>
  <c r="I1657" i="2"/>
  <c r="H1658" i="2"/>
  <c r="I1658" i="2"/>
  <c r="H1659" i="2"/>
  <c r="I1659" i="2"/>
  <c r="H1660" i="2"/>
  <c r="I1660" i="2"/>
  <c r="H1661" i="2"/>
  <c r="I1661" i="2"/>
  <c r="H1662" i="2"/>
  <c r="I1662" i="2"/>
  <c r="H1663" i="2"/>
  <c r="I1663" i="2"/>
  <c r="H1664" i="2"/>
  <c r="I1664" i="2"/>
  <c r="H1665" i="2"/>
  <c r="I1665" i="2"/>
  <c r="H1666" i="2"/>
  <c r="I1666" i="2"/>
  <c r="H1667" i="2"/>
  <c r="I1667" i="2"/>
  <c r="H1668" i="2"/>
  <c r="I1668" i="2"/>
  <c r="H1669" i="2"/>
  <c r="I1669" i="2"/>
  <c r="H1670" i="2"/>
  <c r="I1670" i="2"/>
  <c r="H1671" i="2"/>
  <c r="I1671" i="2"/>
  <c r="H1672" i="2"/>
  <c r="I1672" i="2"/>
  <c r="H1673" i="2"/>
  <c r="I1673" i="2"/>
  <c r="H1674" i="2"/>
  <c r="I1674" i="2"/>
  <c r="H1675" i="2"/>
  <c r="I1675" i="2"/>
  <c r="H1676" i="2"/>
  <c r="I1676" i="2"/>
  <c r="H1677" i="2"/>
  <c r="I1677" i="2"/>
  <c r="H1678" i="2"/>
  <c r="I1678" i="2"/>
  <c r="H1679" i="2"/>
  <c r="I1679" i="2"/>
  <c r="H1680" i="2"/>
  <c r="I1680" i="2"/>
  <c r="H1681" i="2"/>
  <c r="I1681" i="2"/>
  <c r="H1682" i="2"/>
  <c r="I1682" i="2"/>
  <c r="H1683" i="2"/>
  <c r="I1683" i="2"/>
  <c r="H1684" i="2"/>
  <c r="I1684" i="2"/>
  <c r="H1685" i="2"/>
  <c r="I1685" i="2"/>
  <c r="H1686" i="2"/>
  <c r="I1686" i="2"/>
  <c r="H1687" i="2"/>
  <c r="I1687" i="2"/>
  <c r="H1688" i="2"/>
  <c r="I1688" i="2"/>
  <c r="H1689" i="2"/>
  <c r="I1689" i="2"/>
  <c r="H1690" i="2"/>
  <c r="I1690" i="2"/>
  <c r="H1691" i="2"/>
  <c r="I1691" i="2"/>
  <c r="H1692" i="2"/>
  <c r="I1692" i="2"/>
  <c r="H1693" i="2"/>
  <c r="I1693" i="2"/>
  <c r="H1694" i="2"/>
  <c r="I1694" i="2"/>
  <c r="H1695" i="2"/>
  <c r="I1695" i="2"/>
  <c r="H1696" i="2"/>
  <c r="I1696" i="2"/>
  <c r="H1697" i="2"/>
  <c r="I1697" i="2"/>
  <c r="H1698" i="2"/>
  <c r="I1698" i="2"/>
  <c r="H1699" i="2"/>
  <c r="I1699" i="2"/>
  <c r="H1700" i="2"/>
  <c r="I1700" i="2"/>
  <c r="H1701" i="2"/>
  <c r="I1701" i="2"/>
  <c r="H1702" i="2"/>
  <c r="I1702" i="2"/>
  <c r="H1703" i="2"/>
  <c r="I1703" i="2"/>
  <c r="H1704" i="2"/>
  <c r="I1704" i="2"/>
  <c r="H1705" i="2"/>
  <c r="I1705" i="2"/>
  <c r="H1706" i="2"/>
  <c r="I1706" i="2"/>
  <c r="H1707" i="2"/>
  <c r="I1707" i="2"/>
  <c r="H1708" i="2"/>
  <c r="I1708" i="2"/>
  <c r="H1709" i="2"/>
  <c r="I1709" i="2"/>
  <c r="H1710" i="2"/>
  <c r="I1710" i="2"/>
  <c r="H1711" i="2"/>
  <c r="I1711" i="2"/>
  <c r="H1712" i="2"/>
  <c r="I1712" i="2"/>
  <c r="H1713" i="2"/>
  <c r="I1713" i="2"/>
  <c r="H1714" i="2"/>
  <c r="I1714" i="2"/>
  <c r="H1715" i="2"/>
  <c r="I1715" i="2"/>
  <c r="H1716" i="2"/>
  <c r="I1716" i="2"/>
  <c r="H1717" i="2"/>
  <c r="I1717" i="2"/>
  <c r="H1718" i="2"/>
  <c r="I1718" i="2"/>
  <c r="H1719" i="2"/>
  <c r="I1719" i="2"/>
  <c r="H1720" i="2"/>
  <c r="I1720" i="2"/>
  <c r="H1721" i="2"/>
  <c r="I1721" i="2"/>
  <c r="H1722" i="2"/>
  <c r="I1722" i="2"/>
  <c r="H1723" i="2"/>
  <c r="I1723" i="2"/>
  <c r="H1724" i="2"/>
  <c r="I1724" i="2"/>
  <c r="H1725" i="2"/>
  <c r="I1725" i="2"/>
  <c r="H1726" i="2"/>
  <c r="I1726" i="2"/>
  <c r="H1727" i="2"/>
  <c r="I1727" i="2"/>
  <c r="H1728" i="2"/>
  <c r="I1728" i="2"/>
  <c r="H1729" i="2"/>
  <c r="I1729" i="2"/>
  <c r="H1730" i="2"/>
  <c r="I1730" i="2"/>
  <c r="H1731" i="2"/>
  <c r="I1731" i="2"/>
  <c r="H1732" i="2"/>
  <c r="I1732" i="2"/>
  <c r="H1733" i="2"/>
  <c r="I1733" i="2"/>
  <c r="H1734" i="2"/>
  <c r="I1734" i="2"/>
  <c r="H1735" i="2"/>
  <c r="I1735" i="2"/>
  <c r="H1736" i="2"/>
  <c r="I1736" i="2"/>
  <c r="H1737" i="2"/>
  <c r="I1737" i="2"/>
  <c r="H1738" i="2"/>
  <c r="I1738" i="2"/>
  <c r="H1739" i="2"/>
  <c r="I1739" i="2"/>
  <c r="H1740" i="2"/>
  <c r="I1740" i="2"/>
  <c r="H1741" i="2"/>
  <c r="I1741" i="2"/>
  <c r="H1742" i="2"/>
  <c r="I1742" i="2"/>
  <c r="H1743" i="2"/>
  <c r="I1743" i="2"/>
  <c r="H1744" i="2"/>
  <c r="I1744" i="2"/>
  <c r="H1745" i="2"/>
  <c r="I1745" i="2"/>
  <c r="H1746" i="2"/>
  <c r="I1746" i="2"/>
  <c r="H1747" i="2"/>
  <c r="I1747" i="2"/>
  <c r="H1748" i="2"/>
  <c r="I1748" i="2"/>
  <c r="H1749" i="2"/>
  <c r="I1749" i="2"/>
  <c r="H1750" i="2"/>
  <c r="I1750" i="2"/>
  <c r="H1751" i="2"/>
  <c r="I1751" i="2"/>
  <c r="H1752" i="2"/>
  <c r="I1752" i="2"/>
  <c r="H1753" i="2"/>
  <c r="I1753" i="2"/>
  <c r="H1754" i="2"/>
  <c r="I1754" i="2"/>
  <c r="H1755" i="2"/>
  <c r="I1755" i="2"/>
  <c r="H1756" i="2"/>
  <c r="I1756" i="2"/>
  <c r="H1757" i="2"/>
  <c r="I1757" i="2"/>
  <c r="H1758" i="2"/>
  <c r="I1758" i="2"/>
  <c r="H1759" i="2"/>
  <c r="I1759" i="2"/>
  <c r="H1760" i="2"/>
  <c r="I1760" i="2"/>
  <c r="H1761" i="2"/>
  <c r="I1761" i="2"/>
  <c r="H1762" i="2"/>
  <c r="I1762" i="2"/>
  <c r="H1763" i="2"/>
  <c r="I1763" i="2"/>
  <c r="H1764" i="2"/>
  <c r="I1764" i="2"/>
  <c r="H1765" i="2"/>
  <c r="I1765" i="2"/>
  <c r="H1766" i="2"/>
  <c r="I1766" i="2"/>
  <c r="H1767" i="2"/>
  <c r="I1767" i="2"/>
  <c r="H1768" i="2"/>
  <c r="I1768" i="2"/>
  <c r="H1769" i="2"/>
  <c r="I1769" i="2"/>
  <c r="H1770" i="2"/>
  <c r="I1770" i="2"/>
  <c r="H1771" i="2"/>
  <c r="I1771" i="2"/>
  <c r="H1772" i="2"/>
  <c r="I1772" i="2"/>
  <c r="H1773" i="2"/>
  <c r="I1773" i="2"/>
  <c r="H1774" i="2"/>
  <c r="I1774" i="2"/>
  <c r="H1775" i="2"/>
  <c r="I1775" i="2"/>
  <c r="H1776" i="2"/>
  <c r="I1776" i="2"/>
  <c r="H1777" i="2"/>
  <c r="I1777" i="2"/>
  <c r="H1778" i="2"/>
  <c r="I1778" i="2"/>
  <c r="H1779" i="2"/>
  <c r="I1779" i="2"/>
  <c r="H1780" i="2"/>
  <c r="I1780" i="2"/>
  <c r="H1781" i="2"/>
  <c r="I1781" i="2"/>
  <c r="H1782" i="2"/>
  <c r="I1782" i="2"/>
  <c r="H1783" i="2"/>
  <c r="I1783" i="2"/>
  <c r="H1784" i="2"/>
  <c r="I1784" i="2"/>
  <c r="H1785" i="2"/>
  <c r="I1785" i="2"/>
  <c r="H1786" i="2"/>
  <c r="I1786" i="2"/>
  <c r="H1787" i="2"/>
  <c r="I1787" i="2"/>
  <c r="H1788" i="2"/>
  <c r="I1788" i="2"/>
  <c r="H1789" i="2"/>
  <c r="I1789" i="2"/>
  <c r="H1790" i="2"/>
  <c r="I1790" i="2"/>
  <c r="H1791" i="2"/>
  <c r="I1791" i="2"/>
  <c r="H1792" i="2"/>
  <c r="I1792" i="2"/>
  <c r="H1793" i="2"/>
  <c r="I1793" i="2"/>
  <c r="H1794" i="2"/>
  <c r="I1794" i="2"/>
  <c r="H1795" i="2"/>
  <c r="I1795" i="2"/>
  <c r="H1796" i="2"/>
  <c r="I1796" i="2"/>
  <c r="H1797" i="2"/>
  <c r="I1797" i="2"/>
  <c r="H1798" i="2"/>
  <c r="I1798" i="2"/>
  <c r="H1799" i="2"/>
  <c r="I1799" i="2"/>
  <c r="H1800" i="2"/>
  <c r="I1800" i="2"/>
  <c r="H1801" i="2"/>
  <c r="I1801" i="2"/>
  <c r="H1802" i="2"/>
  <c r="I1802" i="2"/>
  <c r="H1803" i="2"/>
  <c r="I1803" i="2"/>
  <c r="H1804" i="2"/>
  <c r="I1804" i="2"/>
  <c r="H1805" i="2"/>
  <c r="I1805" i="2"/>
  <c r="H1806" i="2"/>
  <c r="I1806" i="2"/>
  <c r="H1807" i="2"/>
  <c r="I1807" i="2"/>
  <c r="H1808" i="2"/>
  <c r="I1808" i="2"/>
  <c r="H1809" i="2"/>
  <c r="I1809" i="2"/>
  <c r="H1810" i="2"/>
  <c r="I1810" i="2"/>
  <c r="H1811" i="2"/>
  <c r="I1811" i="2"/>
  <c r="H1812" i="2"/>
  <c r="I1812" i="2"/>
  <c r="H1813" i="2"/>
  <c r="I1813" i="2"/>
  <c r="H1814" i="2"/>
  <c r="I1814" i="2"/>
  <c r="H1815" i="2"/>
  <c r="I1815" i="2"/>
  <c r="H1816" i="2"/>
  <c r="I1816" i="2"/>
  <c r="H1817" i="2"/>
  <c r="I1817" i="2"/>
  <c r="H1818" i="2"/>
  <c r="I1818" i="2"/>
  <c r="H1819" i="2"/>
  <c r="I1819" i="2"/>
  <c r="H1820" i="2"/>
  <c r="I1820" i="2"/>
  <c r="H1821" i="2"/>
  <c r="I1821" i="2"/>
  <c r="H1822" i="2"/>
  <c r="I1822" i="2"/>
  <c r="H1823" i="2"/>
  <c r="I1823" i="2"/>
  <c r="H1824" i="2"/>
  <c r="I1824" i="2"/>
  <c r="H1825" i="2"/>
  <c r="I1825" i="2"/>
  <c r="H1826" i="2"/>
  <c r="I1826" i="2"/>
  <c r="H1827" i="2"/>
  <c r="I1827" i="2"/>
  <c r="H1828" i="2"/>
  <c r="I1828" i="2"/>
  <c r="H1829" i="2"/>
  <c r="I1829" i="2"/>
  <c r="H1830" i="2"/>
  <c r="I1830" i="2"/>
  <c r="H1831" i="2"/>
  <c r="I1831" i="2"/>
  <c r="H1832" i="2"/>
  <c r="I1832" i="2"/>
  <c r="H1833" i="2"/>
  <c r="I1833" i="2"/>
  <c r="H1834" i="2"/>
  <c r="I1834" i="2"/>
  <c r="H1835" i="2"/>
  <c r="I1835" i="2"/>
  <c r="H1836" i="2"/>
  <c r="I1836" i="2"/>
  <c r="H1837" i="2"/>
  <c r="I1837" i="2"/>
  <c r="H1838" i="2"/>
  <c r="I1838" i="2"/>
  <c r="H1839" i="2"/>
  <c r="I1839" i="2"/>
  <c r="H1840" i="2"/>
  <c r="I1840" i="2"/>
  <c r="H1841" i="2"/>
  <c r="I1841" i="2"/>
  <c r="H1842" i="2"/>
  <c r="I1842" i="2"/>
  <c r="H1843" i="2"/>
  <c r="I1843" i="2"/>
  <c r="H1844" i="2"/>
  <c r="I1844" i="2"/>
  <c r="H1845" i="2"/>
  <c r="I1845" i="2"/>
  <c r="H1846" i="2"/>
  <c r="I1846" i="2"/>
  <c r="H1847" i="2"/>
  <c r="I1847" i="2"/>
  <c r="H1848" i="2"/>
  <c r="I1848" i="2"/>
  <c r="H1849" i="2"/>
  <c r="I1849" i="2"/>
  <c r="H1850" i="2"/>
  <c r="I1850" i="2"/>
  <c r="H1851" i="2"/>
  <c r="I1851" i="2"/>
  <c r="H1852" i="2"/>
  <c r="I1852" i="2"/>
  <c r="H1853" i="2"/>
  <c r="I1853" i="2"/>
  <c r="H1854" i="2"/>
  <c r="I1854" i="2"/>
  <c r="H1855" i="2"/>
  <c r="I1855" i="2"/>
  <c r="H1856" i="2"/>
  <c r="I1856" i="2"/>
  <c r="H1857" i="2"/>
  <c r="I1857" i="2"/>
  <c r="H1858" i="2"/>
  <c r="I1858" i="2"/>
  <c r="H1859" i="2"/>
  <c r="I1859" i="2"/>
  <c r="H1860" i="2"/>
  <c r="I1860" i="2"/>
  <c r="H1861" i="2"/>
  <c r="I1861" i="2"/>
  <c r="H1862" i="2"/>
  <c r="I1862" i="2"/>
  <c r="H1863" i="2"/>
  <c r="I1863" i="2"/>
  <c r="H1864" i="2"/>
  <c r="I1864" i="2"/>
  <c r="H1865" i="2"/>
  <c r="I1865" i="2"/>
  <c r="H1866" i="2"/>
  <c r="I1866" i="2"/>
  <c r="H1867" i="2"/>
  <c r="I1867" i="2"/>
  <c r="H1868" i="2"/>
  <c r="I1868" i="2"/>
  <c r="H1869" i="2"/>
  <c r="I1869" i="2"/>
  <c r="H1870" i="2"/>
  <c r="I1870" i="2"/>
  <c r="H1871" i="2"/>
  <c r="I1871" i="2"/>
  <c r="H1872" i="2"/>
  <c r="I1872" i="2"/>
  <c r="H1873" i="2"/>
  <c r="I1873" i="2"/>
  <c r="H1874" i="2"/>
  <c r="I1874" i="2"/>
  <c r="H1875" i="2"/>
  <c r="I1875" i="2"/>
  <c r="H1876" i="2"/>
  <c r="I1876" i="2"/>
  <c r="H1877" i="2"/>
  <c r="I1877" i="2"/>
  <c r="H1878" i="2"/>
  <c r="I1878" i="2"/>
  <c r="H1879" i="2"/>
  <c r="I1879" i="2"/>
  <c r="H1880" i="2"/>
  <c r="I1880" i="2"/>
  <c r="H1881" i="2"/>
  <c r="I1881" i="2"/>
  <c r="H1882" i="2"/>
  <c r="I1882" i="2"/>
  <c r="H1883" i="2"/>
  <c r="I1883" i="2"/>
  <c r="H1884" i="2"/>
  <c r="I1884" i="2"/>
  <c r="H1885" i="2"/>
  <c r="I1885" i="2"/>
  <c r="H1886" i="2"/>
  <c r="I1886" i="2"/>
  <c r="H1887" i="2"/>
  <c r="I1887" i="2"/>
  <c r="H1888" i="2"/>
  <c r="I1888" i="2"/>
  <c r="H1889" i="2"/>
  <c r="I1889" i="2"/>
  <c r="H1890" i="2"/>
  <c r="I1890" i="2"/>
  <c r="H1891" i="2"/>
  <c r="I1891" i="2"/>
  <c r="H1892" i="2"/>
  <c r="I1892" i="2"/>
  <c r="H1893" i="2"/>
  <c r="I1893" i="2"/>
  <c r="H1894" i="2"/>
  <c r="I1894" i="2"/>
  <c r="H1895" i="2"/>
  <c r="I1895" i="2"/>
  <c r="H1896" i="2"/>
  <c r="I1896" i="2"/>
  <c r="H1897" i="2"/>
  <c r="I1897" i="2"/>
  <c r="H1898" i="2"/>
  <c r="I1898" i="2"/>
  <c r="H1899" i="2"/>
  <c r="I1899" i="2"/>
  <c r="H1900" i="2"/>
  <c r="I1900" i="2"/>
  <c r="H1901" i="2"/>
  <c r="I1901" i="2"/>
  <c r="H1902" i="2"/>
  <c r="I1902" i="2"/>
  <c r="H1903" i="2"/>
  <c r="I1903" i="2"/>
  <c r="H1904" i="2"/>
  <c r="I1904" i="2"/>
  <c r="H1905" i="2"/>
  <c r="I1905" i="2"/>
  <c r="H1906" i="2"/>
  <c r="I1906" i="2"/>
  <c r="H1907" i="2"/>
  <c r="I1907" i="2"/>
  <c r="H1908" i="2"/>
  <c r="I1908" i="2"/>
  <c r="H1909" i="2"/>
  <c r="I1909" i="2"/>
  <c r="H1910" i="2"/>
  <c r="I1910" i="2"/>
  <c r="H1911" i="2"/>
  <c r="I1911" i="2"/>
  <c r="H1912" i="2"/>
  <c r="I1912" i="2"/>
  <c r="H1913" i="2"/>
  <c r="I1913" i="2"/>
  <c r="H1914" i="2"/>
  <c r="I1914" i="2"/>
  <c r="H1915" i="2"/>
  <c r="I1915" i="2"/>
  <c r="H1916" i="2"/>
  <c r="I1916" i="2"/>
  <c r="H1917" i="2"/>
  <c r="I1917" i="2"/>
  <c r="H1918" i="2"/>
  <c r="I1918" i="2"/>
  <c r="H1919" i="2"/>
  <c r="I1919" i="2"/>
  <c r="H1920" i="2"/>
  <c r="I1920" i="2"/>
  <c r="H1921" i="2"/>
  <c r="I1921" i="2"/>
  <c r="H1922" i="2"/>
  <c r="I1922" i="2"/>
  <c r="H1923" i="2"/>
  <c r="I1923" i="2"/>
  <c r="H1924" i="2"/>
  <c r="I1924" i="2"/>
  <c r="H1925" i="2"/>
  <c r="I1925" i="2"/>
  <c r="H1926" i="2"/>
  <c r="I1926" i="2"/>
  <c r="H1927" i="2"/>
  <c r="I1927" i="2"/>
  <c r="H1928" i="2"/>
  <c r="I1928" i="2"/>
  <c r="H1929" i="2"/>
  <c r="I1929" i="2"/>
  <c r="H1930" i="2"/>
  <c r="I1930" i="2"/>
  <c r="H1931" i="2"/>
  <c r="I1931" i="2"/>
  <c r="H1932" i="2"/>
  <c r="I1932" i="2"/>
  <c r="H1933" i="2"/>
  <c r="I1933" i="2"/>
  <c r="H1934" i="2"/>
  <c r="I1934" i="2"/>
  <c r="H1935" i="2"/>
  <c r="I1935" i="2"/>
  <c r="H1936" i="2"/>
  <c r="I1936" i="2"/>
  <c r="H1937" i="2"/>
  <c r="I1937" i="2"/>
  <c r="H1938" i="2"/>
  <c r="I1938" i="2"/>
  <c r="H1939" i="2"/>
  <c r="I1939" i="2"/>
  <c r="H1940" i="2"/>
  <c r="I1940" i="2"/>
  <c r="H1941" i="2"/>
  <c r="I1941" i="2"/>
  <c r="H1942" i="2"/>
  <c r="I1942" i="2"/>
  <c r="H1943" i="2"/>
  <c r="I1943" i="2"/>
  <c r="H1944" i="2"/>
  <c r="I1944" i="2"/>
  <c r="H1945" i="2"/>
  <c r="I1945" i="2"/>
  <c r="H1946" i="2"/>
  <c r="I1946" i="2"/>
  <c r="H1947" i="2"/>
  <c r="I1947" i="2"/>
  <c r="H1948" i="2"/>
  <c r="I1948" i="2"/>
  <c r="H1949" i="2"/>
  <c r="I1949" i="2"/>
  <c r="H1950" i="2"/>
  <c r="I1950" i="2"/>
  <c r="H1951" i="2"/>
  <c r="I1951" i="2"/>
  <c r="H1952" i="2"/>
  <c r="I1952" i="2"/>
  <c r="H1953" i="2"/>
  <c r="I1953" i="2"/>
  <c r="H1954" i="2"/>
  <c r="I1954" i="2"/>
  <c r="H1955" i="2"/>
  <c r="I1955" i="2"/>
  <c r="H1956" i="2"/>
  <c r="I1956" i="2"/>
  <c r="H1957" i="2"/>
  <c r="I1957" i="2"/>
  <c r="H1958" i="2"/>
  <c r="I1958" i="2"/>
  <c r="H1959" i="2"/>
  <c r="I1959" i="2"/>
  <c r="H1960" i="2"/>
  <c r="I1960" i="2"/>
  <c r="H1961" i="2"/>
  <c r="I1961" i="2"/>
  <c r="H1962" i="2"/>
  <c r="I1962" i="2"/>
  <c r="H1963" i="2"/>
  <c r="I1963" i="2"/>
  <c r="H1964" i="2"/>
  <c r="I1964" i="2"/>
  <c r="H1965" i="2"/>
  <c r="I1965" i="2"/>
  <c r="H1966" i="2"/>
  <c r="I1966" i="2"/>
  <c r="H1967" i="2"/>
  <c r="I1967" i="2"/>
  <c r="H1968" i="2"/>
  <c r="I1968" i="2"/>
  <c r="H1969" i="2"/>
  <c r="I1969" i="2"/>
  <c r="H1970" i="2"/>
  <c r="I1970" i="2"/>
  <c r="H1971" i="2"/>
  <c r="I1971" i="2"/>
  <c r="H1972" i="2"/>
  <c r="I1972" i="2"/>
  <c r="H1973" i="2"/>
  <c r="I1973" i="2"/>
  <c r="H1974" i="2"/>
  <c r="I1974" i="2"/>
  <c r="H1975" i="2"/>
  <c r="I1975" i="2"/>
  <c r="H1976" i="2"/>
  <c r="I1976" i="2"/>
  <c r="H1977" i="2"/>
  <c r="I1977" i="2"/>
  <c r="H1978" i="2"/>
  <c r="I1978" i="2"/>
  <c r="H1979" i="2"/>
  <c r="I1979" i="2"/>
  <c r="H1980" i="2"/>
  <c r="I1980" i="2"/>
  <c r="H1981" i="2"/>
  <c r="I1981" i="2"/>
  <c r="H1982" i="2"/>
  <c r="I1982" i="2"/>
  <c r="H1983" i="2"/>
  <c r="I1983" i="2"/>
  <c r="H1984" i="2"/>
  <c r="I1984" i="2"/>
  <c r="H1985" i="2"/>
  <c r="I1985" i="2"/>
  <c r="H1986" i="2"/>
  <c r="I1986" i="2"/>
  <c r="H1987" i="2"/>
  <c r="I1987" i="2"/>
  <c r="H1988" i="2"/>
  <c r="I1988" i="2"/>
  <c r="H1989" i="2"/>
  <c r="I1989" i="2"/>
  <c r="H1990" i="2"/>
  <c r="I1990" i="2"/>
  <c r="H1991" i="2"/>
  <c r="I1991" i="2"/>
  <c r="H1992" i="2"/>
  <c r="I1992" i="2"/>
  <c r="H1993" i="2"/>
  <c r="I1993" i="2"/>
  <c r="H1994" i="2"/>
  <c r="I1994" i="2"/>
  <c r="H1995" i="2"/>
  <c r="I1995" i="2"/>
  <c r="H1996" i="2"/>
  <c r="I1996" i="2"/>
  <c r="H1997" i="2"/>
  <c r="I1997" i="2"/>
  <c r="H1998" i="2"/>
  <c r="I1998" i="2"/>
  <c r="H1999" i="2"/>
  <c r="I1999" i="2"/>
  <c r="H2000" i="2"/>
  <c r="I2000" i="2"/>
  <c r="H2001" i="2"/>
  <c r="I2001" i="2"/>
  <c r="H2002" i="2"/>
  <c r="I2002" i="2"/>
  <c r="H2003" i="2"/>
  <c r="I2003" i="2"/>
  <c r="H2004" i="2"/>
  <c r="I2004" i="2"/>
  <c r="H2005" i="2"/>
  <c r="I2005" i="2"/>
  <c r="H2006" i="2"/>
  <c r="I2006" i="2"/>
  <c r="H2007" i="2"/>
  <c r="I2007" i="2"/>
  <c r="H2008" i="2"/>
  <c r="I2008" i="2"/>
  <c r="H2009" i="2"/>
  <c r="I2009" i="2"/>
  <c r="H2010" i="2"/>
  <c r="I2010" i="2"/>
  <c r="H2011" i="2"/>
  <c r="I2011" i="2"/>
  <c r="H2012" i="2"/>
  <c r="I2012" i="2"/>
  <c r="H2013" i="2"/>
  <c r="I2013" i="2"/>
  <c r="H2014" i="2"/>
  <c r="I2014" i="2"/>
  <c r="H2015" i="2"/>
  <c r="I2015" i="2"/>
  <c r="H2016" i="2"/>
  <c r="I2016" i="2"/>
  <c r="H2017" i="2"/>
  <c r="I2017" i="2"/>
  <c r="H2018" i="2"/>
  <c r="I2018" i="2"/>
  <c r="H2019" i="2"/>
  <c r="I2019" i="2"/>
  <c r="H2020" i="2"/>
  <c r="I2020" i="2"/>
  <c r="H2021" i="2"/>
  <c r="I2021" i="2"/>
  <c r="H2022" i="2"/>
  <c r="I2022" i="2"/>
  <c r="H2023" i="2"/>
  <c r="I2023" i="2"/>
  <c r="H2024" i="2"/>
  <c r="I2024" i="2"/>
  <c r="H2025" i="2"/>
  <c r="I2025" i="2"/>
  <c r="H2026" i="2"/>
  <c r="I2026" i="2"/>
  <c r="H2027" i="2"/>
  <c r="I2027" i="2"/>
  <c r="H2028" i="2"/>
  <c r="I2028" i="2"/>
  <c r="H2029" i="2"/>
  <c r="I2029" i="2"/>
  <c r="H2030" i="2"/>
  <c r="I2030" i="2"/>
  <c r="H2031" i="2"/>
  <c r="I2031" i="2"/>
  <c r="H2032" i="2"/>
  <c r="I2032" i="2"/>
  <c r="H2033" i="2"/>
  <c r="I2033" i="2"/>
  <c r="H2034" i="2"/>
  <c r="I2034" i="2"/>
  <c r="H2035" i="2"/>
  <c r="I2035" i="2"/>
  <c r="H2036" i="2"/>
  <c r="I2036" i="2"/>
  <c r="H2037" i="2"/>
  <c r="I2037" i="2"/>
  <c r="H2038" i="2"/>
  <c r="I2038" i="2"/>
  <c r="H2039" i="2"/>
  <c r="I2039" i="2"/>
  <c r="H2040" i="2"/>
  <c r="I2040" i="2"/>
  <c r="H2041" i="2"/>
  <c r="I2041" i="2"/>
  <c r="H2042" i="2"/>
  <c r="I2042" i="2"/>
  <c r="H2043" i="2"/>
  <c r="I2043" i="2"/>
  <c r="H2044" i="2"/>
  <c r="I2044" i="2"/>
  <c r="H2045" i="2"/>
  <c r="I2045" i="2"/>
  <c r="H2046" i="2"/>
  <c r="I2046" i="2"/>
  <c r="H2047" i="2"/>
  <c r="I2047" i="2"/>
  <c r="H2048" i="2"/>
  <c r="I2048" i="2"/>
  <c r="H2049" i="2"/>
  <c r="I2049" i="2"/>
  <c r="H2050" i="2"/>
  <c r="I2050" i="2"/>
  <c r="H2051" i="2"/>
  <c r="I2051" i="2"/>
  <c r="H2052" i="2"/>
  <c r="I2052" i="2"/>
  <c r="H2053" i="2"/>
  <c r="I2053" i="2"/>
  <c r="H2054" i="2"/>
  <c r="I2054" i="2"/>
  <c r="H2055" i="2"/>
  <c r="I2055" i="2"/>
  <c r="H2056" i="2"/>
  <c r="I2056" i="2"/>
  <c r="H2057" i="2"/>
  <c r="I2057" i="2"/>
  <c r="H2058" i="2"/>
  <c r="I2058" i="2"/>
  <c r="H2059" i="2"/>
  <c r="I2059" i="2"/>
  <c r="H2060" i="2"/>
  <c r="I2060" i="2"/>
  <c r="H2061" i="2"/>
  <c r="I2061" i="2"/>
  <c r="H2062" i="2"/>
  <c r="I2062" i="2"/>
  <c r="H2063" i="2"/>
  <c r="I2063" i="2"/>
  <c r="H2064" i="2"/>
  <c r="I2064" i="2"/>
  <c r="H2065" i="2"/>
  <c r="I2065" i="2"/>
  <c r="H2066" i="2"/>
  <c r="I2066" i="2"/>
  <c r="H2067" i="2"/>
  <c r="I2067" i="2"/>
  <c r="H2068" i="2"/>
  <c r="I2068" i="2"/>
  <c r="H2069" i="2"/>
  <c r="I2069" i="2"/>
  <c r="H2070" i="2"/>
  <c r="I2070" i="2"/>
  <c r="H2071" i="2"/>
  <c r="I2071" i="2"/>
  <c r="H2072" i="2"/>
  <c r="I2072" i="2"/>
  <c r="H2073" i="2"/>
  <c r="I2073" i="2"/>
  <c r="H2074" i="2"/>
  <c r="I2074" i="2"/>
  <c r="H2075" i="2"/>
  <c r="I2075" i="2"/>
  <c r="H2076" i="2"/>
  <c r="I2076" i="2"/>
  <c r="H2077" i="2"/>
  <c r="I2077" i="2"/>
  <c r="H2078" i="2"/>
  <c r="I2078" i="2"/>
  <c r="H2079" i="2"/>
  <c r="I2079" i="2"/>
  <c r="H2080" i="2"/>
  <c r="I2080" i="2"/>
  <c r="H2081" i="2"/>
  <c r="I2081" i="2"/>
  <c r="H2082" i="2"/>
  <c r="I2082" i="2"/>
  <c r="H2083" i="2"/>
  <c r="I2083" i="2"/>
  <c r="H2084" i="2"/>
  <c r="I2084" i="2"/>
  <c r="H2085" i="2"/>
  <c r="I2085" i="2"/>
  <c r="H2086" i="2"/>
  <c r="I2086" i="2"/>
  <c r="H2087" i="2"/>
  <c r="I2087" i="2"/>
  <c r="H2088" i="2"/>
  <c r="I2088" i="2"/>
  <c r="H2089" i="2"/>
  <c r="I2089" i="2"/>
  <c r="H2090" i="2"/>
  <c r="I2090" i="2"/>
  <c r="H2091" i="2"/>
  <c r="I2091" i="2"/>
  <c r="H2092" i="2"/>
  <c r="I2092" i="2"/>
  <c r="H2093" i="2"/>
  <c r="I2093" i="2"/>
  <c r="H2094" i="2"/>
  <c r="I2094" i="2"/>
  <c r="H2095" i="2"/>
  <c r="I2095" i="2"/>
  <c r="H2096" i="2"/>
  <c r="I2096" i="2"/>
  <c r="H2097" i="2"/>
  <c r="I2097" i="2"/>
  <c r="H2098" i="2"/>
  <c r="I2098" i="2"/>
  <c r="H2099" i="2"/>
  <c r="I2099" i="2"/>
  <c r="H2100" i="2"/>
  <c r="I2100" i="2"/>
  <c r="H2101" i="2"/>
  <c r="I2101" i="2"/>
  <c r="H2102" i="2"/>
  <c r="I2102" i="2"/>
  <c r="H2103" i="2"/>
  <c r="I2103" i="2"/>
  <c r="H2104" i="2"/>
  <c r="I2104" i="2"/>
  <c r="H2105" i="2"/>
  <c r="I2105" i="2"/>
  <c r="H2106" i="2"/>
  <c r="I2106" i="2"/>
  <c r="H2107" i="2"/>
  <c r="I2107" i="2"/>
  <c r="H2108" i="2"/>
  <c r="I2108" i="2"/>
  <c r="H2109" i="2"/>
  <c r="I2109" i="2"/>
  <c r="H2110" i="2"/>
  <c r="I2110" i="2"/>
  <c r="H2111" i="2"/>
  <c r="I2111" i="2"/>
  <c r="H2112" i="2"/>
  <c r="I2112" i="2"/>
  <c r="H2113" i="2"/>
  <c r="I2113" i="2"/>
  <c r="H2114" i="2"/>
  <c r="I2114" i="2"/>
  <c r="H2115" i="2"/>
  <c r="I2115" i="2"/>
  <c r="H2116" i="2"/>
  <c r="I2116" i="2"/>
  <c r="H2117" i="2"/>
  <c r="I2117" i="2"/>
  <c r="H2118" i="2"/>
  <c r="I2118" i="2"/>
  <c r="H2119" i="2"/>
  <c r="I2119" i="2"/>
  <c r="H2120" i="2"/>
  <c r="I2120" i="2"/>
  <c r="H2121" i="2"/>
  <c r="I2121" i="2"/>
  <c r="H2122" i="2"/>
  <c r="I2122" i="2"/>
  <c r="H2123" i="2"/>
  <c r="I2123" i="2"/>
  <c r="H2124" i="2"/>
  <c r="I2124" i="2"/>
  <c r="H2125" i="2"/>
  <c r="I2125" i="2"/>
  <c r="H2126" i="2"/>
  <c r="I2126" i="2"/>
  <c r="H2127" i="2"/>
  <c r="I2127" i="2"/>
  <c r="H2128" i="2"/>
  <c r="I2128" i="2"/>
  <c r="H2129" i="2"/>
  <c r="I2129" i="2"/>
  <c r="H2130" i="2"/>
  <c r="I2130" i="2"/>
  <c r="H2131" i="2"/>
  <c r="I2131" i="2"/>
  <c r="H2132" i="2"/>
  <c r="I2132" i="2"/>
  <c r="H2133" i="2"/>
  <c r="I2133" i="2"/>
  <c r="H2134" i="2"/>
  <c r="I2134" i="2"/>
  <c r="H2135" i="2"/>
  <c r="I2135" i="2"/>
  <c r="H2136" i="2"/>
  <c r="I2136" i="2"/>
  <c r="H2137" i="2"/>
  <c r="I2137" i="2"/>
  <c r="H2138" i="2"/>
  <c r="I2138" i="2"/>
  <c r="H2139" i="2"/>
  <c r="I2139" i="2"/>
  <c r="H2140" i="2"/>
  <c r="I2140" i="2"/>
  <c r="H2141" i="2"/>
  <c r="I2141" i="2"/>
  <c r="H2142" i="2"/>
  <c r="I2142" i="2"/>
  <c r="H2143" i="2"/>
  <c r="I2143" i="2"/>
  <c r="H2144" i="2"/>
  <c r="I2144" i="2"/>
  <c r="H2145" i="2"/>
  <c r="I2145" i="2"/>
  <c r="H2146" i="2"/>
  <c r="I2146" i="2"/>
  <c r="H2147" i="2"/>
  <c r="I2147" i="2"/>
  <c r="H2148" i="2"/>
  <c r="I2148" i="2"/>
  <c r="H2149" i="2"/>
  <c r="I2149" i="2"/>
  <c r="H2150" i="2"/>
  <c r="I2150" i="2"/>
  <c r="H2151" i="2"/>
  <c r="I2151" i="2"/>
  <c r="H2152" i="2"/>
  <c r="I2152" i="2"/>
  <c r="H2153" i="2"/>
  <c r="I2153" i="2"/>
  <c r="H2154" i="2"/>
  <c r="I2154" i="2"/>
  <c r="H2155" i="2"/>
  <c r="I2155" i="2"/>
  <c r="H2156" i="2"/>
  <c r="I2156" i="2"/>
  <c r="H2157" i="2"/>
  <c r="I2157" i="2"/>
  <c r="H2158" i="2"/>
  <c r="I2158" i="2"/>
  <c r="H2159" i="2"/>
  <c r="I2159" i="2"/>
  <c r="H2160" i="2"/>
  <c r="I2160" i="2"/>
  <c r="H2161" i="2"/>
  <c r="I2161" i="2"/>
  <c r="H2162" i="2"/>
  <c r="I2162" i="2"/>
  <c r="H2163" i="2"/>
  <c r="I2163" i="2"/>
  <c r="H2164" i="2"/>
  <c r="I2164" i="2"/>
  <c r="H2165" i="2"/>
  <c r="I2165" i="2"/>
  <c r="H2166" i="2"/>
  <c r="I2166" i="2"/>
  <c r="H2167" i="2"/>
  <c r="I2167" i="2"/>
  <c r="H2168" i="2"/>
  <c r="I2168" i="2"/>
  <c r="H2169" i="2"/>
  <c r="I2169" i="2"/>
  <c r="H2170" i="2"/>
  <c r="I2170" i="2"/>
  <c r="H2171" i="2"/>
  <c r="I2171" i="2"/>
  <c r="H2172" i="2"/>
  <c r="I2172" i="2"/>
  <c r="H2173" i="2"/>
  <c r="I2173" i="2"/>
  <c r="H2174" i="2"/>
  <c r="I2174" i="2"/>
  <c r="H2175" i="2"/>
  <c r="I2175" i="2"/>
  <c r="H2176" i="2"/>
  <c r="I2176" i="2"/>
  <c r="H2177" i="2"/>
  <c r="I2177" i="2"/>
  <c r="H2178" i="2"/>
  <c r="I2178" i="2"/>
  <c r="H2179" i="2"/>
  <c r="I2179" i="2"/>
  <c r="H2180" i="2"/>
  <c r="I2180" i="2"/>
  <c r="H2181" i="2"/>
  <c r="I2181" i="2"/>
  <c r="H2182" i="2"/>
  <c r="I2182" i="2"/>
  <c r="H2183" i="2"/>
  <c r="I2183" i="2"/>
  <c r="H2184" i="2"/>
  <c r="I2184" i="2"/>
  <c r="H2185" i="2"/>
  <c r="I2185" i="2"/>
  <c r="H2186" i="2"/>
  <c r="I2186" i="2"/>
  <c r="H2187" i="2"/>
  <c r="I2187" i="2"/>
  <c r="H2188" i="2"/>
  <c r="I2188" i="2"/>
  <c r="H2189" i="2"/>
  <c r="I2189" i="2"/>
  <c r="H2190" i="2"/>
  <c r="I2190" i="2"/>
  <c r="H2191" i="2"/>
  <c r="I2191" i="2"/>
  <c r="H2192" i="2"/>
  <c r="I2192" i="2"/>
  <c r="H2193" i="2"/>
  <c r="I2193" i="2"/>
  <c r="H2194" i="2"/>
  <c r="I2194" i="2"/>
  <c r="H2195" i="2"/>
  <c r="I2195" i="2"/>
  <c r="H2196" i="2"/>
  <c r="I2196" i="2"/>
  <c r="H2197" i="2"/>
  <c r="I2197" i="2"/>
  <c r="H2198" i="2"/>
  <c r="I2198" i="2"/>
  <c r="H2199" i="2"/>
  <c r="I2199" i="2"/>
  <c r="H2200" i="2"/>
  <c r="I2200" i="2"/>
  <c r="H2201" i="2"/>
  <c r="I2201" i="2"/>
  <c r="H2202" i="2"/>
  <c r="I2202" i="2"/>
  <c r="H2203" i="2"/>
  <c r="I2203" i="2"/>
  <c r="H2204" i="2"/>
  <c r="I2204" i="2"/>
  <c r="H2205" i="2"/>
  <c r="I2205" i="2"/>
  <c r="H2206" i="2"/>
  <c r="I2206" i="2"/>
  <c r="H2207" i="2"/>
  <c r="I2207" i="2"/>
  <c r="H2208" i="2"/>
  <c r="I2208" i="2"/>
  <c r="H2209" i="2"/>
  <c r="I2209" i="2"/>
  <c r="H2210" i="2"/>
  <c r="I2210" i="2"/>
  <c r="H2211" i="2"/>
  <c r="I2211" i="2"/>
  <c r="H2212" i="2"/>
  <c r="I2212" i="2"/>
  <c r="H2213" i="2"/>
  <c r="I2213" i="2"/>
  <c r="H2214" i="2"/>
  <c r="I2214" i="2"/>
  <c r="H2215" i="2"/>
  <c r="I2215" i="2"/>
  <c r="H2216" i="2"/>
  <c r="I2216" i="2"/>
  <c r="H2217" i="2"/>
  <c r="I2217" i="2"/>
  <c r="H2218" i="2"/>
  <c r="I2218" i="2"/>
  <c r="H2219" i="2"/>
  <c r="I2219" i="2"/>
  <c r="H2220" i="2"/>
  <c r="I2220" i="2"/>
  <c r="H2221" i="2"/>
  <c r="I2221" i="2"/>
  <c r="H2222" i="2"/>
  <c r="I2222" i="2"/>
  <c r="H2223" i="2"/>
  <c r="I2223" i="2"/>
  <c r="H2224" i="2"/>
  <c r="I2224" i="2"/>
  <c r="H2225" i="2"/>
  <c r="I2225" i="2"/>
  <c r="H2226" i="2"/>
  <c r="I2226" i="2"/>
  <c r="H2227" i="2"/>
  <c r="I2227" i="2"/>
  <c r="H2228" i="2"/>
  <c r="I2228" i="2"/>
  <c r="H2229" i="2"/>
  <c r="I2229" i="2"/>
  <c r="H2230" i="2"/>
  <c r="I2230" i="2"/>
  <c r="H2231" i="2"/>
  <c r="I2231" i="2"/>
  <c r="H2232" i="2"/>
  <c r="I2232" i="2"/>
  <c r="H2233" i="2"/>
  <c r="I2233" i="2"/>
  <c r="H2234" i="2"/>
  <c r="I2234" i="2"/>
  <c r="H2235" i="2"/>
  <c r="I2235" i="2"/>
  <c r="H2236" i="2"/>
  <c r="I2236" i="2"/>
  <c r="H2237" i="2"/>
  <c r="I2237" i="2"/>
  <c r="H2238" i="2"/>
  <c r="I2238" i="2"/>
  <c r="H2239" i="2"/>
  <c r="I2239" i="2"/>
  <c r="H2240" i="2"/>
  <c r="I2240" i="2"/>
  <c r="H2241" i="2"/>
  <c r="I2241" i="2"/>
  <c r="H2242" i="2"/>
  <c r="I2242" i="2"/>
  <c r="H2243" i="2"/>
  <c r="I2243" i="2"/>
  <c r="H2244" i="2"/>
  <c r="I2244" i="2"/>
  <c r="H2245" i="2"/>
  <c r="I2245" i="2"/>
  <c r="H2246" i="2"/>
  <c r="I2246" i="2"/>
  <c r="H2247" i="2"/>
  <c r="I2247" i="2"/>
  <c r="H2248" i="2"/>
  <c r="I2248" i="2"/>
  <c r="H2249" i="2"/>
  <c r="I2249" i="2"/>
  <c r="H2250" i="2"/>
  <c r="I2250" i="2"/>
  <c r="H2251" i="2"/>
  <c r="I2251" i="2"/>
  <c r="H2252" i="2"/>
  <c r="I2252" i="2"/>
  <c r="H2253" i="2"/>
  <c r="I2253" i="2"/>
  <c r="H2254" i="2"/>
  <c r="I2254" i="2"/>
  <c r="H2255" i="2"/>
  <c r="I2255" i="2"/>
  <c r="H2256" i="2"/>
  <c r="I2256" i="2"/>
  <c r="H2257" i="2"/>
  <c r="I2257" i="2"/>
  <c r="H2258" i="2"/>
  <c r="I2258" i="2"/>
  <c r="H2259" i="2"/>
  <c r="I2259" i="2"/>
  <c r="H2260" i="2"/>
  <c r="I2260" i="2"/>
  <c r="H2261" i="2"/>
  <c r="I2261" i="2"/>
  <c r="H2262" i="2"/>
  <c r="I2262" i="2"/>
  <c r="H2263" i="2"/>
  <c r="I2263" i="2"/>
  <c r="H2264" i="2"/>
  <c r="I2264" i="2"/>
  <c r="H2265" i="2"/>
  <c r="I2265" i="2"/>
  <c r="H2266" i="2"/>
  <c r="I2266" i="2"/>
  <c r="H2267" i="2"/>
  <c r="I2267" i="2"/>
  <c r="H2268" i="2"/>
  <c r="I2268" i="2"/>
  <c r="H2269" i="2"/>
  <c r="I2269" i="2"/>
  <c r="H2270" i="2"/>
  <c r="I2270" i="2"/>
  <c r="H2271" i="2"/>
  <c r="I2271" i="2"/>
  <c r="H2272" i="2"/>
  <c r="I2272" i="2"/>
  <c r="H2273" i="2"/>
  <c r="I2273" i="2"/>
  <c r="H2274" i="2"/>
  <c r="I2274" i="2"/>
  <c r="H2275" i="2"/>
  <c r="I2275" i="2"/>
  <c r="H2276" i="2"/>
  <c r="I2276" i="2"/>
  <c r="H2277" i="2"/>
  <c r="I2277" i="2"/>
  <c r="H2278" i="2"/>
  <c r="I2278" i="2"/>
  <c r="H2279" i="2"/>
  <c r="I2279" i="2"/>
  <c r="H2280" i="2"/>
  <c r="I2280" i="2"/>
  <c r="H2281" i="2"/>
  <c r="I2281" i="2"/>
  <c r="H2282" i="2"/>
  <c r="I2282" i="2"/>
  <c r="H2283" i="2"/>
  <c r="I2283" i="2"/>
  <c r="H2284" i="2"/>
  <c r="I2284" i="2"/>
  <c r="H2285" i="2"/>
  <c r="I2285" i="2"/>
  <c r="H2286" i="2"/>
  <c r="I2286" i="2"/>
  <c r="H2287" i="2"/>
  <c r="I2287" i="2"/>
  <c r="H2288" i="2"/>
  <c r="I2288" i="2"/>
  <c r="H2289" i="2"/>
  <c r="I2289" i="2"/>
  <c r="H2290" i="2"/>
  <c r="I2290" i="2"/>
  <c r="H2291" i="2"/>
  <c r="I2291" i="2"/>
  <c r="H2292" i="2"/>
  <c r="I2292" i="2"/>
  <c r="H2293" i="2"/>
  <c r="I2293" i="2"/>
  <c r="H2294" i="2"/>
  <c r="I2294" i="2"/>
  <c r="H2295" i="2"/>
  <c r="I2295" i="2"/>
  <c r="H2296" i="2"/>
  <c r="I2296" i="2"/>
  <c r="H2297" i="2"/>
  <c r="I2297" i="2"/>
  <c r="H2298" i="2"/>
  <c r="I2298" i="2"/>
  <c r="H2299" i="2"/>
  <c r="I2299" i="2"/>
  <c r="H2300" i="2"/>
  <c r="I2300" i="2"/>
  <c r="H2301" i="2"/>
  <c r="I2301" i="2"/>
  <c r="H2302" i="2"/>
  <c r="I2302" i="2"/>
  <c r="H2303" i="2"/>
  <c r="I2303" i="2"/>
  <c r="H2304" i="2"/>
  <c r="I2304" i="2"/>
  <c r="H2305" i="2"/>
  <c r="I2305" i="2"/>
  <c r="H2306" i="2"/>
  <c r="I2306" i="2"/>
  <c r="H2307" i="2"/>
  <c r="I2307" i="2"/>
  <c r="H2308" i="2"/>
  <c r="I2308" i="2"/>
  <c r="H2309" i="2"/>
  <c r="I2309" i="2"/>
  <c r="H2310" i="2"/>
  <c r="I2310" i="2"/>
  <c r="H2311" i="2"/>
  <c r="I2311" i="2"/>
  <c r="H2312" i="2"/>
  <c r="I2312" i="2"/>
  <c r="H2313" i="2"/>
  <c r="I2313" i="2"/>
  <c r="H2314" i="2"/>
  <c r="I2314" i="2"/>
  <c r="H2315" i="2"/>
  <c r="I2315" i="2"/>
  <c r="H2316" i="2"/>
  <c r="I2316" i="2"/>
  <c r="H2317" i="2"/>
  <c r="I2317" i="2"/>
  <c r="H2318" i="2"/>
  <c r="I2318" i="2"/>
  <c r="H2319" i="2"/>
  <c r="I2319" i="2"/>
  <c r="H2320" i="2"/>
  <c r="I2320" i="2"/>
  <c r="H2321" i="2"/>
  <c r="I2321" i="2"/>
  <c r="H2322" i="2"/>
  <c r="I2322" i="2"/>
  <c r="H2323" i="2"/>
  <c r="I2323" i="2"/>
  <c r="H2324" i="2"/>
  <c r="I2324" i="2"/>
  <c r="H2325" i="2"/>
  <c r="I2325" i="2"/>
  <c r="H2326" i="2"/>
  <c r="I2326" i="2"/>
  <c r="H2327" i="2"/>
  <c r="I2327" i="2"/>
  <c r="H2328" i="2"/>
  <c r="I2328" i="2"/>
  <c r="H2329" i="2"/>
  <c r="I2329" i="2"/>
  <c r="H2330" i="2"/>
  <c r="I2330" i="2"/>
  <c r="H2331" i="2"/>
  <c r="I2331" i="2"/>
  <c r="H2332" i="2"/>
  <c r="I2332" i="2"/>
  <c r="H2333" i="2"/>
  <c r="I2333" i="2"/>
  <c r="H2334" i="2"/>
  <c r="I2334" i="2"/>
  <c r="H2335" i="2"/>
  <c r="I2335" i="2"/>
  <c r="H2336" i="2"/>
  <c r="I2336" i="2"/>
  <c r="H2337" i="2"/>
  <c r="I2337" i="2"/>
  <c r="H2338" i="2"/>
  <c r="I2338" i="2"/>
  <c r="H2339" i="2"/>
  <c r="I2339" i="2"/>
  <c r="H2340" i="2"/>
  <c r="I2340" i="2"/>
  <c r="H2341" i="2"/>
  <c r="I2341" i="2"/>
  <c r="H2342" i="2"/>
  <c r="I2342" i="2"/>
  <c r="H2343" i="2"/>
  <c r="I2343" i="2"/>
  <c r="H2344" i="2"/>
  <c r="I2344" i="2"/>
  <c r="H2345" i="2"/>
  <c r="I2345" i="2"/>
  <c r="H2346" i="2"/>
  <c r="I2346" i="2"/>
  <c r="H2347" i="2"/>
  <c r="I2347" i="2"/>
  <c r="H2348" i="2"/>
  <c r="I2348" i="2"/>
  <c r="H2349" i="2"/>
  <c r="I2349" i="2"/>
  <c r="H2350" i="2"/>
  <c r="I2350" i="2"/>
  <c r="H2351" i="2"/>
  <c r="I2351" i="2"/>
  <c r="H2352" i="2"/>
  <c r="I2352" i="2"/>
  <c r="H2353" i="2"/>
  <c r="I2353" i="2"/>
  <c r="H2354" i="2"/>
  <c r="I2354" i="2"/>
  <c r="H2355" i="2"/>
  <c r="I2355" i="2"/>
  <c r="H2356" i="2"/>
  <c r="I2356" i="2"/>
  <c r="H2357" i="2"/>
  <c r="I2357" i="2"/>
  <c r="H2358" i="2"/>
  <c r="I2358" i="2"/>
  <c r="H2359" i="2"/>
  <c r="I2359" i="2"/>
  <c r="H2360" i="2"/>
  <c r="I2360" i="2"/>
  <c r="H2361" i="2"/>
  <c r="I2361" i="2"/>
  <c r="H2362" i="2"/>
  <c r="I2362" i="2"/>
  <c r="H2363" i="2"/>
  <c r="I2363" i="2"/>
  <c r="H2364" i="2"/>
  <c r="I2364" i="2"/>
  <c r="H2365" i="2"/>
  <c r="I2365" i="2"/>
  <c r="H2366" i="2"/>
  <c r="I2366" i="2"/>
  <c r="H2367" i="2"/>
  <c r="I2367" i="2"/>
  <c r="H2368" i="2"/>
  <c r="I2368" i="2"/>
  <c r="H2369" i="2"/>
  <c r="I2369" i="2"/>
  <c r="H2370" i="2"/>
  <c r="I2370" i="2"/>
  <c r="H2371" i="2"/>
  <c r="I2371" i="2"/>
  <c r="H2372" i="2"/>
  <c r="I2372" i="2"/>
  <c r="H2373" i="2"/>
  <c r="I2373" i="2"/>
  <c r="H2374" i="2"/>
  <c r="I2374" i="2"/>
  <c r="H2375" i="2"/>
  <c r="I2375" i="2"/>
  <c r="H2376" i="2"/>
  <c r="I2376" i="2"/>
  <c r="H2377" i="2"/>
  <c r="I2377" i="2"/>
  <c r="H2378" i="2"/>
  <c r="I2378" i="2"/>
  <c r="H2379" i="2"/>
  <c r="I2379" i="2"/>
  <c r="H2380" i="2"/>
  <c r="I2380" i="2"/>
  <c r="H2381" i="2"/>
  <c r="I2381" i="2"/>
  <c r="H2382" i="2"/>
  <c r="I2382" i="2"/>
  <c r="H2383" i="2"/>
  <c r="I2383" i="2"/>
  <c r="H2384" i="2"/>
  <c r="I2384" i="2"/>
  <c r="H2385" i="2"/>
  <c r="I2385" i="2"/>
  <c r="H2386" i="2"/>
  <c r="I2386" i="2"/>
  <c r="H2387" i="2"/>
  <c r="I2387" i="2"/>
  <c r="H2388" i="2"/>
  <c r="I2388" i="2"/>
  <c r="H2389" i="2"/>
  <c r="I2389" i="2"/>
  <c r="H2390" i="2"/>
  <c r="I2390" i="2"/>
  <c r="H2391" i="2"/>
  <c r="I2391" i="2"/>
  <c r="H2392" i="2"/>
  <c r="I2392" i="2"/>
  <c r="H2393" i="2"/>
  <c r="I2393" i="2"/>
  <c r="H2394" i="2"/>
  <c r="I2394" i="2"/>
  <c r="H2395" i="2"/>
  <c r="I2395" i="2"/>
  <c r="H2396" i="2"/>
  <c r="I2396" i="2"/>
  <c r="H2397" i="2"/>
  <c r="I2397" i="2"/>
  <c r="H2398" i="2"/>
  <c r="I2398" i="2"/>
  <c r="H2399" i="2"/>
  <c r="I2399" i="2"/>
  <c r="H2400" i="2"/>
  <c r="I2400" i="2"/>
  <c r="H2401" i="2"/>
  <c r="I2401" i="2"/>
  <c r="H2402" i="2"/>
  <c r="I2402" i="2"/>
  <c r="H2403" i="2"/>
  <c r="I2403" i="2"/>
  <c r="H2404" i="2"/>
  <c r="I2404" i="2"/>
  <c r="H2405" i="2"/>
  <c r="I2405" i="2"/>
  <c r="H2406" i="2"/>
  <c r="I2406" i="2"/>
  <c r="H2407" i="2"/>
  <c r="I2407" i="2"/>
  <c r="H2408" i="2"/>
  <c r="I2408" i="2"/>
  <c r="H2409" i="2"/>
  <c r="I2409" i="2"/>
  <c r="H2410" i="2"/>
  <c r="I2410" i="2"/>
  <c r="H2411" i="2"/>
  <c r="I2411" i="2"/>
  <c r="H2412" i="2"/>
  <c r="I2412" i="2"/>
  <c r="H2413" i="2"/>
  <c r="I2413" i="2"/>
  <c r="H2414" i="2"/>
  <c r="I2414" i="2"/>
  <c r="H2415" i="2"/>
  <c r="I2415" i="2"/>
  <c r="H2416" i="2"/>
  <c r="I2416" i="2"/>
  <c r="H2417" i="2"/>
  <c r="I2417" i="2"/>
  <c r="H2418" i="2"/>
  <c r="I2418" i="2"/>
  <c r="H2419" i="2"/>
  <c r="I2419" i="2"/>
  <c r="H2420" i="2"/>
  <c r="I2420" i="2"/>
  <c r="H2421" i="2"/>
  <c r="I2421" i="2"/>
  <c r="H2422" i="2"/>
  <c r="I2422" i="2"/>
  <c r="H2423" i="2"/>
  <c r="I2423" i="2"/>
  <c r="H2424" i="2"/>
  <c r="I2424" i="2"/>
  <c r="H2425" i="2"/>
  <c r="I2425" i="2"/>
  <c r="H2426" i="2"/>
  <c r="I2426" i="2"/>
  <c r="H2427" i="2"/>
  <c r="I2427" i="2"/>
  <c r="H2428" i="2"/>
  <c r="I2428" i="2"/>
  <c r="H2429" i="2"/>
  <c r="I2429" i="2"/>
  <c r="H2430" i="2"/>
  <c r="I2430" i="2"/>
  <c r="H2431" i="2"/>
  <c r="I2431" i="2"/>
  <c r="H2432" i="2"/>
  <c r="I2432" i="2"/>
  <c r="H2433" i="2"/>
  <c r="I2433" i="2"/>
  <c r="H2434" i="2"/>
  <c r="I2434" i="2"/>
  <c r="H2435" i="2"/>
  <c r="I2435" i="2"/>
  <c r="H2436" i="2"/>
  <c r="I2436" i="2"/>
  <c r="H2437" i="2"/>
  <c r="I2437" i="2"/>
  <c r="H2438" i="2"/>
  <c r="I2438" i="2"/>
  <c r="H2439" i="2"/>
  <c r="I2439" i="2"/>
  <c r="H2440" i="2"/>
  <c r="I2440" i="2"/>
  <c r="H2441" i="2"/>
  <c r="I2441" i="2"/>
  <c r="H2442" i="2"/>
  <c r="I2442" i="2"/>
  <c r="H2443" i="2"/>
  <c r="I2443" i="2"/>
  <c r="H2444" i="2"/>
  <c r="I2444" i="2"/>
  <c r="H2445" i="2"/>
  <c r="I2445" i="2"/>
  <c r="H2446" i="2"/>
  <c r="I2446" i="2"/>
  <c r="H2447" i="2"/>
  <c r="I2447" i="2"/>
  <c r="H2448" i="2"/>
  <c r="I2448" i="2"/>
  <c r="H2449" i="2"/>
  <c r="I2449" i="2"/>
  <c r="H2450" i="2"/>
  <c r="I2450" i="2"/>
  <c r="H2451" i="2"/>
  <c r="I2451" i="2"/>
  <c r="H2452" i="2"/>
  <c r="I2452" i="2"/>
  <c r="H2453" i="2"/>
  <c r="I2453" i="2"/>
  <c r="H2454" i="2"/>
  <c r="I2454" i="2"/>
  <c r="H2455" i="2"/>
  <c r="I2455" i="2"/>
  <c r="H2456" i="2"/>
  <c r="I2456" i="2"/>
  <c r="H2457" i="2"/>
  <c r="I2457" i="2"/>
  <c r="H2458" i="2"/>
  <c r="I2458" i="2"/>
  <c r="H2459" i="2"/>
  <c r="I2459" i="2"/>
  <c r="H2460" i="2"/>
  <c r="I2460" i="2"/>
  <c r="H2461" i="2"/>
  <c r="I2461" i="2"/>
  <c r="H2462" i="2"/>
  <c r="I2462" i="2"/>
  <c r="H2463" i="2"/>
  <c r="I2463" i="2"/>
  <c r="H2464" i="2"/>
  <c r="I2464" i="2"/>
  <c r="H2465" i="2"/>
  <c r="I2465" i="2"/>
  <c r="H2466" i="2"/>
  <c r="I2466" i="2"/>
  <c r="H2467" i="2"/>
  <c r="I2467" i="2"/>
  <c r="H2468" i="2"/>
  <c r="I2468" i="2"/>
  <c r="H2469" i="2"/>
  <c r="I2469" i="2"/>
  <c r="H2470" i="2"/>
  <c r="I2470" i="2"/>
  <c r="H2471" i="2"/>
  <c r="I2471" i="2"/>
  <c r="H2472" i="2"/>
  <c r="I2472" i="2"/>
  <c r="H2473" i="2"/>
  <c r="I2473" i="2"/>
  <c r="H2474" i="2"/>
  <c r="I2474" i="2"/>
  <c r="H2475" i="2"/>
  <c r="I2475" i="2"/>
  <c r="H2476" i="2"/>
  <c r="I2476" i="2"/>
  <c r="H2477" i="2"/>
  <c r="I2477" i="2"/>
  <c r="H2478" i="2"/>
  <c r="I2478" i="2"/>
  <c r="H2479" i="2"/>
  <c r="I2479" i="2"/>
  <c r="H2480" i="2"/>
  <c r="I2480" i="2"/>
  <c r="H2481" i="2"/>
  <c r="I2481" i="2"/>
  <c r="H2482" i="2"/>
  <c r="I2482" i="2"/>
  <c r="H2483" i="2"/>
  <c r="I2483" i="2"/>
  <c r="H2484" i="2"/>
  <c r="I2484" i="2"/>
  <c r="H2485" i="2"/>
  <c r="I2485" i="2"/>
  <c r="H2486" i="2"/>
  <c r="I2486" i="2"/>
  <c r="H2487" i="2"/>
  <c r="I2487" i="2"/>
  <c r="H2488" i="2"/>
  <c r="I2488" i="2"/>
  <c r="H2489" i="2"/>
  <c r="I2489" i="2"/>
  <c r="H2490" i="2"/>
  <c r="I2490" i="2"/>
  <c r="H2491" i="2"/>
  <c r="I2491" i="2"/>
  <c r="H2492" i="2"/>
  <c r="I2492" i="2"/>
  <c r="H2493" i="2"/>
  <c r="I2493" i="2"/>
  <c r="H2494" i="2"/>
  <c r="I2494" i="2"/>
  <c r="H2495" i="2"/>
  <c r="I2495" i="2"/>
  <c r="H2496" i="2"/>
  <c r="I2496" i="2"/>
  <c r="H2497" i="2"/>
  <c r="I2497" i="2"/>
  <c r="H2498" i="2"/>
  <c r="I2498" i="2"/>
  <c r="H2499" i="2"/>
  <c r="I2499" i="2"/>
  <c r="H2500" i="2"/>
  <c r="I2500" i="2"/>
  <c r="H2501" i="2"/>
  <c r="I2501" i="2"/>
  <c r="H2502" i="2"/>
  <c r="I2502" i="2"/>
  <c r="H2503" i="2"/>
  <c r="I2503" i="2"/>
  <c r="H2504" i="2"/>
  <c r="I2504" i="2"/>
  <c r="H2505" i="2"/>
  <c r="I2505" i="2"/>
  <c r="H2506" i="2"/>
  <c r="I2506" i="2"/>
  <c r="H2507" i="2"/>
  <c r="I2507" i="2"/>
  <c r="H2508" i="2"/>
  <c r="I2508" i="2"/>
  <c r="H2509" i="2"/>
  <c r="I2509" i="2"/>
  <c r="H2510" i="2"/>
  <c r="I2510" i="2"/>
  <c r="H2511" i="2"/>
  <c r="I2511" i="2"/>
  <c r="H2512" i="2"/>
  <c r="I2512" i="2"/>
  <c r="H2513" i="2"/>
  <c r="I2513" i="2"/>
  <c r="H2514" i="2"/>
  <c r="I2514" i="2"/>
  <c r="H2515" i="2"/>
  <c r="I2515" i="2"/>
  <c r="H2516" i="2"/>
  <c r="I2516" i="2"/>
  <c r="H2517" i="2"/>
  <c r="I2517" i="2"/>
  <c r="H2518" i="2"/>
  <c r="I2518" i="2"/>
  <c r="H2519" i="2"/>
  <c r="I2519" i="2"/>
  <c r="H2520" i="2"/>
  <c r="I2520" i="2"/>
  <c r="H2521" i="2"/>
  <c r="I2521" i="2"/>
  <c r="H2522" i="2"/>
  <c r="I2522" i="2"/>
  <c r="H2523" i="2"/>
  <c r="I2523" i="2"/>
  <c r="H2524" i="2"/>
  <c r="I2524" i="2"/>
  <c r="H2525" i="2"/>
  <c r="I2525" i="2"/>
  <c r="H2526" i="2"/>
  <c r="I2526" i="2"/>
  <c r="H2527" i="2"/>
  <c r="I2527" i="2"/>
  <c r="H2528" i="2"/>
  <c r="I2528" i="2"/>
  <c r="H2529" i="2"/>
  <c r="I2529" i="2"/>
  <c r="H2530" i="2"/>
  <c r="I2530" i="2"/>
  <c r="H2531" i="2"/>
  <c r="I2531" i="2"/>
  <c r="H2532" i="2"/>
  <c r="I2532" i="2"/>
  <c r="H2533" i="2"/>
  <c r="I2533" i="2"/>
  <c r="H2534" i="2"/>
  <c r="I2534" i="2"/>
  <c r="H2535" i="2"/>
  <c r="I2535" i="2"/>
  <c r="H2536" i="2"/>
  <c r="I2536" i="2"/>
  <c r="H2537" i="2"/>
  <c r="I2537" i="2"/>
  <c r="H2538" i="2"/>
  <c r="I2538" i="2"/>
  <c r="H2539" i="2"/>
  <c r="I2539" i="2"/>
  <c r="H2540" i="2"/>
  <c r="I2540" i="2"/>
  <c r="H2541" i="2"/>
  <c r="I2541" i="2"/>
  <c r="H2542" i="2"/>
  <c r="I2542" i="2"/>
  <c r="H2543" i="2"/>
  <c r="I2543" i="2"/>
  <c r="H2544" i="2"/>
  <c r="I2544" i="2"/>
  <c r="H2545" i="2"/>
  <c r="I2545" i="2"/>
  <c r="H2546" i="2"/>
  <c r="I2546" i="2"/>
  <c r="H2547" i="2"/>
  <c r="I2547" i="2"/>
  <c r="H2548" i="2"/>
  <c r="I2548" i="2"/>
  <c r="H2549" i="2"/>
  <c r="I2549" i="2"/>
  <c r="H2550" i="2"/>
  <c r="I2550" i="2"/>
  <c r="H2551" i="2"/>
  <c r="I2551" i="2"/>
  <c r="H2552" i="2"/>
  <c r="I2552" i="2"/>
  <c r="H2553" i="2"/>
  <c r="I2553" i="2"/>
  <c r="H2554" i="2"/>
  <c r="I2554" i="2"/>
  <c r="H2555" i="2"/>
  <c r="I2555" i="2"/>
  <c r="H2556" i="2"/>
  <c r="I2556" i="2"/>
  <c r="H2557" i="2"/>
  <c r="I2557" i="2"/>
  <c r="H2558" i="2"/>
  <c r="I2558" i="2"/>
  <c r="H2559" i="2"/>
  <c r="I2559" i="2"/>
  <c r="H2560" i="2"/>
  <c r="I2560" i="2"/>
  <c r="H2561" i="2"/>
  <c r="I2561" i="2"/>
  <c r="H2562" i="2"/>
  <c r="I2562" i="2"/>
  <c r="H2563" i="2"/>
  <c r="I2563" i="2"/>
  <c r="H2564" i="2"/>
  <c r="I2564" i="2"/>
  <c r="H2565" i="2"/>
  <c r="I2565" i="2"/>
  <c r="H2566" i="2"/>
  <c r="I2566" i="2"/>
  <c r="H2567" i="2"/>
  <c r="I2567" i="2"/>
  <c r="H2568" i="2"/>
  <c r="I2568" i="2"/>
  <c r="H2569" i="2"/>
  <c r="I2569" i="2"/>
  <c r="H2570" i="2"/>
  <c r="I2570" i="2"/>
  <c r="H2571" i="2"/>
  <c r="I2571" i="2"/>
  <c r="H2572" i="2"/>
  <c r="I2572" i="2"/>
  <c r="H2573" i="2"/>
  <c r="I2573" i="2"/>
  <c r="H2574" i="2"/>
  <c r="I2574" i="2"/>
  <c r="H2575" i="2"/>
  <c r="I2575" i="2"/>
  <c r="H2576" i="2"/>
  <c r="I2576" i="2"/>
  <c r="H2577" i="2"/>
  <c r="I2577" i="2"/>
  <c r="H2578" i="2"/>
  <c r="I2578" i="2"/>
  <c r="H2579" i="2"/>
  <c r="I2579" i="2"/>
  <c r="H2580" i="2"/>
  <c r="I2580" i="2"/>
  <c r="H2581" i="2"/>
  <c r="I2581" i="2"/>
  <c r="H2582" i="2"/>
  <c r="I2582" i="2"/>
  <c r="H2583" i="2"/>
  <c r="I2583" i="2"/>
  <c r="H2584" i="2"/>
  <c r="I2584" i="2"/>
  <c r="H2585" i="2"/>
  <c r="I2585" i="2"/>
  <c r="H2586" i="2"/>
  <c r="I2586" i="2"/>
  <c r="H2587" i="2"/>
  <c r="I2587" i="2"/>
  <c r="H2588" i="2"/>
  <c r="I2588" i="2"/>
  <c r="H2589" i="2"/>
  <c r="I2589" i="2"/>
  <c r="H2590" i="2"/>
  <c r="I2590" i="2"/>
  <c r="H2591" i="2"/>
  <c r="I2591" i="2"/>
  <c r="H2592" i="2"/>
  <c r="I2592" i="2"/>
  <c r="H2593" i="2"/>
  <c r="I2593" i="2"/>
  <c r="H2594" i="2"/>
  <c r="I2594" i="2"/>
  <c r="H2595" i="2"/>
  <c r="I2595" i="2"/>
  <c r="H2596" i="2"/>
  <c r="I2596" i="2"/>
  <c r="H2597" i="2"/>
  <c r="I2597" i="2"/>
  <c r="H2598" i="2"/>
  <c r="I2598" i="2"/>
  <c r="H2599" i="2"/>
  <c r="I2599" i="2"/>
  <c r="H2600" i="2"/>
  <c r="I2600" i="2"/>
  <c r="H2601" i="2"/>
  <c r="I2601" i="2"/>
  <c r="H2602" i="2"/>
  <c r="I2602" i="2"/>
  <c r="H2603" i="2"/>
  <c r="I2603" i="2"/>
  <c r="H2604" i="2"/>
  <c r="I2604" i="2"/>
  <c r="H2605" i="2"/>
  <c r="I2605" i="2"/>
  <c r="H2606" i="2"/>
  <c r="I2606" i="2"/>
  <c r="H2607" i="2"/>
  <c r="I2607" i="2"/>
  <c r="H2608" i="2"/>
  <c r="I2608" i="2"/>
  <c r="H2609" i="2"/>
  <c r="I2609" i="2"/>
  <c r="H2610" i="2"/>
  <c r="I2610" i="2"/>
  <c r="H2611" i="2"/>
  <c r="I2611" i="2"/>
  <c r="H2612" i="2"/>
  <c r="I2612" i="2"/>
  <c r="H2613" i="2"/>
  <c r="I2613" i="2"/>
  <c r="H2614" i="2"/>
  <c r="I2614" i="2"/>
  <c r="H2615" i="2"/>
  <c r="I2615" i="2"/>
  <c r="H2616" i="2"/>
  <c r="I2616" i="2"/>
  <c r="H2617" i="2"/>
  <c r="I2617" i="2"/>
  <c r="H2618" i="2"/>
  <c r="I2618" i="2"/>
  <c r="H2619" i="2"/>
  <c r="I2619" i="2"/>
  <c r="H2620" i="2"/>
  <c r="I2620" i="2"/>
  <c r="H2621" i="2"/>
  <c r="I2621" i="2"/>
  <c r="H2622" i="2"/>
  <c r="I2622" i="2"/>
  <c r="H2623" i="2"/>
  <c r="I2623" i="2"/>
  <c r="H2624" i="2"/>
  <c r="I2624" i="2"/>
  <c r="H2625" i="2"/>
  <c r="I2625" i="2"/>
  <c r="H2626" i="2"/>
  <c r="I2626" i="2"/>
  <c r="H2627" i="2"/>
  <c r="I2627" i="2"/>
  <c r="H2628" i="2"/>
  <c r="I2628" i="2"/>
  <c r="H2629" i="2"/>
  <c r="I2629" i="2"/>
  <c r="H2630" i="2"/>
  <c r="I2630" i="2"/>
  <c r="H2631" i="2"/>
  <c r="I2631" i="2"/>
  <c r="H2632" i="2"/>
  <c r="I2632" i="2"/>
  <c r="H2633" i="2"/>
  <c r="I2633" i="2"/>
  <c r="H2634" i="2"/>
  <c r="I2634" i="2"/>
  <c r="H2635" i="2"/>
  <c r="I2635" i="2"/>
  <c r="H2636" i="2"/>
  <c r="I2636" i="2"/>
  <c r="H2637" i="2"/>
  <c r="I2637" i="2"/>
  <c r="H2638" i="2"/>
  <c r="I2638" i="2"/>
  <c r="H2639" i="2"/>
  <c r="I2639" i="2"/>
  <c r="H2640" i="2"/>
  <c r="I2640" i="2"/>
  <c r="H2641" i="2"/>
  <c r="I2641" i="2"/>
  <c r="H2642" i="2"/>
  <c r="I2642" i="2"/>
  <c r="H2643" i="2"/>
  <c r="I2643" i="2"/>
  <c r="H2644" i="2"/>
  <c r="I2644" i="2"/>
  <c r="H2645" i="2"/>
  <c r="I2645" i="2"/>
  <c r="H2646" i="2"/>
  <c r="I2646" i="2"/>
  <c r="H2647" i="2"/>
  <c r="I2647" i="2"/>
  <c r="H2648" i="2"/>
  <c r="I2648" i="2"/>
  <c r="H2649" i="2"/>
  <c r="I2649" i="2"/>
  <c r="H2650" i="2"/>
  <c r="I2650" i="2"/>
  <c r="H2651" i="2"/>
  <c r="I2651" i="2"/>
  <c r="H2652" i="2"/>
  <c r="I2652" i="2"/>
  <c r="H2653" i="2"/>
  <c r="I2653" i="2"/>
  <c r="H2654" i="2"/>
  <c r="I2654" i="2"/>
  <c r="H2655" i="2"/>
  <c r="I2655" i="2"/>
  <c r="H2656" i="2"/>
  <c r="I2656" i="2"/>
  <c r="H2657" i="2"/>
  <c r="I2657" i="2"/>
  <c r="H2658" i="2"/>
  <c r="I2658" i="2"/>
  <c r="H2659" i="2"/>
  <c r="I2659" i="2"/>
  <c r="H2660" i="2"/>
  <c r="I2660" i="2"/>
  <c r="H2661" i="2"/>
  <c r="I2661" i="2"/>
  <c r="H2662" i="2"/>
  <c r="I2662" i="2"/>
  <c r="H2663" i="2"/>
  <c r="I2663" i="2"/>
  <c r="H2664" i="2"/>
  <c r="I2664" i="2"/>
  <c r="H2665" i="2"/>
  <c r="I2665" i="2"/>
  <c r="H2666" i="2"/>
  <c r="I2666" i="2"/>
  <c r="H2667" i="2"/>
  <c r="I2667" i="2"/>
  <c r="H2668" i="2"/>
  <c r="I2668" i="2"/>
  <c r="H2669" i="2"/>
  <c r="I2669" i="2"/>
  <c r="H2670" i="2"/>
  <c r="I2670" i="2"/>
  <c r="H2671" i="2"/>
  <c r="I2671" i="2"/>
  <c r="H2672" i="2"/>
  <c r="I2672" i="2"/>
  <c r="H2673" i="2"/>
  <c r="I2673" i="2"/>
  <c r="H2674" i="2"/>
  <c r="I2674" i="2"/>
  <c r="H2675" i="2"/>
  <c r="I2675" i="2"/>
  <c r="H2676" i="2"/>
  <c r="I2676" i="2"/>
  <c r="H2677" i="2"/>
  <c r="I2677" i="2"/>
  <c r="H2678" i="2"/>
  <c r="I2678" i="2"/>
  <c r="H2679" i="2"/>
  <c r="I2679" i="2"/>
  <c r="H2680" i="2"/>
  <c r="I2680" i="2"/>
  <c r="H2681" i="2"/>
  <c r="I2681" i="2"/>
  <c r="H2682" i="2"/>
  <c r="I2682" i="2"/>
  <c r="H2683" i="2"/>
  <c r="I2683" i="2"/>
  <c r="H2684" i="2"/>
  <c r="I2684" i="2"/>
  <c r="H2685" i="2"/>
  <c r="I2685" i="2"/>
  <c r="H2686" i="2"/>
  <c r="I2686" i="2"/>
  <c r="H2687" i="2"/>
  <c r="I2687" i="2"/>
  <c r="H2688" i="2"/>
  <c r="I2688" i="2"/>
  <c r="H2689" i="2"/>
  <c r="I2689" i="2"/>
  <c r="H2690" i="2"/>
  <c r="I2690" i="2"/>
  <c r="H2691" i="2"/>
  <c r="I2691" i="2"/>
  <c r="H2692" i="2"/>
  <c r="I2692" i="2"/>
  <c r="H2693" i="2"/>
  <c r="I2693" i="2"/>
  <c r="H2694" i="2"/>
  <c r="I2694" i="2"/>
  <c r="H2695" i="2"/>
  <c r="I2695" i="2"/>
  <c r="H2696" i="2"/>
  <c r="I2696" i="2"/>
  <c r="H2697" i="2"/>
  <c r="I2697" i="2"/>
  <c r="H2698" i="2"/>
  <c r="I2698" i="2"/>
  <c r="H2699" i="2"/>
  <c r="I2699" i="2"/>
  <c r="H2700" i="2"/>
  <c r="I2700" i="2"/>
  <c r="H2701" i="2"/>
  <c r="I2701" i="2"/>
  <c r="H2702" i="2"/>
  <c r="I2702" i="2"/>
  <c r="H2703" i="2"/>
  <c r="I2703" i="2"/>
  <c r="H2704" i="2"/>
  <c r="I2704" i="2"/>
  <c r="H2705" i="2"/>
  <c r="I2705" i="2"/>
  <c r="H2706" i="2"/>
  <c r="I2706" i="2"/>
  <c r="H2707" i="2"/>
  <c r="I2707" i="2"/>
  <c r="H2708" i="2"/>
  <c r="I2708" i="2"/>
  <c r="H2709" i="2"/>
  <c r="I2709" i="2"/>
  <c r="H2710" i="2"/>
  <c r="I2710" i="2"/>
  <c r="H2711" i="2"/>
  <c r="I2711" i="2"/>
  <c r="H2712" i="2"/>
  <c r="I2712" i="2"/>
  <c r="H2713" i="2"/>
  <c r="I2713" i="2"/>
  <c r="H2714" i="2"/>
  <c r="I2714" i="2"/>
  <c r="H2715" i="2"/>
  <c r="I2715" i="2"/>
  <c r="H2716" i="2"/>
  <c r="I2716" i="2"/>
  <c r="H2717" i="2"/>
  <c r="I2717" i="2"/>
  <c r="H2718" i="2"/>
  <c r="I2718" i="2"/>
  <c r="H2719" i="2"/>
  <c r="I2719" i="2"/>
  <c r="H2720" i="2"/>
  <c r="I2720" i="2"/>
  <c r="H2721" i="2"/>
  <c r="I2721" i="2"/>
  <c r="H2722" i="2"/>
  <c r="I2722" i="2"/>
  <c r="H2723" i="2"/>
  <c r="I2723" i="2"/>
  <c r="H2724" i="2"/>
  <c r="I2724" i="2"/>
  <c r="H2725" i="2"/>
  <c r="I2725" i="2"/>
  <c r="H2726" i="2"/>
  <c r="I2726" i="2"/>
  <c r="H2727" i="2"/>
  <c r="I2727" i="2"/>
  <c r="H2728" i="2"/>
  <c r="I2728" i="2"/>
  <c r="H2729" i="2"/>
  <c r="I2729" i="2"/>
  <c r="H2730" i="2"/>
  <c r="I2730" i="2"/>
  <c r="H2731" i="2"/>
  <c r="I2731" i="2"/>
  <c r="H2732" i="2"/>
  <c r="I2732" i="2"/>
  <c r="H2733" i="2"/>
  <c r="I2733" i="2"/>
  <c r="H2734" i="2"/>
  <c r="I2734" i="2"/>
  <c r="H2735" i="2"/>
  <c r="I2735" i="2"/>
  <c r="H2736" i="2"/>
  <c r="I2736" i="2"/>
  <c r="H2737" i="2"/>
  <c r="I2737" i="2"/>
  <c r="H2738" i="2"/>
  <c r="I2738" i="2"/>
  <c r="H2739" i="2"/>
  <c r="I2739" i="2"/>
  <c r="H2740" i="2"/>
  <c r="I2740" i="2"/>
  <c r="H2741" i="2"/>
  <c r="I2741" i="2"/>
  <c r="H2742" i="2"/>
  <c r="I2742" i="2"/>
  <c r="H2743" i="2"/>
  <c r="I2743" i="2"/>
  <c r="H2744" i="2"/>
  <c r="I2744" i="2"/>
  <c r="H2745" i="2"/>
  <c r="I2745" i="2"/>
  <c r="H2746" i="2"/>
  <c r="I2746" i="2"/>
  <c r="H2747" i="2"/>
  <c r="I2747" i="2"/>
  <c r="H2748" i="2"/>
  <c r="I2748" i="2"/>
  <c r="H2749" i="2"/>
  <c r="I2749" i="2"/>
  <c r="H2750" i="2"/>
  <c r="I2750" i="2"/>
  <c r="H2751" i="2"/>
  <c r="I2751" i="2"/>
  <c r="H2752" i="2"/>
  <c r="I2752" i="2"/>
  <c r="H2753" i="2"/>
  <c r="I2753" i="2"/>
  <c r="H2754" i="2"/>
  <c r="I2754" i="2"/>
  <c r="H2755" i="2"/>
  <c r="I2755" i="2"/>
  <c r="H2756" i="2"/>
  <c r="I2756" i="2"/>
  <c r="H2757" i="2"/>
  <c r="I2757" i="2"/>
  <c r="H2758" i="2"/>
  <c r="I2758" i="2"/>
  <c r="H2759" i="2"/>
  <c r="I2759" i="2"/>
  <c r="H2760" i="2"/>
  <c r="I2760" i="2"/>
  <c r="H2761" i="2"/>
  <c r="I2761" i="2"/>
  <c r="H2762" i="2"/>
  <c r="I2762" i="2"/>
  <c r="H2763" i="2"/>
  <c r="I2763" i="2"/>
  <c r="H2764" i="2"/>
  <c r="I2764" i="2"/>
  <c r="H2765" i="2"/>
  <c r="I2765" i="2"/>
  <c r="H2766" i="2"/>
  <c r="I2766" i="2"/>
  <c r="H2767" i="2"/>
  <c r="I2767" i="2"/>
  <c r="H2768" i="2"/>
  <c r="I2768" i="2"/>
  <c r="H2769" i="2"/>
  <c r="I2769" i="2"/>
  <c r="H2770" i="2"/>
  <c r="I2770" i="2"/>
  <c r="H2771" i="2"/>
  <c r="I2771" i="2"/>
  <c r="H2772" i="2"/>
  <c r="I2772" i="2"/>
  <c r="H2773" i="2"/>
  <c r="I2773" i="2"/>
  <c r="H2774" i="2"/>
  <c r="I2774" i="2"/>
  <c r="H2775" i="2"/>
  <c r="I2775" i="2"/>
  <c r="H2776" i="2"/>
  <c r="I2776" i="2"/>
  <c r="H2777" i="2"/>
  <c r="I2777" i="2"/>
  <c r="H2778" i="2"/>
  <c r="I2778" i="2"/>
  <c r="H2779" i="2"/>
  <c r="I2779" i="2"/>
  <c r="H2780" i="2"/>
  <c r="I2780" i="2"/>
  <c r="H2781" i="2"/>
  <c r="I2781" i="2"/>
  <c r="H2782" i="2"/>
  <c r="I2782" i="2"/>
  <c r="H2783" i="2"/>
  <c r="I2783" i="2"/>
  <c r="H2784" i="2"/>
  <c r="I2784" i="2"/>
  <c r="H2785" i="2"/>
  <c r="I2785" i="2"/>
  <c r="H2786" i="2"/>
  <c r="I2786" i="2"/>
  <c r="H2787" i="2"/>
  <c r="I2787" i="2"/>
  <c r="H2788" i="2"/>
  <c r="I2788" i="2"/>
  <c r="H2789" i="2"/>
  <c r="I2789" i="2"/>
  <c r="H2790" i="2"/>
  <c r="I2790" i="2"/>
  <c r="H2791" i="2"/>
  <c r="I2791" i="2"/>
  <c r="H2792" i="2"/>
  <c r="I2792" i="2"/>
  <c r="H2793" i="2"/>
  <c r="I2793" i="2"/>
  <c r="H2794" i="2"/>
  <c r="I2794" i="2"/>
  <c r="H2795" i="2"/>
  <c r="I2795" i="2"/>
  <c r="H2796" i="2"/>
  <c r="I2796" i="2"/>
  <c r="H2797" i="2"/>
  <c r="I2797" i="2"/>
  <c r="H2798" i="2"/>
  <c r="I2798" i="2"/>
  <c r="H2799" i="2"/>
  <c r="I2799" i="2"/>
  <c r="H2800" i="2"/>
  <c r="I2800" i="2"/>
  <c r="H2801" i="2"/>
  <c r="I2801" i="2"/>
  <c r="H2802" i="2"/>
  <c r="I2802" i="2"/>
  <c r="H2803" i="2"/>
  <c r="I2803" i="2"/>
  <c r="H2804" i="2"/>
  <c r="I2804" i="2"/>
  <c r="H2805" i="2"/>
  <c r="I2805" i="2"/>
  <c r="H2806" i="2"/>
  <c r="I2806" i="2"/>
  <c r="H2807" i="2"/>
  <c r="I2807" i="2"/>
  <c r="H2808" i="2"/>
  <c r="I2808" i="2"/>
  <c r="H2809" i="2"/>
  <c r="I2809" i="2"/>
  <c r="H2810" i="2"/>
  <c r="I2810" i="2"/>
  <c r="H2811" i="2"/>
  <c r="I2811" i="2"/>
  <c r="H2812" i="2"/>
  <c r="I2812" i="2"/>
  <c r="H2813" i="2"/>
  <c r="I2813" i="2"/>
  <c r="H2814" i="2"/>
  <c r="I2814" i="2"/>
  <c r="H2815" i="2"/>
  <c r="I2815" i="2"/>
  <c r="H2816" i="2"/>
  <c r="I2816" i="2"/>
  <c r="H2817" i="2"/>
  <c r="I2817" i="2"/>
  <c r="H2818" i="2"/>
  <c r="I2818" i="2"/>
  <c r="H2819" i="2"/>
  <c r="I2819" i="2"/>
  <c r="H2820" i="2"/>
  <c r="I2820" i="2"/>
  <c r="H2821" i="2"/>
  <c r="I2821" i="2"/>
  <c r="H2822" i="2"/>
  <c r="I2822" i="2"/>
  <c r="H2823" i="2"/>
  <c r="I2823" i="2"/>
  <c r="H2824" i="2"/>
  <c r="I2824" i="2"/>
  <c r="H2825" i="2"/>
  <c r="I2825" i="2"/>
  <c r="H2826" i="2"/>
  <c r="I2826" i="2"/>
  <c r="H2827" i="2"/>
  <c r="I2827" i="2"/>
  <c r="H2828" i="2"/>
  <c r="I2828" i="2"/>
  <c r="H2829" i="2"/>
  <c r="I2829" i="2"/>
  <c r="H2830" i="2"/>
  <c r="I2830" i="2"/>
  <c r="H2831" i="2"/>
  <c r="I2831" i="2"/>
  <c r="H2832" i="2"/>
  <c r="I2832" i="2"/>
  <c r="H2833" i="2"/>
  <c r="I2833" i="2"/>
  <c r="H2834" i="2"/>
  <c r="I2834" i="2"/>
  <c r="H2835" i="2"/>
  <c r="I2835" i="2"/>
  <c r="H2836" i="2"/>
  <c r="I2836" i="2"/>
  <c r="H2837" i="2"/>
  <c r="I2837" i="2"/>
  <c r="H2838" i="2"/>
  <c r="I2838" i="2"/>
  <c r="H2839" i="2"/>
  <c r="I2839" i="2"/>
  <c r="H2840" i="2"/>
  <c r="I2840" i="2"/>
  <c r="H2841" i="2"/>
  <c r="I2841" i="2"/>
  <c r="H2842" i="2"/>
  <c r="I2842" i="2"/>
  <c r="H2843" i="2"/>
  <c r="I2843" i="2"/>
  <c r="H2844" i="2"/>
  <c r="I2844" i="2"/>
  <c r="H2845" i="2"/>
  <c r="I2845" i="2"/>
  <c r="H2846" i="2"/>
  <c r="I2846" i="2"/>
  <c r="H2847" i="2"/>
  <c r="I2847" i="2"/>
  <c r="H2848" i="2"/>
  <c r="I2848" i="2"/>
  <c r="H2849" i="2"/>
  <c r="I2849" i="2"/>
  <c r="H2850" i="2"/>
  <c r="I2850" i="2"/>
  <c r="H2851" i="2"/>
  <c r="I2851" i="2"/>
  <c r="H2852" i="2"/>
  <c r="I2852" i="2"/>
  <c r="H2853" i="2"/>
  <c r="I2853" i="2"/>
  <c r="H2854" i="2"/>
  <c r="I2854" i="2"/>
  <c r="H2855" i="2"/>
  <c r="I2855" i="2"/>
  <c r="H2856" i="2"/>
  <c r="I2856" i="2"/>
  <c r="H2857" i="2"/>
  <c r="I2857" i="2"/>
  <c r="H2858" i="2"/>
  <c r="I2858" i="2"/>
  <c r="H2859" i="2"/>
  <c r="I2859" i="2"/>
  <c r="H2860" i="2"/>
  <c r="I2860" i="2"/>
  <c r="H2861" i="2"/>
  <c r="I2861" i="2"/>
  <c r="H2862" i="2"/>
  <c r="I2862" i="2"/>
  <c r="H2863" i="2"/>
  <c r="I2863" i="2"/>
  <c r="H2864" i="2"/>
  <c r="I2864" i="2"/>
  <c r="H2865" i="2"/>
  <c r="I2865" i="2"/>
  <c r="H2866" i="2"/>
  <c r="I2866" i="2"/>
  <c r="H2867" i="2"/>
  <c r="I2867" i="2"/>
  <c r="H2868" i="2"/>
  <c r="I2868" i="2"/>
  <c r="H2869" i="2"/>
  <c r="I2869" i="2"/>
  <c r="H2870" i="2"/>
  <c r="I2870" i="2"/>
  <c r="H2871" i="2"/>
  <c r="I2871" i="2"/>
  <c r="H2872" i="2"/>
  <c r="I2872" i="2"/>
  <c r="H2873" i="2"/>
  <c r="I2873" i="2"/>
  <c r="H2874" i="2"/>
  <c r="I2874" i="2"/>
  <c r="H2875" i="2"/>
  <c r="I2875" i="2"/>
  <c r="H2876" i="2"/>
  <c r="I2876" i="2"/>
  <c r="H2877" i="2"/>
  <c r="I2877" i="2"/>
  <c r="H2878" i="2"/>
  <c r="I2878" i="2"/>
  <c r="H2879" i="2"/>
  <c r="I2879" i="2"/>
  <c r="H2880" i="2"/>
  <c r="I2880" i="2"/>
  <c r="H2881" i="2"/>
  <c r="I2881" i="2"/>
  <c r="H2882" i="2"/>
  <c r="I2882" i="2"/>
  <c r="H2883" i="2"/>
  <c r="I2883" i="2"/>
  <c r="H2884" i="2"/>
  <c r="I2884" i="2"/>
  <c r="H2885" i="2"/>
  <c r="I2885" i="2"/>
  <c r="H2886" i="2"/>
  <c r="I2886" i="2"/>
  <c r="H2887" i="2"/>
  <c r="I2887" i="2"/>
  <c r="H2888" i="2"/>
  <c r="I2888" i="2"/>
  <c r="H2889" i="2"/>
  <c r="I2889" i="2"/>
  <c r="H2890" i="2"/>
  <c r="I2890" i="2"/>
  <c r="H2891" i="2"/>
  <c r="I2891" i="2"/>
  <c r="H2892" i="2"/>
  <c r="I2892" i="2"/>
  <c r="H2893" i="2"/>
  <c r="I2893" i="2"/>
  <c r="H2894" i="2"/>
  <c r="I2894" i="2"/>
  <c r="H2895" i="2"/>
  <c r="I2895" i="2"/>
  <c r="H2896" i="2"/>
  <c r="I2896" i="2"/>
  <c r="H2897" i="2"/>
  <c r="I2897" i="2"/>
  <c r="H2898" i="2"/>
  <c r="I2898" i="2"/>
  <c r="H2899" i="2"/>
  <c r="I2899" i="2"/>
  <c r="H2900" i="2"/>
  <c r="I2900" i="2"/>
  <c r="H2901" i="2"/>
  <c r="I2901" i="2"/>
  <c r="H2902" i="2"/>
  <c r="I2902" i="2"/>
  <c r="H2903" i="2"/>
  <c r="I2903" i="2"/>
  <c r="H2904" i="2"/>
  <c r="I2904" i="2"/>
  <c r="H2905" i="2"/>
  <c r="I2905" i="2"/>
  <c r="H2906" i="2"/>
  <c r="I2906" i="2"/>
  <c r="H2907" i="2"/>
  <c r="I2907" i="2"/>
  <c r="H2908" i="2"/>
  <c r="I2908" i="2"/>
  <c r="H2909" i="2"/>
  <c r="I2909" i="2"/>
  <c r="H2910" i="2"/>
  <c r="I2910" i="2"/>
  <c r="H2911" i="2"/>
  <c r="I2911" i="2"/>
  <c r="H2912" i="2"/>
  <c r="I2912" i="2"/>
  <c r="H2913" i="2"/>
  <c r="I2913" i="2"/>
  <c r="H2914" i="2"/>
  <c r="I2914" i="2"/>
  <c r="H2915" i="2"/>
  <c r="I2915" i="2"/>
  <c r="H2916" i="2"/>
  <c r="I2916" i="2"/>
  <c r="H2917" i="2"/>
  <c r="I2917" i="2"/>
  <c r="H2918" i="2"/>
  <c r="I2918" i="2"/>
  <c r="H2919" i="2"/>
  <c r="I2919" i="2"/>
  <c r="H2920" i="2"/>
  <c r="I2920" i="2"/>
  <c r="H2921" i="2"/>
  <c r="I2921" i="2"/>
  <c r="H2922" i="2"/>
  <c r="I2922" i="2"/>
  <c r="H2923" i="2"/>
  <c r="I2923" i="2"/>
  <c r="H2924" i="2"/>
  <c r="I2924" i="2"/>
  <c r="H2925" i="2"/>
  <c r="I2925" i="2"/>
  <c r="H2926" i="2"/>
  <c r="I2926" i="2"/>
  <c r="H2927" i="2"/>
  <c r="I2927" i="2"/>
  <c r="H2928" i="2"/>
  <c r="I2928" i="2"/>
  <c r="H2929" i="2"/>
  <c r="I2929" i="2"/>
  <c r="H2930" i="2"/>
  <c r="I2930" i="2"/>
  <c r="H2931" i="2"/>
  <c r="I2931" i="2"/>
  <c r="H2932" i="2"/>
  <c r="I2932" i="2"/>
  <c r="H2933" i="2"/>
  <c r="I2933" i="2"/>
  <c r="H2934" i="2"/>
  <c r="I2934" i="2"/>
  <c r="H2935" i="2"/>
  <c r="I2935" i="2"/>
  <c r="H2936" i="2"/>
  <c r="I2936" i="2"/>
  <c r="H2937" i="2"/>
  <c r="I2937" i="2"/>
  <c r="H2938" i="2"/>
  <c r="I2938" i="2"/>
  <c r="H2939" i="2"/>
  <c r="I2939" i="2"/>
  <c r="H2940" i="2"/>
  <c r="I2940" i="2"/>
  <c r="H2941" i="2"/>
  <c r="I2941" i="2"/>
  <c r="H2942" i="2"/>
  <c r="I2942" i="2"/>
  <c r="H2943" i="2"/>
  <c r="I2943" i="2"/>
  <c r="H2944" i="2"/>
  <c r="I2944" i="2"/>
  <c r="H2945" i="2"/>
  <c r="I2945" i="2"/>
  <c r="H2946" i="2"/>
  <c r="I2946" i="2"/>
  <c r="H2947" i="2"/>
  <c r="I2947" i="2"/>
  <c r="H2948" i="2"/>
  <c r="I2948" i="2"/>
  <c r="H2949" i="2"/>
  <c r="I2949" i="2"/>
  <c r="H2950" i="2"/>
  <c r="I2950" i="2"/>
  <c r="H2951" i="2"/>
  <c r="I2951" i="2"/>
  <c r="H2952" i="2"/>
  <c r="I2952" i="2"/>
  <c r="H2953" i="2"/>
  <c r="I2953" i="2"/>
  <c r="H2954" i="2"/>
  <c r="I2954" i="2"/>
  <c r="H2955" i="2"/>
  <c r="I2955" i="2"/>
  <c r="H2956" i="2"/>
  <c r="I2956" i="2"/>
  <c r="H2957" i="2"/>
  <c r="I2957" i="2"/>
  <c r="H2958" i="2"/>
  <c r="I2958" i="2"/>
  <c r="H2959" i="2"/>
  <c r="I2959" i="2"/>
  <c r="H2960" i="2"/>
  <c r="I2960" i="2"/>
  <c r="H2961" i="2"/>
  <c r="I2961" i="2"/>
  <c r="H2962" i="2"/>
  <c r="I2962" i="2"/>
  <c r="H2963" i="2"/>
  <c r="I2963" i="2"/>
  <c r="H2964" i="2"/>
  <c r="I2964" i="2"/>
  <c r="H2965" i="2"/>
  <c r="I2965" i="2"/>
  <c r="H2966" i="2"/>
  <c r="I2966" i="2"/>
  <c r="H2967" i="2"/>
  <c r="I2967" i="2"/>
  <c r="H2968" i="2"/>
  <c r="I2968" i="2"/>
  <c r="H2969" i="2"/>
  <c r="I2969" i="2"/>
  <c r="H2970" i="2"/>
  <c r="I2970" i="2"/>
  <c r="H2971" i="2"/>
  <c r="I2971" i="2"/>
  <c r="H2972" i="2"/>
  <c r="I2972" i="2"/>
  <c r="H2973" i="2"/>
  <c r="I2973" i="2"/>
  <c r="H2974" i="2"/>
  <c r="I2974" i="2"/>
  <c r="H2975" i="2"/>
  <c r="I2975" i="2"/>
  <c r="H2976" i="2"/>
  <c r="I2976" i="2"/>
  <c r="H2977" i="2"/>
  <c r="I2977" i="2"/>
  <c r="H2978" i="2"/>
  <c r="I2978" i="2"/>
  <c r="H2979" i="2"/>
  <c r="I2979" i="2"/>
  <c r="H2980" i="2"/>
  <c r="I2980" i="2"/>
  <c r="H2981" i="2"/>
  <c r="I2981" i="2"/>
  <c r="H2982" i="2"/>
  <c r="I2982" i="2"/>
  <c r="H2983" i="2"/>
  <c r="I2983" i="2"/>
  <c r="H2984" i="2"/>
  <c r="I2984" i="2"/>
  <c r="H2985" i="2"/>
  <c r="I2985" i="2"/>
  <c r="H2986" i="2"/>
  <c r="I2986" i="2"/>
  <c r="H2987" i="2"/>
  <c r="I2987" i="2"/>
  <c r="H2988" i="2"/>
  <c r="I2988" i="2"/>
  <c r="H2989" i="2"/>
  <c r="I2989" i="2"/>
  <c r="H2990" i="2"/>
  <c r="I2990" i="2"/>
  <c r="H2991" i="2"/>
  <c r="I2991" i="2"/>
  <c r="H2992" i="2"/>
  <c r="I2992" i="2"/>
  <c r="H2993" i="2"/>
  <c r="I2993" i="2"/>
  <c r="H2994" i="2"/>
  <c r="I2994" i="2"/>
  <c r="H2995" i="2"/>
  <c r="I2995" i="2"/>
  <c r="H2996" i="2"/>
  <c r="I2996" i="2"/>
  <c r="H2997" i="2"/>
  <c r="I2997" i="2"/>
  <c r="H2998" i="2"/>
  <c r="I2998" i="2"/>
  <c r="H2999" i="2"/>
  <c r="I2999" i="2"/>
  <c r="H3000" i="2"/>
  <c r="I3000" i="2"/>
  <c r="H3001" i="2"/>
  <c r="I3001" i="2"/>
  <c r="H3002" i="2"/>
  <c r="I3002" i="2"/>
  <c r="H3003" i="2"/>
  <c r="I3003" i="2"/>
  <c r="H3004" i="2"/>
  <c r="I3004" i="2"/>
  <c r="H3005" i="2"/>
  <c r="I3005" i="2"/>
  <c r="H3006" i="2"/>
  <c r="I3006" i="2"/>
  <c r="H3007" i="2"/>
  <c r="I3007" i="2"/>
  <c r="H3008" i="2"/>
  <c r="I3008" i="2"/>
  <c r="H3009" i="2"/>
  <c r="I3009" i="2"/>
  <c r="H3010" i="2"/>
  <c r="I3010" i="2"/>
  <c r="H3011" i="2"/>
  <c r="I3011" i="2"/>
  <c r="H3012" i="2"/>
  <c r="I3012" i="2"/>
  <c r="H3013" i="2"/>
  <c r="I3013" i="2"/>
  <c r="H3014" i="2"/>
  <c r="I3014" i="2"/>
  <c r="H3015" i="2"/>
  <c r="I3015" i="2"/>
  <c r="H3016" i="2"/>
  <c r="I3016" i="2"/>
  <c r="H3017" i="2"/>
  <c r="I3017" i="2"/>
  <c r="H3018" i="2"/>
  <c r="I3018" i="2"/>
  <c r="H3019" i="2"/>
  <c r="I3019" i="2"/>
  <c r="H3020" i="2"/>
  <c r="I3020" i="2"/>
  <c r="H3021" i="2"/>
  <c r="I3021" i="2"/>
  <c r="H3022" i="2"/>
  <c r="I3022" i="2"/>
  <c r="H3023" i="2"/>
  <c r="I3023" i="2"/>
  <c r="H3024" i="2"/>
  <c r="I3024" i="2"/>
  <c r="H3025" i="2"/>
  <c r="I3025" i="2"/>
  <c r="H3026" i="2"/>
  <c r="I3026" i="2"/>
  <c r="H3027" i="2"/>
  <c r="I3027" i="2"/>
  <c r="H3028" i="2"/>
  <c r="I3028" i="2"/>
  <c r="H3029" i="2"/>
  <c r="I3029" i="2"/>
  <c r="H3030" i="2"/>
  <c r="I3030" i="2"/>
  <c r="H3031" i="2"/>
  <c r="I3031" i="2"/>
  <c r="H3032" i="2"/>
  <c r="I3032" i="2"/>
  <c r="H3033" i="2"/>
  <c r="I3033" i="2"/>
  <c r="H3034" i="2"/>
  <c r="I3034" i="2"/>
  <c r="H3035" i="2"/>
  <c r="I3035" i="2"/>
  <c r="H3036" i="2"/>
  <c r="I3036" i="2"/>
  <c r="H3037" i="2"/>
  <c r="I3037" i="2"/>
  <c r="H3038" i="2"/>
  <c r="I3038" i="2"/>
  <c r="H3039" i="2"/>
  <c r="I3039" i="2"/>
  <c r="H3040" i="2"/>
  <c r="I3040" i="2"/>
  <c r="H3041" i="2"/>
  <c r="I3041" i="2"/>
  <c r="H3042" i="2"/>
  <c r="I3042" i="2"/>
  <c r="H3043" i="2"/>
  <c r="I3043" i="2"/>
  <c r="H3044" i="2"/>
  <c r="I3044" i="2"/>
  <c r="H3045" i="2"/>
  <c r="I3045" i="2"/>
  <c r="H3046" i="2"/>
  <c r="I3046" i="2"/>
  <c r="H3047" i="2"/>
  <c r="I3047" i="2"/>
  <c r="H3048" i="2"/>
  <c r="I3048" i="2"/>
  <c r="H3049" i="2"/>
  <c r="I3049" i="2"/>
  <c r="H3050" i="2"/>
  <c r="I3050" i="2"/>
  <c r="H3051" i="2"/>
  <c r="I3051" i="2"/>
  <c r="H3052" i="2"/>
  <c r="I3052" i="2"/>
  <c r="H3053" i="2"/>
  <c r="I3053" i="2"/>
  <c r="H3054" i="2"/>
  <c r="I3054" i="2"/>
  <c r="H3055" i="2"/>
  <c r="I3055" i="2"/>
  <c r="H3056" i="2"/>
  <c r="I3056" i="2"/>
  <c r="H3057" i="2"/>
  <c r="I3057" i="2"/>
  <c r="H3058" i="2"/>
  <c r="I3058" i="2"/>
  <c r="H3059" i="2"/>
  <c r="I3059" i="2"/>
  <c r="H3060" i="2"/>
  <c r="I3060" i="2"/>
  <c r="H3061" i="2"/>
  <c r="I3061" i="2"/>
  <c r="H3062" i="2"/>
  <c r="I3062" i="2"/>
  <c r="H3063" i="2"/>
  <c r="I3063" i="2"/>
  <c r="H3064" i="2"/>
  <c r="I3064" i="2"/>
  <c r="H3065" i="2"/>
  <c r="I3065" i="2"/>
  <c r="H3066" i="2"/>
  <c r="I3066" i="2"/>
  <c r="H3067" i="2"/>
  <c r="I3067" i="2"/>
  <c r="H3068" i="2"/>
  <c r="I3068" i="2"/>
  <c r="H3069" i="2"/>
  <c r="I3069" i="2"/>
  <c r="H3070" i="2"/>
  <c r="I3070" i="2"/>
  <c r="H3071" i="2"/>
  <c r="I3071" i="2"/>
  <c r="H3072" i="2"/>
  <c r="I3072" i="2"/>
  <c r="H3073" i="2"/>
  <c r="I3073" i="2"/>
  <c r="H3074" i="2"/>
  <c r="I3074" i="2"/>
  <c r="H3075" i="2"/>
  <c r="I3075" i="2"/>
  <c r="H3076" i="2"/>
  <c r="I3076" i="2"/>
  <c r="H3077" i="2"/>
  <c r="I3077" i="2"/>
  <c r="H3078" i="2"/>
  <c r="I3078" i="2"/>
  <c r="H3079" i="2"/>
  <c r="I3079" i="2"/>
  <c r="H3080" i="2"/>
  <c r="I3080" i="2"/>
  <c r="H3081" i="2"/>
  <c r="I3081" i="2"/>
  <c r="H3082" i="2"/>
  <c r="I3082" i="2"/>
  <c r="H3083" i="2"/>
  <c r="I3083" i="2"/>
  <c r="H3084" i="2"/>
  <c r="I3084" i="2"/>
  <c r="H3085" i="2"/>
  <c r="I3085" i="2"/>
  <c r="H3086" i="2"/>
  <c r="I3086" i="2"/>
  <c r="H3087" i="2"/>
  <c r="I3087" i="2"/>
  <c r="H3088" i="2"/>
  <c r="I3088" i="2"/>
  <c r="H3089" i="2"/>
  <c r="I3089" i="2"/>
  <c r="H3090" i="2"/>
  <c r="I3090" i="2"/>
  <c r="H3091" i="2"/>
  <c r="I3091" i="2"/>
  <c r="H3092" i="2"/>
  <c r="I3092" i="2"/>
  <c r="H3093" i="2"/>
  <c r="I3093" i="2"/>
  <c r="H3094" i="2"/>
  <c r="I3094" i="2"/>
  <c r="H3095" i="2"/>
  <c r="I3095" i="2"/>
  <c r="H3096" i="2"/>
  <c r="I3096" i="2"/>
  <c r="H3097" i="2"/>
  <c r="I3097" i="2"/>
  <c r="H3098" i="2"/>
  <c r="I3098" i="2"/>
  <c r="H3099" i="2"/>
  <c r="I3099" i="2"/>
  <c r="H3100" i="2"/>
  <c r="I3100" i="2"/>
  <c r="H3101" i="2"/>
  <c r="I3101" i="2"/>
  <c r="H3102" i="2"/>
  <c r="I3102" i="2"/>
  <c r="H3103" i="2"/>
  <c r="I3103" i="2"/>
  <c r="H3104" i="2"/>
  <c r="I3104" i="2"/>
  <c r="H3105" i="2"/>
  <c r="I3105" i="2"/>
  <c r="H3106" i="2"/>
  <c r="I3106" i="2"/>
  <c r="H3107" i="2"/>
  <c r="I3107" i="2"/>
  <c r="H3108" i="2"/>
  <c r="I3108" i="2"/>
  <c r="H3109" i="2"/>
  <c r="I3109" i="2"/>
  <c r="H3110" i="2"/>
  <c r="I3110" i="2"/>
  <c r="H3111" i="2"/>
  <c r="I3111" i="2"/>
  <c r="H3112" i="2"/>
  <c r="I3112" i="2"/>
  <c r="H3113" i="2"/>
  <c r="I3113" i="2"/>
  <c r="H3114" i="2"/>
  <c r="I3114" i="2"/>
  <c r="H3115" i="2"/>
  <c r="I3115" i="2"/>
  <c r="H3116" i="2"/>
  <c r="I3116" i="2"/>
  <c r="H3117" i="2"/>
  <c r="I3117" i="2"/>
  <c r="H3118" i="2"/>
  <c r="I3118" i="2"/>
  <c r="H3119" i="2"/>
  <c r="I3119" i="2"/>
  <c r="H3120" i="2"/>
  <c r="I3120" i="2"/>
  <c r="H3121" i="2"/>
  <c r="I3121" i="2"/>
  <c r="H3122" i="2"/>
  <c r="I3122" i="2"/>
  <c r="H3123" i="2"/>
  <c r="I3123" i="2"/>
  <c r="H3124" i="2"/>
  <c r="I3124" i="2"/>
  <c r="H3125" i="2"/>
  <c r="I3125" i="2"/>
  <c r="H3126" i="2"/>
  <c r="I3126" i="2"/>
  <c r="H3127" i="2"/>
  <c r="I3127" i="2"/>
  <c r="H3128" i="2"/>
  <c r="I3128" i="2"/>
  <c r="H3129" i="2"/>
  <c r="I3129" i="2"/>
  <c r="H3130" i="2"/>
  <c r="I3130" i="2"/>
  <c r="H3131" i="2"/>
  <c r="I3131" i="2"/>
  <c r="H3132" i="2"/>
  <c r="I3132" i="2"/>
  <c r="H3133" i="2"/>
  <c r="I3133" i="2"/>
  <c r="H3134" i="2"/>
  <c r="I3134" i="2"/>
  <c r="H3135" i="2"/>
  <c r="I3135" i="2"/>
  <c r="H3136" i="2"/>
  <c r="I3136" i="2"/>
  <c r="H3137" i="2"/>
  <c r="I3137" i="2"/>
  <c r="H3138" i="2"/>
  <c r="I3138" i="2"/>
  <c r="H3139" i="2"/>
  <c r="I3139" i="2"/>
  <c r="H3140" i="2"/>
  <c r="I3140" i="2"/>
  <c r="H3141" i="2"/>
  <c r="I3141" i="2"/>
  <c r="H3142" i="2"/>
  <c r="I3142" i="2"/>
  <c r="H3143" i="2"/>
  <c r="I3143" i="2"/>
  <c r="H3144" i="2"/>
  <c r="I3144" i="2"/>
  <c r="H3145" i="2"/>
  <c r="I3145" i="2"/>
  <c r="H3146" i="2"/>
  <c r="I3146" i="2"/>
  <c r="H3147" i="2"/>
  <c r="I3147" i="2"/>
  <c r="H3148" i="2"/>
  <c r="I3148" i="2"/>
  <c r="H3149" i="2"/>
  <c r="I3149" i="2"/>
  <c r="H3150" i="2"/>
  <c r="I3150" i="2"/>
  <c r="H3151" i="2"/>
  <c r="I3151" i="2"/>
  <c r="H3152" i="2"/>
  <c r="I3152" i="2"/>
  <c r="H3153" i="2"/>
  <c r="I3153" i="2"/>
  <c r="H3154" i="2"/>
  <c r="I3154" i="2"/>
  <c r="H3155" i="2"/>
  <c r="I3155" i="2"/>
  <c r="H3156" i="2"/>
  <c r="I3156" i="2"/>
  <c r="H3157" i="2"/>
  <c r="I3157" i="2"/>
  <c r="H3158" i="2"/>
  <c r="I3158" i="2"/>
  <c r="H3159" i="2"/>
  <c r="I3159" i="2"/>
  <c r="H3160" i="2"/>
  <c r="I3160" i="2"/>
  <c r="H3161" i="2"/>
  <c r="I3161" i="2"/>
  <c r="H3162" i="2"/>
  <c r="I3162" i="2"/>
  <c r="H3163" i="2"/>
  <c r="I3163" i="2"/>
  <c r="H3164" i="2"/>
  <c r="I3164" i="2"/>
  <c r="H3165" i="2"/>
  <c r="I3165" i="2"/>
  <c r="H3166" i="2"/>
  <c r="I3166" i="2"/>
  <c r="H3167" i="2"/>
  <c r="I3167" i="2"/>
  <c r="H3168" i="2"/>
  <c r="I3168" i="2"/>
  <c r="H3169" i="2"/>
  <c r="I3169" i="2"/>
  <c r="H3170" i="2"/>
  <c r="I3170" i="2"/>
  <c r="H3171" i="2"/>
  <c r="I3171" i="2"/>
  <c r="H3172" i="2"/>
  <c r="I3172" i="2"/>
  <c r="H3173" i="2"/>
  <c r="I3173" i="2"/>
  <c r="H3174" i="2"/>
  <c r="I3174" i="2"/>
  <c r="H3175" i="2"/>
  <c r="I3175" i="2"/>
  <c r="H3176" i="2"/>
  <c r="I3176" i="2"/>
  <c r="H3177" i="2"/>
  <c r="I3177" i="2"/>
  <c r="H3178" i="2"/>
  <c r="I3178" i="2"/>
  <c r="H3179" i="2"/>
  <c r="I3179" i="2"/>
  <c r="H3180" i="2"/>
  <c r="I3180" i="2"/>
  <c r="H3181" i="2"/>
  <c r="I3181" i="2"/>
  <c r="H3182" i="2"/>
  <c r="I3182" i="2"/>
  <c r="H3183" i="2"/>
  <c r="I3183" i="2"/>
  <c r="H3184" i="2"/>
  <c r="I3184" i="2"/>
  <c r="H3185" i="2"/>
  <c r="I3185" i="2"/>
  <c r="H3186" i="2"/>
  <c r="I3186" i="2"/>
  <c r="H3187" i="2"/>
  <c r="I3187" i="2"/>
  <c r="H3188" i="2"/>
  <c r="I3188" i="2"/>
  <c r="H3189" i="2"/>
  <c r="I3189" i="2"/>
  <c r="H3190" i="2"/>
  <c r="I3190" i="2"/>
  <c r="H3191" i="2"/>
  <c r="I3191" i="2"/>
  <c r="H3192" i="2"/>
  <c r="I3192" i="2"/>
  <c r="H3193" i="2"/>
  <c r="I3193" i="2"/>
  <c r="H3194" i="2"/>
  <c r="I3194" i="2"/>
  <c r="H3195" i="2"/>
  <c r="I3195" i="2"/>
  <c r="H3196" i="2"/>
  <c r="I3196" i="2"/>
  <c r="H3197" i="2"/>
  <c r="I3197" i="2"/>
  <c r="H3198" i="2"/>
  <c r="I3198" i="2"/>
  <c r="H3199" i="2"/>
  <c r="I3199" i="2"/>
  <c r="H3200" i="2"/>
  <c r="I3200" i="2"/>
  <c r="H3201" i="2"/>
  <c r="I3201" i="2"/>
  <c r="H3202" i="2"/>
  <c r="I3202" i="2"/>
  <c r="H3203" i="2"/>
  <c r="I3203" i="2"/>
  <c r="H3204" i="2"/>
  <c r="I3204" i="2"/>
  <c r="H3205" i="2"/>
  <c r="I3205" i="2"/>
  <c r="H3206" i="2"/>
  <c r="I3206" i="2"/>
  <c r="H3207" i="2"/>
  <c r="I3207" i="2"/>
  <c r="H3208" i="2"/>
  <c r="I3208" i="2"/>
  <c r="H3209" i="2"/>
  <c r="I3209" i="2"/>
  <c r="H3210" i="2"/>
  <c r="I3210" i="2"/>
  <c r="H3211" i="2"/>
  <c r="I3211" i="2"/>
  <c r="H3212" i="2"/>
  <c r="I3212" i="2"/>
  <c r="H3213" i="2"/>
  <c r="I3213" i="2"/>
  <c r="H3214" i="2"/>
  <c r="I3214" i="2"/>
  <c r="H3215" i="2"/>
  <c r="I3215" i="2"/>
  <c r="H3216" i="2"/>
  <c r="I3216" i="2"/>
  <c r="H3217" i="2"/>
  <c r="I3217" i="2"/>
  <c r="H3218" i="2"/>
  <c r="I3218" i="2"/>
  <c r="H3219" i="2"/>
  <c r="I3219" i="2"/>
  <c r="H3220" i="2"/>
  <c r="I3220" i="2"/>
  <c r="H3221" i="2"/>
  <c r="I3221" i="2"/>
  <c r="H3222" i="2"/>
  <c r="I3222" i="2"/>
  <c r="H3223" i="2"/>
  <c r="I3223" i="2"/>
  <c r="H3224" i="2"/>
  <c r="I3224" i="2"/>
  <c r="H3225" i="2"/>
  <c r="I3225" i="2"/>
  <c r="H3226" i="2"/>
  <c r="I3226" i="2"/>
  <c r="H3227" i="2"/>
  <c r="I3227" i="2"/>
  <c r="H3228" i="2"/>
  <c r="I3228" i="2"/>
  <c r="H3229" i="2"/>
  <c r="I3229" i="2"/>
  <c r="H3230" i="2"/>
  <c r="I3230" i="2"/>
  <c r="H3231" i="2"/>
  <c r="I3231" i="2"/>
  <c r="H3232" i="2"/>
  <c r="I3232" i="2"/>
  <c r="H3233" i="2"/>
  <c r="I3233" i="2"/>
  <c r="H3234" i="2"/>
  <c r="I3234" i="2"/>
  <c r="H3235" i="2"/>
  <c r="I3235" i="2"/>
  <c r="H3236" i="2"/>
  <c r="I3236" i="2"/>
  <c r="H3237" i="2"/>
  <c r="I3237" i="2"/>
  <c r="H3238" i="2"/>
  <c r="I3238" i="2"/>
  <c r="H3239" i="2"/>
  <c r="I3239" i="2"/>
  <c r="H3240" i="2"/>
  <c r="I3240" i="2"/>
  <c r="H3241" i="2"/>
  <c r="I3241" i="2"/>
  <c r="H3242" i="2"/>
  <c r="I3242" i="2"/>
  <c r="H3243" i="2"/>
  <c r="I3243" i="2"/>
  <c r="H3244" i="2"/>
  <c r="I3244" i="2"/>
  <c r="H3245" i="2"/>
  <c r="I3245" i="2"/>
  <c r="H3246" i="2"/>
  <c r="I3246" i="2"/>
  <c r="H3247" i="2"/>
  <c r="I3247" i="2"/>
  <c r="H3248" i="2"/>
  <c r="I3248" i="2"/>
  <c r="H3249" i="2"/>
  <c r="I3249" i="2"/>
  <c r="H3250" i="2"/>
  <c r="I3250" i="2"/>
  <c r="H3251" i="2"/>
  <c r="I3251" i="2"/>
  <c r="H3252" i="2"/>
  <c r="I3252" i="2"/>
  <c r="H3253" i="2"/>
  <c r="I3253" i="2"/>
  <c r="H3254" i="2"/>
  <c r="I3254" i="2"/>
  <c r="H3255" i="2"/>
  <c r="I3255" i="2"/>
  <c r="H3256" i="2"/>
  <c r="I3256" i="2"/>
  <c r="H3257" i="2"/>
  <c r="I3257" i="2"/>
  <c r="H3258" i="2"/>
  <c r="I3258" i="2"/>
  <c r="H3259" i="2"/>
  <c r="I3259" i="2"/>
  <c r="H3260" i="2"/>
  <c r="I3260" i="2"/>
  <c r="H3261" i="2"/>
  <c r="I3261" i="2"/>
  <c r="H3262" i="2"/>
  <c r="I3262" i="2"/>
  <c r="H3263" i="2"/>
  <c r="I3263" i="2"/>
  <c r="H3264" i="2"/>
  <c r="I3264" i="2"/>
  <c r="H3265" i="2"/>
  <c r="I3265" i="2"/>
  <c r="H3266" i="2"/>
  <c r="I3266" i="2"/>
  <c r="H3267" i="2"/>
  <c r="I3267" i="2"/>
  <c r="H3268" i="2"/>
  <c r="I3268" i="2"/>
  <c r="H3269" i="2"/>
  <c r="I3269" i="2"/>
  <c r="H3270" i="2"/>
  <c r="I3270" i="2"/>
  <c r="H3271" i="2"/>
  <c r="I3271" i="2"/>
  <c r="H3272" i="2"/>
  <c r="I3272" i="2"/>
  <c r="H3273" i="2"/>
  <c r="I3273" i="2"/>
  <c r="H3274" i="2"/>
  <c r="I3274" i="2"/>
  <c r="H3275" i="2"/>
  <c r="I3275" i="2"/>
  <c r="H3276" i="2"/>
  <c r="I3276" i="2"/>
  <c r="H3277" i="2"/>
  <c r="I3277" i="2"/>
  <c r="H3278" i="2"/>
  <c r="I3278" i="2"/>
  <c r="H3279" i="2"/>
  <c r="I3279" i="2"/>
  <c r="H3280" i="2"/>
  <c r="I3280" i="2"/>
  <c r="H3281" i="2"/>
  <c r="I3281" i="2"/>
  <c r="H3282" i="2"/>
  <c r="I3282" i="2"/>
  <c r="H3283" i="2"/>
  <c r="I3283" i="2"/>
  <c r="H3284" i="2"/>
  <c r="I3284" i="2"/>
  <c r="H3285" i="2"/>
  <c r="I3285" i="2"/>
  <c r="H3286" i="2"/>
  <c r="I3286" i="2"/>
  <c r="H3287" i="2"/>
  <c r="I3287" i="2"/>
  <c r="H3288" i="2"/>
  <c r="I3288" i="2"/>
  <c r="H3289" i="2"/>
  <c r="I3289" i="2"/>
  <c r="H3290" i="2"/>
  <c r="I3290" i="2"/>
  <c r="H3291" i="2"/>
  <c r="I3291" i="2"/>
  <c r="H3292" i="2"/>
  <c r="I3292" i="2"/>
  <c r="H3293" i="2"/>
  <c r="I3293" i="2"/>
  <c r="H3294" i="2"/>
  <c r="I3294" i="2"/>
  <c r="H3295" i="2"/>
  <c r="I3295" i="2"/>
  <c r="H3296" i="2"/>
  <c r="I3296" i="2"/>
  <c r="H3297" i="2"/>
  <c r="I3297" i="2"/>
  <c r="H3298" i="2"/>
  <c r="I3298" i="2"/>
  <c r="H3299" i="2"/>
  <c r="I3299" i="2"/>
  <c r="H3300" i="2"/>
  <c r="I3300" i="2"/>
  <c r="H3301" i="2"/>
  <c r="I3301" i="2"/>
  <c r="H3302" i="2"/>
  <c r="I3302" i="2"/>
  <c r="H3303" i="2"/>
  <c r="I3303" i="2"/>
  <c r="H3304" i="2"/>
  <c r="I3304" i="2"/>
  <c r="H3305" i="2"/>
  <c r="I3305" i="2"/>
  <c r="H3306" i="2"/>
  <c r="I3306" i="2"/>
  <c r="H3307" i="2"/>
  <c r="I3307" i="2"/>
  <c r="H3308" i="2"/>
  <c r="I3308" i="2"/>
  <c r="H3309" i="2"/>
  <c r="I3309" i="2"/>
  <c r="H3310" i="2"/>
  <c r="I3310" i="2"/>
  <c r="H3311" i="2"/>
  <c r="I3311" i="2"/>
  <c r="H3312" i="2"/>
  <c r="I3312" i="2"/>
  <c r="H3313" i="2"/>
  <c r="I3313" i="2"/>
  <c r="H3314" i="2"/>
  <c r="I3314" i="2"/>
  <c r="H3315" i="2"/>
  <c r="I3315" i="2"/>
  <c r="H3316" i="2"/>
  <c r="I3316" i="2"/>
  <c r="H3317" i="2"/>
  <c r="I3317" i="2"/>
  <c r="H3318" i="2"/>
  <c r="I3318" i="2"/>
  <c r="H3319" i="2"/>
  <c r="I3319" i="2"/>
  <c r="H3320" i="2"/>
  <c r="I3320" i="2"/>
  <c r="H3321" i="2"/>
  <c r="I3321" i="2"/>
  <c r="H3322" i="2"/>
  <c r="I3322" i="2"/>
  <c r="H3323" i="2"/>
  <c r="I3323" i="2"/>
  <c r="H3324" i="2"/>
  <c r="I3324" i="2"/>
  <c r="H3325" i="2"/>
  <c r="I3325" i="2"/>
  <c r="H3326" i="2"/>
  <c r="I3326" i="2"/>
  <c r="H3327" i="2"/>
  <c r="I3327" i="2"/>
  <c r="H3328" i="2"/>
  <c r="I3328" i="2"/>
  <c r="H3329" i="2"/>
  <c r="I3329" i="2"/>
  <c r="H3330" i="2"/>
  <c r="I3330" i="2"/>
  <c r="H3331" i="2"/>
  <c r="I3331" i="2"/>
  <c r="H3332" i="2"/>
  <c r="I3332" i="2"/>
  <c r="H3333" i="2"/>
  <c r="I3333" i="2"/>
  <c r="H3334" i="2"/>
  <c r="I3334" i="2"/>
  <c r="H3335" i="2"/>
  <c r="I3335" i="2"/>
  <c r="H3336" i="2"/>
  <c r="I3336" i="2"/>
  <c r="H3337" i="2"/>
  <c r="I3337" i="2"/>
  <c r="H3338" i="2"/>
  <c r="I3338" i="2"/>
  <c r="H3339" i="2"/>
  <c r="I3339" i="2"/>
  <c r="H3340" i="2"/>
  <c r="I3340" i="2"/>
  <c r="H3341" i="2"/>
  <c r="I3341" i="2"/>
  <c r="H3342" i="2"/>
  <c r="I3342" i="2"/>
  <c r="H3343" i="2"/>
  <c r="I3343" i="2"/>
  <c r="H3344" i="2"/>
  <c r="I3344" i="2"/>
  <c r="H3345" i="2"/>
  <c r="I3345" i="2"/>
  <c r="H3346" i="2"/>
  <c r="I3346" i="2"/>
  <c r="H3347" i="2"/>
  <c r="I3347" i="2"/>
  <c r="H3348" i="2"/>
  <c r="I3348" i="2"/>
  <c r="H3349" i="2"/>
  <c r="I3349" i="2"/>
  <c r="H3350" i="2"/>
  <c r="I3350" i="2"/>
  <c r="H3351" i="2"/>
  <c r="I3351" i="2"/>
  <c r="H3352" i="2"/>
  <c r="I3352" i="2"/>
  <c r="H3353" i="2"/>
  <c r="I3353" i="2"/>
  <c r="H3354" i="2"/>
  <c r="I3354" i="2"/>
  <c r="H3355" i="2"/>
  <c r="I3355" i="2"/>
  <c r="H3356" i="2"/>
  <c r="I3356" i="2"/>
  <c r="H3357" i="2"/>
  <c r="I3357" i="2"/>
  <c r="H3358" i="2"/>
  <c r="I3358" i="2"/>
  <c r="H3359" i="2"/>
  <c r="I3359" i="2"/>
  <c r="H3360" i="2"/>
  <c r="I3360" i="2"/>
  <c r="H3361" i="2"/>
  <c r="I3361" i="2"/>
  <c r="H3362" i="2"/>
  <c r="I3362" i="2"/>
  <c r="H3363" i="2"/>
  <c r="I3363" i="2"/>
  <c r="H3364" i="2"/>
  <c r="I3364" i="2"/>
  <c r="H3365" i="2"/>
  <c r="I3365" i="2"/>
  <c r="H3366" i="2"/>
  <c r="I3366" i="2"/>
  <c r="H3367" i="2"/>
  <c r="I3367" i="2"/>
  <c r="H3368" i="2"/>
  <c r="I3368" i="2"/>
  <c r="H3369" i="2"/>
  <c r="I3369" i="2"/>
  <c r="H3370" i="2"/>
  <c r="I3370" i="2"/>
  <c r="H3371" i="2"/>
  <c r="I3371" i="2"/>
  <c r="H3372" i="2"/>
  <c r="I3372" i="2"/>
  <c r="H3373" i="2"/>
  <c r="I3373" i="2"/>
  <c r="H3374" i="2"/>
  <c r="I3374" i="2"/>
  <c r="H3375" i="2"/>
  <c r="I3375" i="2"/>
  <c r="H3376" i="2"/>
  <c r="I3376" i="2"/>
  <c r="H3377" i="2"/>
  <c r="I3377" i="2"/>
  <c r="H3378" i="2"/>
  <c r="I3378" i="2"/>
  <c r="H3379" i="2"/>
  <c r="I3379" i="2"/>
  <c r="H3380" i="2"/>
  <c r="I3380" i="2"/>
  <c r="H3381" i="2"/>
  <c r="I3381" i="2"/>
  <c r="H3382" i="2"/>
  <c r="I3382" i="2"/>
  <c r="H3383" i="2"/>
  <c r="I3383" i="2"/>
  <c r="H3384" i="2"/>
  <c r="I3384" i="2"/>
  <c r="H3385" i="2"/>
  <c r="I3385" i="2"/>
  <c r="H3386" i="2"/>
  <c r="I3386" i="2"/>
  <c r="H3387" i="2"/>
  <c r="I3387" i="2"/>
  <c r="H3388" i="2"/>
  <c r="I3388" i="2"/>
  <c r="H3389" i="2"/>
  <c r="I3389" i="2"/>
  <c r="H3390" i="2"/>
  <c r="I3390" i="2"/>
  <c r="H3391" i="2"/>
  <c r="I3391" i="2"/>
  <c r="H3392" i="2"/>
  <c r="I3392" i="2"/>
  <c r="H3393" i="2"/>
  <c r="I3393" i="2"/>
  <c r="H3394" i="2"/>
  <c r="I3394" i="2"/>
  <c r="H3395" i="2"/>
  <c r="I3395" i="2"/>
  <c r="H3396" i="2"/>
  <c r="I3396" i="2"/>
  <c r="H3397" i="2"/>
  <c r="I3397" i="2"/>
  <c r="H3398" i="2"/>
  <c r="I3398" i="2"/>
  <c r="H3399" i="2"/>
  <c r="I3399" i="2"/>
  <c r="H3400" i="2"/>
  <c r="I3400" i="2"/>
  <c r="H3401" i="2"/>
  <c r="I3401" i="2"/>
  <c r="H3402" i="2"/>
  <c r="I3402" i="2"/>
  <c r="H3403" i="2"/>
  <c r="I3403" i="2"/>
  <c r="H3404" i="2"/>
  <c r="I3404" i="2"/>
  <c r="H3405" i="2"/>
  <c r="I3405" i="2"/>
  <c r="H3406" i="2"/>
  <c r="I3406" i="2"/>
  <c r="H3407" i="2"/>
  <c r="I3407" i="2"/>
  <c r="H3408" i="2"/>
  <c r="I3408" i="2"/>
  <c r="H3409" i="2"/>
  <c r="I3409" i="2"/>
  <c r="H3410" i="2"/>
  <c r="I3410" i="2"/>
  <c r="H3411" i="2"/>
  <c r="I3411" i="2"/>
  <c r="H3412" i="2"/>
  <c r="I3412" i="2"/>
  <c r="H3413" i="2"/>
  <c r="I3413" i="2"/>
  <c r="H3414" i="2"/>
  <c r="I3414" i="2"/>
  <c r="H3415" i="2"/>
  <c r="I3415" i="2"/>
  <c r="H3416" i="2"/>
  <c r="I3416" i="2"/>
  <c r="H3417" i="2"/>
  <c r="I3417" i="2"/>
  <c r="H3418" i="2"/>
  <c r="I3418" i="2"/>
  <c r="H3419" i="2"/>
  <c r="I3419" i="2"/>
  <c r="H3420" i="2"/>
  <c r="I3420" i="2"/>
  <c r="H3421" i="2"/>
  <c r="I3421" i="2"/>
  <c r="H3422" i="2"/>
  <c r="I3422" i="2"/>
  <c r="H3423" i="2"/>
  <c r="I3423" i="2"/>
  <c r="H3424" i="2"/>
  <c r="I3424" i="2"/>
  <c r="H3425" i="2"/>
  <c r="I3425" i="2"/>
  <c r="H3426" i="2"/>
  <c r="I3426" i="2"/>
  <c r="H3427" i="2"/>
  <c r="I3427" i="2"/>
  <c r="H3428" i="2"/>
  <c r="I3428" i="2"/>
  <c r="H3429" i="2"/>
  <c r="I3429" i="2"/>
  <c r="H3430" i="2"/>
  <c r="I3430" i="2"/>
  <c r="H3431" i="2"/>
  <c r="I3431" i="2"/>
  <c r="H3432" i="2"/>
  <c r="I3432" i="2"/>
  <c r="H3433" i="2"/>
  <c r="I3433" i="2"/>
  <c r="H3434" i="2"/>
  <c r="I3434" i="2"/>
  <c r="H3435" i="2"/>
  <c r="I3435" i="2"/>
  <c r="H3436" i="2"/>
  <c r="I3436" i="2"/>
  <c r="H3437" i="2"/>
  <c r="I3437" i="2"/>
  <c r="H3438" i="2"/>
  <c r="I3438" i="2"/>
  <c r="H3439" i="2"/>
  <c r="I3439" i="2"/>
  <c r="H3440" i="2"/>
  <c r="I3440" i="2"/>
  <c r="H3441" i="2"/>
  <c r="I3441" i="2"/>
  <c r="H3442" i="2"/>
  <c r="I3442" i="2"/>
  <c r="H3443" i="2"/>
  <c r="I3443" i="2"/>
  <c r="H3444" i="2"/>
  <c r="I3444" i="2"/>
  <c r="H3445" i="2"/>
  <c r="I3445" i="2"/>
  <c r="H3446" i="2"/>
  <c r="I3446" i="2"/>
  <c r="H3447" i="2"/>
  <c r="I3447" i="2"/>
  <c r="H3448" i="2"/>
  <c r="I3448" i="2"/>
  <c r="H3449" i="2"/>
  <c r="I3449" i="2"/>
  <c r="H3450" i="2"/>
  <c r="I3450" i="2"/>
  <c r="H3451" i="2"/>
  <c r="I3451" i="2"/>
  <c r="H3452" i="2"/>
  <c r="I3452" i="2"/>
  <c r="H3453" i="2"/>
  <c r="I3453" i="2"/>
  <c r="H3454" i="2"/>
  <c r="I3454" i="2"/>
  <c r="H3455" i="2"/>
  <c r="I3455" i="2"/>
  <c r="H3456" i="2"/>
  <c r="I3456" i="2"/>
  <c r="H3457" i="2"/>
  <c r="I3457" i="2"/>
  <c r="H3458" i="2"/>
  <c r="I3458" i="2"/>
  <c r="H3459" i="2"/>
  <c r="I3459" i="2"/>
  <c r="H3460" i="2"/>
  <c r="I3460" i="2"/>
  <c r="H3461" i="2"/>
  <c r="I3461" i="2"/>
  <c r="H3462" i="2"/>
  <c r="I3462" i="2"/>
  <c r="H3463" i="2"/>
  <c r="I3463" i="2"/>
  <c r="H3464" i="2"/>
  <c r="I3464" i="2"/>
  <c r="H3465" i="2"/>
  <c r="I3465" i="2"/>
  <c r="H3466" i="2"/>
  <c r="I3466" i="2"/>
  <c r="H3467" i="2"/>
  <c r="I3467" i="2"/>
  <c r="H3468" i="2"/>
  <c r="I3468" i="2"/>
  <c r="H3469" i="2"/>
  <c r="I3469" i="2"/>
  <c r="H3470" i="2"/>
  <c r="I3470" i="2"/>
  <c r="H3471" i="2"/>
  <c r="I3471" i="2"/>
  <c r="H3472" i="2"/>
  <c r="I3472" i="2"/>
  <c r="H3473" i="2"/>
  <c r="I3473" i="2"/>
  <c r="H3474" i="2"/>
  <c r="I3474" i="2"/>
  <c r="H3475" i="2"/>
  <c r="I3475" i="2"/>
  <c r="H3476" i="2"/>
  <c r="I3476" i="2"/>
  <c r="H3477" i="2"/>
  <c r="I3477" i="2"/>
  <c r="H3478" i="2"/>
  <c r="I3478" i="2"/>
  <c r="H3479" i="2"/>
  <c r="I3479" i="2"/>
  <c r="H3480" i="2"/>
  <c r="I3480" i="2"/>
  <c r="H3481" i="2"/>
  <c r="I3481" i="2"/>
  <c r="H3482" i="2"/>
  <c r="I3482" i="2"/>
  <c r="H3483" i="2"/>
  <c r="I3483" i="2"/>
  <c r="H3484" i="2"/>
  <c r="I3484" i="2"/>
  <c r="H3485" i="2"/>
  <c r="I3485" i="2"/>
  <c r="H3486" i="2"/>
  <c r="I3486" i="2"/>
  <c r="H3487" i="2"/>
  <c r="I3487" i="2"/>
  <c r="H3488" i="2"/>
  <c r="I3488" i="2"/>
  <c r="H3489" i="2"/>
  <c r="I3489" i="2"/>
  <c r="H3490" i="2"/>
  <c r="I3490" i="2"/>
  <c r="H3491" i="2"/>
  <c r="I3491" i="2"/>
  <c r="H3492" i="2"/>
  <c r="I3492" i="2"/>
  <c r="H3493" i="2"/>
  <c r="I3493" i="2"/>
  <c r="H3494" i="2"/>
  <c r="I3494" i="2"/>
  <c r="H3495" i="2"/>
  <c r="I3495" i="2"/>
  <c r="H3496" i="2"/>
  <c r="I3496" i="2"/>
  <c r="H3497" i="2"/>
  <c r="I3497" i="2"/>
  <c r="H3498" i="2"/>
  <c r="I3498" i="2"/>
  <c r="H3499" i="2"/>
  <c r="I3499" i="2"/>
  <c r="H3500" i="2"/>
  <c r="I3500" i="2"/>
  <c r="H3501" i="2"/>
  <c r="I3501" i="2"/>
  <c r="H3502" i="2"/>
  <c r="I3502" i="2"/>
  <c r="H3503" i="2"/>
  <c r="I3503" i="2"/>
  <c r="H3504" i="2"/>
  <c r="I3504" i="2"/>
  <c r="H3505" i="2"/>
  <c r="I3505" i="2"/>
  <c r="H3506" i="2"/>
  <c r="I3506" i="2"/>
  <c r="H3507" i="2"/>
  <c r="I3507" i="2"/>
  <c r="H3508" i="2"/>
  <c r="I3508" i="2"/>
  <c r="H3509" i="2"/>
  <c r="I3509" i="2"/>
  <c r="H3510" i="2"/>
  <c r="I3510" i="2"/>
  <c r="H3511" i="2"/>
  <c r="I3511" i="2"/>
  <c r="H3512" i="2"/>
  <c r="I3512" i="2"/>
  <c r="H3513" i="2"/>
  <c r="I3513" i="2"/>
  <c r="H3514" i="2"/>
  <c r="I3514" i="2"/>
  <c r="H3515" i="2"/>
  <c r="I3515" i="2"/>
  <c r="H3516" i="2"/>
  <c r="I3516" i="2"/>
  <c r="H3517" i="2"/>
  <c r="I3517" i="2"/>
  <c r="H3518" i="2"/>
  <c r="I3518" i="2"/>
  <c r="H3519" i="2"/>
  <c r="I3519" i="2"/>
  <c r="H3520" i="2"/>
  <c r="I3520" i="2"/>
  <c r="H3521" i="2"/>
  <c r="I3521" i="2"/>
  <c r="H3522" i="2"/>
  <c r="I3522" i="2"/>
  <c r="H3523" i="2"/>
  <c r="I3523" i="2"/>
  <c r="H3524" i="2"/>
  <c r="I3524" i="2"/>
  <c r="H3525" i="2"/>
  <c r="I3525" i="2"/>
  <c r="H3526" i="2"/>
  <c r="I3526" i="2"/>
  <c r="H3527" i="2"/>
  <c r="I3527" i="2"/>
  <c r="H3528" i="2"/>
  <c r="I3528" i="2"/>
  <c r="H3529" i="2"/>
  <c r="I3529" i="2"/>
  <c r="H3530" i="2"/>
  <c r="I3530" i="2"/>
  <c r="H3531" i="2"/>
  <c r="I3531" i="2"/>
  <c r="H3532" i="2"/>
  <c r="I3532" i="2"/>
  <c r="H3533" i="2"/>
  <c r="I3533" i="2"/>
  <c r="H3534" i="2"/>
  <c r="I3534" i="2"/>
  <c r="H3535" i="2"/>
  <c r="I3535" i="2"/>
  <c r="H3536" i="2"/>
  <c r="I3536" i="2"/>
  <c r="H3537" i="2"/>
  <c r="I3537" i="2"/>
  <c r="H3538" i="2"/>
  <c r="I3538" i="2"/>
  <c r="H3539" i="2"/>
  <c r="I3539" i="2"/>
  <c r="H3540" i="2"/>
  <c r="I3540" i="2"/>
  <c r="H3541" i="2"/>
  <c r="I3541" i="2"/>
  <c r="H3542" i="2"/>
  <c r="I3542" i="2"/>
  <c r="H3543" i="2"/>
  <c r="I3543" i="2"/>
  <c r="H3544" i="2"/>
  <c r="I3544" i="2"/>
  <c r="H3545" i="2"/>
  <c r="I3545" i="2"/>
  <c r="H3546" i="2"/>
  <c r="I3546" i="2"/>
  <c r="H3547" i="2"/>
  <c r="I3547" i="2"/>
  <c r="H3548" i="2"/>
  <c r="I3548" i="2"/>
  <c r="H3549" i="2"/>
  <c r="I3549" i="2"/>
  <c r="H3550" i="2"/>
  <c r="I3550" i="2"/>
  <c r="H3551" i="2"/>
  <c r="I3551" i="2"/>
  <c r="H3552" i="2"/>
  <c r="I3552" i="2"/>
  <c r="H3553" i="2"/>
  <c r="I3553" i="2"/>
  <c r="H3554" i="2"/>
  <c r="I3554" i="2"/>
  <c r="H3555" i="2"/>
  <c r="I3555" i="2"/>
  <c r="H3556" i="2"/>
  <c r="I3556" i="2"/>
  <c r="H3557" i="2"/>
  <c r="I3557" i="2"/>
  <c r="H3558" i="2"/>
  <c r="I3558" i="2"/>
  <c r="H3559" i="2"/>
  <c r="I3559" i="2"/>
  <c r="H3560" i="2"/>
  <c r="I3560" i="2"/>
  <c r="H3561" i="2"/>
  <c r="I3561" i="2"/>
  <c r="H3562" i="2"/>
  <c r="I3562" i="2"/>
  <c r="H3563" i="2"/>
  <c r="I3563" i="2"/>
  <c r="H3564" i="2"/>
  <c r="I3564" i="2"/>
  <c r="H3565" i="2"/>
  <c r="I3565" i="2"/>
  <c r="H3566" i="2"/>
  <c r="I3566" i="2"/>
  <c r="H3567" i="2"/>
  <c r="I3567" i="2"/>
  <c r="H3568" i="2"/>
  <c r="I3568" i="2"/>
  <c r="H3569" i="2"/>
  <c r="I3569" i="2"/>
  <c r="H3570" i="2"/>
  <c r="I3570" i="2"/>
  <c r="H3571" i="2"/>
  <c r="I3571" i="2"/>
  <c r="H3572" i="2"/>
  <c r="I3572" i="2"/>
  <c r="H3573" i="2"/>
  <c r="I3573" i="2"/>
  <c r="H3574" i="2"/>
  <c r="I3574" i="2"/>
  <c r="H3575" i="2"/>
  <c r="I3575" i="2"/>
  <c r="H3576" i="2"/>
  <c r="I3576" i="2"/>
  <c r="H3577" i="2"/>
  <c r="I3577" i="2"/>
  <c r="H3578" i="2"/>
  <c r="I3578" i="2"/>
  <c r="H3579" i="2"/>
  <c r="I3579" i="2"/>
  <c r="H3580" i="2"/>
  <c r="I3580" i="2"/>
  <c r="H3581" i="2"/>
  <c r="I3581" i="2"/>
  <c r="H3582" i="2"/>
  <c r="I3582" i="2"/>
  <c r="H3583" i="2"/>
  <c r="I3583" i="2"/>
  <c r="H3584" i="2"/>
  <c r="I3584" i="2"/>
  <c r="H3585" i="2"/>
  <c r="I3585" i="2"/>
  <c r="H3586" i="2"/>
  <c r="I3586" i="2"/>
  <c r="H3587" i="2"/>
  <c r="I3587" i="2"/>
  <c r="H3588" i="2"/>
  <c r="I3588" i="2"/>
  <c r="H3589" i="2"/>
  <c r="I3589" i="2"/>
  <c r="H3590" i="2"/>
  <c r="I3590" i="2"/>
  <c r="H3591" i="2"/>
  <c r="I3591" i="2"/>
  <c r="H3592" i="2"/>
  <c r="I3592" i="2"/>
  <c r="H3593" i="2"/>
  <c r="I3593" i="2"/>
  <c r="H3594" i="2"/>
  <c r="I3594" i="2"/>
  <c r="H3595" i="2"/>
  <c r="I3595" i="2"/>
  <c r="H3596" i="2"/>
  <c r="I3596" i="2"/>
  <c r="H3597" i="2"/>
  <c r="I3597" i="2"/>
  <c r="H3598" i="2"/>
  <c r="I3598" i="2"/>
  <c r="H3599" i="2"/>
  <c r="I3599" i="2"/>
  <c r="H3600" i="2"/>
  <c r="I3600" i="2"/>
  <c r="H3601" i="2"/>
  <c r="I3601" i="2"/>
  <c r="H3602" i="2"/>
  <c r="I3602" i="2"/>
  <c r="H3603" i="2"/>
  <c r="I3603" i="2"/>
  <c r="H3604" i="2"/>
  <c r="I3604" i="2"/>
  <c r="H3605" i="2"/>
  <c r="I3605" i="2"/>
  <c r="H3606" i="2"/>
  <c r="I3606" i="2"/>
  <c r="H3607" i="2"/>
  <c r="I3607" i="2"/>
  <c r="H3608" i="2"/>
  <c r="I3608" i="2"/>
  <c r="H3609" i="2"/>
  <c r="I3609" i="2"/>
  <c r="H3610" i="2"/>
  <c r="I3610" i="2"/>
  <c r="H3611" i="2"/>
  <c r="I3611" i="2"/>
  <c r="H3612" i="2"/>
  <c r="I3612" i="2"/>
  <c r="H3613" i="2"/>
  <c r="I3613" i="2"/>
  <c r="H3614" i="2"/>
  <c r="I3614" i="2"/>
  <c r="H3615" i="2"/>
  <c r="I3615" i="2"/>
  <c r="H3616" i="2"/>
  <c r="I3616" i="2"/>
  <c r="H3617" i="2"/>
  <c r="I3617" i="2"/>
  <c r="H3618" i="2"/>
  <c r="I3618" i="2"/>
  <c r="H3619" i="2"/>
  <c r="I3619" i="2"/>
  <c r="H3620" i="2"/>
  <c r="I3620" i="2"/>
  <c r="H3621" i="2"/>
  <c r="I3621" i="2"/>
  <c r="H3622" i="2"/>
  <c r="I3622" i="2"/>
  <c r="H3623" i="2"/>
  <c r="I3623" i="2"/>
  <c r="H3624" i="2"/>
  <c r="I3624" i="2"/>
  <c r="H3625" i="2"/>
  <c r="I3625" i="2"/>
  <c r="H3626" i="2"/>
  <c r="I3626" i="2"/>
  <c r="H3627" i="2"/>
  <c r="I3627" i="2"/>
  <c r="H3628" i="2"/>
  <c r="I3628" i="2"/>
  <c r="H3629" i="2"/>
  <c r="I3629" i="2"/>
  <c r="H3630" i="2"/>
  <c r="I3630" i="2"/>
  <c r="H3631" i="2"/>
  <c r="I3631" i="2"/>
  <c r="H3632" i="2"/>
  <c r="I3632" i="2"/>
  <c r="H3633" i="2"/>
  <c r="I3633" i="2"/>
  <c r="H3634" i="2"/>
  <c r="I3634" i="2"/>
  <c r="H3635" i="2"/>
  <c r="I3635" i="2"/>
  <c r="H3636" i="2"/>
  <c r="I3636" i="2"/>
  <c r="H3637" i="2"/>
  <c r="I3637" i="2"/>
  <c r="H3638" i="2"/>
  <c r="I3638" i="2"/>
  <c r="H3639" i="2"/>
  <c r="I3639" i="2"/>
  <c r="H3640" i="2"/>
  <c r="I3640" i="2"/>
  <c r="H3641" i="2"/>
  <c r="I3641" i="2"/>
  <c r="H3642" i="2"/>
  <c r="I3642" i="2"/>
  <c r="H3643" i="2"/>
  <c r="I3643" i="2"/>
  <c r="H3644" i="2"/>
  <c r="I3644" i="2"/>
  <c r="H3645" i="2"/>
  <c r="I3645" i="2"/>
  <c r="H3646" i="2"/>
  <c r="I3646" i="2"/>
  <c r="H3647" i="2"/>
  <c r="I3647" i="2"/>
  <c r="H3648" i="2"/>
  <c r="I3648" i="2"/>
  <c r="H3649" i="2"/>
  <c r="I3649" i="2"/>
  <c r="H3650" i="2"/>
  <c r="I3650" i="2"/>
  <c r="H3651" i="2"/>
  <c r="I3651" i="2"/>
  <c r="H3652" i="2"/>
  <c r="I3652" i="2"/>
  <c r="H3653" i="2"/>
  <c r="I3653" i="2"/>
  <c r="H3654" i="2"/>
  <c r="I3654" i="2"/>
  <c r="H3655" i="2"/>
  <c r="I3655" i="2"/>
  <c r="H3656" i="2"/>
  <c r="I3656" i="2"/>
  <c r="H3657" i="2"/>
  <c r="I3657" i="2"/>
  <c r="H3658" i="2"/>
  <c r="I3658" i="2"/>
  <c r="H3659" i="2"/>
  <c r="I3659" i="2"/>
  <c r="H3660" i="2"/>
  <c r="I3660" i="2"/>
  <c r="H3661" i="2"/>
  <c r="I3661" i="2"/>
  <c r="H3662" i="2"/>
  <c r="I3662" i="2"/>
  <c r="H3663" i="2"/>
  <c r="I3663" i="2"/>
  <c r="H3664" i="2"/>
  <c r="I3664" i="2"/>
  <c r="H3665" i="2"/>
  <c r="I3665" i="2"/>
  <c r="H3666" i="2"/>
  <c r="I3666" i="2"/>
  <c r="H3667" i="2"/>
  <c r="I3667" i="2"/>
  <c r="H3668" i="2"/>
  <c r="I3668" i="2"/>
  <c r="H3669" i="2"/>
  <c r="I3669" i="2"/>
  <c r="H3670" i="2"/>
  <c r="I3670" i="2"/>
  <c r="H3671" i="2"/>
  <c r="I3671" i="2"/>
  <c r="H3672" i="2"/>
  <c r="I3672" i="2"/>
  <c r="H3673" i="2"/>
  <c r="I3673" i="2"/>
  <c r="H3674" i="2"/>
  <c r="I3674" i="2"/>
  <c r="H3675" i="2"/>
  <c r="I3675" i="2"/>
  <c r="H3676" i="2"/>
  <c r="I3676" i="2"/>
  <c r="H3677" i="2"/>
  <c r="I3677" i="2"/>
  <c r="H3678" i="2"/>
  <c r="I3678" i="2"/>
  <c r="H3679" i="2"/>
  <c r="I3679" i="2"/>
  <c r="H3680" i="2"/>
  <c r="I3680" i="2"/>
  <c r="H3681" i="2"/>
  <c r="I3681" i="2"/>
  <c r="H3682" i="2"/>
  <c r="I3682" i="2"/>
  <c r="H3683" i="2"/>
  <c r="I3683" i="2"/>
  <c r="H3684" i="2"/>
  <c r="I3684" i="2"/>
  <c r="H3685" i="2"/>
  <c r="I3685" i="2"/>
  <c r="H3686" i="2"/>
  <c r="I3686" i="2"/>
  <c r="H3687" i="2"/>
  <c r="I3687" i="2"/>
  <c r="H3688" i="2"/>
  <c r="I3688" i="2"/>
  <c r="H3689" i="2"/>
  <c r="I3689" i="2"/>
  <c r="H3690" i="2"/>
  <c r="I3690" i="2"/>
  <c r="H3691" i="2"/>
  <c r="I3691" i="2"/>
  <c r="H3692" i="2"/>
  <c r="I3692" i="2"/>
  <c r="H3693" i="2"/>
  <c r="I3693" i="2"/>
  <c r="H3694" i="2"/>
  <c r="I3694" i="2"/>
  <c r="H3695" i="2"/>
  <c r="I3695" i="2"/>
  <c r="H3696" i="2"/>
  <c r="I3696" i="2"/>
  <c r="H3697" i="2"/>
  <c r="I3697" i="2"/>
  <c r="H3698" i="2"/>
  <c r="I3698" i="2"/>
  <c r="H3699" i="2"/>
  <c r="I3699" i="2"/>
  <c r="H3700" i="2"/>
  <c r="I3700" i="2"/>
  <c r="H3701" i="2"/>
  <c r="I3701" i="2"/>
  <c r="H3702" i="2"/>
  <c r="I3702" i="2"/>
  <c r="H3703" i="2"/>
  <c r="I3703" i="2"/>
  <c r="H3704" i="2"/>
  <c r="I3704" i="2"/>
  <c r="H3705" i="2"/>
  <c r="I3705" i="2"/>
  <c r="H3706" i="2"/>
  <c r="I3706" i="2"/>
  <c r="H3707" i="2"/>
  <c r="I3707" i="2"/>
  <c r="H3708" i="2"/>
  <c r="I3708" i="2"/>
  <c r="H3709" i="2"/>
  <c r="I3709" i="2"/>
  <c r="H3710" i="2"/>
  <c r="I3710" i="2"/>
  <c r="H3711" i="2"/>
  <c r="I3711" i="2"/>
  <c r="H3712" i="2"/>
  <c r="I3712" i="2"/>
  <c r="H3713" i="2"/>
  <c r="I3713" i="2"/>
  <c r="H3714" i="2"/>
  <c r="I3714" i="2"/>
  <c r="H3715" i="2"/>
  <c r="I3715" i="2"/>
  <c r="H3716" i="2"/>
  <c r="I3716" i="2"/>
  <c r="H3717" i="2"/>
  <c r="I3717" i="2"/>
  <c r="H3718" i="2"/>
  <c r="I3718" i="2"/>
  <c r="H3719" i="2"/>
  <c r="I3719" i="2"/>
  <c r="H3720" i="2"/>
  <c r="I3720" i="2"/>
  <c r="H3721" i="2"/>
  <c r="I3721" i="2"/>
  <c r="H3722" i="2"/>
  <c r="I3722" i="2"/>
  <c r="H3723" i="2"/>
  <c r="I3723" i="2"/>
  <c r="H3724" i="2"/>
  <c r="I3724" i="2"/>
  <c r="H3725" i="2"/>
  <c r="I3725" i="2"/>
  <c r="H3726" i="2"/>
  <c r="I3726" i="2"/>
  <c r="H3727" i="2"/>
  <c r="I3727" i="2"/>
  <c r="H3728" i="2"/>
  <c r="I3728" i="2"/>
  <c r="H3729" i="2"/>
  <c r="I3729" i="2"/>
  <c r="H3730" i="2"/>
  <c r="I3730" i="2"/>
  <c r="H3731" i="2"/>
  <c r="I3731" i="2"/>
  <c r="H3732" i="2"/>
  <c r="I3732" i="2"/>
  <c r="H3733" i="2"/>
  <c r="I3733" i="2"/>
  <c r="H3734" i="2"/>
  <c r="I3734" i="2"/>
  <c r="H3735" i="2"/>
  <c r="I3735" i="2"/>
  <c r="H3736" i="2"/>
  <c r="I3736" i="2"/>
  <c r="H3737" i="2"/>
  <c r="I3737" i="2"/>
  <c r="H3738" i="2"/>
  <c r="I3738" i="2"/>
  <c r="H3739" i="2"/>
  <c r="I3739" i="2"/>
  <c r="H3740" i="2"/>
  <c r="I3740" i="2"/>
  <c r="H3741" i="2"/>
  <c r="I3741" i="2"/>
  <c r="H3742" i="2"/>
  <c r="I3742" i="2"/>
  <c r="H3743" i="2"/>
  <c r="I3743" i="2"/>
  <c r="H3744" i="2"/>
  <c r="I3744" i="2"/>
  <c r="H3745" i="2"/>
  <c r="I3745" i="2"/>
  <c r="H3746" i="2"/>
  <c r="I3746" i="2"/>
  <c r="H3747" i="2"/>
  <c r="I3747" i="2"/>
  <c r="H3748" i="2"/>
  <c r="I3748" i="2"/>
  <c r="H3749" i="2"/>
  <c r="I3749" i="2"/>
  <c r="H3750" i="2"/>
  <c r="I3750" i="2"/>
  <c r="H3751" i="2"/>
  <c r="I3751" i="2"/>
  <c r="H3752" i="2"/>
  <c r="I3752" i="2"/>
  <c r="H3753" i="2"/>
  <c r="I3753" i="2"/>
  <c r="H3754" i="2"/>
  <c r="I3754" i="2"/>
  <c r="H3755" i="2"/>
  <c r="I3755" i="2"/>
  <c r="H3756" i="2"/>
  <c r="I3756" i="2"/>
  <c r="H3757" i="2"/>
  <c r="I3757" i="2"/>
  <c r="H3758" i="2"/>
  <c r="I3758" i="2"/>
  <c r="H3759" i="2"/>
  <c r="I3759" i="2"/>
  <c r="H3760" i="2"/>
  <c r="I3760" i="2"/>
  <c r="H3761" i="2"/>
  <c r="I3761" i="2"/>
  <c r="H3762" i="2"/>
  <c r="I3762" i="2"/>
  <c r="H3763" i="2"/>
  <c r="I3763" i="2"/>
  <c r="H3764" i="2"/>
  <c r="I3764" i="2"/>
  <c r="H3765" i="2"/>
  <c r="I3765" i="2"/>
  <c r="H3766" i="2"/>
  <c r="I3766" i="2"/>
  <c r="H3767" i="2"/>
  <c r="I3767" i="2"/>
  <c r="H3768" i="2"/>
  <c r="I3768" i="2"/>
  <c r="H3769" i="2"/>
  <c r="I3769" i="2"/>
  <c r="H3770" i="2"/>
  <c r="I3770" i="2"/>
  <c r="H3771" i="2"/>
  <c r="I3771" i="2"/>
  <c r="H3772" i="2"/>
  <c r="I3772" i="2"/>
  <c r="H3773" i="2"/>
  <c r="I3773" i="2"/>
  <c r="H3774" i="2"/>
  <c r="I3774" i="2"/>
  <c r="H3775" i="2"/>
  <c r="I3775" i="2"/>
  <c r="H3776" i="2"/>
  <c r="I3776" i="2"/>
  <c r="H3777" i="2"/>
  <c r="I3777" i="2"/>
  <c r="H3778" i="2"/>
  <c r="I3778" i="2"/>
  <c r="H3779" i="2"/>
  <c r="I3779" i="2"/>
  <c r="H3780" i="2"/>
  <c r="I3780" i="2"/>
  <c r="H3781" i="2"/>
  <c r="I3781" i="2"/>
  <c r="H3782" i="2"/>
  <c r="I3782" i="2"/>
  <c r="H3783" i="2"/>
  <c r="I3783" i="2"/>
  <c r="H3784" i="2"/>
  <c r="I3784" i="2"/>
  <c r="H3785" i="2"/>
  <c r="I3785" i="2"/>
  <c r="H3786" i="2"/>
  <c r="I3786" i="2"/>
  <c r="H3787" i="2"/>
  <c r="I3787" i="2"/>
  <c r="H3788" i="2"/>
  <c r="I3788" i="2"/>
  <c r="H3789" i="2"/>
  <c r="I3789" i="2"/>
  <c r="H3790" i="2"/>
  <c r="I3790" i="2"/>
  <c r="H3791" i="2"/>
  <c r="I3791" i="2"/>
  <c r="H3792" i="2"/>
  <c r="I3792" i="2"/>
  <c r="H3793" i="2"/>
  <c r="I3793" i="2"/>
  <c r="H3794" i="2"/>
  <c r="I3794" i="2"/>
  <c r="H3795" i="2"/>
  <c r="I3795" i="2"/>
  <c r="H3796" i="2"/>
  <c r="I3796" i="2"/>
  <c r="H3797" i="2"/>
  <c r="I3797" i="2"/>
  <c r="H3798" i="2"/>
  <c r="I3798" i="2"/>
  <c r="H3799" i="2"/>
  <c r="I3799" i="2"/>
  <c r="H3800" i="2"/>
  <c r="I3800" i="2"/>
  <c r="H3801" i="2"/>
  <c r="I3801" i="2"/>
  <c r="H3802" i="2"/>
  <c r="I3802" i="2"/>
  <c r="H3803" i="2"/>
  <c r="I3803" i="2"/>
  <c r="H3804" i="2"/>
  <c r="I3804" i="2"/>
  <c r="H3805" i="2"/>
  <c r="I3805" i="2"/>
  <c r="H3806" i="2"/>
  <c r="I3806" i="2"/>
  <c r="H3807" i="2"/>
  <c r="I3807" i="2"/>
  <c r="H3808" i="2"/>
  <c r="I3808" i="2"/>
  <c r="H3809" i="2"/>
  <c r="I3809" i="2"/>
  <c r="H3810" i="2"/>
  <c r="I3810" i="2"/>
  <c r="H3811" i="2"/>
  <c r="I3811" i="2"/>
  <c r="H3812" i="2"/>
  <c r="I3812" i="2"/>
  <c r="H3813" i="2"/>
  <c r="I3813" i="2"/>
  <c r="H3814" i="2"/>
  <c r="I3814" i="2"/>
  <c r="H3815" i="2"/>
  <c r="I3815" i="2"/>
  <c r="H3816" i="2"/>
  <c r="I3816" i="2"/>
  <c r="H3817" i="2"/>
  <c r="I3817" i="2"/>
  <c r="H3818" i="2"/>
  <c r="I3818" i="2"/>
  <c r="H3819" i="2"/>
  <c r="I3819" i="2"/>
  <c r="H3820" i="2"/>
  <c r="I3820" i="2"/>
  <c r="H3821" i="2"/>
  <c r="I3821" i="2"/>
  <c r="H3822" i="2"/>
  <c r="I3822" i="2"/>
  <c r="H3823" i="2"/>
  <c r="I3823" i="2"/>
  <c r="H3824" i="2"/>
  <c r="I3824" i="2"/>
  <c r="H3825" i="2"/>
  <c r="I3825" i="2"/>
  <c r="H3826" i="2"/>
  <c r="I3826" i="2"/>
  <c r="H3827" i="2"/>
  <c r="I3827" i="2"/>
  <c r="H3828" i="2"/>
  <c r="I3828" i="2"/>
  <c r="H3829" i="2"/>
  <c r="I3829" i="2"/>
  <c r="H3830" i="2"/>
  <c r="I3830" i="2"/>
  <c r="H3831" i="2"/>
  <c r="I3831" i="2"/>
  <c r="H3832" i="2"/>
  <c r="I3832" i="2"/>
  <c r="H3833" i="2"/>
  <c r="I3833" i="2"/>
  <c r="H3834" i="2"/>
  <c r="I3834" i="2"/>
  <c r="H3835" i="2"/>
  <c r="I3835" i="2"/>
  <c r="H3836" i="2"/>
  <c r="I3836" i="2"/>
  <c r="H3837" i="2"/>
  <c r="I3837" i="2"/>
  <c r="H3838" i="2"/>
  <c r="I3838" i="2"/>
  <c r="H3839" i="2"/>
  <c r="I3839" i="2"/>
  <c r="H3840" i="2"/>
  <c r="I3840" i="2"/>
  <c r="H3841" i="2"/>
  <c r="I3841" i="2"/>
  <c r="H3842" i="2"/>
  <c r="I3842" i="2"/>
  <c r="H3843" i="2"/>
  <c r="I3843" i="2"/>
  <c r="H3844" i="2"/>
  <c r="I3844" i="2"/>
  <c r="H3845" i="2"/>
  <c r="I3845" i="2"/>
  <c r="H3846" i="2"/>
  <c r="I3846" i="2"/>
  <c r="H3847" i="2"/>
  <c r="I3847" i="2"/>
  <c r="H3848" i="2"/>
  <c r="I3848" i="2"/>
  <c r="H3849" i="2"/>
  <c r="I3849" i="2"/>
  <c r="H3850" i="2"/>
  <c r="I3850" i="2"/>
  <c r="H3851" i="2"/>
  <c r="I3851" i="2"/>
  <c r="H3852" i="2"/>
  <c r="I3852" i="2"/>
  <c r="H3853" i="2"/>
  <c r="I3853" i="2"/>
  <c r="H3854" i="2"/>
  <c r="I3854" i="2"/>
  <c r="H3855" i="2"/>
  <c r="I3855" i="2"/>
  <c r="H3856" i="2"/>
  <c r="I3856" i="2"/>
  <c r="H3857" i="2"/>
  <c r="I3857" i="2"/>
  <c r="H3858" i="2"/>
  <c r="I3858" i="2"/>
  <c r="H3859" i="2"/>
  <c r="I3859" i="2"/>
  <c r="H3860" i="2"/>
  <c r="I3860" i="2"/>
  <c r="H3861" i="2"/>
  <c r="I3861" i="2"/>
  <c r="H3862" i="2"/>
  <c r="I3862" i="2"/>
  <c r="H3863" i="2"/>
  <c r="I3863" i="2"/>
  <c r="H3864" i="2"/>
  <c r="I3864" i="2"/>
  <c r="H3865" i="2"/>
  <c r="I3865" i="2"/>
  <c r="H3866" i="2"/>
  <c r="I3866" i="2"/>
  <c r="H3867" i="2"/>
  <c r="I3867" i="2"/>
  <c r="H3868" i="2"/>
  <c r="I3868" i="2"/>
  <c r="H3869" i="2"/>
  <c r="I3869" i="2"/>
  <c r="H3870" i="2"/>
  <c r="I3870" i="2"/>
  <c r="H3871" i="2"/>
  <c r="I3871" i="2"/>
  <c r="H3872" i="2"/>
  <c r="I3872" i="2"/>
  <c r="H3873" i="2"/>
  <c r="I3873" i="2"/>
  <c r="H3874" i="2"/>
  <c r="I3874" i="2"/>
  <c r="H3875" i="2"/>
  <c r="I3875" i="2"/>
  <c r="H3876" i="2"/>
  <c r="I3876" i="2"/>
  <c r="H3877" i="2"/>
  <c r="I3877" i="2"/>
  <c r="H3878" i="2"/>
  <c r="I3878" i="2"/>
  <c r="H3879" i="2"/>
  <c r="I3879" i="2"/>
  <c r="H3880" i="2"/>
  <c r="I3880" i="2"/>
  <c r="H3881" i="2"/>
  <c r="I3881" i="2"/>
  <c r="H3882" i="2"/>
  <c r="I3882" i="2"/>
  <c r="H3883" i="2"/>
  <c r="I3883" i="2"/>
  <c r="H3884" i="2"/>
  <c r="I3884" i="2"/>
  <c r="H3885" i="2"/>
  <c r="I3885" i="2"/>
  <c r="H3886" i="2"/>
  <c r="I3886" i="2"/>
  <c r="H3887" i="2"/>
  <c r="I3887" i="2"/>
  <c r="H3888" i="2"/>
  <c r="I3888" i="2"/>
  <c r="H3889" i="2"/>
  <c r="I3889" i="2"/>
  <c r="H3890" i="2"/>
  <c r="I3890" i="2"/>
  <c r="H3891" i="2"/>
  <c r="I3891" i="2"/>
  <c r="H3892" i="2"/>
  <c r="I3892" i="2"/>
  <c r="H3893" i="2"/>
  <c r="I3893" i="2"/>
  <c r="H3894" i="2"/>
  <c r="I3894" i="2"/>
  <c r="H3895" i="2"/>
  <c r="I3895" i="2"/>
  <c r="H3896" i="2"/>
  <c r="I3896" i="2"/>
  <c r="H3897" i="2"/>
  <c r="I3897" i="2"/>
  <c r="H3898" i="2"/>
  <c r="I3898" i="2"/>
  <c r="H3899" i="2"/>
  <c r="I3899" i="2"/>
  <c r="H3900" i="2"/>
  <c r="I3900" i="2"/>
  <c r="H3901" i="2"/>
  <c r="I3901" i="2"/>
  <c r="H3902" i="2"/>
  <c r="I3902" i="2"/>
  <c r="H3903" i="2"/>
  <c r="I3903" i="2"/>
  <c r="H3904" i="2"/>
  <c r="I3904" i="2"/>
  <c r="H3905" i="2"/>
  <c r="I3905" i="2"/>
  <c r="H3906" i="2"/>
  <c r="I3906" i="2"/>
  <c r="H3907" i="2"/>
  <c r="I3907" i="2"/>
  <c r="H3908" i="2"/>
  <c r="I3908" i="2"/>
  <c r="H3909" i="2"/>
  <c r="I3909" i="2"/>
  <c r="H3910" i="2"/>
  <c r="I3910" i="2"/>
  <c r="H3911" i="2"/>
  <c r="I3911" i="2"/>
  <c r="H3912" i="2"/>
  <c r="I3912" i="2"/>
  <c r="H3913" i="2"/>
  <c r="I3913" i="2"/>
  <c r="H3914" i="2"/>
  <c r="I3914" i="2"/>
  <c r="H3915" i="2"/>
  <c r="I3915" i="2"/>
  <c r="H3916" i="2"/>
  <c r="I3916" i="2"/>
  <c r="H3917" i="2"/>
  <c r="I3917" i="2"/>
  <c r="H3918" i="2"/>
  <c r="I3918" i="2"/>
  <c r="H3919" i="2"/>
  <c r="I3919" i="2"/>
  <c r="H3920" i="2"/>
  <c r="I3920" i="2"/>
  <c r="H3921" i="2"/>
  <c r="I3921" i="2"/>
  <c r="H3922" i="2"/>
  <c r="I3922" i="2"/>
  <c r="H3923" i="2"/>
  <c r="I3923" i="2"/>
  <c r="H3924" i="2"/>
  <c r="I3924" i="2"/>
  <c r="H3925" i="2"/>
  <c r="I3925" i="2"/>
  <c r="H3926" i="2"/>
  <c r="I3926" i="2"/>
  <c r="H3927" i="2"/>
  <c r="I3927" i="2"/>
  <c r="H3928" i="2"/>
  <c r="I3928" i="2"/>
  <c r="H3929" i="2"/>
  <c r="I3929" i="2"/>
  <c r="H3930" i="2"/>
  <c r="I3930" i="2"/>
  <c r="H3931" i="2"/>
  <c r="I3931" i="2"/>
  <c r="H3932" i="2"/>
  <c r="I3932" i="2"/>
  <c r="H3933" i="2"/>
  <c r="I3933" i="2"/>
  <c r="H3934" i="2"/>
  <c r="I3934" i="2"/>
  <c r="H3935" i="2"/>
  <c r="I3935" i="2"/>
  <c r="H3936" i="2"/>
  <c r="I3936" i="2"/>
  <c r="H3937" i="2"/>
  <c r="I3937" i="2"/>
  <c r="H3938" i="2"/>
  <c r="I3938" i="2"/>
  <c r="H3939" i="2"/>
  <c r="I3939" i="2"/>
  <c r="H3940" i="2"/>
  <c r="I3940" i="2"/>
  <c r="H3941" i="2"/>
  <c r="I3941" i="2"/>
  <c r="H3942" i="2"/>
  <c r="I3942" i="2"/>
  <c r="H3943" i="2"/>
  <c r="I3943" i="2"/>
  <c r="H3944" i="2"/>
  <c r="I3944" i="2"/>
  <c r="H3945" i="2"/>
  <c r="I3945" i="2"/>
  <c r="H3946" i="2"/>
  <c r="I3946" i="2"/>
  <c r="H3947" i="2"/>
  <c r="I3947" i="2"/>
  <c r="H3948" i="2"/>
  <c r="I3948" i="2"/>
  <c r="H3949" i="2"/>
  <c r="I3949" i="2"/>
  <c r="H3950" i="2"/>
  <c r="I3950" i="2"/>
  <c r="H3951" i="2"/>
  <c r="I3951" i="2"/>
  <c r="H3952" i="2"/>
  <c r="I3952" i="2"/>
  <c r="H3953" i="2"/>
  <c r="I3953" i="2"/>
  <c r="H3954" i="2"/>
  <c r="I3954" i="2"/>
  <c r="H3955" i="2"/>
  <c r="I3955" i="2"/>
  <c r="H3956" i="2"/>
  <c r="I3956" i="2"/>
  <c r="H3957" i="2"/>
  <c r="I3957" i="2"/>
  <c r="H3958" i="2"/>
  <c r="I3958" i="2"/>
  <c r="H3959" i="2"/>
  <c r="I3959" i="2"/>
  <c r="H3960" i="2"/>
  <c r="I3960" i="2"/>
  <c r="H3961" i="2"/>
  <c r="I3961" i="2"/>
  <c r="H3962" i="2"/>
  <c r="I3962" i="2"/>
  <c r="H3963" i="2"/>
  <c r="I3963" i="2"/>
  <c r="H3964" i="2"/>
  <c r="I3964" i="2"/>
  <c r="H3965" i="2"/>
  <c r="I3965" i="2"/>
  <c r="H3966" i="2"/>
  <c r="I3966" i="2"/>
  <c r="H3967" i="2"/>
  <c r="I3967" i="2"/>
  <c r="H3968" i="2"/>
  <c r="I3968" i="2"/>
  <c r="H3969" i="2"/>
  <c r="I3969" i="2"/>
  <c r="H3970" i="2"/>
  <c r="I3970" i="2"/>
  <c r="H3971" i="2"/>
  <c r="I3971" i="2"/>
  <c r="H3972" i="2"/>
  <c r="I3972" i="2"/>
  <c r="H3973" i="2"/>
  <c r="I3973" i="2"/>
  <c r="H3974" i="2"/>
  <c r="I3974" i="2"/>
  <c r="H3975" i="2"/>
  <c r="I3975" i="2"/>
  <c r="H3976" i="2"/>
  <c r="I3976" i="2"/>
  <c r="H3977" i="2"/>
  <c r="I3977" i="2"/>
  <c r="H3978" i="2"/>
  <c r="I3978" i="2"/>
  <c r="H3979" i="2"/>
  <c r="I3979" i="2"/>
  <c r="H3980" i="2"/>
  <c r="I3980" i="2"/>
  <c r="H3981" i="2"/>
  <c r="I3981" i="2"/>
  <c r="H3982" i="2"/>
  <c r="I3982" i="2"/>
  <c r="H3983" i="2"/>
  <c r="I3983" i="2"/>
  <c r="H3984" i="2"/>
  <c r="I3984" i="2"/>
  <c r="H3985" i="2"/>
  <c r="I3985" i="2"/>
  <c r="H3986" i="2"/>
  <c r="I3986" i="2"/>
  <c r="H3987" i="2"/>
  <c r="I3987" i="2"/>
  <c r="H3988" i="2"/>
  <c r="I3988" i="2"/>
  <c r="H3989" i="2"/>
  <c r="I3989" i="2"/>
  <c r="H3990" i="2"/>
  <c r="I3990" i="2"/>
  <c r="H3991" i="2"/>
  <c r="I3991" i="2"/>
  <c r="H3992" i="2"/>
  <c r="I3992" i="2"/>
  <c r="H3993" i="2"/>
  <c r="I3993" i="2"/>
  <c r="H3994" i="2"/>
  <c r="I3994" i="2"/>
  <c r="H3995" i="2"/>
  <c r="I3995" i="2"/>
  <c r="H3996" i="2"/>
  <c r="I3996" i="2"/>
  <c r="H3997" i="2"/>
  <c r="I3997" i="2"/>
  <c r="H3998" i="2"/>
  <c r="I3998" i="2"/>
  <c r="H3999" i="2"/>
  <c r="I3999" i="2"/>
  <c r="H4000" i="2"/>
  <c r="I4000" i="2"/>
  <c r="H4001" i="2"/>
  <c r="I4001" i="2"/>
  <c r="H4002" i="2"/>
  <c r="I4002" i="2"/>
  <c r="H4003" i="2"/>
  <c r="I4003" i="2"/>
  <c r="H4004" i="2"/>
  <c r="I4004" i="2"/>
  <c r="H4005" i="2"/>
  <c r="I4005" i="2"/>
  <c r="H4006" i="2"/>
  <c r="I4006" i="2"/>
  <c r="H4007" i="2"/>
  <c r="I4007" i="2"/>
  <c r="H4008" i="2"/>
  <c r="I4008" i="2"/>
  <c r="H4009" i="2"/>
  <c r="I4009" i="2"/>
  <c r="H4010" i="2"/>
  <c r="I4010" i="2"/>
  <c r="H4011" i="2"/>
  <c r="I4011" i="2"/>
  <c r="H4012" i="2"/>
  <c r="I4012" i="2"/>
  <c r="H4013" i="2"/>
  <c r="I4013" i="2"/>
  <c r="H4014" i="2"/>
  <c r="I4014" i="2"/>
  <c r="H4015" i="2"/>
  <c r="I4015" i="2"/>
  <c r="H4016" i="2"/>
  <c r="I4016" i="2"/>
  <c r="H4017" i="2"/>
  <c r="I4017" i="2"/>
  <c r="H4018" i="2"/>
  <c r="I4018" i="2"/>
  <c r="H4019" i="2"/>
  <c r="I4019" i="2"/>
  <c r="H4020" i="2"/>
  <c r="I4020" i="2"/>
  <c r="H4021" i="2"/>
  <c r="I4021" i="2"/>
  <c r="H4022" i="2"/>
  <c r="I4022" i="2"/>
  <c r="H4023" i="2"/>
  <c r="I4023" i="2"/>
  <c r="H4024" i="2"/>
  <c r="I4024" i="2"/>
  <c r="H4025" i="2"/>
  <c r="I4025" i="2"/>
  <c r="H4026" i="2"/>
  <c r="I4026" i="2"/>
  <c r="H4027" i="2"/>
  <c r="I4027" i="2"/>
  <c r="H4028" i="2"/>
  <c r="I4028" i="2"/>
  <c r="H4029" i="2"/>
  <c r="I4029" i="2"/>
  <c r="H4030" i="2"/>
  <c r="I4030" i="2"/>
  <c r="H4031" i="2"/>
  <c r="I4031" i="2"/>
  <c r="H4032" i="2"/>
  <c r="I4032" i="2"/>
  <c r="H4033" i="2"/>
  <c r="I4033" i="2"/>
  <c r="H4034" i="2"/>
  <c r="I4034" i="2"/>
  <c r="H4035" i="2"/>
  <c r="I4035" i="2"/>
  <c r="H4036" i="2"/>
  <c r="I4036" i="2"/>
  <c r="H4037" i="2"/>
  <c r="I4037" i="2"/>
  <c r="H4038" i="2"/>
  <c r="I4038" i="2"/>
  <c r="H4039" i="2"/>
  <c r="I4039" i="2"/>
  <c r="H4040" i="2"/>
  <c r="I4040" i="2"/>
  <c r="H4041" i="2"/>
  <c r="I4041" i="2"/>
  <c r="H4042" i="2"/>
  <c r="I4042" i="2"/>
  <c r="H4043" i="2"/>
  <c r="I4043" i="2"/>
  <c r="H4044" i="2"/>
  <c r="I4044" i="2"/>
  <c r="H4045" i="2"/>
  <c r="I4045" i="2"/>
  <c r="H4046" i="2"/>
  <c r="I4046" i="2"/>
  <c r="H4047" i="2"/>
  <c r="I4047" i="2"/>
  <c r="H4048" i="2"/>
  <c r="I4048" i="2"/>
  <c r="H4049" i="2"/>
  <c r="I4049" i="2"/>
  <c r="H4050" i="2"/>
  <c r="I4050" i="2"/>
  <c r="H4051" i="2"/>
  <c r="I4051" i="2"/>
  <c r="H4052" i="2"/>
  <c r="I4052" i="2"/>
  <c r="H4053" i="2"/>
  <c r="I4053" i="2"/>
  <c r="H4054" i="2"/>
  <c r="I4054" i="2"/>
  <c r="H4055" i="2"/>
  <c r="I4055" i="2"/>
  <c r="H4056" i="2"/>
  <c r="I4056" i="2"/>
  <c r="H4057" i="2"/>
  <c r="I4057" i="2"/>
  <c r="H4058" i="2"/>
  <c r="I4058" i="2"/>
  <c r="H4059" i="2"/>
  <c r="I4059" i="2"/>
  <c r="H4060" i="2"/>
  <c r="I4060" i="2"/>
  <c r="H4061" i="2"/>
  <c r="I4061" i="2"/>
  <c r="H4062" i="2"/>
  <c r="I4062" i="2"/>
  <c r="H4063" i="2"/>
  <c r="I4063" i="2"/>
  <c r="H4064" i="2"/>
  <c r="I4064" i="2"/>
  <c r="H4065" i="2"/>
  <c r="I4065" i="2"/>
  <c r="H4066" i="2"/>
  <c r="I4066" i="2"/>
  <c r="H4067" i="2"/>
  <c r="I4067" i="2"/>
  <c r="H4068" i="2"/>
  <c r="I4068" i="2"/>
  <c r="H4069" i="2"/>
  <c r="I4069" i="2"/>
  <c r="H4070" i="2"/>
  <c r="I4070" i="2"/>
  <c r="H4071" i="2"/>
  <c r="I4071" i="2"/>
  <c r="H4072" i="2"/>
  <c r="I4072" i="2"/>
  <c r="H4073" i="2"/>
  <c r="I4073" i="2"/>
  <c r="H4074" i="2"/>
  <c r="I4074" i="2"/>
  <c r="H4075" i="2"/>
  <c r="I4075" i="2"/>
  <c r="H4076" i="2"/>
  <c r="I4076" i="2"/>
  <c r="H4077" i="2"/>
  <c r="I4077" i="2"/>
  <c r="H4078" i="2"/>
  <c r="I4078" i="2"/>
  <c r="H4079" i="2"/>
  <c r="I4079" i="2"/>
  <c r="H4080" i="2"/>
  <c r="I4080" i="2"/>
  <c r="H4081" i="2"/>
  <c r="I4081" i="2"/>
  <c r="H4082" i="2"/>
  <c r="I4082" i="2"/>
  <c r="H4083" i="2"/>
  <c r="I4083" i="2"/>
  <c r="H4084" i="2"/>
  <c r="I4084" i="2"/>
  <c r="H4085" i="2"/>
  <c r="I4085" i="2"/>
  <c r="H4086" i="2"/>
  <c r="I4086" i="2"/>
  <c r="H4087" i="2"/>
  <c r="I4087" i="2"/>
  <c r="H4088" i="2"/>
  <c r="I4088" i="2"/>
  <c r="H4089" i="2"/>
  <c r="I4089" i="2"/>
  <c r="H4090" i="2"/>
  <c r="I4090" i="2"/>
  <c r="H4091" i="2"/>
  <c r="I4091" i="2"/>
  <c r="H4092" i="2"/>
  <c r="I4092" i="2"/>
  <c r="H4093" i="2"/>
  <c r="I4093" i="2"/>
  <c r="H4094" i="2"/>
  <c r="I4094" i="2"/>
  <c r="H4095" i="2"/>
  <c r="I4095" i="2"/>
  <c r="H4096" i="2"/>
  <c r="I4096" i="2"/>
  <c r="H4097" i="2"/>
  <c r="I4097" i="2"/>
  <c r="H4098" i="2"/>
  <c r="I4098" i="2"/>
  <c r="H4099" i="2"/>
  <c r="I4099" i="2"/>
  <c r="H4100" i="2"/>
  <c r="I4100" i="2"/>
  <c r="H4101" i="2"/>
  <c r="I4101" i="2"/>
  <c r="H4102" i="2"/>
  <c r="I4102" i="2"/>
  <c r="H4103" i="2"/>
  <c r="I4103" i="2"/>
  <c r="H4104" i="2"/>
  <c r="I4104" i="2"/>
  <c r="H4105" i="2"/>
  <c r="I4105" i="2"/>
  <c r="H4106" i="2"/>
  <c r="I4106" i="2"/>
  <c r="H4107" i="2"/>
  <c r="I4107" i="2"/>
  <c r="H4108" i="2"/>
  <c r="I4108" i="2"/>
  <c r="H4109" i="2"/>
  <c r="I4109" i="2"/>
  <c r="H4110" i="2"/>
  <c r="I4110" i="2"/>
  <c r="H4111" i="2"/>
  <c r="I4111" i="2"/>
  <c r="H4112" i="2"/>
  <c r="I4112" i="2"/>
  <c r="H4113" i="2"/>
  <c r="I4113" i="2"/>
  <c r="H4114" i="2"/>
  <c r="I4114" i="2"/>
  <c r="H4115" i="2"/>
  <c r="I4115" i="2"/>
  <c r="H4116" i="2"/>
  <c r="I4116" i="2"/>
  <c r="H4117" i="2"/>
  <c r="I4117" i="2"/>
  <c r="H4118" i="2"/>
  <c r="I4118" i="2"/>
  <c r="H4119" i="2"/>
  <c r="I4119" i="2"/>
  <c r="H4120" i="2"/>
  <c r="I4120" i="2"/>
  <c r="H4121" i="2"/>
  <c r="I4121" i="2"/>
  <c r="H4122" i="2"/>
  <c r="I4122" i="2"/>
  <c r="H4123" i="2"/>
  <c r="I4123" i="2"/>
  <c r="H4124" i="2"/>
  <c r="I4124" i="2"/>
  <c r="H4125" i="2"/>
  <c r="I4125" i="2"/>
  <c r="H4126" i="2"/>
  <c r="I4126" i="2"/>
  <c r="H4127" i="2"/>
  <c r="I4127" i="2"/>
  <c r="H4128" i="2"/>
  <c r="I4128" i="2"/>
  <c r="H4129" i="2"/>
  <c r="I4129" i="2"/>
  <c r="H4130" i="2"/>
  <c r="I4130" i="2"/>
  <c r="H4131" i="2"/>
  <c r="I4131" i="2"/>
  <c r="H4132" i="2"/>
  <c r="I4132" i="2"/>
  <c r="H4133" i="2"/>
  <c r="I4133" i="2"/>
  <c r="H4134" i="2"/>
  <c r="I4134" i="2"/>
  <c r="H4135" i="2"/>
  <c r="I4135" i="2"/>
  <c r="H4136" i="2"/>
  <c r="I4136" i="2"/>
  <c r="H4137" i="2"/>
  <c r="I4137" i="2"/>
  <c r="H4138" i="2"/>
  <c r="I4138" i="2"/>
  <c r="H4139" i="2"/>
  <c r="I4139" i="2"/>
  <c r="H4140" i="2"/>
  <c r="I4140" i="2"/>
  <c r="H4141" i="2"/>
  <c r="I4141" i="2"/>
  <c r="H4142" i="2"/>
  <c r="I4142" i="2"/>
  <c r="H4143" i="2"/>
  <c r="I4143" i="2"/>
  <c r="H4144" i="2"/>
  <c r="I4144" i="2"/>
  <c r="H4145" i="2"/>
  <c r="I4145" i="2"/>
  <c r="H4146" i="2"/>
  <c r="I4146" i="2"/>
  <c r="H4147" i="2"/>
  <c r="I4147" i="2"/>
  <c r="H4148" i="2"/>
  <c r="I4148" i="2"/>
  <c r="H4149" i="2"/>
  <c r="I4149" i="2"/>
  <c r="H4150" i="2"/>
  <c r="I4150" i="2"/>
  <c r="H4151" i="2"/>
  <c r="I4151" i="2"/>
  <c r="H4152" i="2"/>
  <c r="I4152" i="2"/>
  <c r="H4153" i="2"/>
  <c r="I4153" i="2"/>
  <c r="H4154" i="2"/>
  <c r="I4154" i="2"/>
  <c r="H4155" i="2"/>
  <c r="I4155" i="2"/>
  <c r="H4156" i="2"/>
  <c r="I4156" i="2"/>
  <c r="H4157" i="2"/>
  <c r="I4157" i="2"/>
  <c r="H4158" i="2"/>
  <c r="I4158" i="2"/>
  <c r="H4159" i="2"/>
  <c r="I4159" i="2"/>
  <c r="H4160" i="2"/>
  <c r="I4160" i="2"/>
  <c r="H4161" i="2"/>
  <c r="I4161" i="2"/>
  <c r="H4162" i="2"/>
  <c r="I4162" i="2"/>
  <c r="H4163" i="2"/>
  <c r="I4163" i="2"/>
  <c r="H4164" i="2"/>
  <c r="I4164" i="2"/>
  <c r="H4165" i="2"/>
  <c r="I4165" i="2"/>
  <c r="H4166" i="2"/>
  <c r="I4166" i="2"/>
  <c r="H4167" i="2"/>
  <c r="I4167" i="2"/>
  <c r="H4168" i="2"/>
  <c r="I4168" i="2"/>
  <c r="H4169" i="2"/>
  <c r="I4169" i="2"/>
  <c r="H4170" i="2"/>
  <c r="I4170" i="2"/>
  <c r="H4171" i="2"/>
  <c r="I4171" i="2"/>
  <c r="H4172" i="2"/>
  <c r="I4172" i="2"/>
  <c r="H4173" i="2"/>
  <c r="I4173" i="2"/>
  <c r="H4174" i="2"/>
  <c r="I4174" i="2"/>
  <c r="H4175" i="2"/>
  <c r="I4175" i="2"/>
  <c r="H4176" i="2"/>
  <c r="I4176" i="2"/>
  <c r="H4177" i="2"/>
  <c r="I4177" i="2"/>
  <c r="H4178" i="2"/>
  <c r="I4178" i="2"/>
  <c r="H4179" i="2"/>
  <c r="I4179" i="2"/>
  <c r="H4180" i="2"/>
  <c r="I4180" i="2"/>
  <c r="H4181" i="2"/>
  <c r="I4181" i="2"/>
  <c r="H4182" i="2"/>
  <c r="I4182" i="2"/>
  <c r="H4183" i="2"/>
  <c r="I4183" i="2"/>
  <c r="H4184" i="2"/>
  <c r="I4184" i="2"/>
  <c r="H4185" i="2"/>
  <c r="I4185" i="2"/>
  <c r="H4186" i="2"/>
  <c r="I4186" i="2"/>
  <c r="H4187" i="2"/>
  <c r="I4187" i="2"/>
  <c r="H4188" i="2"/>
  <c r="I4188" i="2"/>
  <c r="H4189" i="2"/>
  <c r="I4189" i="2"/>
  <c r="H4190" i="2"/>
  <c r="I4190" i="2"/>
  <c r="H4191" i="2"/>
  <c r="I4191" i="2"/>
  <c r="H4192" i="2"/>
  <c r="I4192" i="2"/>
  <c r="H4193" i="2"/>
  <c r="I4193" i="2"/>
  <c r="H4194" i="2"/>
  <c r="I4194" i="2"/>
  <c r="H4195" i="2"/>
  <c r="I4195" i="2"/>
  <c r="H4196" i="2"/>
  <c r="I4196" i="2"/>
  <c r="H4197" i="2"/>
  <c r="I4197" i="2"/>
  <c r="H4198" i="2"/>
  <c r="I4198" i="2"/>
  <c r="H4199" i="2"/>
  <c r="I4199" i="2"/>
  <c r="H4200" i="2"/>
  <c r="I4200" i="2"/>
  <c r="H4201" i="2"/>
  <c r="I4201" i="2"/>
  <c r="H4202" i="2"/>
  <c r="I4202" i="2"/>
  <c r="H4203" i="2"/>
  <c r="I4203" i="2"/>
  <c r="H4204" i="2"/>
  <c r="I4204" i="2"/>
  <c r="H4205" i="2"/>
  <c r="I4205" i="2"/>
  <c r="H4206" i="2"/>
  <c r="I4206" i="2"/>
  <c r="H4207" i="2"/>
  <c r="I4207" i="2"/>
  <c r="H4208" i="2"/>
  <c r="I4208" i="2"/>
  <c r="H4209" i="2"/>
  <c r="I4209" i="2"/>
  <c r="H4210" i="2"/>
  <c r="I4210" i="2"/>
  <c r="H4211" i="2"/>
  <c r="I4211" i="2"/>
  <c r="H4212" i="2"/>
  <c r="I4212" i="2"/>
  <c r="H4213" i="2"/>
  <c r="I4213" i="2"/>
  <c r="H4214" i="2"/>
  <c r="I4214" i="2"/>
  <c r="H4215" i="2"/>
  <c r="I4215" i="2"/>
  <c r="H4216" i="2"/>
  <c r="I4216" i="2"/>
  <c r="H4217" i="2"/>
  <c r="I4217" i="2"/>
  <c r="H4218" i="2"/>
  <c r="I4218" i="2"/>
  <c r="H4219" i="2"/>
  <c r="I4219" i="2"/>
  <c r="H4220" i="2"/>
  <c r="I4220" i="2"/>
  <c r="H4221" i="2"/>
  <c r="I4221" i="2"/>
  <c r="H4222" i="2"/>
  <c r="I4222" i="2"/>
  <c r="H4223" i="2"/>
  <c r="I4223" i="2"/>
  <c r="H4224" i="2"/>
  <c r="I4224" i="2"/>
  <c r="H4225" i="2"/>
  <c r="I4225" i="2"/>
  <c r="H4226" i="2"/>
  <c r="I4226" i="2"/>
  <c r="H4227" i="2"/>
  <c r="I4227" i="2"/>
  <c r="H4228" i="2"/>
  <c r="I4228" i="2"/>
  <c r="H4229" i="2"/>
  <c r="I4229" i="2"/>
  <c r="H4230" i="2"/>
  <c r="I4230" i="2"/>
  <c r="H4231" i="2"/>
  <c r="I4231" i="2"/>
  <c r="H4232" i="2"/>
  <c r="I4232" i="2"/>
  <c r="H4233" i="2"/>
  <c r="I4233" i="2"/>
  <c r="H4234" i="2"/>
  <c r="I4234" i="2"/>
  <c r="H4235" i="2"/>
  <c r="I4235" i="2"/>
  <c r="H4236" i="2"/>
  <c r="I4236" i="2"/>
  <c r="H4237" i="2"/>
  <c r="I4237" i="2"/>
  <c r="H4238" i="2"/>
  <c r="I4238" i="2"/>
  <c r="H4239" i="2"/>
  <c r="I4239" i="2"/>
  <c r="H4240" i="2"/>
  <c r="I4240" i="2"/>
  <c r="H4241" i="2"/>
  <c r="I4241" i="2"/>
  <c r="H4242" i="2"/>
  <c r="I4242" i="2"/>
  <c r="H4243" i="2"/>
  <c r="I4243" i="2"/>
  <c r="H4244" i="2"/>
  <c r="I4244" i="2"/>
  <c r="H4245" i="2"/>
  <c r="I4245" i="2"/>
  <c r="H4246" i="2"/>
  <c r="I4246" i="2"/>
  <c r="H4247" i="2"/>
  <c r="I4247" i="2"/>
  <c r="H4248" i="2"/>
  <c r="I4248" i="2"/>
  <c r="H4249" i="2"/>
  <c r="I4249" i="2"/>
  <c r="H4250" i="2"/>
  <c r="I4250" i="2"/>
  <c r="H4251" i="2"/>
  <c r="I4251" i="2"/>
  <c r="H4252" i="2"/>
  <c r="I4252" i="2"/>
  <c r="H4253" i="2"/>
  <c r="I4253" i="2"/>
  <c r="H4254" i="2"/>
  <c r="I4254" i="2"/>
  <c r="H4255" i="2"/>
  <c r="I4255" i="2"/>
  <c r="H4256" i="2"/>
  <c r="I4256" i="2"/>
  <c r="H4257" i="2"/>
  <c r="I4257" i="2"/>
  <c r="H4258" i="2"/>
  <c r="I4258" i="2"/>
  <c r="H4259" i="2"/>
  <c r="I4259" i="2"/>
  <c r="H4260" i="2"/>
  <c r="I4260" i="2"/>
  <c r="H4261" i="2"/>
  <c r="I4261" i="2"/>
  <c r="H4262" i="2"/>
  <c r="I4262" i="2"/>
  <c r="H4263" i="2"/>
  <c r="I4263" i="2"/>
  <c r="H4264" i="2"/>
  <c r="I4264" i="2"/>
  <c r="H4265" i="2"/>
  <c r="I4265" i="2"/>
  <c r="H4266" i="2"/>
  <c r="I4266" i="2"/>
  <c r="H4267" i="2"/>
  <c r="I4267" i="2"/>
  <c r="H4268" i="2"/>
  <c r="I4268" i="2"/>
  <c r="H4269" i="2"/>
  <c r="I4269" i="2"/>
  <c r="H4270" i="2"/>
  <c r="I4270" i="2"/>
  <c r="H4271" i="2"/>
  <c r="I4271" i="2"/>
  <c r="H4272" i="2"/>
  <c r="I4272" i="2"/>
  <c r="H4273" i="2"/>
  <c r="I4273" i="2"/>
  <c r="H4274" i="2"/>
  <c r="I4274" i="2"/>
  <c r="H4275" i="2"/>
  <c r="I4275" i="2"/>
  <c r="H4276" i="2"/>
  <c r="I4276" i="2"/>
  <c r="H4277" i="2"/>
  <c r="I4277" i="2"/>
  <c r="H4278" i="2"/>
  <c r="I4278" i="2"/>
  <c r="H4279" i="2"/>
  <c r="I4279" i="2"/>
  <c r="H4280" i="2"/>
  <c r="I4280" i="2"/>
  <c r="H4281" i="2"/>
  <c r="I4281" i="2"/>
  <c r="H4282" i="2"/>
  <c r="I4282" i="2"/>
  <c r="H4283" i="2"/>
  <c r="I4283" i="2"/>
  <c r="H4284" i="2"/>
  <c r="I4284" i="2"/>
  <c r="H4285" i="2"/>
  <c r="I4285" i="2"/>
  <c r="H4286" i="2"/>
  <c r="I4286" i="2"/>
  <c r="H4287" i="2"/>
  <c r="I4287" i="2"/>
  <c r="H4288" i="2"/>
  <c r="I4288" i="2"/>
  <c r="H4289" i="2"/>
  <c r="I4289" i="2"/>
  <c r="H4290" i="2"/>
  <c r="I4290" i="2"/>
  <c r="H4291" i="2"/>
  <c r="I4291" i="2"/>
  <c r="H4292" i="2"/>
  <c r="I4292" i="2"/>
  <c r="H4293" i="2"/>
  <c r="I4293" i="2"/>
  <c r="H4294" i="2"/>
  <c r="I4294" i="2"/>
  <c r="H4295" i="2"/>
  <c r="I4295" i="2"/>
  <c r="H4296" i="2"/>
  <c r="I4296" i="2"/>
  <c r="H4297" i="2"/>
  <c r="I4297" i="2"/>
  <c r="H4298" i="2"/>
  <c r="I4298" i="2"/>
  <c r="H4299" i="2"/>
  <c r="I4299" i="2"/>
  <c r="H4300" i="2"/>
  <c r="I4300" i="2"/>
  <c r="H4301" i="2"/>
  <c r="I4301" i="2"/>
  <c r="H4302" i="2"/>
  <c r="I4302" i="2"/>
  <c r="H4303" i="2"/>
  <c r="I4303" i="2"/>
  <c r="H4304" i="2"/>
  <c r="I4304" i="2"/>
  <c r="H4305" i="2"/>
  <c r="I4305" i="2"/>
  <c r="H4306" i="2"/>
  <c r="I4306" i="2"/>
  <c r="H4307" i="2"/>
  <c r="I4307" i="2"/>
  <c r="H4308" i="2"/>
  <c r="I4308" i="2"/>
  <c r="H4309" i="2"/>
  <c r="I4309" i="2"/>
  <c r="H4310" i="2"/>
  <c r="I4310" i="2"/>
  <c r="H4311" i="2"/>
  <c r="I4311" i="2"/>
  <c r="H4312" i="2"/>
  <c r="I4312" i="2"/>
  <c r="H4313" i="2"/>
  <c r="I4313" i="2"/>
  <c r="H4314" i="2"/>
  <c r="I4314" i="2"/>
  <c r="H4315" i="2"/>
  <c r="I4315" i="2"/>
  <c r="H4316" i="2"/>
  <c r="I4316" i="2"/>
  <c r="H4317" i="2"/>
  <c r="I4317" i="2"/>
  <c r="H4318" i="2"/>
  <c r="I4318" i="2"/>
  <c r="H4319" i="2"/>
  <c r="I4319" i="2"/>
  <c r="H4320" i="2"/>
  <c r="I4320" i="2"/>
  <c r="H4321" i="2"/>
  <c r="I4321" i="2"/>
  <c r="H4322" i="2"/>
  <c r="I4322" i="2"/>
  <c r="H4323" i="2"/>
  <c r="I4323" i="2"/>
  <c r="H4324" i="2"/>
  <c r="I4324" i="2"/>
  <c r="H4325" i="2"/>
  <c r="I4325" i="2"/>
  <c r="H4326" i="2"/>
  <c r="I4326" i="2"/>
  <c r="H4327" i="2"/>
  <c r="I4327" i="2"/>
  <c r="H4328" i="2"/>
  <c r="I4328" i="2"/>
  <c r="H4329" i="2"/>
  <c r="I4329" i="2"/>
  <c r="H4330" i="2"/>
  <c r="I4330" i="2"/>
  <c r="H4331" i="2"/>
  <c r="I4331" i="2"/>
  <c r="H4332" i="2"/>
  <c r="I4332" i="2"/>
  <c r="H4333" i="2"/>
  <c r="I4333" i="2"/>
  <c r="H4334" i="2"/>
  <c r="I4334" i="2"/>
  <c r="H4335" i="2"/>
  <c r="I4335" i="2"/>
  <c r="H4336" i="2"/>
  <c r="I4336" i="2"/>
  <c r="H4337" i="2"/>
  <c r="I4337" i="2"/>
  <c r="H4338" i="2"/>
  <c r="I4338" i="2"/>
  <c r="H4339" i="2"/>
  <c r="I4339" i="2"/>
  <c r="H4340" i="2"/>
  <c r="I4340" i="2"/>
  <c r="H4341" i="2"/>
  <c r="I4341" i="2"/>
  <c r="H4342" i="2"/>
  <c r="I4342" i="2"/>
  <c r="H4343" i="2"/>
  <c r="I4343" i="2"/>
  <c r="H4344" i="2"/>
  <c r="I4344" i="2"/>
  <c r="H4345" i="2"/>
  <c r="I4345" i="2"/>
  <c r="H4346" i="2"/>
  <c r="I4346" i="2"/>
  <c r="H4347" i="2"/>
  <c r="I4347" i="2"/>
  <c r="H4348" i="2"/>
  <c r="I4348" i="2"/>
  <c r="H4349" i="2"/>
  <c r="I4349" i="2"/>
  <c r="H4350" i="2"/>
  <c r="I4350" i="2"/>
  <c r="H4351" i="2"/>
  <c r="I4351" i="2"/>
  <c r="H4352" i="2"/>
  <c r="I4352" i="2"/>
  <c r="H4353" i="2"/>
  <c r="I4353" i="2"/>
  <c r="H4354" i="2"/>
  <c r="I4354" i="2"/>
  <c r="H4355" i="2"/>
  <c r="I4355" i="2"/>
  <c r="H4356" i="2"/>
  <c r="I4356" i="2"/>
  <c r="H4357" i="2"/>
  <c r="I4357" i="2"/>
  <c r="H4358" i="2"/>
  <c r="I4358" i="2"/>
  <c r="H4359" i="2"/>
  <c r="I4359" i="2"/>
  <c r="H4360" i="2"/>
  <c r="I4360" i="2"/>
  <c r="H4361" i="2"/>
  <c r="I4361" i="2"/>
  <c r="H4362" i="2"/>
  <c r="I4362" i="2"/>
  <c r="H4363" i="2"/>
  <c r="I4363" i="2"/>
  <c r="H4364" i="2"/>
  <c r="I4364" i="2"/>
  <c r="H4365" i="2"/>
  <c r="I4365" i="2"/>
  <c r="H4366" i="2"/>
  <c r="I4366" i="2"/>
  <c r="H4367" i="2"/>
  <c r="I4367" i="2"/>
  <c r="H4368" i="2"/>
  <c r="I4368" i="2"/>
  <c r="H4369" i="2"/>
  <c r="I4369" i="2"/>
  <c r="H4370" i="2"/>
  <c r="I4370" i="2"/>
  <c r="H4371" i="2"/>
  <c r="I4371" i="2"/>
  <c r="H4372" i="2"/>
  <c r="I4372" i="2"/>
  <c r="H4373" i="2"/>
  <c r="I4373" i="2"/>
  <c r="H4374" i="2"/>
  <c r="I4374" i="2"/>
  <c r="H4375" i="2"/>
  <c r="I4375" i="2"/>
  <c r="H4376" i="2"/>
  <c r="I4376" i="2"/>
  <c r="H4377" i="2"/>
  <c r="I4377" i="2"/>
  <c r="H4378" i="2"/>
  <c r="I4378" i="2"/>
  <c r="H4379" i="2"/>
  <c r="I4379" i="2"/>
  <c r="H4380" i="2"/>
  <c r="I4380" i="2"/>
  <c r="H4381" i="2"/>
  <c r="I4381" i="2"/>
  <c r="H4382" i="2"/>
  <c r="I4382" i="2"/>
  <c r="H4383" i="2"/>
  <c r="I4383" i="2"/>
  <c r="H4384" i="2"/>
  <c r="I4384" i="2"/>
  <c r="H4385" i="2"/>
  <c r="I4385" i="2"/>
  <c r="H4386" i="2"/>
  <c r="I4386" i="2"/>
  <c r="H4387" i="2"/>
  <c r="I4387" i="2"/>
  <c r="H4388" i="2"/>
  <c r="I4388" i="2"/>
  <c r="H4389" i="2"/>
  <c r="I4389" i="2"/>
  <c r="H4390" i="2"/>
  <c r="I4390" i="2"/>
  <c r="H4391" i="2"/>
  <c r="I4391" i="2"/>
  <c r="H4392" i="2"/>
  <c r="I4392" i="2"/>
  <c r="H4393" i="2"/>
  <c r="I4393" i="2"/>
  <c r="H4394" i="2"/>
  <c r="I4394" i="2"/>
  <c r="H4395" i="2"/>
  <c r="I4395" i="2"/>
  <c r="H4396" i="2"/>
  <c r="I4396" i="2"/>
  <c r="H4397" i="2"/>
  <c r="I4397" i="2"/>
  <c r="H4398" i="2"/>
  <c r="I4398" i="2"/>
  <c r="H4399" i="2"/>
  <c r="I4399" i="2"/>
  <c r="H4400" i="2"/>
  <c r="I4400" i="2"/>
  <c r="H4401" i="2"/>
  <c r="I4401" i="2"/>
  <c r="H4402" i="2"/>
  <c r="I4402" i="2"/>
  <c r="H4403" i="2"/>
  <c r="I4403" i="2"/>
  <c r="H4404" i="2"/>
  <c r="I4404" i="2"/>
  <c r="H4405" i="2"/>
  <c r="I4405" i="2"/>
  <c r="H4406" i="2"/>
  <c r="I4406" i="2"/>
  <c r="H4407" i="2"/>
  <c r="I4407" i="2"/>
  <c r="H4408" i="2"/>
  <c r="I4408" i="2"/>
  <c r="H4409" i="2"/>
  <c r="I4409" i="2"/>
  <c r="H4410" i="2"/>
  <c r="I4410" i="2"/>
  <c r="H4411" i="2"/>
  <c r="I4411" i="2"/>
  <c r="H4412" i="2"/>
  <c r="I4412" i="2"/>
  <c r="H4413" i="2"/>
  <c r="I4413" i="2"/>
  <c r="H4414" i="2"/>
  <c r="I4414" i="2"/>
  <c r="H4415" i="2"/>
  <c r="I4415" i="2"/>
  <c r="H4416" i="2"/>
  <c r="I4416" i="2"/>
  <c r="H4417" i="2"/>
  <c r="I4417" i="2"/>
  <c r="H4418" i="2"/>
  <c r="I4418" i="2"/>
  <c r="H4419" i="2"/>
  <c r="I4419" i="2"/>
  <c r="H4420" i="2"/>
  <c r="I4420" i="2"/>
  <c r="H4421" i="2"/>
  <c r="I4421" i="2"/>
  <c r="H4422" i="2"/>
  <c r="I4422" i="2"/>
  <c r="H4423" i="2"/>
  <c r="I4423" i="2"/>
  <c r="H4424" i="2"/>
  <c r="I4424" i="2"/>
  <c r="H4425" i="2"/>
  <c r="I4425" i="2"/>
  <c r="H4426" i="2"/>
  <c r="I4426" i="2"/>
  <c r="H4427" i="2"/>
  <c r="I4427" i="2"/>
  <c r="H4428" i="2"/>
  <c r="I4428" i="2"/>
  <c r="H4429" i="2"/>
  <c r="I4429" i="2"/>
  <c r="H4430" i="2"/>
  <c r="I4430" i="2"/>
  <c r="H4431" i="2"/>
  <c r="I4431" i="2"/>
  <c r="H4432" i="2"/>
  <c r="I4432" i="2"/>
  <c r="H4433" i="2"/>
  <c r="I4433" i="2"/>
  <c r="H4434" i="2"/>
  <c r="I4434" i="2"/>
  <c r="H4435" i="2"/>
  <c r="I4435" i="2"/>
  <c r="H4436" i="2"/>
  <c r="I4436" i="2"/>
  <c r="H4437" i="2"/>
  <c r="I4437" i="2"/>
  <c r="H4438" i="2"/>
  <c r="I4438" i="2"/>
  <c r="H4439" i="2"/>
  <c r="I4439" i="2"/>
  <c r="H4440" i="2"/>
  <c r="I4440" i="2"/>
  <c r="H4441" i="2"/>
  <c r="I4441" i="2"/>
  <c r="H4442" i="2"/>
  <c r="I4442" i="2"/>
  <c r="H4443" i="2"/>
  <c r="I4443" i="2"/>
  <c r="H4444" i="2"/>
  <c r="I4444" i="2"/>
  <c r="H4445" i="2"/>
  <c r="I4445" i="2"/>
  <c r="H4446" i="2"/>
  <c r="I4446" i="2"/>
  <c r="H4447" i="2"/>
  <c r="I4447" i="2"/>
  <c r="H4448" i="2"/>
  <c r="I4448" i="2"/>
  <c r="H4449" i="2"/>
  <c r="I4449" i="2"/>
  <c r="H4450" i="2"/>
  <c r="I4450" i="2"/>
  <c r="H4451" i="2"/>
  <c r="I4451" i="2"/>
  <c r="H4452" i="2"/>
  <c r="I4452" i="2"/>
  <c r="H4453" i="2"/>
  <c r="I4453" i="2"/>
  <c r="H4454" i="2"/>
  <c r="I4454" i="2"/>
  <c r="H4455" i="2"/>
  <c r="I4455" i="2"/>
  <c r="H4456" i="2"/>
  <c r="I4456" i="2"/>
  <c r="H4457" i="2"/>
  <c r="I4457" i="2"/>
  <c r="H4458" i="2"/>
  <c r="I4458" i="2"/>
  <c r="H4459" i="2"/>
  <c r="I4459" i="2"/>
  <c r="H4460" i="2"/>
  <c r="I4460" i="2"/>
  <c r="H4461" i="2"/>
  <c r="I4461" i="2"/>
  <c r="H4462" i="2"/>
  <c r="I4462" i="2"/>
  <c r="H4463" i="2"/>
  <c r="I4463" i="2"/>
  <c r="H4464" i="2"/>
  <c r="I4464" i="2"/>
  <c r="H4465" i="2"/>
  <c r="I4465" i="2"/>
  <c r="H4466" i="2"/>
  <c r="I4466" i="2"/>
  <c r="H4467" i="2"/>
  <c r="I4467" i="2"/>
  <c r="H4468" i="2"/>
  <c r="I4468" i="2"/>
  <c r="H4469" i="2"/>
  <c r="I4469" i="2"/>
  <c r="H4470" i="2"/>
  <c r="I4470" i="2"/>
  <c r="H4471" i="2"/>
  <c r="I4471" i="2"/>
  <c r="H4472" i="2"/>
  <c r="I4472" i="2"/>
  <c r="H4473" i="2"/>
  <c r="I4473" i="2"/>
  <c r="H4474" i="2"/>
  <c r="I4474" i="2"/>
  <c r="H4475" i="2"/>
  <c r="I4475" i="2"/>
  <c r="H4476" i="2"/>
  <c r="I4476" i="2"/>
  <c r="H4477" i="2"/>
  <c r="I4477" i="2"/>
  <c r="H4478" i="2"/>
  <c r="I4478" i="2"/>
  <c r="H4479" i="2"/>
  <c r="I4479" i="2"/>
  <c r="H4480" i="2"/>
  <c r="I4480" i="2"/>
  <c r="H4481" i="2"/>
  <c r="I4481" i="2"/>
  <c r="H4482" i="2"/>
  <c r="I4482" i="2"/>
  <c r="H4483" i="2"/>
  <c r="I4483" i="2"/>
  <c r="H4484" i="2"/>
  <c r="I4484" i="2"/>
  <c r="H4485" i="2"/>
  <c r="I4485" i="2"/>
  <c r="H4486" i="2"/>
  <c r="I4486" i="2"/>
  <c r="H4487" i="2"/>
  <c r="I4487" i="2"/>
  <c r="H4488" i="2"/>
  <c r="I4488" i="2"/>
  <c r="H4489" i="2"/>
  <c r="I4489" i="2"/>
  <c r="H4490" i="2"/>
  <c r="I4490" i="2"/>
  <c r="H4491" i="2"/>
  <c r="I4491" i="2"/>
  <c r="H4492" i="2"/>
  <c r="I4492" i="2"/>
  <c r="H4493" i="2"/>
  <c r="I4493" i="2"/>
  <c r="H4494" i="2"/>
  <c r="I4494" i="2"/>
  <c r="H4495" i="2"/>
  <c r="I4495" i="2"/>
  <c r="H4496" i="2"/>
  <c r="I4496" i="2"/>
  <c r="H4497" i="2"/>
  <c r="I4497" i="2"/>
  <c r="H4498" i="2"/>
  <c r="I4498" i="2"/>
  <c r="H4499" i="2"/>
  <c r="I4499" i="2"/>
  <c r="H4500" i="2"/>
  <c r="I4500" i="2"/>
  <c r="H4501" i="2"/>
  <c r="I4501" i="2"/>
  <c r="H4502" i="2"/>
  <c r="I4502" i="2"/>
  <c r="H4503" i="2"/>
  <c r="I4503" i="2"/>
  <c r="H4504" i="2"/>
  <c r="I4504" i="2"/>
  <c r="H4505" i="2"/>
  <c r="I4505" i="2"/>
  <c r="H4506" i="2"/>
  <c r="I4506" i="2"/>
  <c r="H4507" i="2"/>
  <c r="I4507" i="2"/>
  <c r="H4508" i="2"/>
  <c r="I4508" i="2"/>
  <c r="H4509" i="2"/>
  <c r="I4509" i="2"/>
  <c r="H4510" i="2"/>
  <c r="I4510" i="2"/>
  <c r="H4511" i="2"/>
  <c r="I4511" i="2"/>
  <c r="H4512" i="2"/>
  <c r="I4512" i="2"/>
  <c r="H4513" i="2"/>
  <c r="I4513" i="2"/>
  <c r="H4514" i="2"/>
  <c r="I4514" i="2"/>
  <c r="H4515" i="2"/>
  <c r="I4515" i="2"/>
  <c r="H4516" i="2"/>
  <c r="I4516" i="2"/>
  <c r="H4517" i="2"/>
  <c r="I4517" i="2"/>
  <c r="H4518" i="2"/>
  <c r="I4518" i="2"/>
  <c r="H4519" i="2"/>
  <c r="I4519" i="2"/>
  <c r="H4520" i="2"/>
  <c r="I4520" i="2"/>
  <c r="H4521" i="2"/>
  <c r="I4521" i="2"/>
  <c r="H4522" i="2"/>
  <c r="I4522" i="2"/>
  <c r="H4523" i="2"/>
  <c r="I4523" i="2"/>
  <c r="H4524" i="2"/>
  <c r="I4524" i="2"/>
  <c r="H4525" i="2"/>
  <c r="I4525" i="2"/>
  <c r="H4526" i="2"/>
  <c r="I4526" i="2"/>
  <c r="H4527" i="2"/>
  <c r="I4527" i="2"/>
  <c r="H4528" i="2"/>
  <c r="I4528" i="2"/>
  <c r="H4529" i="2"/>
  <c r="I4529" i="2"/>
  <c r="H4530" i="2"/>
  <c r="I4530" i="2"/>
  <c r="H4531" i="2"/>
  <c r="I4531" i="2"/>
  <c r="H4532" i="2"/>
  <c r="I4532" i="2"/>
  <c r="H4533" i="2"/>
  <c r="I4533" i="2"/>
  <c r="H4534" i="2"/>
  <c r="I4534" i="2"/>
  <c r="H4535" i="2"/>
  <c r="I4535" i="2"/>
  <c r="H4536" i="2"/>
  <c r="I4536" i="2"/>
  <c r="H4537" i="2"/>
  <c r="I4537" i="2"/>
  <c r="H4538" i="2"/>
  <c r="I4538" i="2"/>
  <c r="H4539" i="2"/>
  <c r="I4539" i="2"/>
  <c r="H4540" i="2"/>
  <c r="I4540" i="2"/>
  <c r="H4541" i="2"/>
  <c r="I4541" i="2"/>
  <c r="H4542" i="2"/>
  <c r="I4542" i="2"/>
  <c r="H4543" i="2"/>
  <c r="I4543" i="2"/>
  <c r="H4544" i="2"/>
  <c r="I4544" i="2"/>
  <c r="H4545" i="2"/>
  <c r="I4545" i="2"/>
  <c r="H4546" i="2"/>
  <c r="I4546" i="2"/>
  <c r="H4547" i="2"/>
  <c r="I4547" i="2"/>
  <c r="H4548" i="2"/>
  <c r="I4548" i="2"/>
  <c r="H4549" i="2"/>
  <c r="I4549" i="2"/>
  <c r="H4550" i="2"/>
  <c r="I4550" i="2"/>
  <c r="H4551" i="2"/>
  <c r="I4551" i="2"/>
  <c r="H4552" i="2"/>
  <c r="I4552" i="2"/>
  <c r="H4553" i="2"/>
  <c r="I4553" i="2"/>
  <c r="H4554" i="2"/>
  <c r="I4554" i="2"/>
  <c r="H4555" i="2"/>
  <c r="I4555" i="2"/>
  <c r="H4556" i="2"/>
  <c r="I4556" i="2"/>
  <c r="H4557" i="2"/>
  <c r="I4557" i="2"/>
  <c r="H4558" i="2"/>
  <c r="I4558" i="2"/>
  <c r="H4559" i="2"/>
  <c r="I4559" i="2"/>
  <c r="H4560" i="2"/>
  <c r="I4560" i="2"/>
  <c r="H4561" i="2"/>
  <c r="I4561" i="2"/>
  <c r="H4562" i="2"/>
  <c r="I4562" i="2"/>
  <c r="H4563" i="2"/>
  <c r="I4563" i="2"/>
  <c r="H4564" i="2"/>
  <c r="I4564" i="2"/>
  <c r="H4565" i="2"/>
  <c r="I4565" i="2"/>
  <c r="H4566" i="2"/>
  <c r="I4566" i="2"/>
  <c r="H4567" i="2"/>
  <c r="I4567" i="2"/>
  <c r="H4568" i="2"/>
  <c r="I4568" i="2"/>
  <c r="H4569" i="2"/>
  <c r="I4569" i="2"/>
  <c r="H4570" i="2"/>
  <c r="I4570" i="2"/>
  <c r="H4571" i="2"/>
  <c r="I4571" i="2"/>
  <c r="H4572" i="2"/>
  <c r="I4572" i="2"/>
  <c r="H4573" i="2"/>
  <c r="I4573" i="2"/>
  <c r="H4574" i="2"/>
  <c r="I4574" i="2"/>
  <c r="H4575" i="2"/>
  <c r="I4575" i="2"/>
  <c r="H4576" i="2"/>
  <c r="I4576" i="2"/>
  <c r="H4577" i="2"/>
  <c r="I4577" i="2"/>
  <c r="H4578" i="2"/>
  <c r="I4578" i="2"/>
  <c r="H4579" i="2"/>
  <c r="I4579" i="2"/>
  <c r="H4580" i="2"/>
  <c r="I4580" i="2"/>
  <c r="H4581" i="2"/>
  <c r="I4581" i="2"/>
  <c r="H4582" i="2"/>
  <c r="I4582" i="2"/>
  <c r="H4583" i="2"/>
  <c r="I4583" i="2"/>
  <c r="H4584" i="2"/>
  <c r="I4584" i="2"/>
  <c r="H4585" i="2"/>
  <c r="I4585" i="2"/>
  <c r="H4586" i="2"/>
  <c r="I4586" i="2"/>
  <c r="H4587" i="2"/>
  <c r="I4587" i="2"/>
  <c r="H4588" i="2"/>
  <c r="I4588" i="2"/>
  <c r="H4589" i="2"/>
  <c r="I4589" i="2"/>
  <c r="H4590" i="2"/>
  <c r="I4590" i="2"/>
  <c r="H4591" i="2"/>
  <c r="I4591" i="2"/>
  <c r="H4592" i="2"/>
  <c r="I4592" i="2"/>
  <c r="H4593" i="2"/>
  <c r="I4593" i="2"/>
  <c r="H4594" i="2"/>
  <c r="I4594" i="2"/>
  <c r="H4595" i="2"/>
  <c r="I4595" i="2"/>
  <c r="H4596" i="2"/>
  <c r="I4596" i="2"/>
  <c r="H4597" i="2"/>
  <c r="I4597" i="2"/>
  <c r="H4598" i="2"/>
  <c r="I4598" i="2"/>
  <c r="H4599" i="2"/>
  <c r="I4599" i="2"/>
  <c r="H4600" i="2"/>
  <c r="I4600" i="2"/>
  <c r="H4601" i="2"/>
  <c r="I4601" i="2"/>
  <c r="H4602" i="2"/>
  <c r="I4602" i="2"/>
  <c r="H4603" i="2"/>
  <c r="I4603" i="2"/>
  <c r="H4604" i="2"/>
  <c r="I4604" i="2"/>
  <c r="H4605" i="2"/>
  <c r="I4605" i="2"/>
  <c r="H4606" i="2"/>
  <c r="I4606" i="2"/>
  <c r="H4607" i="2"/>
  <c r="I4607" i="2"/>
  <c r="H4608" i="2"/>
  <c r="I4608" i="2"/>
  <c r="H4609" i="2"/>
  <c r="I4609" i="2"/>
  <c r="H4610" i="2"/>
  <c r="I4610" i="2"/>
  <c r="H4611" i="2"/>
  <c r="I4611" i="2"/>
  <c r="H4612" i="2"/>
  <c r="I4612" i="2"/>
  <c r="H4613" i="2"/>
  <c r="I4613" i="2"/>
  <c r="H4614" i="2"/>
  <c r="I4614" i="2"/>
  <c r="H4615" i="2"/>
  <c r="I4615" i="2"/>
  <c r="H4616" i="2"/>
  <c r="I4616" i="2"/>
  <c r="H4617" i="2"/>
  <c r="I4617" i="2"/>
  <c r="H4618" i="2"/>
  <c r="I4618" i="2"/>
  <c r="H4619" i="2"/>
  <c r="I4619" i="2"/>
  <c r="H4620" i="2"/>
  <c r="I4620" i="2"/>
  <c r="H4621" i="2"/>
  <c r="I4621" i="2"/>
  <c r="H4622" i="2"/>
  <c r="I4622" i="2"/>
  <c r="H4623" i="2"/>
  <c r="I4623" i="2"/>
  <c r="H4624" i="2"/>
  <c r="I4624" i="2"/>
  <c r="H4625" i="2"/>
  <c r="I4625" i="2"/>
  <c r="H4626" i="2"/>
  <c r="I4626" i="2"/>
  <c r="H4627" i="2"/>
  <c r="I4627" i="2"/>
  <c r="H4628" i="2"/>
  <c r="I4628" i="2"/>
  <c r="H4629" i="2"/>
  <c r="I4629" i="2"/>
  <c r="H4630" i="2"/>
  <c r="I4630" i="2"/>
  <c r="H4631" i="2"/>
  <c r="I4631" i="2"/>
  <c r="H4632" i="2"/>
  <c r="I4632" i="2"/>
  <c r="H4633" i="2"/>
  <c r="I4633" i="2"/>
  <c r="H4634" i="2"/>
  <c r="I4634" i="2"/>
  <c r="H4635" i="2"/>
  <c r="I4635" i="2"/>
  <c r="H4636" i="2"/>
  <c r="I4636" i="2"/>
  <c r="H4637" i="2"/>
  <c r="I4637" i="2"/>
  <c r="H4638" i="2"/>
  <c r="I4638" i="2"/>
  <c r="H4639" i="2"/>
  <c r="I4639" i="2"/>
  <c r="H4640" i="2"/>
  <c r="I4640" i="2"/>
  <c r="H4641" i="2"/>
  <c r="I4641" i="2"/>
  <c r="H4642" i="2"/>
  <c r="I4642" i="2"/>
  <c r="H4643" i="2"/>
  <c r="I4643" i="2"/>
  <c r="H4644" i="2"/>
  <c r="I4644" i="2"/>
  <c r="H4645" i="2"/>
  <c r="I4645" i="2"/>
  <c r="H4646" i="2"/>
  <c r="I4646" i="2"/>
  <c r="H4647" i="2"/>
  <c r="I4647" i="2"/>
  <c r="H4648" i="2"/>
  <c r="I4648" i="2"/>
  <c r="H4649" i="2"/>
  <c r="I4649" i="2"/>
  <c r="H4650" i="2"/>
  <c r="I4650" i="2"/>
  <c r="H4651" i="2"/>
  <c r="I4651" i="2"/>
  <c r="H4652" i="2"/>
  <c r="I4652" i="2"/>
  <c r="H4653" i="2"/>
  <c r="I4653" i="2"/>
  <c r="H4654" i="2"/>
  <c r="I4654" i="2"/>
  <c r="H4655" i="2"/>
  <c r="I4655" i="2"/>
  <c r="H4656" i="2"/>
  <c r="I4656" i="2"/>
  <c r="H4657" i="2"/>
  <c r="I4657" i="2"/>
  <c r="H4658" i="2"/>
  <c r="I4658" i="2"/>
  <c r="H4659" i="2"/>
  <c r="I4659" i="2"/>
  <c r="H4660" i="2"/>
  <c r="I4660" i="2"/>
  <c r="H4661" i="2"/>
  <c r="I4661" i="2"/>
  <c r="H4662" i="2"/>
  <c r="I4662" i="2"/>
  <c r="H4663" i="2"/>
  <c r="I4663" i="2"/>
  <c r="H4664" i="2"/>
  <c r="I4664" i="2"/>
  <c r="H4665" i="2"/>
  <c r="I4665" i="2"/>
  <c r="H4666" i="2"/>
  <c r="I4666" i="2"/>
  <c r="H4667" i="2"/>
  <c r="I4667" i="2"/>
  <c r="H4668" i="2"/>
  <c r="I4668" i="2"/>
  <c r="H4669" i="2"/>
  <c r="I4669" i="2"/>
  <c r="H4670" i="2"/>
  <c r="I4670" i="2"/>
  <c r="H4671" i="2"/>
  <c r="I4671" i="2"/>
  <c r="H4672" i="2"/>
  <c r="I4672" i="2"/>
  <c r="H4673" i="2"/>
  <c r="I4673" i="2"/>
  <c r="H4674" i="2"/>
  <c r="I4674" i="2"/>
  <c r="H4675" i="2"/>
  <c r="I4675" i="2"/>
  <c r="H4676" i="2"/>
  <c r="I4676" i="2"/>
  <c r="H4677" i="2"/>
  <c r="I4677" i="2"/>
  <c r="H4678" i="2"/>
  <c r="I4678" i="2"/>
  <c r="H4679" i="2"/>
  <c r="I4679" i="2"/>
  <c r="H4680" i="2"/>
  <c r="I4680" i="2"/>
  <c r="H4681" i="2"/>
  <c r="I4681" i="2"/>
  <c r="H4682" i="2"/>
  <c r="I4682" i="2"/>
  <c r="H4683" i="2"/>
  <c r="I4683" i="2"/>
  <c r="H4684" i="2"/>
  <c r="I4684" i="2"/>
  <c r="H4685" i="2"/>
  <c r="I4685" i="2"/>
  <c r="H4686" i="2"/>
  <c r="I4686" i="2"/>
  <c r="H4687" i="2"/>
  <c r="I4687" i="2"/>
  <c r="H4688" i="2"/>
  <c r="I4688" i="2"/>
  <c r="H4689" i="2"/>
  <c r="I4689" i="2"/>
  <c r="H4690" i="2"/>
  <c r="I4690" i="2"/>
  <c r="H4691" i="2"/>
  <c r="I4691" i="2"/>
  <c r="H4692" i="2"/>
  <c r="I4692" i="2"/>
  <c r="H4693" i="2"/>
  <c r="I4693" i="2"/>
  <c r="H4694" i="2"/>
  <c r="I4694" i="2"/>
  <c r="H4695" i="2"/>
  <c r="I4695" i="2"/>
  <c r="H4696" i="2"/>
  <c r="I4696" i="2"/>
  <c r="H4697" i="2"/>
  <c r="I4697" i="2"/>
  <c r="H4698" i="2"/>
  <c r="I4698" i="2"/>
  <c r="H4699" i="2"/>
  <c r="I4699" i="2"/>
  <c r="H4700" i="2"/>
  <c r="I4700" i="2"/>
  <c r="H4701" i="2"/>
  <c r="I4701" i="2"/>
  <c r="H4702" i="2"/>
  <c r="I4702" i="2"/>
  <c r="H4703" i="2"/>
  <c r="I4703" i="2"/>
  <c r="H4704" i="2"/>
  <c r="I4704" i="2"/>
  <c r="H4705" i="2"/>
  <c r="I4705" i="2"/>
  <c r="H4706" i="2"/>
  <c r="I4706" i="2"/>
  <c r="H4707" i="2"/>
  <c r="I4707" i="2"/>
  <c r="H4708" i="2"/>
  <c r="I4708" i="2"/>
  <c r="H4709" i="2"/>
  <c r="I4709" i="2"/>
  <c r="H4710" i="2"/>
  <c r="I4710" i="2"/>
  <c r="H4711" i="2"/>
  <c r="I4711" i="2"/>
  <c r="H4712" i="2"/>
  <c r="I4712" i="2"/>
  <c r="H4713" i="2"/>
  <c r="I4713" i="2"/>
  <c r="H4714" i="2"/>
  <c r="I4714" i="2"/>
  <c r="H4715" i="2"/>
  <c r="I4715" i="2"/>
  <c r="H4716" i="2"/>
  <c r="I4716" i="2"/>
  <c r="H4717" i="2"/>
  <c r="I4717" i="2"/>
  <c r="H4718" i="2"/>
  <c r="I4718" i="2"/>
  <c r="H4719" i="2"/>
  <c r="I4719" i="2"/>
  <c r="H4720" i="2"/>
  <c r="I4720" i="2"/>
  <c r="H4721" i="2"/>
  <c r="I4721" i="2"/>
  <c r="H4722" i="2"/>
  <c r="I4722" i="2"/>
  <c r="H4723" i="2"/>
  <c r="I4723" i="2"/>
  <c r="H4724" i="2"/>
  <c r="I4724" i="2"/>
  <c r="H4725" i="2"/>
  <c r="I4725" i="2"/>
  <c r="H4726" i="2"/>
  <c r="I4726" i="2"/>
  <c r="H4727" i="2"/>
  <c r="I4727" i="2"/>
  <c r="H4728" i="2"/>
  <c r="I4728" i="2"/>
  <c r="H4729" i="2"/>
  <c r="I4729" i="2"/>
  <c r="H4730" i="2"/>
  <c r="I4730" i="2"/>
  <c r="H4731" i="2"/>
  <c r="I4731" i="2"/>
  <c r="H4732" i="2"/>
  <c r="I4732" i="2"/>
  <c r="H4733" i="2"/>
  <c r="I4733" i="2"/>
  <c r="H4734" i="2"/>
  <c r="I4734" i="2"/>
  <c r="H4735" i="2"/>
  <c r="I4735" i="2"/>
  <c r="H4736" i="2"/>
  <c r="I4736" i="2"/>
  <c r="H4737" i="2"/>
  <c r="I4737" i="2"/>
  <c r="H4738" i="2"/>
  <c r="I4738" i="2"/>
  <c r="H4739" i="2"/>
  <c r="I4739" i="2"/>
  <c r="H4740" i="2"/>
  <c r="I4740" i="2"/>
  <c r="H4741" i="2"/>
  <c r="I4741" i="2"/>
  <c r="H4742" i="2"/>
  <c r="I4742" i="2"/>
  <c r="H4743" i="2"/>
  <c r="I4743" i="2"/>
  <c r="H4744" i="2"/>
  <c r="I4744" i="2"/>
  <c r="H4745" i="2"/>
  <c r="I4745" i="2"/>
  <c r="H4746" i="2"/>
  <c r="I4746" i="2"/>
  <c r="H4747" i="2"/>
  <c r="I4747" i="2"/>
  <c r="H4748" i="2"/>
  <c r="I4748" i="2"/>
  <c r="H4749" i="2"/>
  <c r="I4749" i="2"/>
  <c r="H4750" i="2"/>
  <c r="I4750" i="2"/>
  <c r="H4751" i="2"/>
  <c r="I4751" i="2"/>
  <c r="H4752" i="2"/>
  <c r="I4752" i="2"/>
  <c r="H4753" i="2"/>
  <c r="I4753" i="2"/>
  <c r="H4754" i="2"/>
  <c r="I4754" i="2"/>
  <c r="H4755" i="2"/>
  <c r="I4755" i="2"/>
  <c r="H4756" i="2"/>
  <c r="I4756" i="2"/>
  <c r="H4757" i="2"/>
  <c r="I4757" i="2"/>
  <c r="H4758" i="2"/>
  <c r="I4758" i="2"/>
  <c r="H4759" i="2"/>
  <c r="I4759" i="2"/>
  <c r="H4760" i="2"/>
  <c r="I4760" i="2"/>
  <c r="H4761" i="2"/>
  <c r="I4761" i="2"/>
  <c r="H4762" i="2"/>
  <c r="I4762" i="2"/>
  <c r="H4763" i="2"/>
  <c r="I4763" i="2"/>
  <c r="H4764" i="2"/>
  <c r="I4764" i="2"/>
  <c r="H4765" i="2"/>
  <c r="I4765" i="2"/>
  <c r="H4766" i="2"/>
  <c r="I4766" i="2"/>
  <c r="H4767" i="2"/>
  <c r="I4767" i="2"/>
  <c r="H4768" i="2"/>
  <c r="I4768" i="2"/>
  <c r="H4769" i="2"/>
  <c r="I4769" i="2"/>
  <c r="H4770" i="2"/>
  <c r="I4770" i="2"/>
  <c r="H4771" i="2"/>
  <c r="I4771" i="2"/>
  <c r="H4772" i="2"/>
  <c r="I4772" i="2"/>
  <c r="H4773" i="2"/>
  <c r="I4773" i="2"/>
  <c r="H4774" i="2"/>
  <c r="I4774" i="2"/>
  <c r="H4775" i="2"/>
  <c r="I4775" i="2"/>
  <c r="H4776" i="2"/>
  <c r="I4776" i="2"/>
  <c r="H4777" i="2"/>
  <c r="I4777" i="2"/>
  <c r="H4778" i="2"/>
  <c r="I4778" i="2"/>
  <c r="H4779" i="2"/>
  <c r="I4779" i="2"/>
  <c r="H4780" i="2"/>
  <c r="I4780" i="2"/>
  <c r="H4781" i="2"/>
  <c r="I4781" i="2"/>
  <c r="H4782" i="2"/>
  <c r="I4782" i="2"/>
  <c r="H4783" i="2"/>
  <c r="I4783" i="2"/>
  <c r="H4784" i="2"/>
  <c r="I4784" i="2"/>
  <c r="H4785" i="2"/>
  <c r="I4785" i="2"/>
  <c r="H4786" i="2"/>
  <c r="I4786" i="2"/>
  <c r="H4787" i="2"/>
  <c r="I4787" i="2"/>
  <c r="H4788" i="2"/>
  <c r="I4788" i="2"/>
  <c r="H4789" i="2"/>
  <c r="I4789" i="2"/>
  <c r="H4790" i="2"/>
  <c r="I4790" i="2"/>
  <c r="H4791" i="2"/>
  <c r="I4791" i="2"/>
  <c r="H4792" i="2"/>
  <c r="I4792" i="2"/>
  <c r="H4793" i="2"/>
  <c r="I4793" i="2"/>
  <c r="H4794" i="2"/>
  <c r="I4794" i="2"/>
  <c r="H4795" i="2"/>
  <c r="I4795" i="2"/>
  <c r="H4796" i="2"/>
  <c r="I4796" i="2"/>
  <c r="H4797" i="2"/>
  <c r="I4797" i="2"/>
  <c r="H4798" i="2"/>
  <c r="I4798" i="2"/>
  <c r="H4799" i="2"/>
  <c r="I4799" i="2"/>
  <c r="H4800" i="2"/>
  <c r="I4800" i="2"/>
  <c r="H4801" i="2"/>
  <c r="I4801" i="2"/>
  <c r="H4802" i="2"/>
  <c r="I4802" i="2"/>
  <c r="H4803" i="2"/>
  <c r="I4803" i="2"/>
  <c r="H4804" i="2"/>
  <c r="I4804" i="2"/>
  <c r="H4805" i="2"/>
  <c r="I4805" i="2"/>
  <c r="H4806" i="2"/>
  <c r="I4806" i="2"/>
  <c r="H4807" i="2"/>
  <c r="I4807" i="2"/>
  <c r="H4808" i="2"/>
  <c r="I4808" i="2"/>
  <c r="H4809" i="2"/>
  <c r="I4809" i="2"/>
  <c r="H4810" i="2"/>
  <c r="I4810" i="2"/>
  <c r="H4811" i="2"/>
  <c r="I4811" i="2"/>
  <c r="H4812" i="2"/>
  <c r="I4812" i="2"/>
  <c r="H4813" i="2"/>
  <c r="I4813" i="2"/>
  <c r="H4814" i="2"/>
  <c r="I4814" i="2"/>
  <c r="H4815" i="2"/>
  <c r="I4815" i="2"/>
  <c r="H4816" i="2"/>
  <c r="I4816" i="2"/>
  <c r="H4817" i="2"/>
  <c r="I4817" i="2"/>
  <c r="H4818" i="2"/>
  <c r="I4818" i="2"/>
  <c r="H4819" i="2"/>
  <c r="I4819" i="2"/>
  <c r="H4820" i="2"/>
  <c r="I4820" i="2"/>
  <c r="H4821" i="2"/>
  <c r="I4821" i="2"/>
  <c r="H4822" i="2"/>
  <c r="I4822" i="2"/>
  <c r="H4823" i="2"/>
  <c r="I4823" i="2"/>
  <c r="H4824" i="2"/>
  <c r="I4824" i="2"/>
  <c r="H4825" i="2"/>
  <c r="I4825" i="2"/>
  <c r="H4826" i="2"/>
  <c r="I4826" i="2"/>
  <c r="H4827" i="2"/>
  <c r="I4827" i="2"/>
  <c r="H4828" i="2"/>
  <c r="I4828" i="2"/>
  <c r="H4829" i="2"/>
  <c r="I4829" i="2"/>
  <c r="H4830" i="2"/>
  <c r="I4830" i="2"/>
  <c r="H4831" i="2"/>
  <c r="I4831" i="2"/>
  <c r="H4832" i="2"/>
  <c r="I4832" i="2"/>
  <c r="H4833" i="2"/>
  <c r="I4833" i="2"/>
  <c r="H4834" i="2"/>
  <c r="I4834" i="2"/>
  <c r="H4835" i="2"/>
  <c r="I4835" i="2"/>
  <c r="H4836" i="2"/>
  <c r="I4836" i="2"/>
  <c r="H4837" i="2"/>
  <c r="I4837" i="2"/>
  <c r="H4838" i="2"/>
  <c r="I4838" i="2"/>
  <c r="H4839" i="2"/>
  <c r="I4839" i="2"/>
  <c r="H4840" i="2"/>
  <c r="I4840" i="2"/>
  <c r="H4841" i="2"/>
  <c r="I4841" i="2"/>
  <c r="H4842" i="2"/>
  <c r="I4842" i="2"/>
  <c r="H4843" i="2"/>
  <c r="I4843" i="2"/>
  <c r="H4844" i="2"/>
  <c r="I4844" i="2"/>
  <c r="H4845" i="2"/>
  <c r="I4845" i="2"/>
  <c r="H4846" i="2"/>
  <c r="I4846" i="2"/>
  <c r="H4847" i="2"/>
  <c r="I4847" i="2"/>
  <c r="H4848" i="2"/>
  <c r="I4848" i="2"/>
  <c r="H4849" i="2"/>
  <c r="I4849" i="2"/>
  <c r="H4850" i="2"/>
  <c r="I4850" i="2"/>
  <c r="H4851" i="2"/>
  <c r="I4851" i="2"/>
  <c r="H4852" i="2"/>
  <c r="I4852" i="2"/>
  <c r="H4853" i="2"/>
  <c r="I4853" i="2"/>
  <c r="H4854" i="2"/>
  <c r="I4854" i="2"/>
  <c r="H4855" i="2"/>
  <c r="I4855" i="2"/>
  <c r="H4856" i="2"/>
  <c r="I4856" i="2"/>
  <c r="H4857" i="2"/>
  <c r="I4857" i="2"/>
  <c r="H4858" i="2"/>
  <c r="I4858" i="2"/>
  <c r="H4859" i="2"/>
  <c r="I4859" i="2"/>
  <c r="H4860" i="2"/>
  <c r="I4860" i="2"/>
  <c r="H4861" i="2"/>
  <c r="I4861" i="2"/>
  <c r="H4862" i="2"/>
  <c r="I4862" i="2"/>
  <c r="H4863" i="2"/>
  <c r="I4863" i="2"/>
  <c r="H4864" i="2"/>
  <c r="I4864" i="2"/>
  <c r="H4865" i="2"/>
  <c r="I4865" i="2"/>
  <c r="H4866" i="2"/>
  <c r="I4866" i="2"/>
  <c r="H4867" i="2"/>
  <c r="I4867" i="2"/>
  <c r="H4868" i="2"/>
  <c r="I4868" i="2"/>
  <c r="H4869" i="2"/>
  <c r="I4869" i="2"/>
  <c r="H4870" i="2"/>
  <c r="I4870" i="2"/>
  <c r="H4871" i="2"/>
  <c r="I4871" i="2"/>
  <c r="H4872" i="2"/>
  <c r="I4872" i="2"/>
  <c r="H4873" i="2"/>
  <c r="I4873" i="2"/>
  <c r="H4874" i="2"/>
  <c r="I4874" i="2"/>
  <c r="H4875" i="2"/>
  <c r="I4875" i="2"/>
  <c r="H4876" i="2"/>
  <c r="I4876" i="2"/>
  <c r="H4877" i="2"/>
  <c r="I4877" i="2"/>
  <c r="H4878" i="2"/>
  <c r="I4878" i="2"/>
  <c r="H4879" i="2"/>
  <c r="I4879" i="2"/>
  <c r="H4880" i="2"/>
  <c r="I4880" i="2"/>
  <c r="H4881" i="2"/>
  <c r="I4881" i="2"/>
  <c r="H4882" i="2"/>
  <c r="I4882" i="2"/>
  <c r="H4883" i="2"/>
  <c r="I4883" i="2"/>
  <c r="H4884" i="2"/>
  <c r="I4884" i="2"/>
  <c r="H4885" i="2"/>
  <c r="I4885" i="2"/>
  <c r="H4886" i="2"/>
  <c r="I4886" i="2"/>
  <c r="H4887" i="2"/>
  <c r="I4887" i="2"/>
  <c r="H4888" i="2"/>
  <c r="I4888" i="2"/>
  <c r="H4889" i="2"/>
  <c r="I4889" i="2"/>
  <c r="H4890" i="2"/>
  <c r="I4890" i="2"/>
  <c r="H4891" i="2"/>
  <c r="I4891" i="2"/>
  <c r="H4892" i="2"/>
  <c r="I4892" i="2"/>
  <c r="H4893" i="2"/>
  <c r="I4893" i="2"/>
  <c r="H4894" i="2"/>
  <c r="I4894" i="2"/>
  <c r="H4895" i="2"/>
  <c r="I4895" i="2"/>
  <c r="H4896" i="2"/>
  <c r="I4896" i="2"/>
  <c r="H4897" i="2"/>
  <c r="I4897" i="2"/>
  <c r="H4898" i="2"/>
  <c r="I4898" i="2"/>
  <c r="H4899" i="2"/>
  <c r="I4899" i="2"/>
  <c r="H4900" i="2"/>
  <c r="I4900" i="2"/>
  <c r="H4901" i="2"/>
  <c r="I4901" i="2"/>
  <c r="H4902" i="2"/>
  <c r="I4902" i="2"/>
  <c r="H4903" i="2"/>
  <c r="I4903" i="2"/>
  <c r="H4904" i="2"/>
  <c r="I4904" i="2"/>
  <c r="H4905" i="2"/>
  <c r="I4905" i="2"/>
  <c r="H4906" i="2"/>
  <c r="I4906" i="2"/>
  <c r="H4907" i="2"/>
  <c r="I4907" i="2"/>
  <c r="H4908" i="2"/>
  <c r="I4908" i="2"/>
  <c r="H4909" i="2"/>
  <c r="I4909" i="2"/>
  <c r="H4910" i="2"/>
  <c r="I4910" i="2"/>
  <c r="H4911" i="2"/>
  <c r="I4911" i="2"/>
  <c r="H4912" i="2"/>
  <c r="I4912" i="2"/>
  <c r="H4913" i="2"/>
  <c r="I4913" i="2"/>
  <c r="H4914" i="2"/>
  <c r="I4914" i="2"/>
  <c r="H4915" i="2"/>
  <c r="I4915" i="2"/>
  <c r="H4916" i="2"/>
  <c r="I4916" i="2"/>
  <c r="H4917" i="2"/>
  <c r="I4917" i="2"/>
  <c r="H4918" i="2"/>
  <c r="I4918" i="2"/>
  <c r="H4919" i="2"/>
  <c r="I4919" i="2"/>
  <c r="H4920" i="2"/>
  <c r="I4920" i="2"/>
  <c r="H4921" i="2"/>
  <c r="I4921" i="2"/>
  <c r="H4922" i="2"/>
  <c r="I4922" i="2"/>
  <c r="H4923" i="2"/>
  <c r="I4923" i="2"/>
  <c r="H4924" i="2"/>
  <c r="I4924" i="2"/>
  <c r="H4925" i="2"/>
  <c r="I4925" i="2"/>
  <c r="H4926" i="2"/>
  <c r="I4926" i="2"/>
  <c r="H4927" i="2"/>
  <c r="I4927" i="2"/>
  <c r="H4928" i="2"/>
  <c r="I4928" i="2"/>
  <c r="H4929" i="2"/>
  <c r="I4929" i="2"/>
  <c r="H4930" i="2"/>
  <c r="I4930" i="2"/>
  <c r="H4931" i="2"/>
  <c r="I4931" i="2"/>
  <c r="H4932" i="2"/>
  <c r="I4932" i="2"/>
  <c r="H4933" i="2"/>
  <c r="I4933" i="2"/>
  <c r="H4934" i="2"/>
  <c r="I4934" i="2"/>
  <c r="H4935" i="2"/>
  <c r="I4935" i="2"/>
  <c r="H4936" i="2"/>
  <c r="I4936" i="2"/>
  <c r="H4937" i="2"/>
  <c r="I4937" i="2"/>
  <c r="H4938" i="2"/>
  <c r="I4938" i="2"/>
  <c r="H4939" i="2"/>
  <c r="I4939" i="2"/>
  <c r="H4940" i="2"/>
  <c r="I4940" i="2"/>
  <c r="H4941" i="2"/>
  <c r="I4941" i="2"/>
  <c r="H4942" i="2"/>
  <c r="I4942" i="2"/>
  <c r="H4943" i="2"/>
  <c r="I4943" i="2"/>
  <c r="H4944" i="2"/>
  <c r="I4944" i="2"/>
  <c r="H4945" i="2"/>
  <c r="I4945" i="2"/>
  <c r="H4946" i="2"/>
  <c r="I4946" i="2"/>
  <c r="H4947" i="2"/>
  <c r="I4947" i="2"/>
  <c r="H4948" i="2"/>
  <c r="I4948" i="2"/>
  <c r="H4949" i="2"/>
  <c r="I4949" i="2"/>
  <c r="H4950" i="2"/>
  <c r="I4950" i="2"/>
  <c r="H4951" i="2"/>
  <c r="I4951" i="2"/>
  <c r="H4952" i="2"/>
  <c r="I4952" i="2"/>
  <c r="H4953" i="2"/>
  <c r="I4953" i="2"/>
  <c r="H4954" i="2"/>
  <c r="I4954" i="2"/>
  <c r="H4955" i="2"/>
  <c r="I4955" i="2"/>
  <c r="H4956" i="2"/>
  <c r="I4956" i="2"/>
  <c r="H4957" i="2"/>
  <c r="I4957" i="2"/>
  <c r="H4958" i="2"/>
  <c r="I4958" i="2"/>
  <c r="H4959" i="2"/>
  <c r="I4959" i="2"/>
  <c r="H4960" i="2"/>
  <c r="I4960" i="2"/>
  <c r="H4961" i="2"/>
  <c r="I4961" i="2"/>
  <c r="H4962" i="2"/>
  <c r="I4962" i="2"/>
  <c r="H4963" i="2"/>
  <c r="I4963" i="2"/>
  <c r="H4964" i="2"/>
  <c r="I4964" i="2"/>
  <c r="H4965" i="2"/>
  <c r="I4965" i="2"/>
  <c r="H4966" i="2"/>
  <c r="I4966" i="2"/>
  <c r="H4967" i="2"/>
  <c r="I4967" i="2"/>
  <c r="H4968" i="2"/>
  <c r="I4968" i="2"/>
  <c r="H4969" i="2"/>
  <c r="I4969" i="2"/>
  <c r="H4970" i="2"/>
  <c r="I4970" i="2"/>
  <c r="H4971" i="2"/>
  <c r="I4971" i="2"/>
  <c r="H4972" i="2"/>
  <c r="I4972" i="2"/>
  <c r="H4973" i="2"/>
  <c r="I4973" i="2"/>
  <c r="H4974" i="2"/>
  <c r="I4974" i="2"/>
  <c r="H4975" i="2"/>
  <c r="I4975" i="2"/>
  <c r="H4976" i="2"/>
  <c r="I4976" i="2"/>
  <c r="H4977" i="2"/>
  <c r="I4977" i="2"/>
  <c r="H4978" i="2"/>
  <c r="I4978" i="2"/>
  <c r="H4979" i="2"/>
  <c r="I4979" i="2"/>
  <c r="H4980" i="2"/>
  <c r="I4980" i="2"/>
  <c r="H4981" i="2"/>
  <c r="I4981" i="2"/>
  <c r="H4982" i="2"/>
  <c r="I4982" i="2"/>
  <c r="H4983" i="2"/>
  <c r="I4983" i="2"/>
  <c r="H4984" i="2"/>
  <c r="I4984" i="2"/>
  <c r="H4985" i="2"/>
  <c r="I4985" i="2"/>
  <c r="H4986" i="2"/>
  <c r="I4986" i="2"/>
  <c r="H4987" i="2"/>
  <c r="I4987" i="2"/>
  <c r="H4988" i="2"/>
  <c r="I4988" i="2"/>
  <c r="H4989" i="2"/>
  <c r="I4989" i="2"/>
  <c r="H4990" i="2"/>
  <c r="I4990" i="2"/>
  <c r="H4991" i="2"/>
  <c r="I4991" i="2"/>
  <c r="H4992" i="2"/>
  <c r="I4992" i="2"/>
  <c r="H4993" i="2"/>
  <c r="I4993" i="2"/>
  <c r="H4994" i="2"/>
  <c r="I4994" i="2"/>
  <c r="H4995" i="2"/>
  <c r="I4995" i="2"/>
  <c r="H4996" i="2"/>
  <c r="I4996" i="2"/>
  <c r="H4997" i="2"/>
  <c r="I4997" i="2"/>
  <c r="H4998" i="2"/>
  <c r="I4998" i="2"/>
  <c r="H4999" i="2"/>
  <c r="I4999" i="2"/>
  <c r="H5000" i="2"/>
  <c r="I5000" i="2"/>
  <c r="H5001" i="2"/>
  <c r="I5001" i="2"/>
</calcChain>
</file>

<file path=xl/sharedStrings.xml><?xml version="1.0" encoding="utf-8"?>
<sst xmlns="http://schemas.openxmlformats.org/spreadsheetml/2006/main" count="12022" uniqueCount="52">
  <si>
    <t>Bakery Items</t>
  </si>
  <si>
    <t>France</t>
  </si>
  <si>
    <t>Beverages</t>
  </si>
  <si>
    <t>Australia</t>
  </si>
  <si>
    <t>Meat &amp; Seafood</t>
  </si>
  <si>
    <t>China</t>
  </si>
  <si>
    <t>Prepared Food</t>
  </si>
  <si>
    <t>Indonesia</t>
  </si>
  <si>
    <t>Grains &amp; Cereals</t>
  </si>
  <si>
    <t>Frozen Food</t>
  </si>
  <si>
    <t>UK</t>
  </si>
  <si>
    <t>South Africa</t>
  </si>
  <si>
    <t>Fruits &amp; Vegetables</t>
  </si>
  <si>
    <t>Saudi Arabia</t>
  </si>
  <si>
    <t>Dairy Products</t>
  </si>
  <si>
    <t>Germany</t>
  </si>
  <si>
    <t>Italy</t>
  </si>
  <si>
    <t>USA</t>
  </si>
  <si>
    <t>Brazil</t>
  </si>
  <si>
    <t>Canada</t>
  </si>
  <si>
    <t>Japan</t>
  </si>
  <si>
    <t>Argentina</t>
  </si>
  <si>
    <t>Turkey</t>
  </si>
  <si>
    <t>Spain</t>
  </si>
  <si>
    <t>Mexico</t>
  </si>
  <si>
    <t>India</t>
  </si>
  <si>
    <t>Russia</t>
  </si>
  <si>
    <t>South Korea</t>
  </si>
  <si>
    <t>Year Category</t>
  </si>
  <si>
    <t>Economic Loss per Ton</t>
  </si>
  <si>
    <t>Population (Million)</t>
  </si>
  <si>
    <t>Avg Waste per Capita (Kg)</t>
  </si>
  <si>
    <t>Economic Loss (Million $)</t>
  </si>
  <si>
    <t>Total Waste (Tons)</t>
  </si>
  <si>
    <t>Food Category</t>
  </si>
  <si>
    <t>Year</t>
  </si>
  <si>
    <t>Country</t>
  </si>
  <si>
    <t>2022-2024</t>
  </si>
  <si>
    <t>2018-2021</t>
  </si>
  <si>
    <t>Sum of Economic Loss per Ton</t>
  </si>
  <si>
    <t>Sum of Population (Million)</t>
  </si>
  <si>
    <t>Sum of Avg Waste per Capita (Kg)</t>
  </si>
  <si>
    <t>Sum of Economic Loss (Million $)</t>
  </si>
  <si>
    <t>Sum of Total Waste (Tons)</t>
  </si>
  <si>
    <t>Grand Total</t>
  </si>
  <si>
    <t>Analiz: 2018-2021 dönemine kıyasla 2022-2024 yıllarında küresel gıda israfında belirgin bir azalma gözlemlenirken, İtalya ve Meksika bu genel trendin dışında kalarak artış göstermiştir.
Çıkarım: İsraftaki genel düşüş olumlu bir gelişme olsa da, artışın sürdüğü bölgelerde yerel politikaların ve tüketim alışkanlıklarının yeniden yapılandırılması gerekmektedir.</t>
  </si>
  <si>
    <t>Row Labels</t>
  </si>
  <si>
    <t>Column Labels</t>
  </si>
  <si>
    <t>Sum of Sum of Total Waste (Tons)</t>
  </si>
  <si>
    <t>Period Based Food Waste Line Chart</t>
  </si>
  <si>
    <t>Analiz: Türkiye, Kanada ve İspanya en yüksek toplam gıda israfı hacmine sahip ülkeler olarak öne çıkarken; Güney Kore ve Birleşik Krallık, kıyaslanan ülkeler arasında en düşük israf miktarıyla en verimli yönetimi sergilemiştir.
Çıkarım: Birçok büyük ekonomi arasındaki israf miktarının birbirine yakın olması, gıda israfının küresel ve sistematik bir sorun olduğunu; çözüm için standartlaştırılmış lojistik ve davranışsal müdahalelere ihtiyaç duyulduğunu göstermektedir.</t>
  </si>
  <si>
    <r>
      <t xml:space="preserve">Nüfus (X) ile Toplam İsraf (Y) arasında </t>
    </r>
    <r>
      <rPr>
        <b/>
        <sz val="11"/>
        <color theme="1"/>
        <rFont val="Calibri"/>
        <family val="2"/>
        <scheme val="minor"/>
      </rPr>
      <t>pozitif bir korelasyon</t>
    </r>
    <r>
      <rPr>
        <sz val="11"/>
        <color theme="1"/>
        <rFont val="Calibri"/>
        <family val="2"/>
        <scheme val="minor"/>
      </rPr>
      <t xml:space="preserve"> gözlemlenmektedir. 
Ancak, bazı ülkeler (trend çizgisinin altında kalanlar) benzer nüfusa sahip olmalarına rağmen daha düşük atık üreterek </t>
    </r>
    <r>
      <rPr>
        <b/>
        <sz val="11"/>
        <color theme="1"/>
        <rFont val="Calibri"/>
        <family val="2"/>
        <scheme val="minor"/>
      </rPr>
      <t>operasyonel verimlilik</t>
    </r>
    <r>
      <rPr>
        <sz val="11"/>
        <color theme="1"/>
        <rFont val="Calibri"/>
        <family val="2"/>
        <scheme val="minor"/>
      </rPr>
      <t xml:space="preserve"> sergilemektedir."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</si>
</sst>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 vertical="top" wrapText="1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wrapText="1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1"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[Yeni Microsoft Excel Çalışma Sayfası.xlsx]Period Based Food Chart!PivotTable5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'Period Based Food Chart'!$B$3:$B$4</c:f>
              <c:strCache>
                <c:ptCount val="1"/>
                <c:pt idx="0">
                  <c:v>2018-2021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'Period Based Food Chart'!$A$5:$A$25</c:f>
              <c:strCache>
                <c:ptCount val="20"/>
                <c:pt idx="0">
                  <c:v>Argentina</c:v>
                </c:pt>
                <c:pt idx="1">
                  <c:v>Australia</c:v>
                </c:pt>
                <c:pt idx="2">
                  <c:v>Brazil</c:v>
                </c:pt>
                <c:pt idx="3">
                  <c:v>Canada</c:v>
                </c:pt>
                <c:pt idx="4">
                  <c:v>China</c:v>
                </c:pt>
                <c:pt idx="5">
                  <c:v>France</c:v>
                </c:pt>
                <c:pt idx="6">
                  <c:v>Germany</c:v>
                </c:pt>
                <c:pt idx="7">
                  <c:v>India</c:v>
                </c:pt>
                <c:pt idx="8">
                  <c:v>Indonesia</c:v>
                </c:pt>
                <c:pt idx="9">
                  <c:v>Italy</c:v>
                </c:pt>
                <c:pt idx="10">
                  <c:v>Japan</c:v>
                </c:pt>
                <c:pt idx="11">
                  <c:v>Mexico</c:v>
                </c:pt>
                <c:pt idx="12">
                  <c:v>Russia</c:v>
                </c:pt>
                <c:pt idx="13">
                  <c:v>Saudi Arabia</c:v>
                </c:pt>
                <c:pt idx="14">
                  <c:v>South Africa</c:v>
                </c:pt>
                <c:pt idx="15">
                  <c:v>South Korea</c:v>
                </c:pt>
                <c:pt idx="16">
                  <c:v>Spain</c:v>
                </c:pt>
                <c:pt idx="17">
                  <c:v>Turkey</c:v>
                </c:pt>
                <c:pt idx="18">
                  <c:v>UK</c:v>
                </c:pt>
                <c:pt idx="19">
                  <c:v>USA</c:v>
                </c:pt>
              </c:strCache>
            </c:strRef>
          </c:cat>
          <c:val>
            <c:numRef>
              <c:f>'Period Based Food Chart'!$B$5:$B$25</c:f>
              <c:numCache>
                <c:formatCode>_-* #,##0_-;\-* #,##0_-;_-* "-"??_-;_-@_-</c:formatCode>
                <c:ptCount val="20"/>
                <c:pt idx="0">
                  <c:v>3911244.6300000008</c:v>
                </c:pt>
                <c:pt idx="1">
                  <c:v>3178730.01</c:v>
                </c:pt>
                <c:pt idx="2">
                  <c:v>3618574.9300000006</c:v>
                </c:pt>
                <c:pt idx="3">
                  <c:v>4068105.99</c:v>
                </c:pt>
                <c:pt idx="4">
                  <c:v>4044463.6300000004</c:v>
                </c:pt>
                <c:pt idx="5">
                  <c:v>3562080.1700000004</c:v>
                </c:pt>
                <c:pt idx="6">
                  <c:v>4145285.71</c:v>
                </c:pt>
                <c:pt idx="7">
                  <c:v>3851506.3600000003</c:v>
                </c:pt>
                <c:pt idx="8">
                  <c:v>3451979.62</c:v>
                </c:pt>
                <c:pt idx="9">
                  <c:v>2980885.94</c:v>
                </c:pt>
                <c:pt idx="10">
                  <c:v>3605330.66</c:v>
                </c:pt>
                <c:pt idx="11">
                  <c:v>3373224.01</c:v>
                </c:pt>
                <c:pt idx="12">
                  <c:v>3040606.4000000004</c:v>
                </c:pt>
                <c:pt idx="13">
                  <c:v>3558748.8599999994</c:v>
                </c:pt>
                <c:pt idx="14">
                  <c:v>3584528.7399999998</c:v>
                </c:pt>
                <c:pt idx="15">
                  <c:v>3288251.42</c:v>
                </c:pt>
                <c:pt idx="16">
                  <c:v>3996467.7600000002</c:v>
                </c:pt>
                <c:pt idx="17">
                  <c:v>4023769.6699999995</c:v>
                </c:pt>
                <c:pt idx="18">
                  <c:v>2907170.2299999995</c:v>
                </c:pt>
                <c:pt idx="19">
                  <c:v>3395915.67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37-425B-BD80-5D0A0617974D}"/>
            </c:ext>
          </c:extLst>
        </c:ser>
        <c:ser>
          <c:idx val="1"/>
          <c:order val="1"/>
          <c:tx>
            <c:strRef>
              <c:f>'Period Based Food Chart'!$C$3:$C$4</c:f>
              <c:strCache>
                <c:ptCount val="1"/>
                <c:pt idx="0">
                  <c:v>2022-2024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'Period Based Food Chart'!$A$5:$A$25</c:f>
              <c:strCache>
                <c:ptCount val="20"/>
                <c:pt idx="0">
                  <c:v>Argentina</c:v>
                </c:pt>
                <c:pt idx="1">
                  <c:v>Australia</c:v>
                </c:pt>
                <c:pt idx="2">
                  <c:v>Brazil</c:v>
                </c:pt>
                <c:pt idx="3">
                  <c:v>Canada</c:v>
                </c:pt>
                <c:pt idx="4">
                  <c:v>China</c:v>
                </c:pt>
                <c:pt idx="5">
                  <c:v>France</c:v>
                </c:pt>
                <c:pt idx="6">
                  <c:v>Germany</c:v>
                </c:pt>
                <c:pt idx="7">
                  <c:v>India</c:v>
                </c:pt>
                <c:pt idx="8">
                  <c:v>Indonesia</c:v>
                </c:pt>
                <c:pt idx="9">
                  <c:v>Italy</c:v>
                </c:pt>
                <c:pt idx="10">
                  <c:v>Japan</c:v>
                </c:pt>
                <c:pt idx="11">
                  <c:v>Mexico</c:v>
                </c:pt>
                <c:pt idx="12">
                  <c:v>Russia</c:v>
                </c:pt>
                <c:pt idx="13">
                  <c:v>Saudi Arabia</c:v>
                </c:pt>
                <c:pt idx="14">
                  <c:v>South Africa</c:v>
                </c:pt>
                <c:pt idx="15">
                  <c:v>South Korea</c:v>
                </c:pt>
                <c:pt idx="16">
                  <c:v>Spain</c:v>
                </c:pt>
                <c:pt idx="17">
                  <c:v>Turkey</c:v>
                </c:pt>
                <c:pt idx="18">
                  <c:v>UK</c:v>
                </c:pt>
                <c:pt idx="19">
                  <c:v>USA</c:v>
                </c:pt>
              </c:strCache>
            </c:strRef>
          </c:cat>
          <c:val>
            <c:numRef>
              <c:f>'Period Based Food Chart'!$C$5:$C$25</c:f>
              <c:numCache>
                <c:formatCode>_-* #,##0_-;\-* #,##0_-;_-* "-"??_-;_-@_-</c:formatCode>
                <c:ptCount val="20"/>
                <c:pt idx="0">
                  <c:v>2171122.89</c:v>
                </c:pt>
                <c:pt idx="1">
                  <c:v>2708631.2800000003</c:v>
                </c:pt>
                <c:pt idx="2">
                  <c:v>2773177.5700000003</c:v>
                </c:pt>
                <c:pt idx="3">
                  <c:v>2722572.4999999995</c:v>
                </c:pt>
                <c:pt idx="4">
                  <c:v>2366632.5500000003</c:v>
                </c:pt>
                <c:pt idx="5">
                  <c:v>2772414.83</c:v>
                </c:pt>
                <c:pt idx="6">
                  <c:v>2614767.3000000003</c:v>
                </c:pt>
                <c:pt idx="7">
                  <c:v>2393807.41</c:v>
                </c:pt>
                <c:pt idx="8">
                  <c:v>2842468.12</c:v>
                </c:pt>
                <c:pt idx="9">
                  <c:v>3226821.3400000008</c:v>
                </c:pt>
                <c:pt idx="10">
                  <c:v>2302160.4</c:v>
                </c:pt>
                <c:pt idx="11">
                  <c:v>3215945.51</c:v>
                </c:pt>
                <c:pt idx="12">
                  <c:v>2792083.06</c:v>
                </c:pt>
                <c:pt idx="13">
                  <c:v>2424535.0100000007</c:v>
                </c:pt>
                <c:pt idx="14">
                  <c:v>2471941.56</c:v>
                </c:pt>
                <c:pt idx="15">
                  <c:v>2320855.65</c:v>
                </c:pt>
                <c:pt idx="16">
                  <c:v>2794106.49</c:v>
                </c:pt>
                <c:pt idx="17">
                  <c:v>2856116.1399999997</c:v>
                </c:pt>
                <c:pt idx="18">
                  <c:v>2901451.38</c:v>
                </c:pt>
                <c:pt idx="19">
                  <c:v>3050418.96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37-425B-BD80-5D0A06179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8079903"/>
        <c:axId val="1968080383"/>
      </c:lineChart>
      <c:catAx>
        <c:axId val="196807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68080383"/>
        <c:crosses val="autoZero"/>
        <c:auto val="1"/>
        <c:lblAlgn val="ctr"/>
        <c:lblOffset val="100"/>
        <c:noMultiLvlLbl val="0"/>
      </c:catAx>
      <c:valAx>
        <c:axId val="196808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6807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Country Based Waste </a:t>
            </a:r>
            <a:r>
              <a:rPr lang="tr-TR"/>
              <a:t>Clustered</a:t>
            </a:r>
            <a:r>
              <a:rPr lang="tr-TR" baseline="0"/>
              <a:t> Column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'Country Based Waste Chart'!$B$1</c:f>
              <c:strCache>
                <c:ptCount val="1"/>
                <c:pt idx="0">
                  <c:v>Sum of Sum of Total Waste (Tons)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'Country Based Waste Chart'!$A$2:$A$21</c:f>
              <c:strCache>
                <c:ptCount val="20"/>
                <c:pt idx="0">
                  <c:v>South Korea</c:v>
                </c:pt>
                <c:pt idx="1">
                  <c:v>UK</c:v>
                </c:pt>
                <c:pt idx="2">
                  <c:v>Russia</c:v>
                </c:pt>
                <c:pt idx="3">
                  <c:v>Australia</c:v>
                </c:pt>
                <c:pt idx="4">
                  <c:v>Japan</c:v>
                </c:pt>
                <c:pt idx="5">
                  <c:v>Saudi Arabia</c:v>
                </c:pt>
                <c:pt idx="6">
                  <c:v>South Africa</c:v>
                </c:pt>
                <c:pt idx="7">
                  <c:v>Argentina</c:v>
                </c:pt>
                <c:pt idx="8">
                  <c:v>Italy</c:v>
                </c:pt>
                <c:pt idx="9">
                  <c:v>India</c:v>
                </c:pt>
                <c:pt idx="10">
                  <c:v>Indonesia</c:v>
                </c:pt>
                <c:pt idx="11">
                  <c:v>France</c:v>
                </c:pt>
                <c:pt idx="12">
                  <c:v>Brazil</c:v>
                </c:pt>
                <c:pt idx="13">
                  <c:v>China</c:v>
                </c:pt>
                <c:pt idx="14">
                  <c:v>USA</c:v>
                </c:pt>
                <c:pt idx="15">
                  <c:v>Mexico</c:v>
                </c:pt>
                <c:pt idx="16">
                  <c:v>Germany</c:v>
                </c:pt>
                <c:pt idx="17">
                  <c:v>Spain</c:v>
                </c:pt>
                <c:pt idx="18">
                  <c:v>Canada</c:v>
                </c:pt>
                <c:pt idx="19">
                  <c:v>Turkey</c:v>
                </c:pt>
              </c:strCache>
            </c:strRef>
          </c:cat>
          <c:val>
            <c:numRef>
              <c:f>'Country Based Waste Chart'!$B$2:$B$21</c:f>
              <c:numCache>
                <c:formatCode>General</c:formatCode>
                <c:ptCount val="20"/>
                <c:pt idx="0">
                  <c:v>5609107.0700000003</c:v>
                </c:pt>
                <c:pt idx="1">
                  <c:v>5808621.6099999994</c:v>
                </c:pt>
                <c:pt idx="2">
                  <c:v>5832689.459999999</c:v>
                </c:pt>
                <c:pt idx="3">
                  <c:v>5887361.290000001</c:v>
                </c:pt>
                <c:pt idx="4">
                  <c:v>5907491.0600000005</c:v>
                </c:pt>
                <c:pt idx="5">
                  <c:v>5983283.8700000001</c:v>
                </c:pt>
                <c:pt idx="6">
                  <c:v>6056470.2999999998</c:v>
                </c:pt>
                <c:pt idx="7">
                  <c:v>6082367.5200000005</c:v>
                </c:pt>
                <c:pt idx="8">
                  <c:v>6207707.2800000012</c:v>
                </c:pt>
                <c:pt idx="9">
                  <c:v>6245313.7700000005</c:v>
                </c:pt>
                <c:pt idx="10">
                  <c:v>6294447.7399999993</c:v>
                </c:pt>
                <c:pt idx="11">
                  <c:v>6334495.0000000009</c:v>
                </c:pt>
                <c:pt idx="12">
                  <c:v>6391752.4999999991</c:v>
                </c:pt>
                <c:pt idx="13">
                  <c:v>6411096.1800000006</c:v>
                </c:pt>
                <c:pt idx="14">
                  <c:v>6446334.6300000008</c:v>
                </c:pt>
                <c:pt idx="15">
                  <c:v>6589169.5199999996</c:v>
                </c:pt>
                <c:pt idx="16">
                  <c:v>6760053.0099999998</c:v>
                </c:pt>
                <c:pt idx="17">
                  <c:v>6790574.25</c:v>
                </c:pt>
                <c:pt idx="18">
                  <c:v>6790678.4900000002</c:v>
                </c:pt>
                <c:pt idx="19">
                  <c:v>6879885.8100000005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8-480B-B702-5A46046B6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50264015"/>
        <c:axId val="350270735"/>
        <c:axId val="0"/>
      </c:bar3DChart>
      <c:catAx>
        <c:axId val="35026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50270735"/>
        <c:crosses val="autoZero"/>
        <c:auto val="1"/>
        <c:lblAlgn val="ctr"/>
        <c:lblOffset val="100"/>
        <c:noMultiLvlLbl val="0"/>
      </c:catAx>
      <c:valAx>
        <c:axId val="35027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5026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Correlation</a:t>
            </a:r>
            <a:r>
              <a:rPr lang="tr-TR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44550739568769"/>
          <c:y val="9.6106618748128189E-2"/>
          <c:w val="0.83973097112860895"/>
          <c:h val="0.819681737895970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'Correlation Analysis'!$C$1</c:f>
              <c:strCache>
                <c:ptCount val="1"/>
                <c:pt idx="0">
                  <c:v>Sum of Total Waste (Tons)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</c:trendlineLbl>
          </c:trendline>
          <c:xVal>
            <c:numRef>
              <c:f>'Correlation Analysis'!$B$2:$B$21</c:f>
              <c:numCache>
                <c:formatCode>_-* #,##0_-;\-* #,##0_-;_-* "-"??_-;_-@_-</c:formatCode>
                <c:ptCount val="20"/>
                <c:pt idx="0">
                  <c:v>167163.65</c:v>
                </c:pt>
                <c:pt idx="1">
                  <c:v>156133.03000000009</c:v>
                </c:pt>
                <c:pt idx="2">
                  <c:v>179464.97999999992</c:v>
                </c:pt>
                <c:pt idx="3">
                  <c:v>185064.42</c:v>
                </c:pt>
                <c:pt idx="4">
                  <c:v>190911.31999999998</c:v>
                </c:pt>
                <c:pt idx="5">
                  <c:v>168545.38</c:v>
                </c:pt>
                <c:pt idx="6">
                  <c:v>201093.29000000007</c:v>
                </c:pt>
                <c:pt idx="7">
                  <c:v>180249.40999999992</c:v>
                </c:pt>
                <c:pt idx="8">
                  <c:v>170177.44999999998</c:v>
                </c:pt>
                <c:pt idx="9">
                  <c:v>172464.81000000003</c:v>
                </c:pt>
                <c:pt idx="10">
                  <c:v>166521.60999999996</c:v>
                </c:pt>
                <c:pt idx="11">
                  <c:v>181415.40999999997</c:v>
                </c:pt>
                <c:pt idx="12">
                  <c:v>170376.66999999998</c:v>
                </c:pt>
                <c:pt idx="13">
                  <c:v>166014.88000000009</c:v>
                </c:pt>
                <c:pt idx="14">
                  <c:v>172788.62999999989</c:v>
                </c:pt>
                <c:pt idx="15">
                  <c:v>163473.96000000002</c:v>
                </c:pt>
                <c:pt idx="16">
                  <c:v>198565.04000000004</c:v>
                </c:pt>
                <c:pt idx="17">
                  <c:v>180787.13999999996</c:v>
                </c:pt>
                <c:pt idx="18">
                  <c:v>176060.96999999988</c:v>
                </c:pt>
                <c:pt idx="19">
                  <c:v>185760.03</c:v>
                </c:pt>
              </c:numCache>
            </c:numRef>
          </c:xVal>
          <c:yVal>
            <c:numRef>
              <c:f>'Correlation Analysis'!$C$2:$C$21</c:f>
              <c:numCache>
                <c:formatCode>_-* #,##0_-;\-* #,##0_-;_-* "-"??_-;_-@_-</c:formatCode>
                <c:ptCount val="20"/>
                <c:pt idx="0">
                  <c:v>6082367.5200000014</c:v>
                </c:pt>
                <c:pt idx="1">
                  <c:v>5887361.2899999991</c:v>
                </c:pt>
                <c:pt idx="2">
                  <c:v>6391752.4999999981</c:v>
                </c:pt>
                <c:pt idx="3">
                  <c:v>6790678.4900000012</c:v>
                </c:pt>
                <c:pt idx="4">
                  <c:v>6411096.1799999941</c:v>
                </c:pt>
                <c:pt idx="5">
                  <c:v>6334494.9999999991</c:v>
                </c:pt>
                <c:pt idx="6">
                  <c:v>6760053.0099999988</c:v>
                </c:pt>
                <c:pt idx="7">
                  <c:v>6245313.7700000023</c:v>
                </c:pt>
                <c:pt idx="8">
                  <c:v>6294447.740000003</c:v>
                </c:pt>
                <c:pt idx="9">
                  <c:v>6207707.2799999993</c:v>
                </c:pt>
                <c:pt idx="10">
                  <c:v>5907491.0599999987</c:v>
                </c:pt>
                <c:pt idx="11">
                  <c:v>6589169.5200000023</c:v>
                </c:pt>
                <c:pt idx="12">
                  <c:v>5832689.4600000037</c:v>
                </c:pt>
                <c:pt idx="13">
                  <c:v>5983283.870000001</c:v>
                </c:pt>
                <c:pt idx="14">
                  <c:v>6056470.3000000007</c:v>
                </c:pt>
                <c:pt idx="15">
                  <c:v>5609107.0699999966</c:v>
                </c:pt>
                <c:pt idx="16">
                  <c:v>6790574.25</c:v>
                </c:pt>
                <c:pt idx="17">
                  <c:v>6879885.8100000015</c:v>
                </c:pt>
                <c:pt idx="18">
                  <c:v>5808621.6100000003</c:v>
                </c:pt>
                <c:pt idx="19">
                  <c:v>6446334.6300000008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02-4312-93E6-8B0DE0DBF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76975"/>
        <c:axId val="350260655"/>
      </c:scatterChart>
      <c:valAx>
        <c:axId val="350276975"/>
        <c:scaling>
          <c:orientation val="minMax"/>
          <c:min val="14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50260655"/>
        <c:crosses val="autoZero"/>
        <c:crossBetween val="midCat"/>
      </c:valAx>
      <c:valAx>
        <c:axId val="350260655"/>
        <c:scaling>
          <c:orientation val="minMax"/>
          <c:min val="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5027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3810</xdr:rowOff>
    </xdr:from>
    <xdr:to>
      <xdr:col>15</xdr:col>
      <xdr:colOff>304800</xdr:colOff>
      <xdr:row>22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72227-2804-4660-A4FC-6176B21E77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</xdr:row>
      <xdr:rowOff>7620</xdr:rowOff>
    </xdr:from>
    <xdr:to>
      <xdr:col>13</xdr:col>
      <xdr:colOff>1386840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30646C-A5E2-46DB-B0B1-75970BC2C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60960</xdr:rowOff>
    </xdr:from>
    <xdr:to>
      <xdr:col>15</xdr:col>
      <xdr:colOff>60960</xdr:colOff>
      <xdr:row>24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2B25DF-8B81-42B6-8292-F93B9E30D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Yeni%20Microsoft%20Excel%20&#199;al&#305;&#351;ma%20Sayfas&#305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Yeni%20Microsoft%20Excel%20&#199;al&#305;&#351;ma%20Sayfas&#305;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ge Elmas" refreshedDate="46096.981122453704" createdVersion="8" refreshedVersion="8" minRefreshableVersion="3" recordCount="5000" xr:uid="{58AE09C2-3E34-4D48-8588-EB21F7929824}">
  <cacheSource type="worksheet">
    <worksheetSource ref="A1:I5001" sheet="global_food_wastage_dataset" r:id="rId2"/>
  </cacheSource>
  <cacheFields count="9">
    <cacheField name="Country" numFmtId="0">
      <sharedItems count="20">
        <s v="Australia"/>
        <s v="Indonesia"/>
        <s v="Germany"/>
        <s v="France"/>
        <s v="India"/>
        <s v="China"/>
        <s v="UK"/>
        <s v="South Africa"/>
        <s v="Japan"/>
        <s v="USA"/>
        <s v="Brazil"/>
        <s v="Saudi Arabia"/>
        <s v="Italy"/>
        <s v="Spain"/>
        <s v="Mexico"/>
        <s v="Argentina"/>
        <s v="Canada"/>
        <s v="South Korea"/>
        <s v="Russia"/>
        <s v="Turkey"/>
      </sharedItems>
    </cacheField>
    <cacheField name="Year" numFmtId="0">
      <sharedItems containsSemiMixedTypes="0" containsString="0" containsNumber="1" containsInteger="1" minValue="2018" maxValue="2024" count="7">
        <n v="2019"/>
        <n v="2022"/>
        <n v="2023"/>
        <n v="2024"/>
        <n v="2018"/>
        <n v="2021"/>
        <n v="2020"/>
      </sharedItems>
    </cacheField>
    <cacheField name="Food Category" numFmtId="0">
      <sharedItems count="8">
        <s v="Fruits &amp; Vegetables"/>
        <s v="Prepared Food"/>
        <s v="Dairy Products"/>
        <s v="Beverages"/>
        <s v="Meat &amp; Seafood"/>
        <s v="Grains &amp; Cereals"/>
        <s v="Frozen Food"/>
        <s v="Bakery Items"/>
      </sharedItems>
    </cacheField>
    <cacheField name="Total Waste (Tons)" numFmtId="0">
      <sharedItems containsSemiMixedTypes="0" containsString="0" containsNumber="1" minValue="502.61" maxValue="49990.76"/>
    </cacheField>
    <cacheField name="Economic Loss (Million $)" numFmtId="0">
      <sharedItems containsSemiMixedTypes="0" containsString="0" containsNumber="1" minValue="406.69" maxValue="59228.93"/>
    </cacheField>
    <cacheField name="Avg Waste per Capita (Kg)" numFmtId="0">
      <sharedItems containsSemiMixedTypes="0" containsString="0" containsNumber="1" minValue="20.09" maxValue="199.97"/>
    </cacheField>
    <cacheField name="Population (Million)" numFmtId="0">
      <sharedItems containsSemiMixedTypes="0" containsString="0" containsNumber="1" minValue="11.29" maxValue="1399.97"/>
    </cacheField>
    <cacheField name="Economic Loss per Ton" numFmtId="0">
      <sharedItems containsSemiMixedTypes="0" containsString="0" containsNumber="1" minValue="800162.90616904153" maxValue="1199982.3956116692" count="5000">
        <n v="969798.06037066458"/>
        <n v="1121908.0054225589"/>
        <n v="918454.9533203576"/>
        <n v="875842.14926709014"/>
        <n v="1117361.1041869293"/>
        <n v="935897.59665097657"/>
        <n v="870167.93550083123"/>
        <n v="956382.51297767204"/>
        <n v="969674.8706545505"/>
        <n v="1124839.9118029561"/>
        <n v="1015414.8946140577"/>
        <n v="863793.35980441619"/>
        <n v="977377.82362807181"/>
        <n v="1164095.1873472226"/>
        <n v="859752.82503717113"/>
        <n v="1034986.8459555299"/>
        <n v="946028.89272787946"/>
        <n v="1140005.1504505021"/>
        <n v="805524.36820449121"/>
        <n v="909282.94655862427"/>
        <n v="844083.13988906785"/>
        <n v="1053816.8458293646"/>
        <n v="1171304.2379695873"/>
        <n v="1015103.0160364485"/>
        <n v="874186.39493655437"/>
        <n v="816937.95496181969"/>
        <n v="1118833.1837328842"/>
        <n v="931125.1181991148"/>
        <n v="1033163.0682082666"/>
        <n v="1128765.5901620726"/>
        <n v="1004260.9620757949"/>
        <n v="1045338.2842284205"/>
        <n v="1152238.8677811336"/>
        <n v="1101750.282538536"/>
        <n v="1071831.9562692039"/>
        <n v="1027165.980376499"/>
        <n v="916708.15423323947"/>
        <n v="876218.14606388146"/>
        <n v="945712.78102504113"/>
        <n v="920456.69910402701"/>
        <n v="1190748.4689243818"/>
        <n v="1041678.7283875892"/>
        <n v="1010481.1932566145"/>
        <n v="1088847.4609137692"/>
        <n v="845646.19164936675"/>
        <n v="839925.12222161633"/>
        <n v="908946.99004133174"/>
        <n v="1149849.7425466806"/>
        <n v="1080929.8499819778"/>
        <n v="813441.24859996757"/>
        <n v="981999.32579065359"/>
        <n v="836112.31139701861"/>
        <n v="815635.4204520738"/>
        <n v="1033237.1966069818"/>
        <n v="996988.0830237543"/>
        <n v="915909.22618784511"/>
        <n v="939496.49620133184"/>
        <n v="901662.66863354552"/>
        <n v="1043130.4526590346"/>
        <n v="986717.99104098708"/>
        <n v="1144198.5101351144"/>
        <n v="916921.16371943709"/>
        <n v="1177065.9810241184"/>
        <n v="1022263.3774263678"/>
        <n v="942774.32589630899"/>
        <n v="985717.52801099478"/>
        <n v="866273.74777499959"/>
        <n v="1060446.3952685995"/>
        <n v="1133982.5732885173"/>
        <n v="826795.27680578921"/>
        <n v="1164902.4022221018"/>
        <n v="1012199.302320892"/>
        <n v="1092403.7254175739"/>
        <n v="983094.4394560135"/>
        <n v="895265.05697104649"/>
        <n v="836732.16597035108"/>
        <n v="886317.62678019283"/>
        <n v="910776.66805950005"/>
        <n v="842174.62826282042"/>
        <n v="867817.14645722474"/>
        <n v="1084246.1614478829"/>
        <n v="1110507.7614658428"/>
        <n v="831072.31453188043"/>
        <n v="1178578.2607243711"/>
        <n v="1055876.7405234694"/>
        <n v="1130497.5486676649"/>
        <n v="1173106.8270893388"/>
        <n v="1180519.1327646279"/>
        <n v="936271.19512825005"/>
        <n v="1007933.0476266406"/>
        <n v="1030237.845102185"/>
        <n v="1022406.3920794828"/>
        <n v="873180.09489333839"/>
        <n v="863570.24319285376"/>
        <n v="1157238.5283174866"/>
        <n v="819555.92411998694"/>
        <n v="985482.85494917468"/>
        <n v="846158.82816029328"/>
        <n v="810853.31273576571"/>
        <n v="903517.17830868613"/>
        <n v="919600.05509775796"/>
        <n v="1182143.4364648431"/>
        <n v="1090348.54441843"/>
        <n v="973154.45427470224"/>
        <n v="1121762.8868800569"/>
        <n v="924819.39548265247"/>
        <n v="1125871.4904842661"/>
        <n v="835225.27357511572"/>
        <n v="983377.37979136081"/>
        <n v="931591.52302014013"/>
        <n v="1070052.1961606671"/>
        <n v="1014139.3848073909"/>
        <n v="960610.15242367378"/>
        <n v="1035485.4198475549"/>
        <n v="1086125.6096414356"/>
        <n v="874146.51328109577"/>
        <n v="1118942.6517121529"/>
        <n v="843733.20858589199"/>
        <n v="1112994.0705790513"/>
        <n v="861509.20266733901"/>
        <n v="1081798.451024696"/>
        <n v="970544.76109427761"/>
        <n v="1123896.6327477396"/>
        <n v="1030698.6743243005"/>
        <n v="1095374.116446784"/>
        <n v="1040766.6372220911"/>
        <n v="1103055.2024417056"/>
        <n v="1170213.320591619"/>
        <n v="1017244.4334377252"/>
        <n v="1102463.8174054341"/>
        <n v="1141854.7273591526"/>
        <n v="1041024.0453885441"/>
        <n v="1177340.1464716794"/>
        <n v="1060640.8416795533"/>
        <n v="1068969.0893656344"/>
        <n v="1009063.5791558966"/>
        <n v="1045056.4732218566"/>
        <n v="992395.72059684538"/>
        <n v="893196.13310739258"/>
        <n v="1013382.9560147462"/>
        <n v="1083999.5102069376"/>
        <n v="956992.19154341181"/>
        <n v="821769.31509073917"/>
        <n v="1006247.7158468972"/>
        <n v="1029945.2284936424"/>
        <n v="1028671.5693288402"/>
        <n v="1054815.0345571183"/>
        <n v="973052.33135179745"/>
        <n v="861058.85497743601"/>
        <n v="1122403.1402089295"/>
        <n v="1044263.1474161169"/>
        <n v="1022107.2608232067"/>
        <n v="1115367.973562802"/>
        <n v="960903.18332675879"/>
        <n v="868015.71746708429"/>
        <n v="1086974.4101383977"/>
        <n v="866701.47625627229"/>
        <n v="1004393.6977144588"/>
        <n v="1101810.45280649"/>
        <n v="916061.55286874378"/>
        <n v="975354.27767269255"/>
        <n v="1078396.3588971621"/>
        <n v="1091755.4832696614"/>
        <n v="1148032.6913983142"/>
        <n v="1190626.5211588286"/>
        <n v="953726.98804327205"/>
        <n v="1020647.293938047"/>
        <n v="1117321.7186905872"/>
        <n v="939028.78206439747"/>
        <n v="989974.09812166099"/>
        <n v="1123540.1648254876"/>
        <n v="1179662.7398743951"/>
        <n v="909864.49074748659"/>
        <n v="1176434.0624093527"/>
        <n v="1187629.6988258408"/>
        <n v="943298.31534652738"/>
        <n v="991715.64540806762"/>
        <n v="965398.08896477649"/>
        <n v="853161.69645136886"/>
        <n v="1057298.7870389114"/>
        <n v="1064343.0889186622"/>
        <n v="907312.07963339635"/>
        <n v="890601.73545553267"/>
        <n v="1042738.8615040283"/>
        <n v="886231.51581706421"/>
        <n v="1167997.1062198484"/>
        <n v="996203.5938420936"/>
        <n v="1050526.4557384811"/>
        <n v="1049167.7661333533"/>
        <n v="1060586.7140379781"/>
        <n v="872188.06303085771"/>
        <n v="1129089.5752748614"/>
        <n v="1134564.055836044"/>
        <n v="1175767.0418616417"/>
        <n v="856600.47829436674"/>
        <n v="932191.14345678268"/>
        <n v="852105.62733495818"/>
        <n v="878008.52887649275"/>
        <n v="1032386.7478025693"/>
        <n v="810362.82645727252"/>
        <n v="1192131.7561600676"/>
        <n v="1012130.7047427808"/>
        <n v="814561.06325534196"/>
        <n v="1066019.470863587"/>
        <n v="1058481.7192342738"/>
        <n v="840663.5324495798"/>
        <n v="864134.93551577104"/>
        <n v="861360.08630248788"/>
        <n v="858520.94327088667"/>
        <n v="1091399.7418749267"/>
        <n v="866194.02101710299"/>
        <n v="1110540.4718816865"/>
        <n v="1162400.4226966277"/>
        <n v="971401.95546665636"/>
        <n v="873389.18571671715"/>
        <n v="1198682.4560068646"/>
        <n v="1056026.9385652449"/>
        <n v="1155469.8434991243"/>
        <n v="946016.92351937795"/>
        <n v="1147522.7597182242"/>
        <n v="1116929.110226295"/>
        <n v="1165349.4334586167"/>
        <n v="1145013.1438968217"/>
        <n v="1043067.0210505107"/>
        <n v="1198154.5584214139"/>
        <n v="1094099.4795041704"/>
        <n v="1074408.8345912711"/>
        <n v="902105.43284063286"/>
        <n v="1065789.1701012633"/>
        <n v="1023057.130889774"/>
        <n v="1016487.0762316426"/>
        <n v="913370.05311112967"/>
        <n v="1091192.2289340552"/>
        <n v="890405.13958226447"/>
        <n v="1095316.3405367087"/>
        <n v="1173975.2457703869"/>
        <n v="1010566.2843053058"/>
        <n v="1180255.7696930934"/>
        <n v="1079829.5911258776"/>
        <n v="979406.12536388577"/>
        <n v="1108022.0164070756"/>
        <n v="1156395.911239017"/>
        <n v="818131.11084036424"/>
        <n v="1191145.02963934"/>
        <n v="875229.75301550818"/>
        <n v="1051408.593869705"/>
        <n v="940637.40509329701"/>
        <n v="938510.1740950176"/>
        <n v="1176236.9564865453"/>
        <n v="1025845.8335962029"/>
        <n v="1146887.7919153341"/>
        <n v="1082306.9832402235"/>
        <n v="905714.02554237703"/>
        <n v="1172192.1904202499"/>
        <n v="1180763.7998124454"/>
        <n v="866081.68649294204"/>
        <n v="1068879.4903699658"/>
        <n v="1112428.0831875533"/>
        <n v="946947.93062116613"/>
        <n v="1061281.0447243378"/>
        <n v="1068818.6886380464"/>
        <n v="1116005.9436013247"/>
        <n v="895892.01644157863"/>
        <n v="996712.37973741558"/>
        <n v="966103.22392185114"/>
        <n v="1154288.8855593279"/>
        <n v="1040430.3640707198"/>
        <n v="1080746.4306279437"/>
        <n v="1124668.6968256382"/>
        <n v="1060292.5126669372"/>
        <n v="956918.10938285873"/>
        <n v="1148572.8114554181"/>
        <n v="1031934.9912328663"/>
        <n v="1091940.7212145813"/>
        <n v="1165153.8237495876"/>
        <n v="1198658.7709674831"/>
        <n v="825250.98944638646"/>
        <n v="1090440.5582456857"/>
        <n v="1122785.3244365137"/>
        <n v="847876.96363866969"/>
        <n v="949280.13852662733"/>
        <n v="1032173.0418284147"/>
        <n v="812475.95023301558"/>
        <n v="838968.07844562945"/>
        <n v="1150250.9201937572"/>
        <n v="822827.89418247342"/>
        <n v="816698.87463792134"/>
        <n v="945935.22153981542"/>
        <n v="1104887.0795241832"/>
        <n v="825476.72228988481"/>
        <n v="831077.90671929927"/>
        <n v="999371.27810760215"/>
        <n v="1009367.7595044252"/>
        <n v="881279.84334752022"/>
        <n v="995190.94806420885"/>
        <n v="1154380.3417064091"/>
        <n v="1078024.21625316"/>
        <n v="1067049.8674308364"/>
        <n v="1173846.5777523434"/>
        <n v="1103229.7506859119"/>
        <n v="804207.76485697681"/>
        <n v="873639.6624144495"/>
        <n v="913903.41604539892"/>
        <n v="1141812.7845102595"/>
        <n v="1067014.5311197103"/>
        <n v="823616.00529263867"/>
        <n v="1053069.0973058541"/>
        <n v="1113446.8099791007"/>
        <n v="963734.05537182186"/>
        <n v="841848.47884737549"/>
        <n v="869498.95782885526"/>
        <n v="948011.83683761093"/>
        <n v="1130039.1079337143"/>
        <n v="921053.38207761315"/>
        <n v="920383.34486421174"/>
        <n v="889117.60057743476"/>
        <n v="1098806.0088323331"/>
        <n v="967866.20023578126"/>
        <n v="902005.98044637754"/>
        <n v="1174719.0079998574"/>
        <n v="823418.21033495315"/>
        <n v="1072574.5954024459"/>
        <n v="904711.30426476919"/>
        <n v="1157744.8417430667"/>
        <n v="1116248.5275043319"/>
        <n v="997140.60604987573"/>
        <n v="1040299.9358027518"/>
        <n v="1075934.6461514349"/>
        <n v="972459.43637916306"/>
        <n v="851291.82085066347"/>
        <n v="1103557.1542468257"/>
        <n v="922193.67122130678"/>
        <n v="1126017.1631392345"/>
        <n v="1079166.5952240399"/>
        <n v="1112479.2857324441"/>
        <n v="937490.14521617524"/>
        <n v="1069522.6486522828"/>
        <n v="877103.35544796661"/>
        <n v="901692.68861226202"/>
        <n v="1178301.9078212497"/>
        <n v="1147262.7139595156"/>
        <n v="1051899.2292068778"/>
        <n v="1069821.5525149615"/>
        <n v="1122633.233916787"/>
        <n v="909850.19495177513"/>
        <n v="1177356.6512992268"/>
        <n v="1065548.0630677287"/>
        <n v="1151936.0272042428"/>
        <n v="1021149.3056566697"/>
        <n v="1158681.1408400789"/>
        <n v="899141.72516921512"/>
        <n v="1116888.5447672221"/>
        <n v="1114486.9822890107"/>
        <n v="860563.71624352445"/>
        <n v="857068.43699582526"/>
        <n v="1080278.0343908123"/>
        <n v="1104263.1379713435"/>
        <n v="888363.9619613199"/>
        <n v="1140700.2132536992"/>
        <n v="1166418.4986362939"/>
        <n v="945625.35437942145"/>
        <n v="1025045.2654879214"/>
        <n v="1141746.3628124536"/>
        <n v="1174200.2652947435"/>
        <n v="1032575.3068732319"/>
        <n v="1141896.4965357729"/>
        <n v="995551.29708379717"/>
        <n v="1109632.1396262175"/>
        <n v="978957.23262428783"/>
        <n v="804808.69090663514"/>
        <n v="844077.98197190976"/>
        <n v="1099167.0143683394"/>
        <n v="1062684.4236500394"/>
        <n v="913754.69862449064"/>
        <n v="892291.32156447473"/>
        <n v="1020416.8725469174"/>
        <n v="809427.80213995033"/>
        <n v="944972.45532093255"/>
        <n v="991848.65136488201"/>
        <n v="1185770.5364084486"/>
        <n v="1125747.7029195516"/>
        <n v="1153478.4980126135"/>
        <n v="1071482.0744684886"/>
        <n v="911099.22746379056"/>
        <n v="1123706.7604102173"/>
        <n v="897950.16702402162"/>
        <n v="1188340.4312627718"/>
        <n v="831859.2698931325"/>
        <n v="1007323.3348704994"/>
        <n v="1159487.1659749381"/>
        <n v="831349.33085825562"/>
        <n v="928999.70641024481"/>
        <n v="941335.97815030999"/>
        <n v="1000684.4782713511"/>
        <n v="844244.65418428241"/>
        <n v="1033975.887749529"/>
        <n v="1127065.9189362824"/>
        <n v="994849.57968042244"/>
        <n v="980745.62585898"/>
        <n v="1162927.064187479"/>
        <n v="1149593.4901732195"/>
        <n v="1145746.4938274215"/>
        <n v="1143266.5256362725"/>
        <n v="1030474.0300228414"/>
        <n v="820262.77210211812"/>
        <n v="806911.14562931948"/>
        <n v="1076680.1234220387"/>
        <n v="1091102.4952778607"/>
        <n v="800752.01152640849"/>
        <n v="852017.57117712346"/>
        <n v="907574.76646916813"/>
        <n v="1040773.6033679568"/>
        <n v="1059147.9320381021"/>
        <n v="922608.15288006607"/>
        <n v="1163119.3452436398"/>
        <n v="907490.78206869797"/>
        <n v="1124155.2242706462"/>
        <n v="1174135.0505465595"/>
        <n v="1157781.6651476389"/>
        <n v="1107071.0037966543"/>
        <n v="1020424.0522801842"/>
        <n v="824284.24753744912"/>
        <n v="988012.00534341868"/>
        <n v="860598.54571280698"/>
        <n v="1031209.4745865427"/>
        <n v="859365.12907938741"/>
        <n v="1016118.2379262923"/>
        <n v="1007329.2816534871"/>
        <n v="867234.33679041977"/>
        <n v="1040379.1212726507"/>
        <n v="1191085.5247337627"/>
        <n v="933338.49764003593"/>
        <n v="950612.13326472614"/>
        <n v="907764.43872048205"/>
        <n v="1177902.4995299843"/>
        <n v="929179.10704046243"/>
        <n v="828867.0081058942"/>
        <n v="1190391.3204386528"/>
        <n v="1144545.5117531444"/>
        <n v="1141190.7178185137"/>
        <n v="1095673.380970727"/>
        <n v="849526.0860366791"/>
        <n v="848997.73828320263"/>
        <n v="834474.58309232804"/>
        <n v="858767.96057185251"/>
        <n v="936101.44614922907"/>
        <n v="1121290.4593274696"/>
        <n v="995258.40406113467"/>
        <n v="1003602.2350253401"/>
        <n v="992658.35270908196"/>
        <n v="961135.18602361507"/>
        <n v="947544.49094231019"/>
        <n v="1190596.7123358427"/>
        <n v="1109552.7986076346"/>
        <n v="936953.76341450273"/>
        <n v="917104.8240555512"/>
        <n v="1096895.82846321"/>
        <n v="965286.42566442583"/>
        <n v="968566.86162676651"/>
        <n v="951902.82026500313"/>
        <n v="807381.06956415658"/>
        <n v="1173280.2885082446"/>
        <n v="1118102.3006858078"/>
        <n v="907296.09947891242"/>
        <n v="807384.62107592856"/>
        <n v="1089390.8294956486"/>
        <n v="853940.94043667486"/>
        <n v="1039063.8713748262"/>
        <n v="842857.04814482958"/>
        <n v="1062456.2695893056"/>
        <n v="918373.16464614496"/>
        <n v="1174909.536697601"/>
        <n v="903621.18822292332"/>
        <n v="879624.15550607664"/>
        <n v="893264.66481660085"/>
        <n v="861315.70436403295"/>
        <n v="1001822.4411164257"/>
        <n v="1198186.2297461834"/>
        <n v="1094133.8255380222"/>
        <n v="993717.74484443839"/>
        <n v="909085.57273506385"/>
        <n v="1047694.4880157557"/>
        <n v="893404.99827615172"/>
        <n v="935744.77427226433"/>
        <n v="871878.08260303945"/>
        <n v="1097939.657882907"/>
        <n v="1115555.462529565"/>
        <n v="1151871.2823200726"/>
        <n v="1023199.5445488186"/>
        <n v="996314.30757731094"/>
        <n v="1113221.2813790033"/>
        <n v="928499.63974847295"/>
        <n v="1129976.4916230715"/>
        <n v="805283.5735809881"/>
        <n v="1182083.3360704738"/>
        <n v="820612.98642619129"/>
        <n v="948144.33955690952"/>
        <n v="1023403.4930586654"/>
        <n v="1011601.368127433"/>
        <n v="994893.07256886817"/>
        <n v="975568.99063570204"/>
        <n v="896792.06796405232"/>
        <n v="1099683.3425426106"/>
        <n v="810495.48946019285"/>
        <n v="1121307.0429502341"/>
        <n v="829478.80021720391"/>
        <n v="991256.8350954823"/>
        <n v="971285.09042986424"/>
        <n v="1029670.2531807874"/>
        <n v="888704.99279802025"/>
        <n v="1151153.6239720166"/>
        <n v="990871.70320572855"/>
        <n v="1108057.7365110023"/>
        <n v="1046955.3896675609"/>
        <n v="927153.52935335843"/>
        <n v="850770.44484748517"/>
        <n v="1184753.2404748879"/>
        <n v="893011.1084817081"/>
        <n v="1020674.5843711484"/>
        <n v="811038.93199975882"/>
        <n v="1043833.8253919119"/>
        <n v="852427.00514667865"/>
        <n v="1005115.0906716696"/>
        <n v="1036828.9953837243"/>
        <n v="953819.0864271411"/>
        <n v="1035797.5129063524"/>
        <n v="1075553.5028103925"/>
        <n v="965822.60798331792"/>
        <n v="1013371.5195312665"/>
        <n v="954123.81432608049"/>
        <n v="982144.09293632081"/>
        <n v="899199.71563799295"/>
        <n v="1198809.9329703455"/>
        <n v="802925.24994918401"/>
        <n v="824149.10393235215"/>
        <n v="931657.77151497384"/>
        <n v="926708.1357504935"/>
        <n v="996843.41060646367"/>
        <n v="880065.57141018182"/>
        <n v="959611.16410257819"/>
        <n v="1078017.7504692159"/>
        <n v="1072401.0030299863"/>
        <n v="840473.22946309648"/>
        <n v="918331.38657424285"/>
        <n v="1143818.4825770857"/>
        <n v="838527.13329560752"/>
        <n v="894489.32208796008"/>
        <n v="1052024.2694025142"/>
        <n v="967843.29564929905"/>
        <n v="1076128.8356069762"/>
        <n v="906215.58806504635"/>
        <n v="1144338.1311959084"/>
        <n v="932709.98038105131"/>
        <n v="1113839.5434699156"/>
        <n v="917649.61591628066"/>
        <n v="1056172.1478385623"/>
        <n v="966282.01868628198"/>
        <n v="905890.14822127135"/>
        <n v="1103969.943502398"/>
        <n v="944708.05723838299"/>
        <n v="822795.06763512199"/>
        <n v="1088879.7729025481"/>
        <n v="1135960.3186006739"/>
        <n v="968175.82200816146"/>
        <n v="1100162.4127704697"/>
        <n v="1004351.5680893549"/>
        <n v="999744.64983077324"/>
        <n v="1146665.1518521027"/>
        <n v="1026315.1014580725"/>
        <n v="1181506.258436199"/>
        <n v="1144790.0448425263"/>
        <n v="988871.39244523132"/>
        <n v="804464.70003696217"/>
        <n v="842829.77732364042"/>
        <n v="807595.84710433579"/>
        <n v="889366.36963990494"/>
        <n v="940637.62762577494"/>
        <n v="819317.06071782811"/>
        <n v="1003337.4574332318"/>
        <n v="956208.28674284054"/>
        <n v="1141383.9597551704"/>
        <n v="1138978.2240443865"/>
        <n v="887898.87705599261"/>
        <n v="1105974.0983754608"/>
        <n v="824098.77432521456"/>
        <n v="904175.57957748789"/>
        <n v="821269.5956112952"/>
        <n v="863942.68762734893"/>
        <n v="958641.09085279587"/>
        <n v="909354.97047633515"/>
        <n v="1166005.8430058295"/>
        <n v="1192391.2667381752"/>
        <n v="1151421.7147047797"/>
        <n v="836430.97253279085"/>
        <n v="1165746.703045595"/>
        <n v="1013997.6765417157"/>
        <n v="1136482.7938858613"/>
        <n v="963759.32027050469"/>
        <n v="814983.9639294442"/>
        <n v="1093689.780088855"/>
        <n v="1067405.1957574165"/>
        <n v="1109177.2813277638"/>
        <n v="952519.63470552838"/>
        <n v="981726.11420767254"/>
        <n v="961696.15594874602"/>
        <n v="1054391.8160229733"/>
        <n v="1013225.92783577"/>
        <n v="944162.79078966181"/>
        <n v="909798.56959999783"/>
        <n v="944638.40246339946"/>
        <n v="1177136.5926333114"/>
        <n v="1184163.4716411741"/>
        <n v="892238.25912888499"/>
        <n v="892177.67260092916"/>
        <n v="1071921.6944741439"/>
        <n v="995169.95337864861"/>
        <n v="914638.28214551986"/>
        <n v="967914.62166898325"/>
        <n v="809156.20461192576"/>
        <n v="966225.65001548722"/>
        <n v="1011746.9336931892"/>
        <n v="908054.35529237299"/>
        <n v="983107.95482981671"/>
        <n v="1134144.5065723276"/>
        <n v="1097864.9010843479"/>
        <n v="1180305.1885889336"/>
        <n v="1017451.3602639154"/>
        <n v="1130778.9569821367"/>
        <n v="878046.35157040984"/>
        <n v="1161908.382255024"/>
        <n v="894292.81908688729"/>
        <n v="960013.00896605977"/>
        <n v="1135135.896872384"/>
        <n v="1023692.4438014195"/>
        <n v="1116987.0949487586"/>
        <n v="1087594.3578298129"/>
        <n v="805818.54814550036"/>
        <n v="961787.47719463974"/>
        <n v="1153580.5816521239"/>
        <n v="981570.70328339224"/>
        <n v="832007.64373843186"/>
        <n v="1041018.5547999013"/>
        <n v="1057832.1630948491"/>
        <n v="920177.73212832655"/>
        <n v="1016141.4381314595"/>
        <n v="960662.82548530051"/>
        <n v="1082489.85763218"/>
        <n v="877909.04082756932"/>
        <n v="1141022.6705691132"/>
        <n v="1159605.7409200554"/>
        <n v="897129.32234680629"/>
        <n v="909504.9989062883"/>
        <n v="1030695.3989336451"/>
        <n v="1043045.4736184297"/>
        <n v="1171821.6716562617"/>
        <n v="831862.15070374147"/>
        <n v="931092.53343911539"/>
        <n v="814780.01056943147"/>
        <n v="1109147.5611091522"/>
        <n v="942717.47332827304"/>
        <n v="1120731.796035097"/>
        <n v="915730.87475275958"/>
        <n v="817481.66885284148"/>
        <n v="1144462.8909610156"/>
        <n v="1174625.1940037021"/>
        <n v="1005029.0531528257"/>
        <n v="1128781.0847561497"/>
        <n v="1192407.2494378674"/>
        <n v="1172926.39099778"/>
        <n v="1041276.6591855072"/>
        <n v="1011326.3786217397"/>
        <n v="888412.23296421603"/>
        <n v="816427.84128176223"/>
        <n v="856873.82297551795"/>
        <n v="1105448.7743661345"/>
        <n v="970959.64964496787"/>
        <n v="964583.79959932959"/>
        <n v="939611.16792672942"/>
        <n v="1118174.5433438024"/>
        <n v="1073101.7595514662"/>
        <n v="823222.36280651786"/>
        <n v="919056.2088894631"/>
        <n v="1120127.7795038514"/>
        <n v="924895.15505251708"/>
        <n v="1012778.9246970197"/>
        <n v="889508.88538816571"/>
        <n v="839543.1504457416"/>
        <n v="849022.80356737331"/>
        <n v="985451.30728734797"/>
        <n v="1090044.549124934"/>
        <n v="933959.5318389209"/>
        <n v="1140925.6417364373"/>
        <n v="978775.00596672273"/>
        <n v="882454.64034120389"/>
        <n v="1127291.9536661557"/>
        <n v="822668.66756848164"/>
        <n v="805584.94732483779"/>
        <n v="857005.81852492527"/>
        <n v="908142.16897454113"/>
        <n v="946360.42185275722"/>
        <n v="1042833.0871769786"/>
        <n v="1169086.9339851919"/>
        <n v="946514.52199636353"/>
        <n v="847531.86080862896"/>
        <n v="1101416.0021067841"/>
        <n v="1014009.5931946372"/>
        <n v="960067.62044065539"/>
        <n v="1064115.8947921349"/>
        <n v="870412.76522236608"/>
        <n v="1068688.9480574823"/>
        <n v="999979.91902935365"/>
        <n v="924308.35119662946"/>
        <n v="1168967.8194989292"/>
        <n v="1159180.0438998588"/>
        <n v="941308.1836010773"/>
        <n v="979133.05227363412"/>
        <n v="841783.73831904226"/>
        <n v="1189282.1031344794"/>
        <n v="912163.79765289533"/>
        <n v="1043759.2945990321"/>
        <n v="966121.37872765807"/>
        <n v="1118607.2373520122"/>
        <n v="929646.37429081148"/>
        <n v="850561.36324139324"/>
        <n v="860283.2443134028"/>
        <n v="858160.17683015764"/>
        <n v="898052.70588889893"/>
        <n v="1117687.9027577939"/>
        <n v="852077.87815957307"/>
        <n v="1090167.9485256027"/>
        <n v="867185.6000635277"/>
        <n v="900411.63047157344"/>
        <n v="831740.57063547219"/>
        <n v="849878.97967526165"/>
        <n v="1141517.9243934753"/>
        <n v="1171868.1702210864"/>
        <n v="1069673.6365167249"/>
        <n v="934765.16330005601"/>
        <n v="1094886.1690430269"/>
        <n v="1131766.5606504702"/>
        <n v="1194491.3878413583"/>
        <n v="888714.14614983019"/>
        <n v="1059561.3530585226"/>
        <n v="1175395.0628171929"/>
        <n v="820611.28241486778"/>
        <n v="1146436.6330950805"/>
        <n v="1036725.1556537608"/>
        <n v="926974.19866629015"/>
        <n v="1119799.3534139786"/>
        <n v="1143546.2442311475"/>
        <n v="969363.92536239373"/>
        <n v="1066339.6490423668"/>
        <n v="1068157.1289430128"/>
        <n v="1031447.4287196483"/>
        <n v="1188712.4476983345"/>
        <n v="869872.83079441451"/>
        <n v="809835.76643629733"/>
        <n v="978151.4428738784"/>
        <n v="992201.89842721552"/>
        <n v="1067323.643546958"/>
        <n v="1018599.5862215596"/>
        <n v="1198106.2800097486"/>
        <n v="823712.39350071433"/>
        <n v="895521.63905972906"/>
        <n v="903977.18976797676"/>
        <n v="992055.67433738802"/>
        <n v="1167718.4005247727"/>
        <n v="1102633.9252697404"/>
        <n v="844483.68178798107"/>
        <n v="1128319.3056463404"/>
        <n v="1078924.2783826925"/>
        <n v="1002229.1193898086"/>
        <n v="1020246.6032980174"/>
        <n v="920740.76622377161"/>
        <n v="1004571.947067028"/>
        <n v="1003239.2264324497"/>
        <n v="834388.03712901415"/>
        <n v="1031815.9041310034"/>
        <n v="996149.00023657619"/>
        <n v="1085252.3694427914"/>
        <n v="985622.29811387497"/>
        <n v="803141.16324353067"/>
        <n v="854140.86795543693"/>
        <n v="946685.36374083825"/>
        <n v="913547.60791628284"/>
        <n v="941392.00058171724"/>
        <n v="907549.4823044443"/>
        <n v="1174723.7577350836"/>
        <n v="912498.0447106408"/>
        <n v="917041.84076808218"/>
        <n v="802045.26132394455"/>
        <n v="1043948.8941941916"/>
        <n v="1152014.5030060012"/>
        <n v="1175256.8156215521"/>
        <n v="1136169.7440008812"/>
        <n v="1107422.4821204899"/>
        <n v="1023432.5714694513"/>
        <n v="995242.23880772991"/>
        <n v="1141788.1946730805"/>
        <n v="866709.88159943861"/>
        <n v="1150513.5212161464"/>
        <n v="1046456.8931876464"/>
        <n v="877794.80537782796"/>
        <n v="1093574.2990502587"/>
        <n v="900028.13994934817"/>
        <n v="849640.64436745096"/>
        <n v="819371.33271089045"/>
        <n v="879713.01755631447"/>
        <n v="971798.32223764481"/>
        <n v="1162778.0637044662"/>
        <n v="1073724.5840528798"/>
        <n v="1122131.5290540771"/>
        <n v="965930.4308721337"/>
        <n v="1153441.0356981226"/>
        <n v="1062250.6493500185"/>
        <n v="937169.6793672709"/>
        <n v="865300.63642111083"/>
        <n v="843526.70426733303"/>
        <n v="1005438.7675281804"/>
        <n v="983120.66067904711"/>
        <n v="820183.69843026856"/>
        <n v="897821.20081101102"/>
        <n v="899785.13725952408"/>
        <n v="973361.82261074975"/>
        <n v="846487.78135205677"/>
        <n v="948532.2453851141"/>
        <n v="1002736.4493756866"/>
        <n v="991853.43095106049"/>
        <n v="1047286.9260090042"/>
        <n v="893987.83313293755"/>
        <n v="906416.59648823412"/>
        <n v="1024832.1063241668"/>
        <n v="856295.82216555998"/>
        <n v="835096.89854809316"/>
        <n v="1175643.9823214044"/>
        <n v="1138014.9325467185"/>
        <n v="848563.60247287527"/>
        <n v="814510.48935273616"/>
        <n v="1058182.750446571"/>
        <n v="1131048.3132505377"/>
        <n v="833145.4290333268"/>
        <n v="1076655.8989290034"/>
        <n v="818127.61827915045"/>
        <n v="1020654.4477342946"/>
        <n v="926249.83547006547"/>
        <n v="852715.53256692004"/>
        <n v="1089460.337619432"/>
        <n v="986978.41494717007"/>
        <n v="980225.64309240913"/>
        <n v="976524.98485359899"/>
        <n v="955895.02065578755"/>
        <n v="1056957.603486168"/>
        <n v="1068098.9481450019"/>
        <n v="873424.27696650417"/>
        <n v="944083.40327469318"/>
        <n v="999410.85853700154"/>
        <n v="801193.61418453045"/>
        <n v="926441.26476324035"/>
        <n v="1023964.4656026184"/>
        <n v="815170.86200589442"/>
        <n v="896932.82050721569"/>
        <n v="1066154.489090902"/>
        <n v="1176849.1835650562"/>
        <n v="803442.69470117893"/>
        <n v="814563.53199348599"/>
        <n v="900433.14296519093"/>
        <n v="1136657.3056889749"/>
        <n v="934472.90794800536"/>
        <n v="804206.22166989546"/>
        <n v="830362.18557875056"/>
        <n v="1067534.1349451556"/>
        <n v="1114326.621908379"/>
        <n v="1076521.3780399109"/>
        <n v="903557.53665135009"/>
        <n v="861870.97102131206"/>
        <n v="1071145.538258421"/>
        <n v="1133630.8859057708"/>
        <n v="1141703.7098515239"/>
        <n v="985091.91158888233"/>
        <n v="1044495.7025167875"/>
        <n v="989419.62666347646"/>
        <n v="805577.91075455106"/>
        <n v="896379.11650216661"/>
        <n v="984935.58154987812"/>
        <n v="801976.97749835986"/>
        <n v="964163.76187309984"/>
        <n v="823070.12201112066"/>
        <n v="870493.89164250332"/>
        <n v="928760.91628503695"/>
        <n v="879591.71971984417"/>
        <n v="1117800.7787156792"/>
        <n v="859803.8399913914"/>
        <n v="970411.56267933873"/>
        <n v="901427.37971469958"/>
        <n v="949336.23191072582"/>
        <n v="939532.16839259525"/>
        <n v="1079528.7804469038"/>
        <n v="1055576.4813883696"/>
        <n v="1047258.6792081273"/>
        <n v="1002043.0849634637"/>
        <n v="1191942.3081814866"/>
        <n v="1003133.1693064739"/>
        <n v="1066835.4589630282"/>
        <n v="1085002.9034856961"/>
        <n v="923177.86190973921"/>
        <n v="1162443.9501660473"/>
        <n v="984475.07699668081"/>
        <n v="852182.75662705465"/>
        <n v="945782.65581937239"/>
        <n v="854555.68172586092"/>
        <n v="976187.543029472"/>
        <n v="1019452.8086152195"/>
        <n v="917477.05002152012"/>
        <n v="1127535.5687678552"/>
        <n v="813516.24188272958"/>
        <n v="1172448.3608291824"/>
        <n v="1021656.3768669314"/>
        <n v="1094082.3328349008"/>
        <n v="832753.89773647382"/>
        <n v="1176273.9556059055"/>
        <n v="970532.64163867501"/>
        <n v="953385.09137545608"/>
        <n v="952434.75511018094"/>
        <n v="805877.94538673502"/>
        <n v="1139684.425231565"/>
        <n v="975616.01791670243"/>
        <n v="955572.79334152094"/>
        <n v="1124458.3684561979"/>
        <n v="1173477.0784482725"/>
        <n v="1190370.9851712759"/>
        <n v="868487.20345643873"/>
        <n v="1004884.394624992"/>
        <n v="1136740.1743369347"/>
        <n v="844715.35649748496"/>
        <n v="1187477.9926333171"/>
        <n v="862044.67699738382"/>
        <n v="1132178.4255702072"/>
        <n v="1074778.4504292563"/>
        <n v="1188974.4537037169"/>
        <n v="886445.56690263143"/>
        <n v="1009821.7567643339"/>
        <n v="1061349.9807752271"/>
        <n v="1162324.0869930221"/>
        <n v="860987.44399683748"/>
        <n v="1012476.839487622"/>
        <n v="1182091.4841645963"/>
        <n v="1107991.0913961411"/>
        <n v="1165149.612346781"/>
        <n v="1162998.0191765593"/>
        <n v="951140.31049922586"/>
        <n v="912563.48480764439"/>
        <n v="1116706.6949384839"/>
        <n v="1199443.9166245805"/>
        <n v="1010535.7198038202"/>
        <n v="1180445.0456117636"/>
        <n v="1041132.1232428413"/>
        <n v="898416.9450951512"/>
        <n v="1099991.8205462159"/>
        <n v="1163544.7501555127"/>
        <n v="901168.83538306784"/>
        <n v="848609.02010437148"/>
        <n v="924883.00736533245"/>
        <n v="878618.79970497196"/>
        <n v="1173904.0470023183"/>
        <n v="1003520.7751127633"/>
        <n v="1033876.1848281685"/>
        <n v="1023863.8988211324"/>
        <n v="888098.68734289194"/>
        <n v="995985.24995597929"/>
        <n v="1133150.0005614774"/>
        <n v="1076478.8591231965"/>
        <n v="1026330.7835170826"/>
        <n v="968777.16258855746"/>
        <n v="1150836.9023783321"/>
        <n v="816473.30212361761"/>
        <n v="1108790.8476184488"/>
        <n v="1055136.2049585935"/>
        <n v="975615.24133041827"/>
        <n v="1105757.6117401356"/>
        <n v="880701.57553985633"/>
        <n v="816348.78145494685"/>
        <n v="846031.85241527215"/>
        <n v="937679.83491951798"/>
        <n v="886492.21108612022"/>
        <n v="1094158.2355651208"/>
        <n v="1174149.7551625988"/>
        <n v="815820.03491721186"/>
        <n v="1023699.7125902998"/>
        <n v="1192900.4936053874"/>
        <n v="901295.42937484779"/>
        <n v="1173170.9758839766"/>
        <n v="800430.84654749068"/>
        <n v="826141.38006308023"/>
        <n v="1043796.4683057836"/>
        <n v="891796.58500371187"/>
        <n v="851206.27331416239"/>
        <n v="1096277.3631267252"/>
        <n v="1194811.7458503863"/>
        <n v="1007841.7341828356"/>
        <n v="1048315.5009239108"/>
        <n v="1191006.0013234857"/>
        <n v="841492.06758581824"/>
        <n v="1009937.9929015914"/>
        <n v="1152676.7332644642"/>
        <n v="905181.89641195757"/>
        <n v="1083688.5345967328"/>
        <n v="1009139.8912134101"/>
        <n v="839201.93516909413"/>
        <n v="1051873.6142289166"/>
        <n v="1073964.7911762223"/>
        <n v="1107701.4967324855"/>
        <n v="919690.42692496069"/>
        <n v="1103106.5927680996"/>
        <n v="1086252.3097378267"/>
        <n v="985902.67298408155"/>
        <n v="1009863.1790311633"/>
        <n v="967102.72920471081"/>
        <n v="1066319.9909435837"/>
        <n v="957043.44655850879"/>
        <n v="1151681.1620191878"/>
        <n v="1114345.5272647073"/>
        <n v="996909.45125965483"/>
        <n v="918340.35007408157"/>
        <n v="997072.1843519815"/>
        <n v="974866.00773174921"/>
        <n v="1197705.613722217"/>
        <n v="1125542.1390051311"/>
        <n v="949956.70404864207"/>
        <n v="991557.75797071704"/>
        <n v="970287.30079105636"/>
        <n v="802972.61492795346"/>
        <n v="1121824.0683589671"/>
        <n v="1187122.4822534523"/>
        <n v="982936.09020348254"/>
        <n v="986538.66425464919"/>
        <n v="840996.61734803836"/>
        <n v="1053688.6228864817"/>
        <n v="1147789.7200272046"/>
        <n v="867514.04616638098"/>
        <n v="882405.01128269988"/>
        <n v="893369.82539301843"/>
        <n v="937442.99314187036"/>
        <n v="898199.74720212561"/>
        <n v="1001773.75214508"/>
        <n v="855400.7610790109"/>
        <n v="1160746.129228618"/>
        <n v="1153647.6960131677"/>
        <n v="896928.00802089693"/>
        <n v="801412.76815135276"/>
        <n v="855690.26433644106"/>
        <n v="1059424.3750594219"/>
        <n v="1014548.8962489098"/>
        <n v="897640.6964757425"/>
        <n v="929427.81601717044"/>
        <n v="1015752.8404603705"/>
        <n v="1062300.3037239669"/>
        <n v="1063274.9234919182"/>
        <n v="1015024.5239204003"/>
        <n v="1005122.5538501474"/>
        <n v="1072365.6946305481"/>
        <n v="864609.14043544792"/>
        <n v="1053396.6806554492"/>
        <n v="844612.04236657755"/>
        <n v="1077239.9879101461"/>
        <n v="1072338.8617331625"/>
        <n v="1036531.8398508037"/>
        <n v="1000504.8409342462"/>
        <n v="1175447.5402601"/>
        <n v="1155141.0295246341"/>
        <n v="1057320.4901615302"/>
        <n v="1119671.2266388026"/>
        <n v="1076495.6931490775"/>
        <n v="1178852.214673277"/>
        <n v="934926.67750268686"/>
        <n v="1076013.0953473689"/>
        <n v="952428.63253426563"/>
        <n v="1193552.8741825656"/>
        <n v="1010232.0083626767"/>
        <n v="965417.31477036327"/>
        <n v="1001528.2298004811"/>
        <n v="1172818.1808780243"/>
        <n v="1166619.3145053207"/>
        <n v="950025.54081278655"/>
        <n v="966829.58197644539"/>
        <n v="988040.09460590896"/>
        <n v="804300.88530318195"/>
        <n v="1041085.3912719352"/>
        <n v="1040416.3227839373"/>
        <n v="930147.03333070676"/>
        <n v="974061.15795334626"/>
        <n v="1146219.8879055979"/>
        <n v="993666.06956296496"/>
        <n v="1069553.4565651028"/>
        <n v="982321.68865808763"/>
        <n v="1152629.6668071509"/>
        <n v="974228.62108718138"/>
        <n v="1109182.6716428977"/>
        <n v="989219.17731315503"/>
        <n v="1178499.2009215304"/>
        <n v="907924.40739835449"/>
        <n v="1008710.4473809517"/>
        <n v="902389.54115809919"/>
        <n v="1171703.6325100397"/>
        <n v="1162410.7165880201"/>
        <n v="1031060.8584738469"/>
        <n v="1051397.1165415139"/>
        <n v="1103095.1162551432"/>
        <n v="1081277.332214769"/>
        <n v="843576.55920239538"/>
        <n v="1046902.8938901576"/>
        <n v="965249.82240113663"/>
        <n v="826381.26116588362"/>
        <n v="1095573.4673644449"/>
        <n v="1019894.3813935483"/>
        <n v="922059.20217755134"/>
        <n v="1121745.907595702"/>
        <n v="910797.81155907339"/>
        <n v="1180548.935404415"/>
        <n v="960060.34525707446"/>
        <n v="1021615.1759481981"/>
        <n v="831926.67253686045"/>
        <n v="898236.01192468288"/>
        <n v="1034194.2709975117"/>
        <n v="888284.29334330629"/>
        <n v="941723.13141582767"/>
        <n v="914887.90813106007"/>
        <n v="817771.85367781203"/>
        <n v="907380.53808473912"/>
        <n v="1174997.6744048493"/>
        <n v="865073.80009115452"/>
        <n v="999310.19067407295"/>
        <n v="1179480.0642006227"/>
        <n v="938694.50854025257"/>
        <n v="998862.1700879765"/>
        <n v="1166970.1626893841"/>
        <n v="869170.30022806511"/>
        <n v="986130.32744635257"/>
        <n v="1023348.161584022"/>
        <n v="857499.31979349267"/>
        <n v="830578.22517945117"/>
        <n v="906783.63261701504"/>
        <n v="1031159.5023672769"/>
        <n v="1014503.3264809402"/>
        <n v="852639.05535579519"/>
        <n v="958291.70669908926"/>
        <n v="1062889.3044548007"/>
        <n v="1135150.5965984624"/>
        <n v="1070894.631001045"/>
        <n v="1150428.3253930977"/>
        <n v="1080171.7790681224"/>
        <n v="810914.28786340216"/>
        <n v="1009070.3864353312"/>
        <n v="1009503.4689016531"/>
        <n v="892421.90160348499"/>
        <n v="956803.72514332179"/>
        <n v="940230.43469049898"/>
        <n v="802379.89751265675"/>
        <n v="929157.10048889322"/>
        <n v="986713.76867939997"/>
        <n v="893262.85863191949"/>
        <n v="958968.60899154062"/>
        <n v="1175665.3627267031"/>
        <n v="1038315.2734006852"/>
        <n v="1048583.1193828846"/>
        <n v="910565.49351608683"/>
        <n v="945753.59562581719"/>
        <n v="926394.13233945845"/>
        <n v="1061437.4281991874"/>
        <n v="956886.81453506916"/>
        <n v="916493.75450570008"/>
        <n v="856712.47655297362"/>
        <n v="1035288.6394293614"/>
        <n v="812049.75524676475"/>
        <n v="928011.35923302523"/>
        <n v="1153512.4796133584"/>
        <n v="1135225.7032858399"/>
        <n v="1077945.0067776607"/>
        <n v="822835.36247151485"/>
        <n v="837697.22946949932"/>
        <n v="1039117.9888318361"/>
        <n v="1062096.3387847494"/>
        <n v="1124173.1041170817"/>
        <n v="1070114.9657663486"/>
        <n v="1110151.8192561171"/>
        <n v="1184727.5067460004"/>
        <n v="998488.28041515965"/>
        <n v="1034576.5396105532"/>
        <n v="1049827.4637290011"/>
        <n v="943299.42091796128"/>
        <n v="1067442.5973707824"/>
        <n v="925846.60319829732"/>
        <n v="1007340.7726041824"/>
        <n v="954839.95392816002"/>
        <n v="1178852.0984057151"/>
        <n v="1003515.1018441959"/>
        <n v="1044214.1484595471"/>
        <n v="864384.97533115628"/>
        <n v="1065664.304677227"/>
        <n v="957988.96882328368"/>
        <n v="1149003.3249390966"/>
        <n v="1183901.4062083492"/>
        <n v="1044467.821501264"/>
        <n v="1163247.7659854819"/>
        <n v="836089.74979599181"/>
        <n v="1053819.9785046694"/>
        <n v="1124488.0743879871"/>
        <n v="1101590.7503343904"/>
        <n v="880210.29238221305"/>
        <n v="1104776.0534895142"/>
        <n v="932066.94196913717"/>
        <n v="995738.14504307148"/>
        <n v="849271.9752049807"/>
        <n v="848837.86919380701"/>
        <n v="1161426.4139321493"/>
        <n v="826159.68794228311"/>
        <n v="1010035.4584921736"/>
        <n v="1155262.1110120856"/>
        <n v="1158026.3905366769"/>
        <n v="1162717.3579781875"/>
        <n v="1073103.6448112663"/>
        <n v="1083975.6549574595"/>
        <n v="1028079.9543393023"/>
        <n v="1063957.2372142356"/>
        <n v="927120.68040971202"/>
        <n v="900219.81238359131"/>
        <n v="936779.5021412397"/>
        <n v="1040832.529425199"/>
        <n v="1021466.8954162535"/>
        <n v="1167064.4899728349"/>
        <n v="984779.23631835601"/>
        <n v="861493.81593286409"/>
        <n v="851195.65507316694"/>
        <n v="1189477.012704198"/>
        <n v="1081430.0141646955"/>
        <n v="1179209.7823132684"/>
        <n v="1163771.0314557424"/>
        <n v="1145638.4622140191"/>
        <n v="952187.82661730843"/>
        <n v="900800.28059573809"/>
        <n v="806030.8290365251"/>
        <n v="1049833.8507279963"/>
        <n v="1070219.0778187572"/>
        <n v="872222.06051331945"/>
        <n v="1145367.8686480308"/>
        <n v="879577.97580855433"/>
        <n v="831311.58849890437"/>
        <n v="1022023.2799326305"/>
        <n v="841967.71104618895"/>
        <n v="1194856.1581902674"/>
        <n v="907526.64596680505"/>
        <n v="1165798.0018291753"/>
        <n v="1072192.0256210251"/>
        <n v="1132034.3437312096"/>
        <n v="907816.42526299262"/>
        <n v="1107734.116406844"/>
        <n v="835772.12963342399"/>
        <n v="1004988.5914315273"/>
        <n v="1092029.6866348623"/>
        <n v="982849.20486823819"/>
        <n v="862337.6415653103"/>
        <n v="1132822.7623759992"/>
        <n v="911408.43620196951"/>
        <n v="1013259.5334889911"/>
        <n v="989990.7538512724"/>
        <n v="956884.25195641571"/>
        <n v="1029770.8265763529"/>
        <n v="1177962.5823665883"/>
        <n v="881436.38703055284"/>
        <n v="815012.63439889695"/>
        <n v="877948.54906930344"/>
        <n v="1065644.5993031359"/>
        <n v="1031394.6320414094"/>
        <n v="964466.900633596"/>
        <n v="823083.6462825475"/>
        <n v="1026459.705859086"/>
        <n v="1134567.257696138"/>
        <n v="1125502.5074297655"/>
        <n v="852042.4417160966"/>
        <n v="857897.9106807136"/>
        <n v="864692.38979856006"/>
        <n v="849369.54913732305"/>
        <n v="1044175.8620779756"/>
        <n v="811197.85831222136"/>
        <n v="1187903.6244342274"/>
        <n v="1075522.7794533563"/>
        <n v="872636.72006258264"/>
        <n v="877522.15818497422"/>
        <n v="1019137.8138085029"/>
        <n v="1161286.3673909553"/>
        <n v="1131398.2985045991"/>
        <n v="920027.57840749575"/>
        <n v="943821.79769788368"/>
        <n v="1170822.0336890747"/>
        <n v="852962.88290457171"/>
        <n v="1047009.7872261204"/>
        <n v="1161059.9627739508"/>
        <n v="1113512.0003006407"/>
        <n v="1049722.5360399305"/>
        <n v="1037189.7887893193"/>
        <n v="885244.30916685553"/>
        <n v="1157932.2675297104"/>
        <n v="841649.75827258837"/>
        <n v="838562.57705560641"/>
        <n v="1152727.1406087023"/>
        <n v="803087.21324197704"/>
        <n v="1072175.6848539733"/>
        <n v="1014156.1488559952"/>
        <n v="955375.34137973201"/>
        <n v="1169977.6565701782"/>
        <n v="1122389.7696658722"/>
        <n v="914031.65479429194"/>
        <n v="1135840.1745527412"/>
        <n v="1136456.0659593476"/>
        <n v="1027694.8444660873"/>
        <n v="1030909.168410689"/>
        <n v="991623.99592889694"/>
        <n v="1010667.2375711463"/>
        <n v="1040832.415782103"/>
        <n v="1025751.3971913119"/>
        <n v="833295.61386653001"/>
        <n v="1124425.0429421433"/>
        <n v="1094617.7885004615"/>
        <n v="1178126.3336979684"/>
        <n v="916098.04301891674"/>
        <n v="1063096.3239416585"/>
        <n v="1088182.5542169476"/>
        <n v="940794.49178606877"/>
        <n v="859966.04786708613"/>
        <n v="1197053.3558499678"/>
        <n v="1043265.4290485858"/>
        <n v="1057446.0215572759"/>
        <n v="1045722.6878080532"/>
        <n v="855802.4944407416"/>
        <n v="1154147.3951562925"/>
        <n v="1149791.5445830668"/>
        <n v="951898.35780231818"/>
        <n v="1187165.4214755178"/>
        <n v="893573.7276006554"/>
        <n v="845815.34029038681"/>
        <n v="1065111.2807587916"/>
        <n v="1064433.7932175803"/>
        <n v="1072217.037546847"/>
        <n v="944113.68399980175"/>
        <n v="846616.64950391476"/>
        <n v="906822.22761903051"/>
        <n v="925474.34570656728"/>
        <n v="913698.73185829085"/>
        <n v="1069527.7357492745"/>
        <n v="972994.99587052653"/>
        <n v="992022.57698216557"/>
        <n v="1098779.4513648201"/>
        <n v="1117781.5410668924"/>
        <n v="883617.60832116276"/>
        <n v="871121.46452967555"/>
        <n v="1135745.3472435568"/>
        <n v="1146887.9609334795"/>
        <n v="1174419.7928074745"/>
        <n v="989810.38259374211"/>
        <n v="1124305.7508238761"/>
        <n v="1010174.0754965184"/>
        <n v="1024891.4958911464"/>
        <n v="856235.18110500346"/>
        <n v="1106076.1937715348"/>
        <n v="818956.0623640063"/>
        <n v="907147.38130018034"/>
        <n v="914998.26277336478"/>
        <n v="1006628.9348777577"/>
        <n v="1084836.011992177"/>
        <n v="1085421.2171827487"/>
        <n v="950341.47365155548"/>
        <n v="928491.62520531961"/>
        <n v="1019899.2417894175"/>
        <n v="828835.33854456607"/>
        <n v="1160510.2455904037"/>
        <n v="994924.09083399107"/>
        <n v="1113360.7309664318"/>
        <n v="1053135.7024698514"/>
        <n v="881974.19044764142"/>
        <n v="1151602.2428915743"/>
        <n v="1141157.5001991384"/>
        <n v="1076086.0341922475"/>
        <n v="1102730.5124185702"/>
        <n v="1112456.3728164756"/>
        <n v="1199773.6241549144"/>
        <n v="1093775.9619307378"/>
        <n v="1016964.280991648"/>
        <n v="983969.62100143533"/>
        <n v="929833.57482205844"/>
        <n v="902602.58824360627"/>
        <n v="983324.92956088716"/>
        <n v="1081214.9189925145"/>
        <n v="886738.3819529101"/>
        <n v="866154.36291095591"/>
        <n v="1105051.9534719475"/>
        <n v="1133523.2444409064"/>
        <n v="1068821.3636777583"/>
        <n v="884272.76772931602"/>
        <n v="813314.02816680446"/>
        <n v="827829.17269374267"/>
        <n v="982483.26102282247"/>
        <n v="803938.66735671624"/>
        <n v="1021405.6566936701"/>
        <n v="888926.44899906276"/>
        <n v="1179368.7519684825"/>
        <n v="961864.40677966108"/>
        <n v="1080759.7226409407"/>
        <n v="1089350.9307943727"/>
        <n v="963454.40448209806"/>
        <n v="854615.52954092424"/>
        <n v="1022744.2873331483"/>
        <n v="1072203.7366180299"/>
        <n v="942317.34198457375"/>
        <n v="812851.13925580413"/>
        <n v="1114451.6992621643"/>
        <n v="1179912.1471059595"/>
        <n v="1130967.0524230243"/>
        <n v="891237.14824902231"/>
        <n v="935779.02998277568"/>
        <n v="930584.95231271011"/>
        <n v="1126329.4568672134"/>
        <n v="1156274.7327068914"/>
        <n v="827203.31663499738"/>
        <n v="1189814.8453979145"/>
        <n v="943056.7693465763"/>
        <n v="1053094.6263629517"/>
        <n v="1121485.7992823578"/>
        <n v="1059836.2423366958"/>
        <n v="1035631.6900688577"/>
        <n v="903775.50354942272"/>
        <n v="1049108.7511883979"/>
        <n v="1021429.6841301842"/>
        <n v="1143339.7705314832"/>
        <n v="1020597.390800226"/>
        <n v="1160372.5397222929"/>
        <n v="1103331.8184413153"/>
        <n v="1187943.8834138599"/>
        <n v="1113828.1939532326"/>
        <n v="1042173.5806238254"/>
        <n v="855509.6999129873"/>
        <n v="935236.61098539433"/>
        <n v="941681.36689664156"/>
        <n v="910500.47086130152"/>
        <n v="1064479.3004025794"/>
        <n v="1042065.3792732913"/>
        <n v="1059344.891495696"/>
        <n v="846514.18080284575"/>
        <n v="998347.02926534752"/>
        <n v="947250.47904579039"/>
        <n v="1143058.9890451711"/>
        <n v="1153703.2797478624"/>
        <n v="1044207.8485033289"/>
        <n v="864547.50392996729"/>
        <n v="1171729.2408879146"/>
        <n v="936162.57670922938"/>
        <n v="824070.43509279075"/>
        <n v="1035863.2742800935"/>
        <n v="838587.43805030349"/>
        <n v="902351.95491062407"/>
        <n v="1055030.5690578534"/>
        <n v="1005369.4271914988"/>
        <n v="1003526.894913941"/>
        <n v="851022.01347254135"/>
        <n v="1159127.1535564102"/>
        <n v="1183910.3709965521"/>
        <n v="816882.54478205869"/>
        <n v="807563.4877914394"/>
        <n v="1143614.4249604079"/>
        <n v="1015310.3873308375"/>
        <n v="976282.70960977406"/>
        <n v="857643.24161320971"/>
        <n v="803673.38084961718"/>
        <n v="1168968.9378299771"/>
        <n v="911725.17773194145"/>
        <n v="1038445.2068549197"/>
        <n v="989585.32060935453"/>
        <n v="1160624.6171158655"/>
        <n v="1118059.1453802711"/>
        <n v="1092896.8529732949"/>
        <n v="955941.823800963"/>
        <n v="1185471.9057841133"/>
        <n v="1040791.5006945947"/>
        <n v="1012650.8488596703"/>
        <n v="1064006.7688316698"/>
        <n v="891395.2770369543"/>
        <n v="1062191.2774174444"/>
        <n v="1016191.4581079896"/>
        <n v="1022523.2305239076"/>
        <n v="852613.8023750108"/>
        <n v="863176.13095759985"/>
        <n v="1055260.6139454986"/>
        <n v="967638.70218350831"/>
        <n v="1089817.6137962269"/>
        <n v="1026628.7924008024"/>
        <n v="857115.55478357465"/>
        <n v="921478.96367948432"/>
        <n v="1068624.2919699303"/>
        <n v="809258.56895726768"/>
        <n v="928472.41268869443"/>
        <n v="875597.57007878041"/>
        <n v="801792.69109571015"/>
        <n v="987890.22744493221"/>
        <n v="946885.25840518088"/>
        <n v="804186.05360936793"/>
        <n v="907742.80145350331"/>
        <n v="870482.65059741004"/>
        <n v="847073.8178720068"/>
        <n v="970592.18082821148"/>
        <n v="1074150.4110587633"/>
        <n v="971843.3327798252"/>
        <n v="989000.87507925485"/>
        <n v="1164231.9109173296"/>
        <n v="925394.2192914834"/>
        <n v="984538.4788550121"/>
        <n v="1074943.821875982"/>
        <n v="1102725.0178707971"/>
        <n v="826423.47755878372"/>
        <n v="1134447.5930198696"/>
        <n v="893326.44739303936"/>
        <n v="842935.13067477429"/>
        <n v="1177478.7465717639"/>
        <n v="1134751.0468794904"/>
        <n v="965959.64557398809"/>
        <n v="1028326.5940454435"/>
        <n v="925661.95582855796"/>
        <n v="1142681.5249919426"/>
        <n v="1165140.8787614503"/>
        <n v="1170688.4688306577"/>
        <n v="1041679.175562398"/>
        <n v="887484.77082961192"/>
        <n v="905707.00825637265"/>
        <n v="1111129.8373295686"/>
        <n v="852706.79444634938"/>
        <n v="913277.36371587636"/>
        <n v="829737.3889203273"/>
        <n v="895894.19138910505"/>
        <n v="1038005.8438842937"/>
        <n v="1077555.1901179787"/>
        <n v="1013799.8884044539"/>
        <n v="825163.77101242007"/>
        <n v="1135270.0828707714"/>
        <n v="994334.26126900711"/>
        <n v="1182097.9306760267"/>
        <n v="812304.31204448536"/>
        <n v="1137726.2626311244"/>
        <n v="1012967.2664574132"/>
        <n v="982904.1383032134"/>
        <n v="915959.67780881969"/>
        <n v="1109569.9193757789"/>
        <n v="1114996.3978504206"/>
        <n v="988931.69590372941"/>
        <n v="827880.46169978171"/>
        <n v="1189801.0820741486"/>
        <n v="816447.43376421055"/>
        <n v="1009911.7681872601"/>
        <n v="867293.07281026209"/>
        <n v="848878.47142786032"/>
        <n v="1058307.673234134"/>
        <n v="865459.20677404478"/>
        <n v="885522.1568267761"/>
        <n v="1191674.0840443161"/>
        <n v="979635.94279919507"/>
        <n v="973085.27189105097"/>
        <n v="891403.58720960608"/>
        <n v="988071.00428009836"/>
        <n v="1194211.31867304"/>
        <n v="1119634.953440005"/>
        <n v="991772.79924919177"/>
        <n v="1112641.5354874344"/>
        <n v="1085542.3421821562"/>
        <n v="1109428.7259704398"/>
        <n v="1027860.0981401458"/>
        <n v="932048.23134465131"/>
        <n v="801584.26711915119"/>
        <n v="1004694.7201487436"/>
        <n v="1047594.5359902713"/>
        <n v="949098.64236710081"/>
        <n v="1084545.898135562"/>
        <n v="1114748.1081454926"/>
        <n v="1016311.7324519055"/>
        <n v="970843.67638290953"/>
        <n v="904309.3289842162"/>
        <n v="900834.72185425134"/>
        <n v="896205.9650722011"/>
        <n v="897036.10481956275"/>
        <n v="1103227.623934258"/>
        <n v="867191.00866842968"/>
        <n v="1156259.2518503701"/>
        <n v="932495.32033121353"/>
        <n v="1000164.1861359248"/>
        <n v="847115.69586787221"/>
        <n v="936004.51043464697"/>
        <n v="1017615.5303582359"/>
        <n v="1158850.1682339378"/>
        <n v="1034372.60819722"/>
        <n v="968370.29278937215"/>
        <n v="894699.88685101457"/>
        <n v="947359.58445919352"/>
        <n v="1012654.7400785402"/>
        <n v="1005971.1023786358"/>
        <n v="1133350.9742006273"/>
        <n v="1054997.9542109482"/>
        <n v="922555.3975808227"/>
        <n v="1079911.7188053103"/>
        <n v="863840.17916366516"/>
        <n v="997814.09920968022"/>
        <n v="1111555.4288002816"/>
        <n v="1158041.5679693935"/>
        <n v="885454.03377779038"/>
        <n v="1179377.4600079441"/>
        <n v="963880.43992011005"/>
        <n v="855704.53118459601"/>
        <n v="1133166.2638443068"/>
        <n v="1164371.1692484114"/>
        <n v="1120216.5162632531"/>
        <n v="896986.14859018149"/>
        <n v="1156883.9646737049"/>
        <n v="860495.37671755417"/>
        <n v="1093389.0907304238"/>
        <n v="1069440.4768607041"/>
        <n v="1020398.3781476174"/>
        <n v="983542.30318031227"/>
        <n v="1115585.4857285353"/>
        <n v="1102942.135377124"/>
        <n v="1087114.4890111748"/>
        <n v="1130839.9845794558"/>
        <n v="1060794.963865279"/>
        <n v="1024121.7427355534"/>
        <n v="848391.7979012219"/>
        <n v="1188714.6053838348"/>
        <n v="1093164.2118433958"/>
        <n v="932230.24389140785"/>
        <n v="1001080.686417198"/>
        <n v="830946.59715465328"/>
        <n v="1143512.1783274261"/>
        <n v="966848.4551952933"/>
        <n v="1020841.2483678923"/>
        <n v="861928.49400330207"/>
        <n v="943397.48306565359"/>
        <n v="1136836.0419884715"/>
        <n v="1009509.3538305095"/>
        <n v="982868.77700554766"/>
        <n v="1177510.58347339"/>
        <n v="889258.72626139468"/>
        <n v="1079352.0880865508"/>
        <n v="1140469.3594295541"/>
        <n v="1192792.4302800808"/>
        <n v="936174.97200656659"/>
        <n v="862273.18725340534"/>
        <n v="902544.29109773401"/>
        <n v="886580.12302056409"/>
        <n v="824206.97581890249"/>
        <n v="1058419.0269005173"/>
        <n v="1090409.4791020586"/>
        <n v="1098313.4279893513"/>
        <n v="1107232.2551497612"/>
        <n v="1153869.8949988466"/>
        <n v="1049471.1478382908"/>
        <n v="1085797.8499011528"/>
        <n v="1163755.1550995139"/>
        <n v="821844.51831884636"/>
        <n v="1109031.566269252"/>
        <n v="1031235.4662098868"/>
        <n v="937290.26236447541"/>
        <n v="891973.03390271391"/>
        <n v="841406.20401277288"/>
        <n v="934868.60201869532"/>
        <n v="893578.13731153973"/>
        <n v="920156.61379007739"/>
        <n v="879730.53155617299"/>
        <n v="973957.47319746413"/>
        <n v="818361.29245830141"/>
        <n v="1078589.1690513471"/>
        <n v="891136.44115594774"/>
        <n v="1048325.7030133333"/>
        <n v="1032634.5785252149"/>
        <n v="831016.73392444255"/>
        <n v="824706.29522552178"/>
        <n v="1088806.6310229131"/>
        <n v="1117889.0424880539"/>
        <n v="1177843.8825321039"/>
        <n v="1149841.1146418969"/>
        <n v="803972.00206096098"/>
        <n v="889604.80637984595"/>
        <n v="801773.27084054053"/>
        <n v="834097.04147691594"/>
        <n v="1090850.3464984549"/>
        <n v="1143790.5916895235"/>
        <n v="1034208.0811439015"/>
        <n v="1181076.8099708466"/>
        <n v="1163359.7311726778"/>
        <n v="1169381.6992013715"/>
        <n v="1121826.2036865887"/>
        <n v="1063650.1924814938"/>
        <n v="1074444.18832739"/>
        <n v="1185497.0302199596"/>
        <n v="1186260.9416697323"/>
        <n v="928976.39014255779"/>
        <n v="1136307.1570576541"/>
        <n v="1038808.5465110445"/>
        <n v="1143055.266097622"/>
        <n v="1113892.7062897077"/>
        <n v="1124611.4590334373"/>
        <n v="952636.57431009505"/>
        <n v="1026800.9029646367"/>
        <n v="824715.54386570607"/>
        <n v="970715.73123854911"/>
        <n v="1113485.6825259055"/>
        <n v="1024028.0004431243"/>
        <n v="1125151.3353115728"/>
        <n v="1027265.6738932676"/>
        <n v="997639.34072348138"/>
        <n v="1179719.9605850091"/>
        <n v="849442.85342979582"/>
        <n v="990642.66575607646"/>
        <n v="873121.6982882364"/>
        <n v="969183.789237316"/>
        <n v="1016488.9325542962"/>
        <n v="914002.10103280423"/>
        <n v="914860.31569290743"/>
        <n v="881943.75313380023"/>
        <n v="1158976.8202464241"/>
        <n v="1148868.1786570144"/>
        <n v="1106852.8870121867"/>
        <n v="1123684.8575415337"/>
        <n v="1013327.5277773497"/>
        <n v="1153717.3041670895"/>
        <n v="1172325.3023970025"/>
        <n v="871432.3361199866"/>
        <n v="980680.37222912442"/>
        <n v="1176704.9718358289"/>
        <n v="1095777.8311324529"/>
        <n v="981684.99320617982"/>
        <n v="904955.88477870147"/>
        <n v="960471.77958635462"/>
        <n v="1042403.5292881039"/>
        <n v="913034.5590457822"/>
        <n v="905551.57616933016"/>
        <n v="1071545.3049574704"/>
        <n v="802622.15081255778"/>
        <n v="1098165.7049461184"/>
        <n v="914756.42193533271"/>
        <n v="1158022.4475328173"/>
        <n v="1019135.8642054755"/>
        <n v="934276.10413590877"/>
        <n v="867231.38569237315"/>
        <n v="1020373.260323979"/>
        <n v="1097832.7294382823"/>
        <n v="815966.07376406773"/>
        <n v="1191226.8513533631"/>
        <n v="1133644.8862599977"/>
        <n v="1068732.8317210081"/>
        <n v="1106853.3083317049"/>
        <n v="1180990.8609084249"/>
        <n v="1083474.0896911665"/>
        <n v="939734.21556673362"/>
        <n v="1197213.4311954682"/>
        <n v="946978.40054726903"/>
        <n v="1073718.1866881263"/>
        <n v="884283.59148178715"/>
        <n v="986326.63107274042"/>
        <n v="998483.87393182027"/>
        <n v="1140963.7817938544"/>
        <n v="1041055.5192026978"/>
        <n v="1067920.163108503"/>
        <n v="1195956.4875206705"/>
        <n v="967576.11820363731"/>
        <n v="951889.13532118569"/>
        <n v="981087.87159118825"/>
        <n v="1033852.9387878113"/>
        <n v="823244.38096991833"/>
        <n v="1153747.4163256588"/>
        <n v="939982.58412409492"/>
        <n v="1099435.5893867922"/>
        <n v="893350.65683158615"/>
        <n v="831984.18461119558"/>
        <n v="1180388.5826029368"/>
        <n v="875531.36197452142"/>
        <n v="954091.53727859294"/>
        <n v="982306.25357395899"/>
        <n v="803341.85961532081"/>
        <n v="923742.68580147531"/>
        <n v="833470.73582353641"/>
        <n v="867557.15176656516"/>
        <n v="1091765.9637773051"/>
        <n v="1001302.5052576736"/>
        <n v="1180365.0668465712"/>
        <n v="997577.96251380898"/>
        <n v="831932.65241864661"/>
        <n v="1095024.9478210432"/>
        <n v="967622.81493772194"/>
        <n v="830543.27871081803"/>
        <n v="1129476.4954465083"/>
        <n v="944885.13085964497"/>
        <n v="930882.78316501132"/>
        <n v="1144800.9080671214"/>
        <n v="1069460.5110947522"/>
        <n v="895016.76895104744"/>
        <n v="1000855.6708752756"/>
        <n v="1032721.8175426548"/>
        <n v="931974.56030518271"/>
        <n v="1114313.8656517456"/>
        <n v="1130672.3069889622"/>
        <n v="1096599.9200472555"/>
        <n v="1067381.699493258"/>
        <n v="847446.87050495215"/>
        <n v="815853.74840767682"/>
        <n v="1195895.0297636534"/>
        <n v="896427.03329032392"/>
        <n v="1085560.7855241329"/>
        <n v="935584.21410989459"/>
        <n v="817072.4450040079"/>
        <n v="1109893.4717050749"/>
        <n v="1078344.1691152335"/>
        <n v="953478.25957758294"/>
        <n v="1000333.1367301497"/>
        <n v="1192734.9796952554"/>
        <n v="1165332.4443662483"/>
        <n v="822204.42014985147"/>
        <n v="891096.62411750341"/>
        <n v="805866.93911207048"/>
        <n v="1117288.1948342195"/>
        <n v="1072963.0697023345"/>
        <n v="1170817.2315365702"/>
        <n v="1006951.1214090688"/>
        <n v="989744.208246161"/>
        <n v="923877.09077565803"/>
        <n v="895429.62532528234"/>
        <n v="864171.93483334465"/>
        <n v="860965.43994406227"/>
        <n v="909616.92212680634"/>
        <n v="850426.17337253888"/>
        <n v="850323.52814755228"/>
        <n v="937358.15305494994"/>
        <n v="1024027.3062205657"/>
        <n v="1059485.36904274"/>
        <n v="897064.4436122902"/>
        <n v="1016935.9544497706"/>
        <n v="904485.11743720027"/>
        <n v="926249.35808972106"/>
        <n v="884522.69201834803"/>
        <n v="1125636.42669941"/>
        <n v="1038921.938024723"/>
        <n v="827092.22801769583"/>
        <n v="1059425.7764690062"/>
        <n v="936603.05514269089"/>
        <n v="879654.87510934623"/>
        <n v="1140207.8020314712"/>
        <n v="847239.34410696663"/>
        <n v="1135968.2811875152"/>
        <n v="1125168.6985693299"/>
        <n v="1156660.7503576644"/>
        <n v="1167840.5590579645"/>
        <n v="863915.55265204108"/>
        <n v="859845.61298681039"/>
        <n v="963480.6959820796"/>
        <n v="1066895.9974178427"/>
        <n v="844037.15908393008"/>
        <n v="1019740.7902284083"/>
        <n v="936969.63137713645"/>
        <n v="1040438.4778035848"/>
        <n v="1022529.2078267478"/>
        <n v="1115644.7603258027"/>
        <n v="934622.41770568932"/>
        <n v="1187040.8441217884"/>
        <n v="954382.87604869658"/>
        <n v="884376.29349896184"/>
        <n v="1001223.7823087579"/>
        <n v="977937.69533048198"/>
        <n v="804348.84824891191"/>
        <n v="1028145.1524268469"/>
        <n v="1108115.3766255707"/>
        <n v="1056586.718389252"/>
        <n v="1128131.3964640989"/>
        <n v="907294.52598206687"/>
        <n v="816999.71661290154"/>
        <n v="888082.17243805504"/>
        <n v="992341.41678295552"/>
        <n v="1027880.0556792918"/>
        <n v="1091864.8861862358"/>
        <n v="1073549.2063610025"/>
        <n v="1014464.9537931232"/>
        <n v="828812.89180284389"/>
        <n v="1132309.7918799045"/>
        <n v="1161499.7307138469"/>
        <n v="1005404.1715370405"/>
        <n v="1066445.6400618448"/>
        <n v="1061307.8849118303"/>
        <n v="815911.46770720405"/>
        <n v="835925.23420118599"/>
        <n v="927324.76823950501"/>
        <n v="1151305.1612928584"/>
        <n v="857747.95065335603"/>
        <n v="968813.86042966915"/>
        <n v="1127039.5807693833"/>
        <n v="1033775.0774081129"/>
        <n v="916636.90871644963"/>
        <n v="993745.69748227007"/>
        <n v="922370.86995978025"/>
        <n v="994978.97520374542"/>
        <n v="824456.1186271325"/>
        <n v="1123987.1235518081"/>
        <n v="886922.55267030816"/>
        <n v="986444.97579599579"/>
        <n v="1073655.6517142395"/>
        <n v="983302.45147020312"/>
        <n v="1075675.7823148773"/>
        <n v="1179025.6204847591"/>
        <n v="1033575.9312773205"/>
        <n v="989906.65761213365"/>
        <n v="806147.85601061175"/>
        <n v="852898.42834222375"/>
        <n v="1005321.5704862197"/>
        <n v="1061545.0908855868"/>
        <n v="871710.40654202597"/>
        <n v="871525.51379830542"/>
        <n v="905511.07494361454"/>
        <n v="1163115.1480937775"/>
        <n v="881948.88563283824"/>
        <n v="992104.84768748097"/>
        <n v="840233.70233702334"/>
        <n v="832698.05155687279"/>
        <n v="973943.77593759354"/>
        <n v="848934.85102485155"/>
        <n v="1135891.1314371207"/>
        <n v="977570.09890381631"/>
        <n v="809437.19386611751"/>
        <n v="1134284.5931580637"/>
        <n v="983349.31666681462"/>
        <n v="992086.24354691769"/>
        <n v="1124234.4953923631"/>
        <n v="1155863.429652395"/>
        <n v="924105.70678241632"/>
        <n v="971574.0253145512"/>
        <n v="980981.6010906368"/>
        <n v="1011521.7615514661"/>
        <n v="936529.1426055975"/>
        <n v="1058362.8551869416"/>
        <n v="1034785.0249831292"/>
        <n v="972129.04636153567"/>
        <n v="1095734.891630816"/>
        <n v="1103530.5558306847"/>
        <n v="996716.95616378856"/>
        <n v="1164752.8089225639"/>
        <n v="904067.26477478864"/>
        <n v="1144512.0699774239"/>
        <n v="827401.79073795944"/>
        <n v="999926.87053917884"/>
        <n v="1159596.5543671923"/>
        <n v="1050988.8606235243"/>
        <n v="946942.15079226822"/>
        <n v="834069.28381409182"/>
        <n v="1149280.9837000764"/>
        <n v="1193637.8337026699"/>
        <n v="842695.90395557927"/>
        <n v="897467.81699412432"/>
        <n v="1084458.9840279154"/>
        <n v="1054109.3825787941"/>
        <n v="950051.38081767957"/>
        <n v="898712.07332490524"/>
        <n v="1087129.6226197896"/>
        <n v="908240.35430594743"/>
        <n v="1186005.1435054161"/>
        <n v="1090358.4005071274"/>
        <n v="1146584.7450160463"/>
        <n v="899564.80828954349"/>
        <n v="1184594.4219953541"/>
        <n v="1028669.7883187409"/>
        <n v="999178.33204659587"/>
        <n v="876221.79162454023"/>
        <n v="938323.86319651955"/>
        <n v="1040967.5771956703"/>
        <n v="1093054.3124032223"/>
        <n v="980713.82031785464"/>
        <n v="838354.26518817665"/>
        <n v="908306.22373138927"/>
        <n v="1151930.8268877042"/>
        <n v="1083106.2269159995"/>
        <n v="854127.00850777165"/>
        <n v="1093025.7876164708"/>
        <n v="1087946.3101292548"/>
        <n v="860382.0076874902"/>
        <n v="1198580.5260193495"/>
        <n v="1038343.2009265175"/>
        <n v="1167457.1664976405"/>
        <n v="1199612.2402451083"/>
        <n v="1104575.8365865252"/>
        <n v="845995.07738707995"/>
        <n v="1136563.0216218315"/>
        <n v="1031825.5373093347"/>
        <n v="1049889.4957889605"/>
        <n v="830163.58190893417"/>
        <n v="838427.40952586732"/>
        <n v="1192405.8651463492"/>
        <n v="1125659.5099035983"/>
        <n v="912300.65985984262"/>
        <n v="1100600.3627578155"/>
        <n v="813134.27057495282"/>
        <n v="920699.924792376"/>
        <n v="988638.83655530529"/>
        <n v="817278.97412288061"/>
        <n v="944755.8218458998"/>
        <n v="928351.29299771914"/>
        <n v="966617.66752012342"/>
        <n v="1012083.3982880947"/>
        <n v="974402.70156184048"/>
        <n v="1021584.0130650434"/>
        <n v="970970.927873209"/>
        <n v="831300.05995405768"/>
        <n v="1081383.0674300962"/>
        <n v="840209.5660950935"/>
        <n v="1164742.4511545293"/>
        <n v="926718.65501692111"/>
        <n v="1035796.386373768"/>
        <n v="968513.99981728604"/>
        <n v="963659.96935587784"/>
        <n v="1093314.4732212736"/>
        <n v="872175.19686415454"/>
        <n v="900028.51250084629"/>
        <n v="1078459.6022880208"/>
        <n v="1032009.7483378678"/>
        <n v="925166.25065573095"/>
        <n v="907760.83955022471"/>
        <n v="1049196.2210701467"/>
        <n v="867208.98820404254"/>
        <n v="1188805.5764194182"/>
        <n v="984485.79348375939"/>
        <n v="1046320.5021307612"/>
        <n v="824931.9728989068"/>
        <n v="1162778.22907172"/>
        <n v="813785.32291485276"/>
        <n v="1046199.2660849128"/>
        <n v="969613.16701781552"/>
        <n v="845097.20128465618"/>
        <n v="828559.03126128658"/>
        <n v="973815.58463415666"/>
        <n v="810493.23731003387"/>
        <n v="1037319.4147845827"/>
        <n v="1060433.3254907744"/>
        <n v="934237.52435436111"/>
        <n v="916782.83014693286"/>
        <n v="982989.43487201305"/>
        <n v="866555.5378548461"/>
        <n v="909060.44483502454"/>
        <n v="804202.38902109757"/>
        <n v="1000811.5805381795"/>
        <n v="829069.71116713888"/>
        <n v="906912.14886523713"/>
        <n v="888931.21657909325"/>
        <n v="1097765.50611521"/>
        <n v="1191012.0689961538"/>
        <n v="976220.93964807503"/>
        <n v="1193646.1574205901"/>
        <n v="811003.44226736808"/>
        <n v="1147454.2632882681"/>
        <n v="961323.56500696705"/>
        <n v="1130759.1359071359"/>
        <n v="935609.21323054365"/>
        <n v="956992.75428038836"/>
        <n v="821136.3082175079"/>
        <n v="1125216.8024625729"/>
        <n v="920951.94554613507"/>
        <n v="1163252.6564344745"/>
        <n v="1062997.7361176251"/>
        <n v="1109990.0170691956"/>
        <n v="1124017.2889973209"/>
        <n v="1156581.6466172272"/>
        <n v="958700.71612612216"/>
        <n v="935355.47729660163"/>
        <n v="808497.66859523754"/>
        <n v="905026.71044794633"/>
        <n v="1109288.3016632223"/>
        <n v="1101551.6352329017"/>
        <n v="971687.53538748343"/>
        <n v="1196848.935420986"/>
        <n v="1156360.293264729"/>
        <n v="812977.88457119814"/>
        <n v="1172772.9545772164"/>
        <n v="833798.2122432146"/>
        <n v="1052523.7322113027"/>
        <n v="857272.74405159953"/>
        <n v="1087541.4939959713"/>
        <n v="897995.67735006753"/>
        <n v="1188613.7885122828"/>
        <n v="821792.89444489544"/>
        <n v="1080953.0317915769"/>
        <n v="954749.77160911623"/>
        <n v="998657.11373072723"/>
        <n v="1120028.1645872169"/>
        <n v="986631.26589581277"/>
        <n v="882575.04775458446"/>
        <n v="997049.44873363175"/>
        <n v="829024.78336160711"/>
        <n v="1098232.4299582627"/>
        <n v="1183078.7884204255"/>
        <n v="1111815.2896046033"/>
        <n v="1086083.9117325959"/>
        <n v="1006616.9146884135"/>
        <n v="863524.78693696379"/>
        <n v="1084064.6412104717"/>
        <n v="1193722.2929550612"/>
        <n v="1023941.7209536176"/>
        <n v="812322.05029650067"/>
        <n v="819120.71477243036"/>
        <n v="932439.1511453297"/>
        <n v="877330.56167759688"/>
        <n v="1138005.2442151236"/>
        <n v="911561.91090807191"/>
        <n v="852842.4832696676"/>
        <n v="890591.17036369094"/>
        <n v="1047902.4087793629"/>
        <n v="901426.40903398197"/>
        <n v="956133.97061323794"/>
        <n v="1071691.9166394642"/>
        <n v="927426.06995515316"/>
        <n v="999934.37980456464"/>
        <n v="937740.25676242588"/>
        <n v="954780.45268037135"/>
        <n v="1010930.4101571423"/>
        <n v="1045160.1486462574"/>
        <n v="806170.45302162191"/>
        <n v="849911.24023347499"/>
        <n v="825319.27242351999"/>
        <n v="1159228.9555528529"/>
        <n v="1153818.3455076455"/>
        <n v="840769.47454634507"/>
        <n v="872796.68571653159"/>
        <n v="1053711.6683699689"/>
        <n v="1005074.3482803556"/>
        <n v="1106610.3595981475"/>
        <n v="941044.050466232"/>
        <n v="1050994.1848736547"/>
        <n v="1049009.0238106961"/>
        <n v="1151892.8689868422"/>
        <n v="1180574.9759398375"/>
        <n v="861952.27369772911"/>
        <n v="1126692.9913385278"/>
        <n v="903918.68236224575"/>
        <n v="973357.05790179165"/>
        <n v="847100.56361978292"/>
        <n v="908217.15652717894"/>
        <n v="955251.89029186557"/>
        <n v="894183.70977202139"/>
        <n v="1123797.6746608666"/>
        <n v="1029571.1262132849"/>
        <n v="1158502.4012666184"/>
        <n v="905163.17250731413"/>
        <n v="815863.28033398069"/>
        <n v="893784.16698017216"/>
        <n v="864423.16210908152"/>
        <n v="804800.30113589438"/>
        <n v="1182047.0020392353"/>
        <n v="912621.97670089907"/>
        <n v="1045751.7623610791"/>
        <n v="864864.39147830044"/>
        <n v="831981.582562931"/>
        <n v="909846.73263314657"/>
        <n v="890100.90996744588"/>
        <n v="1021014.9584546491"/>
        <n v="975751.39776974637"/>
        <n v="997985.25432916416"/>
        <n v="993979.96636562899"/>
        <n v="887778.30899130914"/>
        <n v="1026675.7973963522"/>
        <n v="950832.26341563172"/>
        <n v="933816.83635006356"/>
        <n v="811811.94382337073"/>
        <n v="902385.57187449571"/>
        <n v="970886.78006250749"/>
        <n v="1127429.88668298"/>
        <n v="1051892.6539464069"/>
        <n v="1025450.0628399776"/>
        <n v="1088415.201414085"/>
        <n v="1183805.9553772702"/>
        <n v="944298.5694686803"/>
        <n v="1060928.4647906055"/>
        <n v="962551.91144048097"/>
        <n v="1033826.365494299"/>
        <n v="1018156.9846123002"/>
        <n v="1045144.9533567377"/>
        <n v="1000151.0802235989"/>
        <n v="1032806.6726122912"/>
        <n v="820471.57567662292"/>
        <n v="1052658.1744578374"/>
        <n v="811452.41187467647"/>
        <n v="1134079.8722673792"/>
        <n v="832293.75357486424"/>
        <n v="1074888.7682000266"/>
        <n v="1128348.1820983554"/>
        <n v="924413.42567746155"/>
        <n v="845896.37215610745"/>
        <n v="1011952.1631812059"/>
        <n v="1002408.4158061644"/>
        <n v="899068.98673947039"/>
        <n v="1160885.3971062566"/>
        <n v="1122987.130584918"/>
        <n v="1058584.4951611734"/>
        <n v="903304.61653712892"/>
        <n v="1038462.346318649"/>
        <n v="1112416.2352623895"/>
        <n v="1144688.6492248119"/>
        <n v="968795.84473256418"/>
        <n v="1045236.5903204685"/>
        <n v="1070403.9728416293"/>
        <n v="887709.93943965738"/>
        <n v="989709.5595306789"/>
        <n v="870441.15538523695"/>
        <n v="1116402.2778116739"/>
        <n v="925848.27669174445"/>
        <n v="1022755.8908503366"/>
        <n v="830031.90750934242"/>
        <n v="805967.42387303791"/>
        <n v="1197000.9732512874"/>
        <n v="1132839.1966452182"/>
        <n v="950952.52678559371"/>
        <n v="877281.17398659082"/>
        <n v="1050645.6987379678"/>
        <n v="907898.08894815727"/>
        <n v="1015293.6678067344"/>
        <n v="991382.06907145237"/>
        <n v="1188085.1699144554"/>
        <n v="1100447.1887817807"/>
        <n v="1149110.3933729767"/>
        <n v="824308.87904301775"/>
        <n v="959250.52334213222"/>
        <n v="1199665.5430101312"/>
        <n v="1034051.9878064535"/>
        <n v="1159108.7811271297"/>
        <n v="1089955.7115400685"/>
        <n v="983809.30777244165"/>
        <n v="1065769.2743635662"/>
        <n v="1095400.7021476061"/>
        <n v="1155186.0468889836"/>
        <n v="839779.44815101498"/>
        <n v="940816.83661103807"/>
        <n v="819706.38517272263"/>
        <n v="865263.44465343643"/>
        <n v="1162313.2063809622"/>
        <n v="1078441.7130792539"/>
        <n v="830169.46974186611"/>
        <n v="804514.60253331636"/>
        <n v="979525.59300873906"/>
        <n v="1084224.785184904"/>
        <n v="814748.87180579652"/>
        <n v="1086624.1818918455"/>
        <n v="948307.83069755067"/>
        <n v="1051642.4338983367"/>
        <n v="845993.58093803632"/>
        <n v="858737.66358084872"/>
        <n v="1040251.3500536135"/>
        <n v="1023982.1877327521"/>
        <n v="1183339.9666326859"/>
        <n v="1000908.8389812201"/>
        <n v="881227.46436993498"/>
        <n v="932376.19165678392"/>
        <n v="971176.9278447245"/>
        <n v="941577.44035458716"/>
        <n v="1186581.8101359128"/>
        <n v="1072010.3697951871"/>
        <n v="881107.92016532936"/>
        <n v="992778.44977500197"/>
        <n v="1126761.4976539994"/>
        <n v="1004665.0685424387"/>
        <n v="822555.78678681294"/>
        <n v="842629.48905314144"/>
        <n v="1059669.7156521906"/>
        <n v="808094.00611447298"/>
        <n v="895908.05655995873"/>
        <n v="1028914.7260446986"/>
        <n v="873499.74537412007"/>
        <n v="985573.75824412995"/>
        <n v="963576.19823521713"/>
        <n v="927727.94526607834"/>
        <n v="831007.8528306355"/>
        <n v="1170871.3428725761"/>
        <n v="1124077.6908771901"/>
        <n v="904948.12488026696"/>
        <n v="1155033.8918820028"/>
        <n v="801490.75319515017"/>
        <n v="986728.99786667351"/>
        <n v="1081005.0921644343"/>
        <n v="1105082.1377698646"/>
        <n v="1063718.4485210741"/>
        <n v="1196010.3120323471"/>
        <n v="1090691.7133332945"/>
        <n v="909194.95273495594"/>
        <n v="951670.5450231561"/>
        <n v="832805.26163875626"/>
        <n v="1193678.1071729169"/>
        <n v="820103.7673311067"/>
        <n v="1137451.0751322408"/>
        <n v="981649.76112378773"/>
        <n v="877081.3469984486"/>
        <n v="1185851.9338209496"/>
        <n v="891601.89834238938"/>
        <n v="916878.42178498511"/>
        <n v="1030889.1640692352"/>
        <n v="839909.74802759325"/>
        <n v="875085.94104805833"/>
        <n v="899415.22037735512"/>
        <n v="955508.24042148446"/>
        <n v="1100599.8118353768"/>
        <n v="891859.06302088872"/>
        <n v="992723.42338966543"/>
        <n v="1064694.2586466407"/>
        <n v="885002.29335255374"/>
        <n v="999911.44884570967"/>
        <n v="938300.40388079046"/>
        <n v="831278.28509006312"/>
        <n v="1045394.5606808802"/>
        <n v="969276.48992236389"/>
        <n v="1012967.8688286252"/>
        <n v="810500.39993116015"/>
        <n v="942716.38002750382"/>
        <n v="1016390.1864066175"/>
        <n v="1191861.2942386668"/>
        <n v="1045034.4497895571"/>
        <n v="1163694.4436735432"/>
        <n v="824587.29503093916"/>
        <n v="1191591.5919673929"/>
        <n v="1161137.8602754793"/>
        <n v="879849.4723276227"/>
        <n v="843145.39615427528"/>
        <n v="956605.99284520396"/>
        <n v="943202.42796548188"/>
        <n v="930108.99502476526"/>
        <n v="893714.02840739535"/>
        <n v="1099216.4980019231"/>
        <n v="988369.26003313286"/>
        <n v="968017.89928122878"/>
        <n v="830325.60073031927"/>
        <n v="830992.33090962272"/>
        <n v="1123944.7834367407"/>
        <n v="1060727.6331661583"/>
        <n v="1107845.4054018827"/>
        <n v="1042178.1135435479"/>
        <n v="1086161.7432177318"/>
        <n v="990331.04893095535"/>
        <n v="1136314.2435835281"/>
        <n v="1083166.2068775471"/>
        <n v="1050516.1394894193"/>
        <n v="1185797.7734798482"/>
        <n v="966899.33262725372"/>
        <n v="816236.05972257489"/>
        <n v="1127697.338990123"/>
        <n v="937591.06231753936"/>
        <n v="1058260.9881640165"/>
        <n v="845200.85911705357"/>
        <n v="1147179.8382940781"/>
        <n v="974189.07610469975"/>
        <n v="1112825.2732083979"/>
        <n v="971615.04114609968"/>
        <n v="938208.30333219469"/>
        <n v="930196.33415461355"/>
        <n v="1169776.3040680985"/>
        <n v="899591.15018780308"/>
        <n v="1060234.004375292"/>
        <n v="1108904.6813555737"/>
        <n v="835243.02298000094"/>
        <n v="1017997.6335248287"/>
        <n v="1167106.1282166939"/>
        <n v="1105823.5382917589"/>
        <n v="1155920.8274816955"/>
        <n v="807033.95971869631"/>
        <n v="994228.3550178234"/>
        <n v="858429.08285154402"/>
        <n v="1076004.5874024972"/>
        <n v="917306.18474000355"/>
        <n v="955471.31286260299"/>
        <n v="902125.88036194094"/>
        <n v="1148929.9858055676"/>
        <n v="855062.16561505815"/>
        <n v="1143046.6193992738"/>
        <n v="965355.69673456741"/>
        <n v="1081043.0571239237"/>
        <n v="1136621.397096005"/>
        <n v="865909.84423731826"/>
        <n v="1017445.6441386894"/>
        <n v="910385.23440150567"/>
        <n v="848267.85075698374"/>
        <n v="1010864.8010879268"/>
        <n v="964856.30801642477"/>
        <n v="827034.81952323148"/>
        <n v="842157.99805374979"/>
        <n v="830066.22338168032"/>
        <n v="960703.48222558084"/>
        <n v="965919.49609203008"/>
        <n v="934146.33766160882"/>
        <n v="1197449.9887307447"/>
        <n v="826856.98738272768"/>
        <n v="960412.17756671424"/>
        <n v="889719.52599417756"/>
        <n v="842935.51312494895"/>
        <n v="895938.67850979161"/>
        <n v="1139557.4073475099"/>
        <n v="838915.01063695399"/>
        <n v="937506.79930858593"/>
        <n v="908425.6145334997"/>
        <n v="801036.47836412163"/>
        <n v="1041248.9477309253"/>
        <n v="1010999.6323263451"/>
        <n v="972995.86645690224"/>
        <n v="1088581.435769662"/>
        <n v="1133553.9815979346"/>
        <n v="999262.33837465593"/>
        <n v="1139270.4902901961"/>
        <n v="974018.40109912853"/>
        <n v="803062.05566711642"/>
        <n v="1012231.0464861309"/>
        <n v="1091454.8233643018"/>
        <n v="1106556.5841184286"/>
        <n v="833475.78772926459"/>
        <n v="1131167.1939460768"/>
        <n v="953747.51235471445"/>
        <n v="900265.61121358105"/>
        <n v="1120549.7382198952"/>
        <n v="1016411.6694462573"/>
        <n v="1096814.6851723718"/>
        <n v="968569.79842113622"/>
        <n v="944075.46229111205"/>
        <n v="1090001.3941034232"/>
        <n v="879089.76584898343"/>
        <n v="1082654.319551409"/>
        <n v="899735.1588645539"/>
        <n v="883524.74808674608"/>
        <n v="853730.74885498185"/>
        <n v="853206.83185486344"/>
        <n v="1130759.5664072772"/>
        <n v="880056.16789463442"/>
        <n v="1097323.6107916445"/>
        <n v="957114.69467468909"/>
        <n v="857400.58112259163"/>
        <n v="844024.39769778796"/>
        <n v="819335.70928218402"/>
        <n v="903419.16429948923"/>
        <n v="962558.22066539945"/>
        <n v="1059776.9257581038"/>
        <n v="1017655.422350771"/>
        <n v="1108010.9965676747"/>
        <n v="966252.0340353119"/>
        <n v="937315.19398274226"/>
        <n v="1005566.2267652936"/>
        <n v="1106877.8264579207"/>
        <n v="1076627.8773186444"/>
        <n v="1100212.0851789692"/>
        <n v="1138305.7300590139"/>
        <n v="975022.05994705611"/>
        <n v="906408.76010903821"/>
        <n v="969430.65557563608"/>
        <n v="1068790.2150433972"/>
        <n v="874692.85439646267"/>
        <n v="1145464.8899260436"/>
        <n v="1031248.0386997726"/>
        <n v="1152154.3079909496"/>
        <n v="1047674.428397214"/>
        <n v="958121.72482334252"/>
        <n v="1071144.8863514597"/>
        <n v="1030971.3598584253"/>
        <n v="1102003.2035647195"/>
        <n v="1001403.6811651392"/>
        <n v="804181.97230856167"/>
        <n v="1066234.1140198319"/>
        <n v="1135560.0361658656"/>
        <n v="1064322.5242792205"/>
        <n v="897187.82570078934"/>
        <n v="1155304.1158649961"/>
        <n v="1160524.5768877359"/>
        <n v="1062213.2776623722"/>
        <n v="883236.23040422844"/>
        <n v="813433.2534345591"/>
        <n v="926082.0392564761"/>
        <n v="1147942.2820050742"/>
        <n v="842907.60457184841"/>
        <n v="991503.14134676591"/>
        <n v="1002636.2942656077"/>
        <n v="1046518.7453823817"/>
        <n v="1149191.0750481836"/>
        <n v="1042961.6386312649"/>
        <n v="927481.94006433606"/>
        <n v="862624.20943961677"/>
        <n v="806782.39419027895"/>
        <n v="1140867.2261553826"/>
        <n v="848352.26063867845"/>
        <n v="1015118.0716728375"/>
        <n v="1074441.1454593076"/>
        <n v="1171705.9355028374"/>
        <n v="1096388.9169086691"/>
        <n v="813458.00260605966"/>
        <n v="1069643.3351690792"/>
        <n v="806322.43416210287"/>
        <n v="965671.48441646609"/>
        <n v="1109906.7928411034"/>
        <n v="1134491.2463593127"/>
        <n v="802574.49070482433"/>
        <n v="838196.9497662182"/>
        <n v="1099444.4610896311"/>
        <n v="928087.50906879664"/>
        <n v="1177516.1093812471"/>
        <n v="1001460.9289858915"/>
        <n v="897252.29370854946"/>
        <n v="1041219.8539026257"/>
        <n v="880264.25603901292"/>
        <n v="808944.24421925121"/>
        <n v="1032710.2746869596"/>
        <n v="1066786.58900104"/>
        <n v="870367.6083523425"/>
        <n v="886388.99956495676"/>
        <n v="1010650.349534336"/>
        <n v="1106918.5668029631"/>
        <n v="1018293.8953605056"/>
        <n v="800532.08855713182"/>
        <n v="956185.67241496826"/>
        <n v="984074.64789345104"/>
        <n v="1119524.318250586"/>
        <n v="900982.94604387868"/>
        <n v="958644.98096951132"/>
        <n v="995146.71741791361"/>
        <n v="1057394.670127677"/>
        <n v="1186183.5374360564"/>
        <n v="1165958.4627683263"/>
        <n v="950684.8032605343"/>
        <n v="820419.20452761871"/>
        <n v="1071917.6588599591"/>
        <n v="1091531.8319661012"/>
        <n v="1119713.6818796662"/>
        <n v="1052446.3158722012"/>
        <n v="920474.41656278004"/>
        <n v="840257.63674039044"/>
        <n v="1177013.3440281856"/>
        <n v="990610.52302285028"/>
        <n v="901306.74416274182"/>
        <n v="1136468.7288597273"/>
        <n v="933334.83734151511"/>
        <n v="1050849.4327092541"/>
        <n v="1166553.6198522327"/>
        <n v="1150529.9817678635"/>
        <n v="915128.57345362077"/>
        <n v="917002.2135285883"/>
        <n v="882642.61715571571"/>
        <n v="974478.70954187901"/>
        <n v="967717.63373590482"/>
        <n v="823812.64449420199"/>
        <n v="978468.46096158656"/>
        <n v="1070976.9213620622"/>
        <n v="1008496.9957935478"/>
        <n v="965580.14192351839"/>
        <n v="1076909.0799694113"/>
        <n v="1071083.6734503272"/>
        <n v="815311.71396606287"/>
        <n v="932117.14787102246"/>
        <n v="1015413.7270987148"/>
        <n v="1026141.2927736081"/>
        <n v="1138039.5419270296"/>
        <n v="992248.25425560714"/>
        <n v="1105281.3186375671"/>
        <n v="1035288.9900207735"/>
        <n v="1138404.311860777"/>
        <n v="1149661.0939067593"/>
        <n v="1129600.7060655192"/>
        <n v="807056.44083768164"/>
        <n v="997184.9068828728"/>
        <n v="958154.79618028109"/>
        <n v="1123726.0974868902"/>
        <n v="800219.12307332177"/>
        <n v="1064669.558019226"/>
        <n v="1148771.300961538"/>
        <n v="1036370.8728162656"/>
        <n v="1018155.6170369615"/>
        <n v="1127106.7191391033"/>
        <n v="855350.27372109296"/>
        <n v="981483.96301987441"/>
        <n v="1198038.4188669883"/>
        <n v="880101.99067764927"/>
        <n v="1050883.9553778798"/>
        <n v="1036296.1367764649"/>
        <n v="1191039.2198829078"/>
        <n v="853648.78442976205"/>
        <n v="1138390.7110594111"/>
        <n v="1068070.9216839373"/>
        <n v="1107368.2717537764"/>
        <n v="890183.21257929853"/>
        <n v="972858.63476692303"/>
        <n v="866997.31063564017"/>
        <n v="1197005.2794465686"/>
        <n v="1141722.2277617874"/>
        <n v="983637.98663371848"/>
        <n v="934559.10459094099"/>
        <n v="1024728.8002462015"/>
        <n v="1179459.5522464418"/>
        <n v="1095282.0308214054"/>
        <n v="1013108.0040986123"/>
        <n v="1147172.6787083766"/>
        <n v="888257.10754017311"/>
        <n v="1011902.6137631908"/>
        <n v="1104246.9697731105"/>
        <n v="1070672.5975811153"/>
        <n v="857038.94354508934"/>
        <n v="801191.90378641034"/>
        <n v="1016584.6174596217"/>
        <n v="900450.01035877946"/>
        <n v="966452.35635909345"/>
        <n v="903796.3001860613"/>
        <n v="1109201.5588599821"/>
        <n v="1050057.1401175738"/>
        <n v="1152444.3193236152"/>
        <n v="1139969.7683178107"/>
        <n v="811263.17736267811"/>
        <n v="1177136.8333111317"/>
        <n v="858744.59884434449"/>
        <n v="820447.61580234778"/>
        <n v="1101563.4822387064"/>
        <n v="1087564.9477277608"/>
        <n v="1103144.6443331584"/>
        <n v="984492.03000675724"/>
        <n v="874299.23048792826"/>
        <n v="1003646.6412146924"/>
        <n v="808184.37422379956"/>
        <n v="1182800.6706376956"/>
        <n v="1069205.8297730507"/>
        <n v="1028513.9112880488"/>
        <n v="987270.02564368851"/>
        <n v="899535.92239785055"/>
        <n v="1171355.0439275024"/>
        <n v="871456.86053683667"/>
        <n v="922834.3282202105"/>
        <n v="834680.52092388505"/>
        <n v="921045.33371257281"/>
        <n v="800162.90616904153"/>
        <n v="914957.7227308664"/>
        <n v="1031472.3487030286"/>
        <n v="926445.73663734854"/>
        <n v="904881.54431207199"/>
        <n v="803452.28379239631"/>
        <n v="888083.53280583723"/>
        <n v="1166526.1428842908"/>
        <n v="814450.99741765251"/>
        <n v="981892.07610040135"/>
        <n v="928328.43011199159"/>
        <n v="1146101.0771952921"/>
        <n v="1168839.660590288"/>
        <n v="867942.92781948321"/>
        <n v="877548.75774832442"/>
        <n v="877228.80023187038"/>
        <n v="971651.31608322624"/>
        <n v="1120254.3715226417"/>
        <n v="1060477.3956457695"/>
        <n v="940827.69779259583"/>
        <n v="811870.61101065786"/>
        <n v="1170824.4127870623"/>
        <n v="904106.24647263007"/>
        <n v="838331.37074481673"/>
        <n v="1118314.897826253"/>
        <n v="1119687.4303735537"/>
        <n v="1043359.7084478883"/>
        <n v="1125208.3155844719"/>
        <n v="1173757.3756719327"/>
        <n v="817500.96245126333"/>
        <n v="1179918.387007917"/>
        <n v="841857.54929687898"/>
        <n v="1183155.4431113659"/>
        <n v="1022926.3118875052"/>
        <n v="957882.14759026398"/>
        <n v="1073647.3957378871"/>
        <n v="946641.30784230656"/>
        <n v="1043551.7806953236"/>
        <n v="1092763.8994100147"/>
        <n v="1141779.2763961381"/>
        <n v="876880.27309755608"/>
        <n v="1165848.0150989885"/>
        <n v="840002.6148648184"/>
        <n v="1054683.7796262368"/>
        <n v="1118428.4900258821"/>
        <n v="866785.27498406603"/>
        <n v="927287.59732707171"/>
        <n v="818768.67464542843"/>
        <n v="870049.87542448379"/>
        <n v="1127651.8918149269"/>
        <n v="836938.72590608697"/>
        <n v="986714.37394841656"/>
        <n v="958699.89581704664"/>
        <n v="1094434.4372357505"/>
        <n v="1128797.5620264339"/>
        <n v="922722.89184677077"/>
        <n v="865980.36049416231"/>
        <n v="1094393.7729324768"/>
        <n v="827973.79357716173"/>
        <n v="871747.58642660489"/>
        <n v="1014693.8016256243"/>
        <n v="893059.28510744136"/>
        <n v="1171260.1285275216"/>
        <n v="1111497.4267044468"/>
        <n v="890782.26442422054"/>
        <n v="1000483.1649571214"/>
        <n v="1002778.8276935798"/>
        <n v="1170527.3345143122"/>
        <n v="954537.3473856803"/>
        <n v="1027429.7950899564"/>
        <n v="828093.00929207029"/>
        <n v="1127744.5486155634"/>
        <n v="1074000.6966027871"/>
        <n v="1049675.1026850212"/>
        <n v="851797.0685489215"/>
        <n v="1057077.5858725151"/>
        <n v="927624.78663578245"/>
        <n v="1083252.9635717736"/>
        <n v="1117188.0485834123"/>
        <n v="1095492.846559999"/>
        <n v="898193.07899936335"/>
        <n v="816108.97960444039"/>
        <n v="931764.25119690585"/>
        <n v="968379.7298554572"/>
        <n v="1101140.6067136037"/>
        <n v="873022.69186669844"/>
        <n v="912841.59579569078"/>
        <n v="993895.98425286973"/>
        <n v="1189958.4470191183"/>
        <n v="991572.01784258243"/>
        <n v="883059.57988676545"/>
        <n v="942821.30154887238"/>
        <n v="936499.74612907518"/>
        <n v="1109300.3015518889"/>
        <n v="1169592.0384444974"/>
        <n v="802641.85040168674"/>
        <n v="864070.46909898624"/>
        <n v="929399.27196612721"/>
        <n v="994319.80016103433"/>
        <n v="898140.24188464729"/>
        <n v="890479.50950005848"/>
        <n v="996218.24516781943"/>
        <n v="1017614.0849546717"/>
        <n v="1065633.5701458463"/>
        <n v="907513.33028078522"/>
        <n v="1078171.9783523751"/>
        <n v="1130050.6096957803"/>
        <n v="1174407.3473909826"/>
        <n v="878397.05992562498"/>
        <n v="1192053.874497944"/>
        <n v="840438.00370682159"/>
        <n v="847868.99646837078"/>
        <n v="870476.80200585048"/>
        <n v="954090.33099179016"/>
        <n v="883965.15152355749"/>
        <n v="1071874.9484063117"/>
        <n v="1070738.8348396844"/>
        <n v="1139899.9699773164"/>
        <n v="912822.44893630559"/>
        <n v="940710.23120587016"/>
        <n v="947993.50377200334"/>
        <n v="937553.35725677595"/>
        <n v="1087070.3626662481"/>
        <n v="1094274.4189422997"/>
        <n v="1147189.0868125979"/>
        <n v="1060316.0186650702"/>
        <n v="889678.07390049344"/>
        <n v="929088.9119023988"/>
        <n v="837576.17989593267"/>
        <n v="1132675.0783972035"/>
        <n v="1122321.0735182595"/>
        <n v="907003.67549023777"/>
        <n v="1009577.7942929012"/>
        <n v="1009165.6161243169"/>
        <n v="1140624.905771432"/>
        <n v="1055669.1797218898"/>
        <n v="894808.51512263005"/>
        <n v="837148.85994575953"/>
        <n v="924102.88261534821"/>
        <n v="802345.87933012121"/>
        <n v="1086918.4245239624"/>
        <n v="829913.86266788491"/>
        <n v="1180712.7670345246"/>
        <n v="895062.64603210345"/>
        <n v="842577.15039017575"/>
        <n v="900775.20420197246"/>
        <n v="811295.0465919011"/>
        <n v="1096187.8783846716"/>
        <n v="921295.3803408586"/>
        <n v="1044904.1511266661"/>
        <n v="1010718.7332143433"/>
        <n v="836682.00619833078"/>
        <n v="988521.11382278462"/>
        <n v="843995.42928011168"/>
        <n v="823898.45601717848"/>
        <n v="867837.13784968865"/>
        <n v="915319.0692092902"/>
        <n v="1141384.5085373304"/>
        <n v="836191.94810643187"/>
        <n v="1177096.6658526668"/>
        <n v="885308.37254679168"/>
        <n v="1057537.0052400308"/>
        <n v="1141425.6456119632"/>
        <n v="1152286.0173939075"/>
        <n v="924761.66197860381"/>
        <n v="828959.93550987507"/>
        <n v="1196413.141928443"/>
        <n v="893511.07096114941"/>
        <n v="1043346.528541813"/>
        <n v="988484.64279741282"/>
        <n v="930043.56738101551"/>
        <n v="1141926.0003756115"/>
        <n v="1127317.663733538"/>
        <n v="1130779.1188294759"/>
        <n v="1195344.6881844513"/>
        <n v="1077481.7264947121"/>
        <n v="1016299.9651991024"/>
        <n v="861204.04100395693"/>
        <n v="961090.559469303"/>
        <n v="842199.70750105847"/>
        <n v="1024253.9333665645"/>
        <n v="1010143.0592511359"/>
        <n v="830314.28090389539"/>
        <n v="1164994.3860401164"/>
        <n v="899834.5676669887"/>
        <n v="823333.33507569064"/>
        <n v="1124383.3810482351"/>
        <n v="1172150.1001801488"/>
        <n v="1045001.8661254259"/>
        <n v="1089708.3640820563"/>
        <n v="851254.27896181517"/>
        <n v="940246.63185149431"/>
        <n v="1136306.2105681284"/>
        <n v="1005575.3525970903"/>
        <n v="860600.15091972833"/>
        <n v="1052472.7979972663"/>
        <n v="1073852.3095294354"/>
        <n v="1020042.1931206227"/>
        <n v="987683.3092605928"/>
        <n v="890981.70626765338"/>
        <n v="1093006.0488547622"/>
        <n v="877773.63739332871"/>
        <n v="944337.40395524947"/>
        <n v="1055317.1425912981"/>
        <n v="1135422.1986192246"/>
        <n v="928718.7076538339"/>
        <n v="1068377.3047031483"/>
        <n v="1106403.0128583754"/>
        <n v="804540.09433962265"/>
        <n v="1020248.9400849568"/>
        <n v="814955.60072197311"/>
        <n v="1174595.2505423108"/>
        <n v="833578.00093916652"/>
        <n v="894884.20346788631"/>
        <n v="1018417.4442326345"/>
        <n v="1185833.3916136317"/>
        <n v="1058261.0377226383"/>
        <n v="1128661.6143053614"/>
        <n v="931855.75974936446"/>
        <n v="1153977.8173655989"/>
        <n v="1112581.0796341484"/>
        <n v="840636.71566511947"/>
        <n v="879852.93393112288"/>
        <n v="1115569.641005645"/>
        <n v="1119043.8553808304"/>
        <n v="839213.7455900436"/>
        <n v="1127391.180596499"/>
        <n v="1044555.7003800926"/>
        <n v="993450.75205843092"/>
        <n v="809634.80126769189"/>
        <n v="1055401.8787160334"/>
        <n v="983610.50627501996"/>
        <n v="857121.66744291596"/>
        <n v="997314.02958740736"/>
        <n v="1131613.8680529548"/>
        <n v="1149442.1153715339"/>
        <n v="1112101.6263852066"/>
        <n v="806531.93752142997"/>
        <n v="959579.66708750196"/>
        <n v="1022469.1253115796"/>
        <n v="1138076.6731643924"/>
        <n v="1139189.6746382017"/>
        <n v="1125073.9983401874"/>
        <n v="1066449.0558531345"/>
        <n v="824073.05396111903"/>
        <n v="819530.03786690044"/>
        <n v="887883.37015728571"/>
        <n v="1021639.6036835553"/>
        <n v="858848.38444428809"/>
        <n v="900949.57529144199"/>
        <n v="991105.49671045155"/>
        <n v="946618.18333803548"/>
        <n v="911394.8430743597"/>
        <n v="1033418.920999439"/>
        <n v="1118836.0251625106"/>
        <n v="1020132.1250705984"/>
        <n v="1110557.7123287276"/>
        <n v="997120.95668422256"/>
        <n v="1095522.4771419268"/>
        <n v="824348.13869291323"/>
        <n v="817321.16722231312"/>
        <n v="1165875.0849070321"/>
        <n v="1002345.2274663008"/>
        <n v="1078902.2646572713"/>
        <n v="902321.52210807835"/>
        <n v="988385.13822885591"/>
        <n v="1145908.154167739"/>
        <n v="950331.29942773725"/>
        <n v="1196897.7464858338"/>
        <n v="979939.81919540616"/>
        <n v="849482.02188494918"/>
        <n v="1029026.6202190015"/>
        <n v="1053390.1724966648"/>
        <n v="831542.59332980798"/>
        <n v="879150.00068541861"/>
        <n v="945680.66402504151"/>
        <n v="1198493.015133206"/>
        <n v="1045756.5228983623"/>
        <n v="847318.26141619147"/>
        <n v="920706.01699714479"/>
        <n v="867684.80455517524"/>
        <n v="1139804.663149311"/>
        <n v="1014493.5523486462"/>
        <n v="1193936.8965540347"/>
        <n v="946162.25403215631"/>
        <n v="1128231.489865267"/>
        <n v="895067.17307720915"/>
        <n v="825612.45270354813"/>
        <n v="1113733.7693260103"/>
        <n v="1169304.615476564"/>
        <n v="925111.64621826867"/>
        <n v="920879.97213253798"/>
        <n v="1114813.5578273376"/>
        <n v="995875.85582551768"/>
        <n v="1083610.3492183515"/>
        <n v="976074.71234041592"/>
        <n v="919757.41298103635"/>
        <n v="849742.3316507017"/>
        <n v="1184370.5420172899"/>
        <n v="1036650.9033966465"/>
        <n v="1123281.6786281597"/>
        <n v="974268.40494080877"/>
        <n v="1034011.852330724"/>
        <n v="944178.18476607639"/>
        <n v="1086959.5002122161"/>
        <n v="912402.24154492409"/>
        <n v="952628.11570309976"/>
        <n v="823042.1518974622"/>
        <n v="901999.9630169156"/>
        <n v="1154937.9284445066"/>
        <n v="1071576.4262071946"/>
        <n v="895100.01867776841"/>
        <n v="1082241.9059747085"/>
        <n v="963498.56854590226"/>
        <n v="982998.49429984938"/>
        <n v="890616.90280610835"/>
        <n v="1107325.8944824745"/>
        <n v="1175091.9488960046"/>
        <n v="1061363.6171827477"/>
        <n v="816544.08439041697"/>
        <n v="1085468.9735917784"/>
        <n v="873547.40763865877"/>
        <n v="1157960.4336298017"/>
        <n v="946282.57664864894"/>
        <n v="1161735.5593250603"/>
        <n v="1122528.6784521658"/>
        <n v="805864.02436720941"/>
        <n v="1133708.9183129098"/>
        <n v="1010985.2643824999"/>
        <n v="1160967.9291746761"/>
        <n v="994857.41106280452"/>
        <n v="921249.62152212556"/>
        <n v="1015257.5749106486"/>
        <n v="891396.13950427726"/>
        <n v="1191065.7135274592"/>
        <n v="863212.75593098742"/>
        <n v="1182722.910396341"/>
        <n v="1070502.6785796585"/>
        <n v="855334.20098761888"/>
        <n v="1153849.8782909852"/>
        <n v="859788.2411000696"/>
        <n v="1146628.9042956186"/>
        <n v="996684.4972587917"/>
        <n v="811861.64171067893"/>
        <n v="1059393.8250735772"/>
        <n v="1087368.7105169967"/>
        <n v="999528.47673978645"/>
        <n v="1051473.5806444399"/>
        <n v="1161664.0296256847"/>
        <n v="817532.13477788039"/>
        <n v="970847.90605802508"/>
        <n v="877992.07233585056"/>
        <n v="992508.80041733757"/>
        <n v="932888.86313754041"/>
        <n v="1142641.5283558141"/>
        <n v="955499.00360855286"/>
        <n v="1041188.6177266354"/>
        <n v="833043.09508374531"/>
        <n v="1098133.977204673"/>
        <n v="1002139.8161460819"/>
        <n v="1109950.3339612947"/>
        <n v="818998.60447812884"/>
        <n v="847295.07127246633"/>
        <n v="937267.07401974429"/>
        <n v="1150647.2707207035"/>
        <n v="1128358.9689718701"/>
        <n v="972489.77610128652"/>
        <n v="903125.47279681091"/>
        <n v="999150.43711716111"/>
        <n v="1148421.5595212716"/>
        <n v="1054922.8393583777"/>
        <n v="1086389.4638696404"/>
        <n v="916302.09753271542"/>
        <n v="1066923.1453107332"/>
        <n v="1104815.0253608867"/>
        <n v="894421.99465344602"/>
        <n v="993147.85415909113"/>
        <n v="1073604.9855816402"/>
        <n v="1022148.9008279478"/>
        <n v="830447.51673424814"/>
        <n v="1088803.3755751811"/>
        <n v="818673.32899968408"/>
        <n v="1026442.3700006295"/>
        <n v="899576.13856932358"/>
        <n v="968257.10851571441"/>
        <n v="1189824.2325070391"/>
        <n v="1117214.8170124392"/>
        <n v="1032608.3663887149"/>
        <n v="1096165.8944508838"/>
        <n v="1142286.4283153485"/>
        <n v="1088292.0471040083"/>
        <n v="948319.64239125501"/>
        <n v="1064394.8686171931"/>
        <n v="833957.50114432501"/>
        <n v="1051433.0140380876"/>
        <n v="1003625.095633266"/>
        <n v="852402.64193519054"/>
        <n v="1154205.0286941084"/>
        <n v="916258.8760789911"/>
        <n v="1103110.7157572887"/>
        <n v="831786.27709525952"/>
        <n v="1026222.7762524197"/>
        <n v="1013218.6633137851"/>
        <n v="1017239.0127566122"/>
        <n v="815162.45862000983"/>
        <n v="1149588.9645854027"/>
        <n v="1020709.5803052619"/>
        <n v="1106543.1390546123"/>
        <n v="1134600.8801154734"/>
        <n v="923760.80133675877"/>
        <n v="1084129.3761224195"/>
        <n v="996143.27321338246"/>
        <n v="870227.69868884911"/>
        <n v="1175602.9126918588"/>
        <n v="815444.03721183038"/>
        <n v="991032.74891962961"/>
        <n v="961789.34833228786"/>
        <n v="815955.27282355574"/>
        <n v="1085153.0165436429"/>
        <n v="880372.69927222992"/>
        <n v="845683.63248050958"/>
        <n v="1120236.0732555485"/>
        <n v="990949.05314559781"/>
        <n v="815645.91744327743"/>
        <n v="1185061.8476182197"/>
        <n v="1047393.2486681981"/>
        <n v="905519.65817936265"/>
        <n v="936261.46774878318"/>
        <n v="881657.33007534745"/>
        <n v="1166594.3757543503"/>
        <n v="851924.22387544345"/>
        <n v="1070097.9182977446"/>
        <n v="901884.18188614643"/>
        <n v="813099.97180386749"/>
        <n v="882761.42654688435"/>
        <n v="949390.7720338311"/>
        <n v="948073.82105171273"/>
        <n v="840176.2961952968"/>
        <n v="1086326.0094879894"/>
        <n v="951047.04478947271"/>
        <n v="1052060.1712209408"/>
        <n v="1185677.7438719054"/>
        <n v="1008520.3755364659"/>
        <n v="1194267.495479688"/>
        <n v="932065.35833363654"/>
        <n v="986487.3413874571"/>
        <n v="1155198.6473116125"/>
        <n v="1038659.8476407161"/>
        <n v="851523.60280051793"/>
        <n v="1015366.2054596933"/>
        <n v="1074861.3639270549"/>
        <n v="1026728.4850489177"/>
        <n v="892306.23203917395"/>
        <n v="1071723.1392545463"/>
        <n v="1037901.6660560856"/>
        <n v="1022466.8076817362"/>
        <n v="1178136.1611252255"/>
        <n v="896872.59749367216"/>
        <n v="965459.29063769907"/>
        <n v="1024073.2945657878"/>
        <n v="1181080.0396816174"/>
        <n v="900314.46699209558"/>
        <n v="1148104.766225341"/>
        <n v="837267.5862007757"/>
        <n v="856194.6247666569"/>
        <n v="1121933.3513877606"/>
        <n v="806742.81049357785"/>
        <n v="1143456.9955767316"/>
        <n v="805103.67044792487"/>
        <n v="864974.85263100965"/>
        <n v="982378.90540147142"/>
        <n v="908549.76472868025"/>
        <n v="986875.98132097535"/>
        <n v="875319.13274862978"/>
        <n v="891905.76175630628"/>
        <n v="904152.10509859934"/>
        <n v="1035755.0963350021"/>
        <n v="854853.17156856658"/>
        <n v="935711.38553793565"/>
        <n v="958687.19077088789"/>
        <n v="1034707.4817094299"/>
        <n v="966959.82737992669"/>
        <n v="973258.7337689125"/>
        <n v="975442.55981632229"/>
        <n v="1154380.6018427645"/>
        <n v="1030929.4639258364"/>
        <n v="927254.6415285276"/>
        <n v="1178104.1519935247"/>
        <n v="1027551.1526090635"/>
        <n v="1192054.1771014144"/>
        <n v="935078.56978242868"/>
        <n v="977624.08315384248"/>
        <n v="1169893.3422133997"/>
        <n v="1001980.2484658189"/>
        <n v="960953.54341121449"/>
        <n v="959315.27185006498"/>
        <n v="878532.74280696572"/>
        <n v="1085213.9476148342"/>
        <n v="947062.17638602958"/>
        <n v="881628.48177120893"/>
        <n v="957043.59340115415"/>
        <n v="886320.68563137914"/>
        <n v="1134692.7410298421"/>
        <n v="1058105.0991363472"/>
        <n v="1135299.4637260304"/>
        <n v="979517.54046429018"/>
        <n v="941739.57969886472"/>
        <n v="852733.67595921154"/>
        <n v="1111555.9588990728"/>
        <n v="909233.44609043899"/>
        <n v="1014178.6838706011"/>
        <n v="817968.70417835913"/>
        <n v="806368.06643514836"/>
        <n v="842625.8859479418"/>
        <n v="871090.20055639802"/>
        <n v="1151855.1096627205"/>
        <n v="877643.92861472501"/>
        <n v="1183086.1343525017"/>
        <n v="1061846.6970530134"/>
        <n v="1014251.9014913634"/>
        <n v="1025607.8020618617"/>
        <n v="1184090.5504344087"/>
        <n v="900258.24378527305"/>
        <n v="841527.31500472175"/>
        <n v="805954.38843502896"/>
        <n v="1035710.5797344232"/>
        <n v="966618.0605229236"/>
        <n v="888707.18563183642"/>
        <n v="1031510.444086274"/>
        <n v="1124694.6179756371"/>
        <n v="1056470.1273377533"/>
        <n v="897758.85410317406"/>
        <n v="825998.44039957365"/>
        <n v="1158969.7405813546"/>
        <n v="1152834.3440574552"/>
        <n v="977222.3968868315"/>
        <n v="1183402.9072341456"/>
        <n v="949377.42158221116"/>
        <n v="953978.42199921946"/>
        <n v="884047.29667150346"/>
        <n v="1133203.0517561669"/>
        <n v="912219.41355365794"/>
        <n v="830783.35915381811"/>
        <n v="998559.71613550116"/>
        <n v="1060085.9294326631"/>
        <n v="888466.79810673196"/>
        <n v="936130.12037968705"/>
        <n v="851095.93677631556"/>
        <n v="903299.98859841458"/>
        <n v="809426.86995818734"/>
        <n v="1094718.628334648"/>
        <n v="1160864.0267607409"/>
        <n v="818614.76006733614"/>
        <n v="819249.68383219896"/>
        <n v="972811.0761382553"/>
        <n v="979192.14944241336"/>
        <n v="1052212.1175220297"/>
        <n v="1193908.4508011511"/>
        <n v="1013934.1080255701"/>
        <n v="1068701.9998017794"/>
        <n v="801782.89499018062"/>
        <n v="891208.4050530378"/>
        <n v="1077651.2145233131"/>
        <n v="962138.95272578881"/>
        <n v="988639.05277707567"/>
        <n v="974372.47954804369"/>
        <n v="1138176.514729256"/>
        <n v="1061404.2432219824"/>
        <n v="892334.11887645221"/>
        <n v="932763.21029163955"/>
        <n v="1073888.1226053641"/>
        <n v="990435.74566711404"/>
        <n v="1080710.7049421426"/>
        <n v="810473.7385881017"/>
        <n v="964023.29847961431"/>
        <n v="1158154.5331742056"/>
        <n v="1131123.3123949014"/>
        <n v="1110238.6418513863"/>
        <n v="1129194.4175392061"/>
        <n v="865277.52721390361"/>
        <n v="989967.80741714174"/>
        <n v="886805.76579610666"/>
        <n v="914291.05258730147"/>
        <n v="882260.2427667554"/>
        <n v="1157026.5285255718"/>
        <n v="923526.44106093666"/>
        <n v="1051326.5139612679"/>
        <n v="976323.25141776935"/>
        <n v="1181302.8130631207"/>
        <n v="911222.36432780477"/>
        <n v="989126.11568182113"/>
        <n v="1071806.9339063219"/>
        <n v="1078624.7630530761"/>
        <n v="1007661.3358154228"/>
        <n v="1034651.0621483809"/>
        <n v="1054059.3194785463"/>
        <n v="1017182.8673964889"/>
        <n v="930674.13106561033"/>
        <n v="1099656.9403832429"/>
        <n v="1024518.1086725084"/>
        <n v="869267.4818597812"/>
        <n v="836437.507271401"/>
        <n v="1030106.3090375254"/>
        <n v="1072842.4848195317"/>
        <n v="1045462.0681354282"/>
        <n v="909611.2948898325"/>
        <n v="1075092.2938318506"/>
        <n v="1106605.8084814255"/>
        <n v="1197717.5461705509"/>
        <n v="947251.26475548057"/>
        <n v="1021124.7622150521"/>
        <n v="976454.57022540411"/>
        <n v="1153009.6315653287"/>
        <n v="1098482.6399606727"/>
        <n v="1176754.33418596"/>
        <n v="886419.3848106775"/>
        <n v="870306.0969808416"/>
        <n v="863014.24268306978"/>
        <n v="1097438.5226625139"/>
        <n v="995549.10455193068"/>
        <n v="933405.98546861764"/>
        <n v="1151876.5705040297"/>
        <n v="890936.17625545571"/>
        <n v="1085742.8709420504"/>
        <n v="997900.27055193624"/>
        <n v="1008314.4343285392"/>
        <n v="947998.83509810397"/>
        <n v="895120.21830091276"/>
        <n v="924649.73904969846"/>
        <n v="965134.00861854083"/>
        <n v="1011127.290074977"/>
        <n v="1051854.7226310386"/>
        <n v="971513.2136855789"/>
        <n v="1095277.947727839"/>
        <n v="1149010.2612694616"/>
        <n v="907699.58592839341"/>
        <n v="817320.14821955771"/>
        <n v="993517.73856953136"/>
        <n v="863329.5340113095"/>
        <n v="1092444.2823531125"/>
        <n v="874531.32039005426"/>
        <n v="1133963.6123718766"/>
        <n v="1038452.6337664024"/>
        <n v="889183.39753894263"/>
        <n v="1178199.8561737316"/>
        <n v="1093368.0350615259"/>
        <n v="1158425.4816697098"/>
        <n v="1077193.2983204883"/>
        <n v="847685.3123872017"/>
        <n v="955024.14797724027"/>
        <n v="895077.95831197756"/>
        <n v="858779.42333407607"/>
        <n v="1172184.0013902811"/>
        <n v="855759.05501214287"/>
        <n v="1104889.8936196815"/>
        <n v="1184553.7728302835"/>
        <n v="1030631.3467444933"/>
        <n v="1042418.1764189422"/>
        <n v="898614.351465491"/>
        <n v="873506.63985155872"/>
        <n v="1184501.5539824588"/>
        <n v="887290.83017870737"/>
        <n v="859310.44883844932"/>
        <n v="1147663.0145291288"/>
        <n v="1045168.4874394558"/>
        <n v="909386.67488470417"/>
        <n v="859932.53352619987"/>
        <n v="1094829.5508784545"/>
        <n v="1036299.6367749274"/>
        <n v="1177970.9551913298"/>
        <n v="809916.36730711756"/>
        <n v="982792.25083726377"/>
        <n v="1124184.4207164687"/>
        <n v="914813.75632029772"/>
        <n v="1004747.9286216612"/>
        <n v="1051370.9541391006"/>
        <n v="1046894.4129497069"/>
        <n v="1002779.1492455996"/>
        <n v="1010148.8128589941"/>
        <n v="937458.27739240695"/>
        <n v="946922.61589461612"/>
        <n v="1087204.0460099359"/>
        <n v="1007106.6583195557"/>
        <n v="915575.99907764932"/>
        <n v="914250.38689194154"/>
        <n v="1160298.2316076211"/>
        <n v="984397.80352883064"/>
        <n v="1179719.7137118736"/>
        <n v="992804.0259622545"/>
        <n v="1008222.3191249683"/>
        <n v="1022652.4014450519"/>
        <n v="1013468.4351340581"/>
        <n v="876006.56448583654"/>
        <n v="1177309.8088103742"/>
        <n v="911241.55563353142"/>
        <n v="828720.38945896772"/>
        <n v="1125929.3223513344"/>
        <n v="1036191.1538692855"/>
        <n v="1011473.740727728"/>
        <n v="1118735.5484432739"/>
        <n v="1097424.8399198893"/>
        <n v="1069429.3316752466"/>
        <n v="1136604.1144426414"/>
        <n v="987046.46018166735"/>
        <n v="869905.76194975642"/>
        <n v="1113262.073514973"/>
        <n v="860617.72483581887"/>
        <n v="840563.67302452039"/>
        <n v="835694.35453514825"/>
        <n v="966521.36418630299"/>
        <n v="1175126.7992455109"/>
        <n v="1083661.8224875715"/>
        <n v="811277.9877269821"/>
        <n v="1197527.5156053463"/>
        <n v="884712.872726792"/>
        <n v="1139946.2122967716"/>
        <n v="853696.04508253699"/>
        <n v="898012.78941641259"/>
        <n v="1117653.2776178499"/>
        <n v="854824.47009932704"/>
        <n v="1152066.6820318224"/>
        <n v="930629.15612731921"/>
        <n v="1028274.9547046523"/>
        <n v="930037.5836366351"/>
        <n v="1075037.0421850025"/>
        <n v="1093507.2316393382"/>
        <n v="1191379.4007959445"/>
        <n v="954676.44058890792"/>
        <n v="1012213.5932995467"/>
        <n v="1084914.6826270334"/>
        <n v="1160938.5217375099"/>
        <n v="925914.41468124103"/>
        <n v="1150618.970189702"/>
        <n v="962877.99906343827"/>
        <n v="1123630.7301959062"/>
        <n v="1061655.7006283596"/>
        <n v="806336.94591813546"/>
        <n v="1067986.8282520552"/>
        <n v="1167923.7739617149"/>
        <n v="863227.41670457448"/>
        <n v="1025005.0720227227"/>
        <n v="848064.018372986"/>
        <n v="852573.25452274689"/>
        <n v="964420.53211027978"/>
        <n v="1157261.9383629397"/>
        <n v="874317.98181284836"/>
        <n v="976780.90318115533"/>
        <n v="1010122.633565483"/>
        <n v="1004777.379987448"/>
        <n v="1064961.189072853"/>
        <n v="877051.43376244605"/>
        <n v="907403.46076555841"/>
        <n v="1037688.8171627921"/>
        <n v="816223.28872220265"/>
        <n v="955624.20247227431"/>
        <n v="928690.2166401383"/>
        <n v="1147852.5474480661"/>
        <n v="870327.67959703121"/>
        <n v="1091903.7010914909"/>
        <n v="850621.6413566292"/>
        <n v="1117755.4241860411"/>
        <n v="973175.86591585202"/>
        <n v="1072187.733557357"/>
        <n v="1157381.5994239657"/>
        <n v="1168363.9750060083"/>
        <n v="914274.48496230983"/>
        <n v="1024349.7927392522"/>
        <n v="810763.43737296399"/>
        <n v="1007718.8507731485"/>
        <n v="954863.5860718959"/>
        <n v="999894.71449505235"/>
        <n v="988312.5"/>
        <n v="1083268.975004389"/>
        <n v="881961.41719567461"/>
        <n v="870165.60780255741"/>
        <n v="1143776.2707806767"/>
        <n v="835810.94968130335"/>
        <n v="853887.7211420564"/>
        <n v="1017460.813286501"/>
        <n v="898204.25727193046"/>
        <n v="936091.29680284718"/>
        <n v="955004.19986255001"/>
        <n v="853200.55872027786"/>
        <n v="1157575.4475915453"/>
        <n v="1109566.4199357536"/>
        <n v="966816.12711578689"/>
        <n v="944722.76158290613"/>
        <n v="1004729.0554289891"/>
        <n v="809157.57893233013"/>
        <n v="1076655.6552879729"/>
        <n v="948448.98635033006"/>
        <n v="1180471.826323309"/>
        <n v="1109051.4716298229"/>
        <n v="865843.41131777375"/>
        <n v="1107194.7145542668"/>
        <n v="995570.81430479931"/>
        <n v="911309.70441661531"/>
        <n v="815183.54719076608"/>
        <n v="1172606.9060484052"/>
        <n v="1058706.2431504012"/>
        <n v="817946.12183745252"/>
        <n v="1056899.6220477463"/>
        <n v="852544.33341724728"/>
        <n v="1000961.3761257356"/>
        <n v="968360.33300105529"/>
        <n v="1128735.0386585493"/>
        <n v="1003061.5397578855"/>
        <n v="991159.74392092763"/>
        <n v="942090.3904130148"/>
        <n v="953820.31194862025"/>
        <n v="958015.7016683023"/>
        <n v="1064134.7844325772"/>
        <n v="1107724.3406189049"/>
        <n v="970401.9319029497"/>
        <n v="1036136.0078068634"/>
        <n v="847240.86380852177"/>
        <n v="1129410.7313992709"/>
        <n v="1174665.0796077489"/>
        <n v="856520.46625626343"/>
        <n v="897344.51217988227"/>
        <n v="1068271.7124009735"/>
        <n v="974063.42262084258"/>
        <n v="883676.09910583333"/>
        <n v="1092540.4951453903"/>
        <n v="1051412.7134127903"/>
        <n v="1147459.7005644983"/>
        <n v="852547.10469439195"/>
        <n v="858972.13117054256"/>
        <n v="1191275.6590651309"/>
        <n v="1030641.5578600571"/>
        <n v="980691.97237381001"/>
        <n v="929159.36016554979"/>
        <n v="1136360.4434603271"/>
        <n v="989020.72710974072"/>
        <n v="1027689.6088647773"/>
        <n v="970540.90742358787"/>
        <n v="933054.05032176094"/>
        <n v="1190610.5687216741"/>
        <n v="953346.10415387305"/>
        <n v="1024113.5268908489"/>
        <n v="944476.83193982486"/>
        <n v="1172077.3917490225"/>
        <n v="1164934.5974738852"/>
        <n v="974829.00929765718"/>
        <n v="849000.26114700304"/>
        <n v="1115082.8787830246"/>
        <n v="1026364.5390987891"/>
        <n v="1152847.3449385983"/>
        <n v="1108475.6352229239"/>
        <n v="907301.48617708008"/>
        <n v="1039298.8011290843"/>
        <n v="1074877.2519926338"/>
        <n v="1065010.4815332044"/>
        <n v="1162556.0793630679"/>
        <n v="1185607.5636609897"/>
        <n v="1125458.8240987761"/>
        <n v="822089.77892170055"/>
        <n v="971584.52994019212"/>
        <n v="1029925.5052720574"/>
        <n v="1106131.2616091347"/>
        <n v="861465.26093891193"/>
        <n v="838525.87712218822"/>
        <n v="893681.62901921931"/>
        <n v="982073.9385818044"/>
        <n v="1039963.0441189933"/>
        <n v="1108934.9562814618"/>
        <n v="911142.80471346853"/>
        <n v="935454.42405654618"/>
        <n v="947830.1530158947"/>
        <n v="854820.37628394552"/>
        <n v="842556.10212900396"/>
        <n v="1001321.1993041784"/>
        <n v="1119059.3400611952"/>
        <n v="814704.08403548773"/>
        <n v="1010231.5755937565"/>
        <n v="1098611.851313608"/>
        <n v="1030809.3168584877"/>
        <n v="801890.64008681313"/>
        <n v="993893.23298104876"/>
        <n v="854578.59085011866"/>
        <n v="826648.69358657312"/>
        <n v="876581.46993979753"/>
        <n v="1172887.3302307827"/>
        <n v="1144511.6759225072"/>
        <n v="912582.24675736786"/>
        <n v="1020065.0836733365"/>
        <n v="1081134.1675250686"/>
        <n v="1063897.8581969321"/>
        <n v="1119093.6172528211"/>
        <n v="1192511.0878128854"/>
        <n v="1039423.2365851894"/>
        <n v="1034201.2315295646"/>
        <n v="934338.27202692407"/>
        <n v="1029689.3114155153"/>
        <n v="1126165.170742813"/>
        <n v="1146114.4723566032"/>
        <n v="1144161.9787316411"/>
        <n v="1120915.7780145812"/>
        <n v="845041.46202322491"/>
        <n v="899427.33498558821"/>
        <n v="1128801.7919304948"/>
        <n v="1132599.089602561"/>
        <n v="911485.46158387314"/>
        <n v="837121.12598941615"/>
        <n v="934899.09810529137"/>
        <n v="885884.06568817946"/>
        <n v="877167.02202074439"/>
        <n v="826016.96924006706"/>
        <n v="931555.73136277345"/>
        <n v="950295.03401156084"/>
        <n v="1047953.1058929447"/>
        <n v="1020109.2666178386"/>
        <n v="1012538.5750944278"/>
        <n v="1098169.1955914241"/>
        <n v="1012140.6903940034"/>
        <n v="895066.6098021128"/>
        <n v="1116195.0013864117"/>
        <n v="1187395.6875073772"/>
        <n v="971324.70155178336"/>
        <n v="934688.73684808856"/>
        <n v="926876.84486824193"/>
        <n v="804144.51921482373"/>
        <n v="1186440.4073500724"/>
        <n v="1165287.6921228347"/>
        <n v="964786.39293070231"/>
        <n v="1064006.3285218673"/>
        <n v="1111415.8455545371"/>
        <n v="867569.81827543722"/>
        <n v="845727.97038540163"/>
        <n v="1067561.5218655644"/>
        <n v="1152619.8008697401"/>
        <n v="1159069.7836878267"/>
        <n v="878590.20175090292"/>
        <n v="855592.52317639219"/>
        <n v="1087943.9800157936"/>
        <n v="965720.16731826251"/>
        <n v="864258.12122910714"/>
        <n v="1059110.5139788"/>
        <n v="1105790.2616472193"/>
        <n v="806050.71118384809"/>
        <n v="1044726.1841873568"/>
        <n v="877256.31189552264"/>
        <n v="1085549.316646361"/>
        <n v="1004225.0130346441"/>
        <n v="1103722.8120801758"/>
        <n v="888538.6929775296"/>
        <n v="1005146.1028715683"/>
        <n v="809698.76382970635"/>
        <n v="912821.68515220599"/>
        <n v="1035677.6624401051"/>
        <n v="812637.53138931037"/>
        <n v="927872.09841176227"/>
        <n v="865324.36569198209"/>
        <n v="1028806.3998489711"/>
        <n v="1180257.6328775282"/>
        <n v="997675.15975526848"/>
        <n v="1130850.4069186656"/>
        <n v="909002.42355719989"/>
        <n v="1093773.2907937148"/>
        <n v="854231.90722559229"/>
        <n v="1154040.0401986882"/>
        <n v="1001839.9200948988"/>
        <n v="1049850.9170480741"/>
        <n v="1167220.5760211728"/>
        <n v="1101076.9292911717"/>
        <n v="1057097.1249559438"/>
        <n v="1043395.4633898945"/>
        <n v="912464.05366952682"/>
        <n v="1183593.2564488647"/>
        <n v="934771.91217776516"/>
        <n v="1060197.85218242"/>
        <n v="1135105.6706082185"/>
        <n v="1169888.4904560843"/>
        <n v="1149419.0155964091"/>
        <n v="927612.25023457571"/>
        <n v="1198287.2473679227"/>
        <n v="942914.36117612664"/>
        <n v="898819.69068704895"/>
        <n v="1104473.8412357005"/>
        <n v="841723.36093872332"/>
        <n v="1131222.4071181146"/>
        <n v="844742.1403755137"/>
        <n v="932562.02458115423"/>
        <n v="1053463.6387505347"/>
        <n v="908339.82953744335"/>
        <n v="849488.535358269"/>
        <n v="822234.00383170065"/>
        <n v="858574.84221725643"/>
        <n v="887272.33717341756"/>
        <n v="1111550.915108765"/>
        <n v="843513.79566873959"/>
        <n v="1031461.2245271661"/>
        <n v="1084720.9590697801"/>
        <n v="921120.36570310919"/>
        <n v="1025781.1391147429"/>
        <n v="1004927.9328120563"/>
        <n v="916384.46126841719"/>
        <n v="840750.4641101436"/>
        <n v="1101570.6829285438"/>
        <n v="1155979.4160573939"/>
        <n v="1117780.3111189723"/>
        <n v="1011811.9785636157"/>
        <n v="883970.42368779844"/>
        <n v="1007137.7851534713"/>
        <n v="1128108.3314323989"/>
        <n v="859718.0378795662"/>
        <n v="1077277.9961873372"/>
        <n v="1035461.0228710605"/>
        <n v="815094.17073104659"/>
        <n v="1068932.6556543838"/>
        <n v="961162.87459415081"/>
        <n v="945045.86810022616"/>
        <n v="1082068.3497037096"/>
        <n v="830469.28154538863"/>
        <n v="1038648.7627195696"/>
        <n v="1178991.825218973"/>
        <n v="1029099.253254015"/>
        <n v="1194243.0503070189"/>
        <n v="1112823.0114881045"/>
        <n v="886687.2849703203"/>
        <n v="1132832.1545532681"/>
        <n v="905076.30007006542"/>
        <n v="838449.22927343077"/>
        <n v="915417.29211513733"/>
        <n v="879401.49381875771"/>
        <n v="1095435.5575258876"/>
        <n v="966413.91373341018"/>
        <n v="1153392.5584014752"/>
        <n v="1158884.6555136377"/>
        <n v="1044081.6603594278"/>
        <n v="950825.96026675857"/>
        <n v="1161889.1000293694"/>
        <n v="857800.11004077678"/>
        <n v="1019563.9210896015"/>
        <n v="962380.57725032035"/>
        <n v="1087522.8249211349"/>
        <n v="826369.20513658272"/>
        <n v="1088046.9372906454"/>
        <n v="1061055.9999053923"/>
        <n v="883140.78237373871"/>
        <n v="1036750.7250831929"/>
        <n v="950633.59486791608"/>
        <n v="1160719.4271632936"/>
        <n v="891048.14292090375"/>
        <n v="882514.24328153115"/>
        <n v="1150495.3001199688"/>
        <n v="864704.5243111176"/>
        <n v="801440.99196467362"/>
        <n v="806985.14320405934"/>
        <n v="984709.42695419386"/>
        <n v="920966.81772252114"/>
        <n v="1058143.715204895"/>
        <n v="1084793.9771214833"/>
        <n v="1120047.0884633265"/>
        <n v="1154637.8426695841"/>
        <n v="930330.64723364671"/>
        <n v="996934.4119044554"/>
        <n v="1089558.0137347335"/>
        <n v="1111536.8790923732"/>
        <n v="945267.32861193153"/>
        <n v="1180860.5806675958"/>
        <n v="1136953.1963513223"/>
        <n v="1135665.2227331493"/>
        <n v="901429.13796395576"/>
        <n v="813255.11199275474"/>
        <n v="1102127.9444078563"/>
        <n v="1148680.4942011302"/>
        <n v="1067357.3374847304"/>
        <n v="838311.63888557907"/>
        <n v="1145488.9499024414"/>
        <n v="1171295.3773964201"/>
        <n v="939660.21262463194"/>
        <n v="899993.47732905939"/>
        <n v="1135989.2227862144"/>
        <n v="904469.47194788849"/>
        <n v="1169438.7091503558"/>
        <n v="998549.44997812051"/>
        <n v="844126.02810787945"/>
        <n v="1007052.3406867558"/>
        <n v="1186347.9901444009"/>
        <n v="1072769.2603041688"/>
        <n v="823050.96119847707"/>
        <n v="1170248.9704621946"/>
        <n v="1037752.7548074729"/>
        <n v="1093676.7670984128"/>
        <n v="988444.7030966779"/>
        <n v="1109348.5397778335"/>
        <n v="1168338.72621402"/>
        <n v="930028.22734092816"/>
        <n v="1100369.0842420307"/>
        <n v="1037374.5270548456"/>
        <n v="1081905.7676351392"/>
        <n v="1003355.8619765731"/>
        <n v="962576.09869016672"/>
        <n v="904790.57870949584"/>
        <n v="1025997.3673483299"/>
        <n v="1062624.6509772637"/>
        <n v="1037890.3003423883"/>
        <n v="877062.1175357122"/>
        <n v="1033880.0135787805"/>
        <n v="995364.18227696232"/>
        <n v="871357.02517212403"/>
        <n v="809920.3505677433"/>
        <n v="998853.47850138333"/>
        <n v="900354.04453928245"/>
        <n v="1034141.4814524454"/>
        <n v="1191008.0979883079"/>
        <n v="1019298.5184089876"/>
        <n v="1172432.8288810567"/>
        <n v="875858.09072592226"/>
        <n v="905952.31354322366"/>
        <n v="1155674.2374560565"/>
        <n v="1183493.5739933942"/>
        <n v="1029492.9401145015"/>
        <n v="901081.78112977569"/>
        <n v="1184621.7071410341"/>
        <n v="1195234.969225226"/>
        <n v="1116310.1129919309"/>
        <n v="1169098.4080844605"/>
        <n v="845880.97036742745"/>
        <n v="1177979.0623783616"/>
        <n v="920625.89205700275"/>
        <n v="1118319.9850147725"/>
        <n v="1177831.7523451524"/>
        <n v="995644.58050322626"/>
        <n v="1113973.7264605912"/>
        <n v="833835.31500015606"/>
        <n v="1159861.7895031576"/>
        <n v="830300.38236003974"/>
        <n v="929506.31950964651"/>
        <n v="1119208.3897700587"/>
        <n v="988837.1307297427"/>
        <n v="997960.31161174865"/>
        <n v="979263.11982030747"/>
        <n v="1120980.6701673637"/>
        <n v="1082177.7428920285"/>
        <n v="984557.49669416528"/>
        <n v="1049313.3244669221"/>
        <n v="872143.47700318182"/>
        <n v="1122192.1607477649"/>
        <n v="914894.8670962638"/>
        <n v="1051736.6650058548"/>
        <n v="962447.97199912928"/>
        <n v="1147219.2690192449"/>
        <n v="847553.83140695107"/>
        <n v="1016775.8811034908"/>
        <n v="936982.47694361175"/>
        <n v="1078821.9392046137"/>
        <n v="974132.08617839566"/>
        <n v="1068410.4981765116"/>
        <n v="1035868.3976479266"/>
        <n v="863770.84733222099"/>
        <n v="950008.01372532593"/>
        <n v="1107424.4593830106"/>
        <n v="818346.13450768939"/>
        <n v="982038.32845041528"/>
        <n v="924815.05423672916"/>
        <n v="992043.77263565967"/>
        <n v="1156616.0762904733"/>
        <n v="983425.56900531542"/>
        <n v="1160529.4488368419"/>
        <n v="1198485.7940030156"/>
        <n v="1103106.1259706642"/>
        <n v="893803.71368891757"/>
        <n v="963274.7798497082"/>
        <n v="802036.85686158249"/>
        <n v="855656.80930950085"/>
        <n v="1185382.2944892524"/>
        <n v="808329.58253628889"/>
        <n v="1180974.6460057702"/>
        <n v="830121.61321285449"/>
        <n v="1114705.0183332185"/>
        <n v="1061875.8665596389"/>
        <n v="813835.27809328784"/>
        <n v="1043241.3163812296"/>
        <n v="988669.9301007695"/>
        <n v="972607.67375843227"/>
        <n v="947595.19676644774"/>
        <n v="1036153.8159342099"/>
        <n v="812047.23850513529"/>
        <n v="1083608.6121735515"/>
        <n v="981852.24985268933"/>
        <n v="1080726.4835566762"/>
        <n v="1112481.6811784056"/>
        <n v="1136999.8227151297"/>
        <n v="852583.66099057789"/>
        <n v="992746.93812629231"/>
        <n v="804593.47178702173"/>
        <n v="1078864.6432707687"/>
        <n v="849453.00641189562"/>
        <n v="847253.37895480567"/>
        <n v="1074445.9155659643"/>
        <n v="865610.3329290757"/>
        <n v="1135289.1293268716"/>
        <n v="917887.87915262405"/>
        <n v="824207.48175613547"/>
        <n v="973752.00767497753"/>
        <n v="1091110.2689591143"/>
        <n v="952681.16635370941"/>
        <n v="1050842.0712034556"/>
        <n v="1148498.4505841734"/>
        <n v="1060609.8596469457"/>
        <n v="1055479.6182981823"/>
        <n v="878402.28482697415"/>
        <n v="1039365.7705280705"/>
        <n v="824186.74221443001"/>
        <n v="877954.10806269839"/>
        <n v="962488.61475527729"/>
        <n v="1129047.5006217358"/>
        <n v="868867.35852341144"/>
        <n v="871255.98875967471"/>
        <n v="801645.12909869617"/>
        <n v="1009908.6546934595"/>
        <n v="1052896.1947888471"/>
        <n v="1120668.1042877226"/>
        <n v="1055232.0768595266"/>
        <n v="875783.03662248596"/>
        <n v="829001.89898735238"/>
        <n v="1020826.0274437492"/>
        <n v="1109272.9957130405"/>
        <n v="1062536.5962677393"/>
        <n v="946802.22640465666"/>
        <n v="1135145.0803918811"/>
        <n v="803515.54044590448"/>
        <n v="1171392.0751593867"/>
        <n v="1070676.5973755524"/>
        <n v="1193910.5667299221"/>
        <n v="961205.6806818539"/>
        <n v="815638.98112334497"/>
        <n v="859254.88431394612"/>
        <n v="1019030.5931398195"/>
        <n v="1148890.8951159713"/>
        <n v="1095744.4180009288"/>
        <n v="1071281.4458742882"/>
        <n v="1199274.7456193925"/>
        <n v="1188399.8177493478"/>
        <n v="1145294.0988317253"/>
        <n v="1027830.2724153351"/>
        <n v="835099.09638175671"/>
        <n v="849370.72844818491"/>
        <n v="918882.68575419649"/>
        <n v="808587.1106408108"/>
        <n v="993380.45919984777"/>
        <n v="1104245.471545035"/>
        <n v="1078029.0233476353"/>
        <n v="1055814.9308660766"/>
        <n v="1004086.8047826298"/>
        <n v="1125772.3172773698"/>
        <n v="983626.32413816673"/>
        <n v="970166.39234430459"/>
        <n v="998289.32519691985"/>
        <n v="908311.28279178182"/>
        <n v="1131647.5539013513"/>
        <n v="815216.82170634368"/>
        <n v="1042637.1568181105"/>
        <n v="912938.78980740928"/>
        <n v="953900.85005951498"/>
        <n v="992685.6669514121"/>
        <n v="1002924.7871080856"/>
        <n v="1136809.0611102879"/>
        <n v="808714.95250243985"/>
        <n v="1151878.9954302807"/>
        <n v="1084009.1058282165"/>
        <n v="964482.6938510664"/>
        <n v="929474.76836481073"/>
        <n v="871617.04030044202"/>
        <n v="992658.74356771167"/>
        <n v="849550.10819809383"/>
        <n v="940051.34963902726"/>
        <n v="1073172.9563259699"/>
        <n v="847401.37000801438"/>
        <n v="1139558.136317983"/>
        <n v="1041207.9744387947"/>
        <n v="970533.13850159082"/>
        <n v="1029463.7266528015"/>
        <n v="1121077.0992745527"/>
        <n v="1086287.7502056814"/>
        <n v="957515.30369959096"/>
        <n v="934540.44343633275"/>
        <n v="825764.64897578105"/>
        <n v="1024873.8369684515"/>
        <n v="900466.72424526548"/>
        <n v="940081.53741168964"/>
        <n v="1144340.2891647939"/>
        <n v="1035833.0667919647"/>
        <n v="876453.05645218526"/>
        <n v="837036.53120717348"/>
        <n v="1136730.0353028891"/>
        <n v="1001943.204336183"/>
        <n v="941445.80780214292"/>
        <n v="1036278.1345844003"/>
        <n v="1080026.9571767282"/>
        <n v="921994.82445929619"/>
        <n v="955664.2686054376"/>
        <n v="936017.46151107154"/>
        <n v="839538.71321867534"/>
        <n v="979998.30199746834"/>
        <n v="851752.10883044498"/>
        <n v="985055.86270894308"/>
        <n v="1078947.0672651078"/>
        <n v="808729.20501601871"/>
        <n v="857716.74742900801"/>
        <n v="1077690.9047504172"/>
        <n v="885940.31695445883"/>
        <n v="1156088.6801762714"/>
        <n v="1069608.5417544458"/>
        <n v="985711.87702639145"/>
        <n v="878548.91995240352"/>
        <n v="823516.45938273845"/>
        <n v="918377.38905221317"/>
        <n v="1161751.3263590622"/>
        <n v="1032121.0779746292"/>
        <n v="1074316.2958703772"/>
        <n v="885203.80155900202"/>
        <n v="964453.54854122968"/>
        <n v="825457.9667416478"/>
        <n v="1013916.7229473626"/>
        <n v="807856.06612242095"/>
        <n v="1062492.4381885319"/>
        <n v="843666.72234091093"/>
        <n v="895382.53720291983"/>
        <n v="965753.46606633021"/>
        <n v="813081.96859092766"/>
        <n v="1026937.7204590921"/>
        <n v="1046300.4533928583"/>
        <n v="1009098.9690504398"/>
        <n v="1008096.5327049255"/>
        <n v="1061365.3388238149"/>
        <n v="896140.91000810813"/>
        <n v="875388.72581227578"/>
        <n v="1114766.9075488553"/>
        <n v="978416.82686605374"/>
        <n v="954575.93027153867"/>
        <n v="1152910.6901412206"/>
        <n v="846865.62202527048"/>
        <n v="982526.06263585575"/>
        <n v="1020293.3955390654"/>
        <n v="953767.52198870794"/>
        <n v="1161706.4368581662"/>
        <n v="1022086.7152218167"/>
        <n v="1078767.1967636351"/>
        <n v="980326.98371560627"/>
        <n v="976046.76028555748"/>
        <n v="917522.24387954909"/>
        <n v="1099758.9969942321"/>
        <n v="1109125.6182787889"/>
        <n v="1089390.9937492027"/>
        <n v="824892.90990979818"/>
        <n v="1107981.3515265128"/>
        <n v="1083462.1614589889"/>
        <n v="1097483.5234283307"/>
        <n v="1087197.0884200304"/>
        <n v="849227.07235731371"/>
        <n v="817744.05705472757"/>
        <n v="878975.63260104391"/>
        <n v="1150108.2505709594"/>
        <n v="883689.85694369301"/>
        <n v="957421.11743199546"/>
        <n v="1159861.8243164679"/>
        <n v="854053.76743199525"/>
        <n v="802726.61341750098"/>
        <n v="983062.65734167455"/>
        <n v="1125719.3260504517"/>
        <n v="912237.75785708474"/>
        <n v="1179378.4475528472"/>
        <n v="811986.29238366627"/>
        <n v="923182.49368824833"/>
        <n v="896705.24107818108"/>
        <n v="826324.50997820601"/>
        <n v="820980.88472633855"/>
        <n v="940064.05459606694"/>
        <n v="1016461.424124248"/>
        <n v="883776.68987669365"/>
        <n v="1076948.3072897526"/>
        <n v="908905.1153116636"/>
        <n v="854418.5235709009"/>
        <n v="1006009.3725296968"/>
        <n v="1040095.9055530449"/>
        <n v="888368.14230038982"/>
        <n v="1042779.4011805711"/>
        <n v="1063856.7535303081"/>
        <n v="865636.8476973112"/>
        <n v="1162151.6106948603"/>
        <n v="1166994.5449494312"/>
        <n v="851298.11308913841"/>
        <n v="959672.65150361648"/>
        <n v="1057248.3777465359"/>
        <n v="1080392.5885741652"/>
        <n v="982653.34716157429"/>
        <n v="935915.32412734954"/>
        <n v="977347.46349495195"/>
        <n v="956756.56772723503"/>
        <n v="991820.61537159292"/>
        <n v="999194.75139298919"/>
        <n v="1171375.8949913951"/>
        <n v="1027287.0526933162"/>
        <n v="800457.15028544818"/>
        <n v="819116.29323073919"/>
        <n v="899544.38125918782"/>
        <n v="1113424.4617900597"/>
        <n v="1108001.0418780572"/>
        <n v="1186212.8107259241"/>
        <n v="878279.66951959662"/>
        <n v="1147096.8259119859"/>
        <n v="1136346.8748443767"/>
        <n v="1150691.5344545089"/>
        <n v="1137187.8786751451"/>
        <n v="1199335.5228037438"/>
        <n v="1123211.3890734771"/>
        <n v="880398.55479999806"/>
        <n v="839372.06678605732"/>
        <n v="822809.23521605413"/>
        <n v="1114570.2477973078"/>
        <n v="842697.71431580163"/>
        <n v="837466.11917403562"/>
        <n v="959476.69591490703"/>
        <n v="1092032.9884345883"/>
        <n v="1085841.1401919567"/>
        <n v="1196535.4713863772"/>
        <n v="873742.5415894246"/>
        <n v="1195225.9132966697"/>
        <n v="803281.27767543518"/>
        <n v="827447.97465483227"/>
        <n v="1180313.4156340847"/>
        <n v="928778.53737214557"/>
        <n v="1058523.0239030935"/>
        <n v="1009898.62178561"/>
        <n v="997936.24549435615"/>
        <n v="1016816.8424610575"/>
        <n v="1055871.199878681"/>
        <n v="1024129.6835697633"/>
        <n v="1061693.5231727848"/>
        <n v="1050646.2646856969"/>
        <n v="930030.63158294337"/>
        <n v="997246.45112116553"/>
        <n v="810454.30562378326"/>
        <n v="893362.00790670014"/>
        <n v="1193153.8054290595"/>
        <n v="866435.04630589171"/>
        <n v="1077350.3456300884"/>
        <n v="1060080.1988305538"/>
        <n v="1088383.2429362633"/>
        <n v="937354.56660849333"/>
        <n v="1094156.0119405889"/>
        <n v="818650.34531130828"/>
        <n v="977795.3646746428"/>
        <n v="1183813.3383263755"/>
        <n v="926939.83963795565"/>
        <n v="1020166.1721380872"/>
        <n v="808454.11159784405"/>
        <n v="820030.7595751693"/>
        <n v="1195006.5117918903"/>
        <n v="1116116.0935207454"/>
        <n v="933650.51656459994"/>
        <n v="866752.26731109817"/>
        <n v="1136540.3299795308"/>
        <n v="850626.58700187318"/>
        <n v="1112988.3965878629"/>
        <n v="879526.4006310727"/>
        <n v="1179705.404374575"/>
        <n v="1063052.7920376714"/>
        <n v="999596.94368420553"/>
        <n v="1026148.2058444349"/>
        <n v="1022369.9683446947"/>
        <n v="897872.89123856428"/>
        <n v="1092541.4371278782"/>
        <n v="1111060.4045453551"/>
        <n v="989504.75127263251"/>
        <n v="1089966.1535737913"/>
        <n v="1072781.7003489055"/>
        <n v="1190330.229840576"/>
        <n v="938318.7505419068"/>
        <n v="1190000.8806648126"/>
        <n v="879642.87138390844"/>
        <n v="1035434.5876987086"/>
        <n v="1145122.6950687373"/>
        <n v="1089417.3309201875"/>
        <n v="807143.04987242003"/>
        <n v="1197102.5616572788"/>
        <n v="816098.83977269277"/>
        <n v="903943.74479565292"/>
        <n v="829387.2654428574"/>
        <n v="862112.06881205924"/>
        <n v="978696.1437520904"/>
        <n v="845980.90605272166"/>
        <n v="815270.09303380107"/>
        <n v="1183980.0832642221"/>
        <n v="1076505.834447237"/>
        <n v="1117196.7129628845"/>
        <n v="1035341.0820228931"/>
        <n v="1002767.2861351223"/>
        <n v="1192519.7377295743"/>
        <n v="844498.84755338449"/>
        <n v="1182545.4942969643"/>
        <n v="1036596.0748126057"/>
        <n v="966646.7652575745"/>
        <n v="1137968.0898880633"/>
        <n v="1068059.7419450216"/>
        <n v="1000993.3551532212"/>
        <n v="1143919.4363836134"/>
        <n v="908765.86525609193"/>
        <n v="1087464.9259726624"/>
        <n v="1136570.5214890826"/>
        <n v="1087200.9833890502"/>
        <n v="825120.06559299061"/>
        <n v="1137434.9252310011"/>
        <n v="906204.7826040521"/>
        <n v="857624.27429247263"/>
        <n v="882976.19480318238"/>
        <n v="1018690.7552176135"/>
        <n v="1017456.6218174028"/>
        <n v="1021556.0303717303"/>
        <n v="1007892.6139905611"/>
        <n v="1001110.431642883"/>
        <n v="836185.85759053123"/>
        <n v="918268.62452397624"/>
        <n v="814779.8857655254"/>
        <n v="1184950.1657962378"/>
        <n v="826727.96663560008"/>
        <n v="1126463.2386826987"/>
        <n v="1099198.7582536798"/>
        <n v="861092.16323241056"/>
        <n v="826755.01285724912"/>
        <n v="1071022.55409936"/>
        <n v="1143362.8958801469"/>
        <n v="892147.45785939437"/>
        <n v="816282.02809942758"/>
        <n v="1129227.4577077518"/>
        <n v="965835.21263194981"/>
        <n v="938855.50234334066"/>
        <n v="1187604.5064186051"/>
        <n v="967483.75894964777"/>
        <n v="878557.43601903669"/>
        <n v="1109333.4669175546"/>
        <n v="902249.10487711616"/>
        <n v="980725.15485854784"/>
        <n v="1137203.8920777061"/>
        <n v="1099258.953945966"/>
        <n v="1190454.0394097643"/>
        <n v="945768.94900724932"/>
        <n v="1046246.9807068431"/>
        <n v="869571.44163489772"/>
        <n v="1104893.5982685848"/>
        <n v="1020857.190844823"/>
        <n v="1008708.5083084774"/>
        <n v="894632.16588893579"/>
        <n v="1195309.2790570897"/>
        <n v="853097.60841559293"/>
        <n v="944488.82509895402"/>
        <n v="924903.10854747577"/>
        <n v="849478.30452156323"/>
        <n v="1166260.1419675082"/>
        <n v="997223.41199988232"/>
        <n v="967821.70976543531"/>
        <n v="1038706.4062024652"/>
        <n v="903836.98509104841"/>
        <n v="1036205.8580153602"/>
        <n v="810317.82110136503"/>
        <n v="1036144.9597540684"/>
        <n v="807684.95694357937"/>
        <n v="861050.42360549502"/>
        <n v="1116761.5215248556"/>
        <n v="808080.20398437849"/>
        <n v="1197289.2210418039"/>
        <n v="1131849.665207145"/>
        <n v="1179166.1763411597"/>
        <n v="1078844.8955847868"/>
        <n v="854061.16022348905"/>
        <n v="818846.04148101911"/>
        <n v="1069581.4166901929"/>
        <n v="1023321.7001049098"/>
        <n v="907996.17258322041"/>
        <n v="1023244.5815463265"/>
        <n v="1152411.3349890371"/>
        <n v="956534.15484692215"/>
        <n v="1086611.7845903814"/>
        <n v="924390.07094845502"/>
        <n v="1081847.6803768526"/>
        <n v="853393.7978903472"/>
        <n v="1020481.4085122893"/>
        <n v="988299.93603080302"/>
        <n v="975646.54864464409"/>
        <n v="1136667.2051429732"/>
        <n v="1157818.0102572457"/>
        <n v="975676.12771580066"/>
        <n v="952703.28357218136"/>
        <n v="1168295.7860688944"/>
        <n v="1160809.5746769535"/>
        <n v="1125335.0200516121"/>
        <n v="1022704.0514524785"/>
        <n v="920928.01336927083"/>
        <n v="987641.69717760105"/>
        <n v="989032.35950198013"/>
        <n v="843646.46587890782"/>
        <n v="1008646.7616024043"/>
        <n v="1116502.4367685248"/>
        <n v="840504.76121402858"/>
        <n v="961845.17662984529"/>
        <n v="1082422.1203032413"/>
        <n v="1011866.6949965468"/>
        <n v="1095040.9867445643"/>
        <n v="1029576.3029559375"/>
        <n v="1072997.6862381345"/>
        <n v="816730.80613538041"/>
        <n v="983675.5567297216"/>
        <n v="1157597.7841933263"/>
        <n v="947994.26114549581"/>
        <n v="1150512.2507917979"/>
        <n v="842001.44781877694"/>
        <n v="931437.67676677462"/>
        <n v="1015373.5578538625"/>
        <n v="1105928.8243473922"/>
        <n v="1005194.9914185245"/>
        <n v="1192344.8198631217"/>
        <n v="947931.34672898985"/>
        <n v="1021973.2902257333"/>
        <n v="1122697.0457561596"/>
        <n v="1106631.3291837412"/>
        <n v="918190.19381703483"/>
        <n v="820419.10215978813"/>
        <n v="979786.11647872813"/>
        <n v="840839.78730221407"/>
        <n v="966377.57833174395"/>
        <n v="1071062.5398093225"/>
        <n v="1032542.9234338747"/>
        <n v="1162081.4140744337"/>
        <n v="868912.74913014099"/>
        <n v="1047203.9933343923"/>
        <n v="904666.12996721209"/>
        <n v="922757.59588668286"/>
        <n v="1126800.8681281484"/>
        <n v="1060761.5051680037"/>
        <n v="808151.60593604122"/>
        <n v="998596.73436851404"/>
        <n v="1013395.8867830837"/>
        <n v="1189331.5847679821"/>
        <n v="930976.59975994588"/>
        <n v="842528.88381579251"/>
        <n v="816425.46210011758"/>
        <n v="890556.50738896488"/>
        <n v="1146289.1636691948"/>
        <n v="957051.47761377599"/>
        <n v="1175668.433937988"/>
        <n v="874903.90154378559"/>
        <n v="857389.44691129855"/>
        <n v="1169577.2906727889"/>
        <n v="1034120.0685308506"/>
        <n v="906454.65500078583"/>
        <n v="1132446.748381054"/>
        <n v="838923.92712097208"/>
        <n v="920019.90493676753"/>
        <n v="826314.74128313817"/>
        <n v="935797.94070501253"/>
        <n v="830099.19554829737"/>
        <n v="841233.06518435467"/>
        <n v="1176603.6100266653"/>
        <n v="987134.9608025793"/>
        <n v="1011019.6644396277"/>
        <n v="1059785.9706986265"/>
        <n v="1136862.6199855742"/>
        <n v="928015.8072471451"/>
        <n v="1042915.123376716"/>
        <n v="1160928.7822763212"/>
        <n v="963510.38888731215"/>
        <n v="941240.66978694417"/>
        <n v="824434.4923491223"/>
        <n v="1104791.6261242533"/>
        <n v="879825.48168437195"/>
        <n v="1094686.2662860085"/>
        <n v="872348.02174745011"/>
        <n v="966404.78007396264"/>
        <n v="927258.4811060708"/>
        <n v="912144.64991690381"/>
        <n v="937706.28410836239"/>
        <n v="861700.5566103186"/>
        <n v="1007708.5863470755"/>
        <n v="902132.79666647862"/>
        <n v="1197542.1444561195"/>
        <n v="905542.52964779118"/>
        <n v="1111218.4864046141"/>
        <n v="1080244.7566953604"/>
        <n v="1017120.2982367718"/>
        <n v="866487.24554394523"/>
        <n v="995281.98417383956"/>
        <n v="1113175.1763342335"/>
        <n v="949974.22839824331"/>
        <n v="917021.02355649625"/>
        <n v="801347.73098585499"/>
        <n v="836891.36623323208"/>
        <n v="1125554.1212461721"/>
        <n v="831351.75844806852"/>
        <n v="932909.42788797617"/>
        <n v="910536.94732290471"/>
        <n v="1070440.2088647261"/>
        <n v="998336.59406862198"/>
        <n v="889358.08124574006"/>
        <n v="909274.96778804308"/>
        <n v="1070082.5894875338"/>
        <n v="1016760.0011768974"/>
        <n v="965083.69128104066"/>
        <n v="944367.72519558482"/>
        <n v="898501.00113642507"/>
        <n v="1189127.7189888302"/>
        <n v="1169005.5637795087"/>
        <n v="886418.90577061335"/>
        <n v="1175411.1579393987"/>
        <n v="1114364.0510376222"/>
        <n v="1150946.7931796415"/>
        <n v="811202.53494014277"/>
        <n v="1010321.8053430901"/>
        <n v="1060436.312223274"/>
        <n v="1054822.8741620372"/>
        <n v="865101.52503439819"/>
        <n v="1176958.1144986849"/>
        <n v="1113599.3605775835"/>
        <n v="867398.11978317844"/>
        <n v="963011.23954430711"/>
        <n v="1008221.1714727622"/>
        <n v="842257.24051976262"/>
        <n v="889968.09615987225"/>
        <n v="1082401.0260313165"/>
        <n v="1089469.4857680679"/>
        <n v="835454.85843700659"/>
        <n v="960449.04296332947"/>
        <n v="958901.79524801485"/>
        <n v="966470.82471223036"/>
        <n v="997894.1862774936"/>
        <n v="1137253.9952648713"/>
        <n v="1170282.0918648776"/>
        <n v="981233.93079752591"/>
        <n v="848622.81195024692"/>
        <n v="892392.28788195166"/>
        <n v="1095868.6732090684"/>
        <n v="1167346.277073262"/>
        <n v="1185277.9427332112"/>
        <n v="1138650.566820258"/>
        <n v="807840.65237754153"/>
        <n v="850492.55330393719"/>
        <n v="1019850.5194974388"/>
        <n v="1003543.8896774733"/>
        <n v="801901.73993758834"/>
        <n v="1122852.2231962509"/>
        <n v="944413.55867590068"/>
        <n v="941781.08799809113"/>
        <n v="1129158.0723034875"/>
        <n v="950109.05043716496"/>
        <n v="909319.1523011229"/>
        <n v="995832.75490076991"/>
        <n v="1051132.7795120294"/>
        <n v="809366.74561838922"/>
        <n v="1065079.6902225914"/>
        <n v="992705.24823926738"/>
        <n v="1027867.3661711472"/>
        <n v="983499.60279373592"/>
        <n v="818630.8016629176"/>
        <n v="1017773.4358021403"/>
        <n v="1089260.4603455253"/>
        <n v="1174639.4152865806"/>
        <n v="899369.40148136113"/>
        <n v="801234.73391508148"/>
        <n v="1057635.6290126443"/>
        <n v="1179854.4075285164"/>
        <n v="1183186.9176933493"/>
        <n v="963537.57500938699"/>
        <n v="989278.31807597051"/>
        <n v="956391.76669252885"/>
        <n v="1107768.4015533319"/>
        <n v="1102511.0569084927"/>
        <n v="822529.9182403041"/>
        <n v="1061662.6529583088"/>
        <n v="1045186.2725420564"/>
        <n v="1183583.2840391106"/>
        <n v="907838.26217681565"/>
        <n v="803872.88063602743"/>
        <n v="881641.79195288301"/>
        <n v="1033457.6573631461"/>
        <n v="1157267.6157160182"/>
        <n v="1078487.91944567"/>
        <n v="1068084.960131977"/>
        <n v="1120875.721252332"/>
        <n v="1144845.985367445"/>
        <n v="1026297.4118561521"/>
        <n v="1153593.136313183"/>
        <n v="1145957.7949675268"/>
        <n v="1158921.9963488968"/>
        <n v="1020840.289908872"/>
        <n v="940671.74805730104"/>
        <n v="949299.79300785693"/>
        <n v="1167834.3677582208"/>
        <n v="907875.79886318091"/>
        <n v="1125593.9531391454"/>
        <n v="871641.78805906849"/>
        <n v="912732.95444480772"/>
        <n v="1056105.2607141403"/>
        <n v="903611.16467458056"/>
        <n v="1154646.9811296081"/>
        <n v="992286.5040332122"/>
        <n v="916242.18735928251"/>
        <n v="1178988.6410537083"/>
        <n v="1032716.4585797841"/>
        <n v="1091423.6296849025"/>
        <n v="1033709.2978583653"/>
        <n v="875484.74798139674"/>
        <n v="1199334.2895840309"/>
        <n v="833939.1091256754"/>
        <n v="999770.78489799914"/>
        <n v="829592.09271988366"/>
        <n v="918004.4391194788"/>
        <n v="848151.32503189729"/>
        <n v="1066140.24811213"/>
        <n v="831238.25095522462"/>
        <n v="1182618.8380256481"/>
        <n v="1116052.7893435822"/>
        <n v="1149085.2555000018"/>
        <n v="893151.20535529382"/>
        <n v="1126314.9658090489"/>
        <n v="1121341.4033243544"/>
        <n v="985466.24293619429"/>
        <n v="1199982.3956116692"/>
        <n v="1048362.200478835"/>
        <n v="988207.68217986147"/>
        <n v="1108215.9118895978"/>
        <n v="953304.36104235996"/>
        <n v="1121508.4930372396"/>
        <n v="1085056.5820012849"/>
        <n v="918482.33353749593"/>
        <n v="962890.11665941461"/>
        <n v="964093.20615577733"/>
        <n v="1108218.6583752607"/>
        <n v="833141.89004930155"/>
        <n v="1005129.6024695243"/>
        <n v="1145014.0609215591"/>
        <n v="1197272.9678653034"/>
        <n v="875079.75929605076"/>
        <n v="862806.48313701479"/>
        <n v="945863.6265863626"/>
        <n v="816540.18072799908"/>
        <n v="1077355.9083011881"/>
        <n v="943701.74602799362"/>
        <n v="1091147.7712629528"/>
        <n v="936996.33747148688"/>
        <n v="940645.48034873081"/>
        <n v="802724.070651719"/>
        <n v="1071013.9301745766"/>
        <n v="1031351.0262889016"/>
        <n v="918668.78796972043"/>
        <n v="994248.08718669834"/>
        <n v="899427.6241711498"/>
        <n v="839518.3640857907"/>
        <n v="1190256.6462010257"/>
        <n v="1129066.7386880422"/>
        <n v="830325.85755975405"/>
        <n v="1089808.0876763763"/>
        <n v="892332.00862417195"/>
        <n v="1036524.873999407"/>
        <n v="1056755.6573531146"/>
        <n v="1127293.2248676461"/>
        <n v="843288.13639817631"/>
        <n v="887936.34156515042"/>
        <n v="929496.15976217983"/>
        <n v="1094101.4029097178"/>
        <n v="1186497.5994676049"/>
        <n v="1069952.8747890797"/>
        <n v="915331.52302447183"/>
        <n v="1169052.0304625107"/>
        <n v="894819.49802290928"/>
        <n v="964781.5412778043"/>
        <n v="1176802.5935952244"/>
        <n v="1134981.5269933757"/>
        <n v="1096109.7663891774"/>
        <n v="953463.90639722638"/>
        <n v="982233.59190816106"/>
        <n v="1076593.3833246932"/>
        <n v="901594.93055932235"/>
        <n v="1006942.0454358519"/>
        <n v="843564.29141478846"/>
        <n v="1192289.2051854264"/>
        <n v="855541.94227279827"/>
        <n v="944603.38379403204"/>
        <n v="1019807.6298920042"/>
        <n v="1183466.8878276655"/>
        <n v="828001.89231308457"/>
        <n v="876615.77426850318"/>
        <n v="1056334.9332231032"/>
        <n v="957195.5279107705"/>
        <n v="1113839.1545898248"/>
        <n v="937226.42772542359"/>
        <n v="822051.61554834072"/>
        <n v="1035244.2129487371"/>
        <n v="832726.93864714901"/>
        <n v="960627.54258445266"/>
        <n v="1102992.5881279579"/>
        <n v="935809.9042154192"/>
        <n v="971280.75953381788"/>
        <n v="820457.08121075458"/>
        <n v="992279.89180165215"/>
        <n v="1022728.4627457961"/>
        <n v="1062821.8574456745"/>
        <n v="908110.06517016643"/>
        <n v="988420.6484225184"/>
        <n v="999147.74567663239"/>
        <n v="858311.07226682268"/>
        <n v="1155681.6749293152"/>
        <n v="1045036.2177809394"/>
        <n v="961473.10321052792"/>
        <n v="1177949.8621059309"/>
        <n v="861394.3542507774"/>
        <n v="1025268.4839972585"/>
        <n v="1093769.600931661"/>
        <n v="1054795.331326053"/>
        <n v="1011657.3459253211"/>
        <n v="933997.68537283549"/>
        <n v="899612.32193634205"/>
        <n v="1175303.4628781285"/>
        <n v="897006.88754107815"/>
        <n v="989219.06270836084"/>
        <n v="972414.9913812977"/>
        <n v="887986.66021868703"/>
        <n v="1153460.5026824523"/>
        <n v="1048048.5117313887"/>
        <n v="1148126.367363038"/>
        <n v="1151113.1253285797"/>
        <n v="901940.57653118286"/>
        <n v="936091.08413303643"/>
        <n v="1055859.9158226994"/>
        <n v="1045603.5792252206"/>
        <n v="1160767.102850216"/>
        <n v="950913.37427103845"/>
        <n v="930219.01186377311"/>
        <n v="1119470.3215034145"/>
        <n v="834263.99371148658"/>
        <n v="1138225.6771615637"/>
        <n v="1173034.8491304158"/>
        <n v="854031.47312449291"/>
        <n v="1041128.3679042718"/>
        <n v="1077995.8992346735"/>
        <n v="1080498.9301411058"/>
        <n v="961292.37137373758"/>
        <n v="820755.80240373465"/>
        <n v="1174003.7130793282"/>
        <n v="971913.58416368545"/>
        <n v="847451.46489382384"/>
        <n v="1077605.0053517416"/>
        <n v="969762.68144126958"/>
        <n v="1127817.3839156786"/>
        <n v="852607.76242263219"/>
        <n v="881339.13178624772"/>
        <n v="1072822.0677836521"/>
        <n v="1145417.3640782838"/>
        <n v="1050125.5670525634"/>
        <n v="849561.65563065663"/>
        <n v="988174.46945780772"/>
        <n v="1112698.5712122994"/>
        <n v="921791.42244002444"/>
        <n v="1012607.2411353792"/>
        <n v="1063304.688987114"/>
        <n v="1103773.6177550224"/>
        <n v="1014151.5308619805"/>
        <n v="1103785.4266081068"/>
        <n v="1015819.3447987825"/>
        <n v="1113195.1979312769"/>
        <n v="1069142.9894960038"/>
        <n v="1099631.6392055354"/>
        <n v="894941.03915739001"/>
        <n v="968525.60894461698"/>
        <n v="1008599.0839578353"/>
        <n v="877308.51011201984"/>
        <n v="956529.24698448437"/>
        <n v="1044619.8724382212"/>
        <n v="1155649.4344003559"/>
        <n v="1101946.4394581493"/>
        <n v="939086.00520307245"/>
        <n v="849189.62034593709"/>
        <n v="827718.73233031482"/>
        <n v="1087854.8888901782"/>
        <n v="910642.39740249573"/>
        <n v="985352.41673972702"/>
        <n v="965076.51325473725"/>
        <n v="956296.68270898482"/>
        <n v="1058898.0538034395"/>
        <n v="818893.53101558576"/>
        <n v="838023.4324799875"/>
        <n v="916080.68851301831"/>
        <n v="1084850.6861238568"/>
        <n v="839518.10694844439"/>
        <n v="1166688.4668809723"/>
        <n v="939067.13819238311"/>
        <n v="1153413.9246127093"/>
        <n v="1189530.0625587716"/>
        <n v="1048882.4515782739"/>
        <n v="823148.13244623819"/>
        <n v="1199210.0551695582"/>
        <n v="845025.31035947648"/>
        <n v="808699.53863898502"/>
        <n v="1115243.4314916697"/>
        <n v="806952.91856405721"/>
        <n v="1058486.4322888537"/>
        <n v="1084881.7842281766"/>
        <n v="1046824.4553694639"/>
        <n v="1169074.4585058568"/>
        <n v="886264.75475177437"/>
        <n v="938145.36397848185"/>
        <n v="912288.22372982046"/>
        <n v="897356.01904796599"/>
        <n v="867267.02926962753"/>
        <n v="856745.92189310293"/>
        <n v="1152978.4019093632"/>
        <n v="1180372.936683191"/>
        <n v="1137162.1018063056"/>
        <n v="928303.34820973349"/>
        <n v="847017.51957327197"/>
        <n v="850463.2524164397"/>
        <n v="1139896.2724666381"/>
        <n v="1027721.7741935485"/>
        <n v="1148684.7906408974"/>
        <n v="1150934.6044792985"/>
        <n v="870804.31058565725"/>
        <n v="1012448.8517194393"/>
        <n v="1097922.9587966281"/>
        <n v="986982.10426190658"/>
        <n v="974624.92568239127"/>
        <n v="1050220.4149383623"/>
        <n v="1023527.5051206602"/>
        <n v="824369.50158566015"/>
        <n v="912530.68491611071"/>
        <n v="845172.18992938183"/>
        <n v="1151333.7463168253"/>
        <n v="1069293.3015664988"/>
        <n v="1040897.0132701921"/>
        <n v="1133954.8183279252"/>
        <n v="944680.7487526082"/>
        <n v="1016845.1327904358"/>
        <n v="867546.33714321116"/>
        <n v="963106.34420560324"/>
        <n v="1039855.3739375682"/>
        <n v="1134016.5212547202"/>
        <n v="944609.81259529025"/>
        <n v="1159926.9303075913"/>
        <n v="989949.75302007364"/>
        <n v="884186.5273723664"/>
        <n v="1050613.3923272847"/>
        <n v="1168849.4692414338"/>
        <n v="1113780.2595822429"/>
        <n v="1030141.1501162045"/>
        <n v="957533.35329964547"/>
        <n v="1005614.8309653932"/>
        <n v="1044180.1116642233"/>
        <n v="952968.35877456714"/>
        <n v="1199867.552166587"/>
        <n v="1036150.8358743287"/>
        <n v="819603.47068570356"/>
        <n v="1049846.2479037449"/>
        <n v="853251.15520309715"/>
        <n v="900400.52586960804"/>
        <n v="974264.49831965985"/>
        <n v="1197866.372291591"/>
        <n v="812945.28323813097"/>
        <n v="1046064.2281784948"/>
        <n v="820595.71999702603"/>
        <n v="1103951.9163208685"/>
        <n v="829267.00033337227"/>
        <n v="818456.84293298156"/>
        <n v="1128739.0632170555"/>
        <n v="1134548.838200209"/>
        <n v="1091201.583083634"/>
        <n v="906994.90847500635"/>
        <n v="1043370.867610181"/>
        <n v="1192811.9258726735"/>
        <n v="848624.76615053939"/>
        <n v="1132053.7691634193"/>
        <n v="1097747.2654222089"/>
        <n v="1132853.0842688913"/>
        <n v="995646.51747485122"/>
        <n v="988779.76051684131"/>
        <n v="1122952.2269666835"/>
        <n v="911389.02481002337"/>
        <n v="1151971.017882681"/>
        <n v="1045733.995296577"/>
        <n v="910065.5301238643"/>
        <n v="1193440.6520768802"/>
        <n v="860337.34848010971"/>
        <n v="993076.54470702156"/>
        <n v="1113481.1018814582"/>
        <n v="991586.17449069722"/>
        <n v="1092228.203728393"/>
        <n v="1077005.1967277736"/>
        <n v="1033652.1964042633"/>
        <n v="944871.96400338528"/>
        <n v="853273.26746143447"/>
        <n v="1153249.7023793915"/>
        <n v="803417.86799508601"/>
        <n v="1183453.3091387665"/>
        <n v="817047.72770733829"/>
        <n v="927826.44498668809"/>
        <n v="972319.0209432207"/>
        <n v="832482.63068751362"/>
        <n v="926572.18700169306"/>
        <n v="978610.70664374623"/>
        <n v="965850.64054741338"/>
        <n v="813821.90009608422"/>
        <n v="990586.60204342578"/>
        <n v="1067288.3969067119"/>
        <n v="824783.19424820959"/>
        <n v="888999.45008216274"/>
        <n v="1027692.6197473462"/>
        <n v="1172345.6087313963"/>
        <n v="1051381.9195144689"/>
        <n v="989883.62900967558"/>
        <n v="858306.60877716658"/>
        <n v="836697.90377261199"/>
        <n v="964804.69532043289"/>
        <n v="1174925.8744084158"/>
        <n v="949668.88364954258"/>
        <n v="1146296.8928646487"/>
        <n v="1050969.0948884324"/>
        <n v="961062.22467732942"/>
        <n v="1190749.9523866763"/>
        <n v="862639.36568341486"/>
        <n v="1053239.7668885135"/>
        <n v="1010878.6365832589"/>
        <n v="1124593.0807180279"/>
        <n v="820737.0216094394"/>
        <n v="1077416.7960688621"/>
        <n v="1072652.8940982602"/>
        <n v="929765.27194604883"/>
        <n v="1006537.2630817746"/>
        <n v="899701.59543690085"/>
        <n v="808998.80558363919"/>
        <n v="903398.35410425474"/>
        <n v="1178353.1263361648"/>
        <n v="930720.49545849988"/>
        <n v="912965.26152057434"/>
        <n v="1181666.8903207639"/>
        <n v="813587.09021570138"/>
        <n v="970376.83710454335"/>
        <n v="1149652.0617651809"/>
        <n v="1145111.9305023844"/>
        <n v="1034325.4193646107"/>
        <n v="958325.72767252533"/>
        <n v="955657.02163680317"/>
        <n v="1087761.3201064928"/>
        <n v="867531.6455696203"/>
        <n v="1103257.2184395944"/>
        <n v="846458.36516424757"/>
        <n v="1164093.8116267025"/>
        <n v="1158157.1503907186"/>
        <n v="1196990.5018638249"/>
        <n v="1093112.7583329242"/>
        <n v="949642.77281750366"/>
        <n v="830254.29075270123"/>
        <n v="1017289.9793265437"/>
        <n v="920531.06264110818"/>
        <n v="1165739.9100894204"/>
        <n v="1116771.5685779722"/>
        <n v="873309.7959939068"/>
        <n v="1077695.0770612275"/>
        <n v="1037009.7694541183"/>
        <n v="860764.52476080635"/>
        <n v="1041321.2697861"/>
        <n v="991019.91028463375"/>
        <n v="813775.48723592563"/>
        <n v="1194308.6836304509"/>
        <n v="963408.11063436826"/>
        <n v="1045827.8313927738"/>
        <n v="859626.9379100533"/>
        <n v="1122906.5606910221"/>
        <n v="995386.66924765182"/>
        <n v="933114.45593404525"/>
        <n v="828079.28640646301"/>
        <n v="927706.88692974544"/>
        <n v="1099219.3296433203"/>
        <n v="984049.63248412195"/>
        <n v="982704.00119042152"/>
        <n v="1010505.0453525773"/>
        <n v="1070138.3449336304"/>
        <n v="1138350.633734124"/>
        <n v="1013490.3863437594"/>
        <n v="1113175.4691322716"/>
        <n v="1017658.6831435623"/>
        <n v="887064.67824346141"/>
        <n v="928591.80724665686"/>
        <n v="939280.27938316332"/>
        <n v="1084162.8687934757"/>
        <n v="1133247.9358663782"/>
        <n v="902150.83038388239"/>
        <n v="1146335.983950011"/>
        <n v="836318.39267610828"/>
        <n v="884452.69420842943"/>
        <n v="1165260.0961608109"/>
        <n v="1161765.493003974"/>
        <n v="1064666.373150717"/>
        <n v="1161949.8700602525"/>
        <n v="862336.0941924972"/>
        <n v="1121942.4192313198"/>
        <n v="1145413.295998876"/>
        <n v="865560.33367248904"/>
        <n v="1118158.8365876863"/>
        <n v="1032362.9853701316"/>
        <n v="844292.3986878891"/>
        <n v="991118.936226825"/>
        <n v="1004161.5466535594"/>
        <n v="977893.55181067053"/>
        <n v="800944.91844778182"/>
        <n v="1039949.0843056082"/>
        <n v="1136860.3769248829"/>
        <n v="1113624.4531111978"/>
        <n v="835594.2030265918"/>
        <n v="994376.20343934675"/>
        <n v="1028587.4778028775"/>
        <n v="927408.20871250797"/>
        <n v="846650.67384638858"/>
        <n v="825355.84620759846"/>
        <n v="1101365.1458581283"/>
        <n v="1106751.0953954954"/>
        <n v="880004.2189291137"/>
        <n v="1065182.0750514157"/>
        <n v="1091562.7086998124"/>
        <n v="941575.12943985092"/>
        <n v="997142.93642949685"/>
        <n v="1172099.1994086883"/>
        <n v="960419.62067604926"/>
        <n v="999658.67140553566"/>
        <n v="1189006.693159037"/>
        <n v="998409.64378042519"/>
        <n v="881518.99979471078"/>
        <n v="1184067.470021042"/>
        <n v="1013179.9957997199"/>
        <n v="822408.50735685288"/>
        <n v="1053456.9788586327"/>
        <n v="940500.0474760246"/>
        <n v="1104042.5597557588"/>
        <n v="933178.34652845154"/>
        <n v="987961.49787099496"/>
        <n v="1127139.973244969"/>
        <n v="831790.74608157785"/>
        <n v="868413.68491130567"/>
        <n v="1104704.1503514664"/>
        <n v="844987.79233452305"/>
        <n v="833191.79910226865"/>
        <n v="1072276.3784484982"/>
        <n v="1018952.5575404976"/>
        <n v="991171.37001418893"/>
        <n v="960674.83489038656"/>
        <n v="1145950.607005066"/>
        <n v="1096378.5764976486"/>
        <n v="833436.67743489495"/>
        <n v="1064579.777067208"/>
        <n v="949005.32752724772"/>
        <n v="1039608.3054736371"/>
        <n v="903834.52013428172"/>
        <n v="845786.94938851404"/>
        <n v="1144032.7041363779"/>
        <n v="903160.46255701804"/>
        <n v="978303.06185134582"/>
        <n v="1114432.8914192154"/>
        <n v="1132391.3884251877"/>
        <n v="1068537.875854949"/>
        <n v="978135.64461515134"/>
        <n v="1121206.2566700117"/>
        <n v="935012.03913243511"/>
        <n v="803345.04077123082"/>
        <n v="1032060.6326170478"/>
        <n v="980126.51074612176"/>
        <n v="1081050.546227532"/>
        <n v="1019363.23271887"/>
        <n v="866305.98300511343"/>
        <n v="986535.16037437227"/>
        <n v="810674.94312297995"/>
        <n v="907834.96909846482"/>
        <n v="881538.61397961609"/>
        <n v="801334.13119089534"/>
        <n v="867891.6464778079"/>
        <n v="1005435.2439749072"/>
        <n v="1085810.3186273843"/>
        <n v="920198.46737393015"/>
        <n v="897634.110069299"/>
        <n v="801814.71584998316"/>
        <n v="921286.81872625509"/>
        <n v="1057933.3899478926"/>
        <n v="900385.40129072976"/>
        <n v="891458.70372959913"/>
        <n v="1045016.1755036687"/>
        <n v="906263.792716722"/>
        <n v="1142396.4837106958"/>
        <n v="872376.47920791467"/>
        <n v="1121719.0611980646"/>
        <n v="1118803.8213547505"/>
        <n v="1054014.1771440313"/>
        <n v="818094.7262308395"/>
        <n v="1150149.1306134525"/>
        <n v="1103794.5990372812"/>
        <n v="1038177.1175311885"/>
        <n v="857081.38006213855"/>
        <n v="966342.07920753711"/>
        <n v="961896.88998954464"/>
        <n v="1121440.5292655237"/>
        <n v="1178709.0938171295"/>
        <n v="1061430.9420474854"/>
        <n v="882921.4456152902"/>
        <n v="882778.37518913625"/>
        <n v="1163985.7967977899"/>
        <n v="820151.64766587713"/>
        <n v="1110711.2950399884"/>
        <n v="896403.74507096608"/>
        <n v="870712.44839950057"/>
        <n v="829307.98303378385"/>
        <n v="1154118.4307339988"/>
        <n v="1005181.9711965505"/>
        <n v="899526.42924004432"/>
        <n v="1021768.7061118861"/>
        <n v="974191.2398143512"/>
        <n v="1199949.3835227638"/>
        <n v="825299.02608460968"/>
        <n v="869362.3239802625"/>
        <n v="1057571.3776995749"/>
        <n v="911547.31710464251"/>
        <n v="930310.75630540436"/>
        <n v="968312.83533821697"/>
        <n v="809077.52505934052"/>
        <n v="811776.94080611609"/>
        <n v="868467.54995551496"/>
        <n v="1125802.6461233655"/>
        <n v="946230.30172231072"/>
        <n v="939617.12561297626"/>
        <n v="1081823.9159677927"/>
        <n v="1060693.9475849587"/>
        <n v="1142959.6121096341"/>
        <n v="1000961.9000398939"/>
        <n v="1182262.8204496037"/>
        <n v="836298.00875442103"/>
        <n v="1141685.4428858163"/>
        <n v="828377.28483665548"/>
        <n v="1013184.7457923"/>
        <n v="900813.35335013852"/>
        <n v="1094342.4795485644"/>
        <n v="872397.0542163722"/>
        <n v="946576.18591358233"/>
        <n v="916040.87986268592"/>
        <n v="853839.75832452381"/>
        <n v="996472.70160941349"/>
        <n v="815907.26932952751"/>
        <n v="857550.91927489149"/>
        <n v="1075943.0941107795"/>
        <n v="911827.37252358696"/>
        <n v="891752.90457748715"/>
        <n v="1133842.2488674286"/>
        <n v="887090.48859104398"/>
        <n v="997019.35048580903"/>
        <n v="1027127.5711328761"/>
        <n v="833199.77049320249"/>
        <n v="999815.39663976908"/>
        <n v="1131466.0864186662"/>
        <n v="1091203.420814913"/>
        <n v="803353.28325579164"/>
        <n v="931635.0293070164"/>
        <n v="879728.29617910378"/>
        <n v="997338.96830735996"/>
        <n v="983356.92224064306"/>
        <n v="1012327.3388031523"/>
        <n v="848517.92419787066"/>
        <n v="894598.5163688052"/>
        <n v="935302.31507747213"/>
        <n v="842730.6847221927"/>
        <n v="1146198.6814351366"/>
        <n v="1053664.0536640538"/>
        <n v="886383.78758827515"/>
        <n v="1020297.7819160762"/>
        <n v="864221.5472204762"/>
        <n v="940922.30192794465"/>
        <n v="1011229.0987809718"/>
        <n v="1011360.1082574776"/>
        <n v="1089354.8555881123"/>
        <n v="1105053.9323000575"/>
        <n v="830717.34834265767"/>
      </sharedItems>
    </cacheField>
    <cacheField name="Year Category" numFmtId="0">
      <sharedItems count="2">
        <s v="2018-2021"/>
        <s v="2022-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ge Elmas" refreshedDate="46097.001335069443" createdVersion="8" refreshedVersion="8" minRefreshableVersion="3" recordCount="320" xr:uid="{3BE8B671-C5C6-4303-BDE3-1279DDA77D6D}">
  <cacheSource type="worksheet">
    <worksheetSource ref="A1:H321" sheet="Period Based Food Waste" r:id="rId2"/>
  </cacheSource>
  <cacheFields count="8">
    <cacheField name="Country" numFmtId="0">
      <sharedItems count="20">
        <s v="Argentina"/>
        <s v="Australia"/>
        <s v="Brazil"/>
        <s v="Canada"/>
        <s v="China"/>
        <s v="France"/>
        <s v="Germany"/>
        <s v="India"/>
        <s v="Indonesia"/>
        <s v="Italy"/>
        <s v="Japan"/>
        <s v="Mexico"/>
        <s v="Russia"/>
        <s v="Saudi Arabia"/>
        <s v="South Africa"/>
        <s v="South Korea"/>
        <s v="Spain"/>
        <s v="Turkey"/>
        <s v="UK"/>
        <s v="USA"/>
      </sharedItems>
    </cacheField>
    <cacheField name="Food Category" numFmtId="0">
      <sharedItems/>
    </cacheField>
    <cacheField name="Year Category" numFmtId="0">
      <sharedItems count="2">
        <s v="2018-2021"/>
        <s v="2022-2024"/>
      </sharedItems>
    </cacheField>
    <cacheField name="Sum of Total Waste (Tons)" numFmtId="0">
      <sharedItems containsSemiMixedTypes="0" containsString="0" containsNumber="1" minValue="116981.91" maxValue="771273.07" count="320">
        <n v="593605.94000000006"/>
        <n v="261049.93000000002"/>
        <n v="452659.17000000016"/>
        <n v="172876.58000000002"/>
        <n v="193561.33"/>
        <n v="248428.56000000003"/>
        <n v="349834.62000000005"/>
        <n v="471892.81999999995"/>
        <n v="549033.92000000004"/>
        <n v="480551.48999999993"/>
        <n v="421900.04000000004"/>
        <n v="147562.33000000002"/>
        <n v="689057.11999999988"/>
        <n v="116981.91"/>
        <n v="661592.49"/>
        <n v="271779.26999999996"/>
        <n v="317629.67"/>
        <n v="474639.56000000006"/>
        <n v="374056.34000000008"/>
        <n v="215119.53999999998"/>
        <n v="491398.79"/>
        <n v="303493.04000000004"/>
        <n v="355099.35"/>
        <n v="350815.93"/>
        <n v="328039.84000000003"/>
        <n v="510658.61"/>
        <n v="438284.12"/>
        <n v="339491.92999999993"/>
        <n v="359985.73999999987"/>
        <n v="231128.85000000003"/>
        <n v="514236.16000000009"/>
        <n v="283283.82"/>
        <n v="446230.35000000003"/>
        <n v="356960.67"/>
        <n v="607029.40999999992"/>
        <n v="145495.97"/>
        <n v="295200.42000000004"/>
        <n v="383427.7099999999"/>
        <n v="436213.70999999996"/>
        <n v="298135.23"/>
        <n v="470654.33"/>
        <n v="333019.56000000006"/>
        <n v="394319.72000000003"/>
        <n v="373366.51999999996"/>
        <n v="308792.09999999998"/>
        <n v="343590.42000000004"/>
        <n v="660134.89"/>
        <n v="539181.49"/>
        <n v="694617.04000000015"/>
        <n v="450501.09999999992"/>
        <n v="580930.03"/>
        <n v="219008.42"/>
        <n v="640503.91000000015"/>
        <n v="465029.35999999993"/>
        <n v="369856.25999999995"/>
        <n v="138933.67000000001"/>
        <n v="374322.93"/>
        <n v="288708.36"/>
        <n v="340575.61000000004"/>
        <n v="399752.51"/>
        <n v="601400.38000000012"/>
        <n v="416852.78"/>
        <n v="465899.82999999996"/>
        <n v="343786.29999999993"/>
        <n v="466681.96000000008"/>
        <n v="252290.6"/>
        <n v="301193.91000000003"/>
        <n v="316275.84000000003"/>
        <n v="527647.80999999994"/>
        <n v="338534.74000000005"/>
        <n v="478429.04"/>
        <n v="444475.94999999995"/>
        <n v="486713.75"/>
        <n v="237524.62"/>
        <n v="715602.92000000016"/>
        <n v="139748.09000000003"/>
        <n v="554417.29999999993"/>
        <n v="353935.15"/>
        <n v="513776.93999999994"/>
        <n v="283847.56"/>
        <n v="328143.96000000008"/>
        <n v="302549.69"/>
        <n v="590581.68999999994"/>
        <n v="262322.3"/>
        <n v="489576.63"/>
        <n v="470784.02999999997"/>
        <n v="553986.79"/>
        <n v="327786.81000000006"/>
        <n v="276041.75999999995"/>
        <n v="384343.01999999996"/>
        <n v="378220.03000000009"/>
        <n v="329343.33"/>
        <n v="496977.32999999996"/>
        <n v="299285.11"/>
        <n v="448551.98"/>
        <n v="396000.54"/>
        <n v="573136.45000000007"/>
        <n v="229032.70000000004"/>
        <n v="600717.05999999994"/>
        <n v="427668.98"/>
        <n v="532584.22000000009"/>
        <n v="223510.18999999994"/>
        <n v="433730.29000000004"/>
        <n v="387259.04000000004"/>
        <n v="597005.89000000013"/>
        <n v="348108.95000000007"/>
        <n v="585035.5199999999"/>
        <n v="209579.01"/>
        <n v="374580.24"/>
        <n v="195025.47"/>
        <n v="448496.04000000004"/>
        <n v="594582.96000000008"/>
        <n v="470210.51999999996"/>
        <n v="338800.77999999997"/>
        <n v="675941.51000000036"/>
        <n v="443908.37000000005"/>
        <n v="486444.86999999994"/>
        <n v="177608.51"/>
        <n v="544998.68000000005"/>
        <n v="289660.84999999998"/>
        <n v="527861.87000000011"/>
        <n v="340058.27999999997"/>
        <n v="291591.23"/>
        <n v="236637.22000000003"/>
        <n v="423801.79000000004"/>
        <n v="264052.78000000003"/>
        <n v="430655.89"/>
        <n v="303080.62"/>
        <n v="312141.78000000003"/>
        <n v="446466.66000000003"/>
        <n v="643328.2699999999"/>
        <n v="464808.38000000006"/>
        <n v="525808.81999999995"/>
        <n v="334974.05"/>
        <n v="421340.56000000006"/>
        <n v="320507.78000000003"/>
        <n v="467198.89999999997"/>
        <n v="279689.67000000004"/>
        <n v="299724.48000000004"/>
        <n v="242552.56"/>
        <n v="327681.55999999994"/>
        <n v="482704.12999999995"/>
        <n v="454755.25"/>
        <n v="270764.88999999996"/>
        <n v="355538.1"/>
        <n v="390702.42"/>
        <n v="328742.41000000003"/>
        <n v="336294.66000000003"/>
        <n v="491946.96"/>
        <n v="409352.20000000007"/>
        <n v="126930.96"/>
        <n v="280347.04000000004"/>
        <n v="345127.7"/>
        <n v="408757.97000000009"/>
        <n v="365317.35"/>
        <n v="374130.83999999997"/>
        <n v="572617.21000000008"/>
        <n v="407093.18000000005"/>
        <n v="394665.25"/>
        <n v="620143.03"/>
        <n v="411183.95999999996"/>
        <n v="260656.72999999998"/>
        <n v="760312.95"/>
        <n v="344180.89999999997"/>
        <n v="338967.33"/>
        <n v="270614.64999999997"/>
        <n v="389764.70000000007"/>
        <n v="308165.75"/>
        <n v="259890.83"/>
        <n v="304013"/>
        <n v="473468.38"/>
        <n v="277177.12"/>
        <n v="440366.93000000005"/>
        <n v="266136.02"/>
        <n v="531375.57999999984"/>
        <n v="271216.23"/>
        <n v="376626.53"/>
        <n v="315909.01999999996"/>
        <n v="372636.88"/>
        <n v="453256.37"/>
        <n v="263790.67"/>
        <n v="517905.59999999992"/>
        <n v="508858.29999999993"/>
        <n v="264763.27"/>
        <n v="270808.92000000004"/>
        <n v="374375.32000000012"/>
        <n v="464782.54000000004"/>
        <n v="295470.98"/>
        <n v="514289.04"/>
        <n v="390254.26000000007"/>
        <n v="601431.12999999989"/>
        <n v="604010.68999999994"/>
        <n v="483254.91000000003"/>
        <n v="337340.08"/>
        <n v="450640.95"/>
        <n v="304304.45"/>
        <n v="310448.98"/>
        <n v="354185.58999999997"/>
        <n v="427949.41000000009"/>
        <n v="142014.51999999999"/>
        <n v="282521.59999999998"/>
        <n v="456432.25"/>
        <n v="254360.46999999997"/>
        <n v="249308.25999999998"/>
        <n v="388309.8"/>
        <n v="541513.09999999986"/>
        <n v="443120.28"/>
        <n v="406984.81000000006"/>
        <n v="333322.06"/>
        <n v="484147.07000000007"/>
        <n v="453539.22999999992"/>
        <n v="277971.43000000005"/>
        <n v="540007.96"/>
        <n v="392784.91000000003"/>
        <n v="389891.00999999989"/>
        <n v="214474.47999999998"/>
        <n v="282773.32"/>
        <n v="252748.38000000003"/>
        <n v="345319.97000000003"/>
        <n v="303643.54000000004"/>
        <n v="442622.23999999993"/>
        <n v="271149.54000000004"/>
        <n v="771273.07"/>
        <n v="227615.65999999997"/>
        <n v="454751.92000000004"/>
        <n v="356683.08999999997"/>
        <n v="530739.67000000004"/>
        <n v="398012.87999999995"/>
        <n v="321969.96000000002"/>
        <n v="173227.63999999998"/>
        <n v="365912.46"/>
        <n v="240136.43"/>
        <n v="493814.73999999993"/>
        <n v="388250.17999999993"/>
        <n v="581590.60999999987"/>
        <n v="319361.74000000011"/>
        <n v="511428.56"/>
        <n v="269628.89"/>
        <n v="324320.81999999995"/>
        <n v="326640.70999999996"/>
        <n v="255973.33000000002"/>
        <n v="250071.83000000002"/>
        <n v="525215.49999999988"/>
        <n v="252270.55"/>
        <n v="417482.73999999993"/>
        <n v="312794.56999999995"/>
        <n v="504905.72"/>
        <n v="403128.94999999995"/>
        <n v="553948.31999999995"/>
        <n v="328478.2"/>
        <n v="448913.10000000003"/>
        <n v="295785.93"/>
        <n v="166129.48000000001"/>
        <n v="160081.56000000003"/>
        <n v="415683.23"/>
        <n v="318244.06000000006"/>
        <n v="368273.97000000009"/>
        <n v="366958.58999999991"/>
        <n v="442551.99"/>
        <n v="335893.57"/>
        <n v="432471.52"/>
        <n v="277058.93"/>
        <n v="467512.68000000005"/>
        <n v="479471.69"/>
        <n v="464412.38"/>
        <n v="357892.79000000004"/>
        <n v="604904.91999999981"/>
        <n v="215643.33000000002"/>
        <n v="596799.85"/>
        <n v="228953.43"/>
        <n v="619540.45000000007"/>
        <n v="532234.15999999992"/>
        <n v="508202.27000000014"/>
        <n v="323650.11"/>
        <n v="726717.41999999993"/>
        <n v="251185.78"/>
        <n v="321505"/>
        <n v="260182.25"/>
        <n v="570325.61"/>
        <n v="250005.1"/>
        <n v="532691.50000000012"/>
        <n v="329026.23999999993"/>
        <n v="477086.67999999993"/>
        <n v="464248.12"/>
        <n v="521119.03999999992"/>
        <n v="429391.61000000004"/>
        <n v="366122.14999999997"/>
        <n v="548426.92999999993"/>
        <n v="346623.59999999992"/>
        <n v="235959.66999999998"/>
        <n v="408089.8"/>
        <n v="334593.53999999998"/>
        <n v="401367.5799999999"/>
        <n v="427727.46000000008"/>
        <n v="432497.6"/>
        <n v="499418.32999999996"/>
        <n v="365103.56"/>
        <n v="278339.15999999997"/>
        <n v="248009.16"/>
        <n v="302969.44000000006"/>
        <n v="310386.26"/>
        <n v="227929.38"/>
        <n v="395092.67000000004"/>
        <n v="594514.39999999979"/>
        <n v="473680.52999999997"/>
        <n v="583756.36"/>
        <n v="183494.78"/>
        <n v="389887.81"/>
        <n v="614674.57999999996"/>
        <n v="313183.25999999995"/>
        <n v="373100.88"/>
        <n v="432582.75000000012"/>
        <n v="574171.70000000007"/>
        <n v="338967.39"/>
        <n v="311213.01999999996"/>
        <n v="250467.90000000005"/>
        <n v="447486.32"/>
        <n v="427411.65999999992"/>
        <n v="418093.86"/>
        <n v="314161.83"/>
      </sharedItems>
    </cacheField>
    <cacheField name="Sum of Economic Loss (Million $)" numFmtId="0">
      <sharedItems containsSemiMixedTypes="0" containsString="0" containsNumber="1" minValue="120389.1" maxValue="775769.87999999989"/>
    </cacheField>
    <cacheField name="Sum of Avg Waste per Capita (Kg)" numFmtId="0">
      <sharedItems containsSemiMixedTypes="0" containsString="0" containsNumber="1" minValue="466.88" maxValue="3550.5"/>
    </cacheField>
    <cacheField name="Sum of Population (Million)" numFmtId="0">
      <sharedItems containsSemiMixedTypes="0" containsString="0" containsNumber="1" minValue="1910.09" maxValue="21397.08"/>
    </cacheField>
    <cacheField name="Sum of Economic Loss per Ton" numFmtId="0">
      <sharedItems containsSemiMixedTypes="0" containsString="0" containsNumber="1" minValue="3744001.2008570833" maxValue="28637995.00877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x v="0"/>
    <n v="19268.63"/>
    <n v="18686.68"/>
    <n v="72.69"/>
    <n v="87.59"/>
    <x v="0"/>
    <x v="0"/>
  </r>
  <r>
    <x v="1"/>
    <x v="0"/>
    <x v="1"/>
    <n v="3916.97"/>
    <n v="4394.4799999999996"/>
    <n v="192.52"/>
    <n v="1153.99"/>
    <x v="1"/>
    <x v="0"/>
  </r>
  <r>
    <x v="2"/>
    <x v="1"/>
    <x v="2"/>
    <n v="9700.16"/>
    <n v="8909.16"/>
    <n v="166.94"/>
    <n v="1006.11"/>
    <x v="2"/>
    <x v="1"/>
  </r>
  <r>
    <x v="3"/>
    <x v="2"/>
    <x v="0"/>
    <n v="46299.69"/>
    <n v="40551.22"/>
    <n v="120.19"/>
    <n v="953.05"/>
    <x v="3"/>
    <x v="1"/>
  </r>
  <r>
    <x v="3"/>
    <x v="2"/>
    <x v="3"/>
    <n v="33096.57"/>
    <n v="36980.82"/>
    <n v="104.74"/>
    <n v="1105.47"/>
    <x v="4"/>
    <x v="1"/>
  </r>
  <r>
    <x v="4"/>
    <x v="3"/>
    <x v="0"/>
    <n v="11962.89"/>
    <n v="11196.04"/>
    <n v="136.21"/>
    <n v="1311.91"/>
    <x v="5"/>
    <x v="1"/>
  </r>
  <r>
    <x v="2"/>
    <x v="3"/>
    <x v="1"/>
    <n v="45038.720000000001"/>
    <n v="39191.25"/>
    <n v="179.27"/>
    <n v="1349.45"/>
    <x v="6"/>
    <x v="1"/>
  </r>
  <r>
    <x v="5"/>
    <x v="0"/>
    <x v="0"/>
    <n v="12791.2"/>
    <n v="12233.28"/>
    <n v="90.8"/>
    <n v="1229.29"/>
    <x v="7"/>
    <x v="0"/>
  </r>
  <r>
    <x v="6"/>
    <x v="0"/>
    <x v="4"/>
    <n v="14795.65"/>
    <n v="14346.97"/>
    <n v="128.91"/>
    <n v="450.33"/>
    <x v="8"/>
    <x v="0"/>
  </r>
  <r>
    <x v="4"/>
    <x v="0"/>
    <x v="5"/>
    <n v="12118.32"/>
    <n v="13631.17"/>
    <n v="141.75"/>
    <n v="359.26"/>
    <x v="9"/>
    <x v="0"/>
  </r>
  <r>
    <x v="7"/>
    <x v="3"/>
    <x v="6"/>
    <n v="39478.699999999997"/>
    <n v="40087.26"/>
    <n v="155.55000000000001"/>
    <n v="375.84"/>
    <x v="10"/>
    <x v="1"/>
  </r>
  <r>
    <x v="8"/>
    <x v="1"/>
    <x v="6"/>
    <n v="41025.9"/>
    <n v="35437.9"/>
    <n v="49.95"/>
    <n v="1219.43"/>
    <x v="11"/>
    <x v="1"/>
  </r>
  <r>
    <x v="9"/>
    <x v="3"/>
    <x v="3"/>
    <n v="22924.85"/>
    <n v="22406.240000000002"/>
    <n v="89.59"/>
    <n v="836.05"/>
    <x v="12"/>
    <x v="1"/>
  </r>
  <r>
    <x v="3"/>
    <x v="4"/>
    <x v="3"/>
    <n v="29295.07"/>
    <n v="34102.25"/>
    <n v="46.64"/>
    <n v="1286.73"/>
    <x v="13"/>
    <x v="0"/>
  </r>
  <r>
    <x v="9"/>
    <x v="1"/>
    <x v="7"/>
    <n v="32457.98"/>
    <n v="27905.84"/>
    <n v="46.77"/>
    <n v="865.6"/>
    <x v="14"/>
    <x v="1"/>
  </r>
  <r>
    <x v="9"/>
    <x v="5"/>
    <x v="4"/>
    <n v="43264.26"/>
    <n v="44777.94"/>
    <n v="41.81"/>
    <n v="665.18"/>
    <x v="15"/>
    <x v="0"/>
  </r>
  <r>
    <x v="10"/>
    <x v="5"/>
    <x v="6"/>
    <n v="23131.08"/>
    <n v="21882.67"/>
    <n v="50.79"/>
    <n v="853.06"/>
    <x v="16"/>
    <x v="0"/>
  </r>
  <r>
    <x v="11"/>
    <x v="6"/>
    <x v="1"/>
    <n v="18483.82"/>
    <n v="21071.65"/>
    <n v="198.62"/>
    <n v="143.12"/>
    <x v="17"/>
    <x v="0"/>
  </r>
  <r>
    <x v="6"/>
    <x v="1"/>
    <x v="4"/>
    <n v="25829.56"/>
    <n v="20806.34"/>
    <n v="119.62"/>
    <n v="185.01"/>
    <x v="18"/>
    <x v="1"/>
  </r>
  <r>
    <x v="5"/>
    <x v="4"/>
    <x v="1"/>
    <n v="11314.08"/>
    <n v="10287.700000000001"/>
    <n v="111.67"/>
    <n v="953.52"/>
    <x v="19"/>
    <x v="0"/>
  </r>
  <r>
    <x v="11"/>
    <x v="0"/>
    <x v="0"/>
    <n v="10653.37"/>
    <n v="8992.33"/>
    <n v="74.16"/>
    <n v="37.76"/>
    <x v="20"/>
    <x v="0"/>
  </r>
  <r>
    <x v="0"/>
    <x v="6"/>
    <x v="0"/>
    <n v="1322.82"/>
    <n v="1394.01"/>
    <n v="88.85"/>
    <n v="205.78"/>
    <x v="21"/>
    <x v="0"/>
  </r>
  <r>
    <x v="4"/>
    <x v="2"/>
    <x v="4"/>
    <n v="33403.26"/>
    <n v="39125.379999999997"/>
    <n v="137.6"/>
    <n v="1299.21"/>
    <x v="22"/>
    <x v="1"/>
  </r>
  <r>
    <x v="12"/>
    <x v="2"/>
    <x v="0"/>
    <n v="30875.29"/>
    <n v="31341.599999999999"/>
    <n v="198.26"/>
    <n v="349.04"/>
    <x v="23"/>
    <x v="1"/>
  </r>
  <r>
    <x v="11"/>
    <x v="3"/>
    <x v="1"/>
    <n v="33085.769999999997"/>
    <n v="28923.13"/>
    <n v="37.71"/>
    <n v="552.45000000000005"/>
    <x v="24"/>
    <x v="1"/>
  </r>
  <r>
    <x v="2"/>
    <x v="4"/>
    <x v="3"/>
    <n v="12336.2"/>
    <n v="10077.91"/>
    <n v="38.86"/>
    <n v="689.21"/>
    <x v="25"/>
    <x v="0"/>
  </r>
  <r>
    <x v="10"/>
    <x v="5"/>
    <x v="7"/>
    <n v="5949.18"/>
    <n v="6656.14"/>
    <n v="35.46"/>
    <n v="698.43"/>
    <x v="26"/>
    <x v="0"/>
  </r>
  <r>
    <x v="3"/>
    <x v="4"/>
    <x v="6"/>
    <n v="17470.52"/>
    <n v="16267.24"/>
    <n v="73.760000000000005"/>
    <n v="855.4"/>
    <x v="27"/>
    <x v="0"/>
  </r>
  <r>
    <x v="13"/>
    <x v="5"/>
    <x v="0"/>
    <n v="41676.18"/>
    <n v="43058.29"/>
    <n v="135.22"/>
    <n v="1325.54"/>
    <x v="28"/>
    <x v="0"/>
  </r>
  <r>
    <x v="14"/>
    <x v="4"/>
    <x v="4"/>
    <n v="20604.34"/>
    <n v="23257.47"/>
    <n v="31.88"/>
    <n v="412.45"/>
    <x v="29"/>
    <x v="0"/>
  </r>
  <r>
    <x v="15"/>
    <x v="6"/>
    <x v="7"/>
    <n v="49310.46"/>
    <n v="49520.57"/>
    <n v="21.69"/>
    <n v="983.97"/>
    <x v="30"/>
    <x v="0"/>
  </r>
  <r>
    <x v="1"/>
    <x v="3"/>
    <x v="6"/>
    <n v="26812.66"/>
    <n v="28028.3"/>
    <n v="57"/>
    <n v="891.66"/>
    <x v="31"/>
    <x v="1"/>
  </r>
  <r>
    <x v="15"/>
    <x v="1"/>
    <x v="7"/>
    <n v="17868.63"/>
    <n v="20588.93"/>
    <n v="82.52"/>
    <n v="897.76"/>
    <x v="32"/>
    <x v="1"/>
  </r>
  <r>
    <x v="9"/>
    <x v="0"/>
    <x v="7"/>
    <n v="13732.64"/>
    <n v="15129.94"/>
    <n v="156.84"/>
    <n v="618.88"/>
    <x v="33"/>
    <x v="0"/>
  </r>
  <r>
    <x v="11"/>
    <x v="0"/>
    <x v="3"/>
    <n v="29827.95"/>
    <n v="31970.55"/>
    <n v="102.81"/>
    <n v="1235.4000000000001"/>
    <x v="34"/>
    <x v="0"/>
  </r>
  <r>
    <x v="16"/>
    <x v="5"/>
    <x v="6"/>
    <n v="28802.2"/>
    <n v="29584.639999999999"/>
    <n v="190.42"/>
    <n v="687.81"/>
    <x v="35"/>
    <x v="0"/>
  </r>
  <r>
    <x v="17"/>
    <x v="2"/>
    <x v="6"/>
    <n v="29848.3"/>
    <n v="27362.18"/>
    <n v="47.82"/>
    <n v="1131.8"/>
    <x v="36"/>
    <x v="1"/>
  </r>
  <r>
    <x v="10"/>
    <x v="3"/>
    <x v="5"/>
    <n v="39420.559999999998"/>
    <n v="34541.01"/>
    <n v="65.63"/>
    <n v="513.73"/>
    <x v="37"/>
    <x v="1"/>
  </r>
  <r>
    <x v="10"/>
    <x v="3"/>
    <x v="1"/>
    <n v="37292.94"/>
    <n v="35268.410000000003"/>
    <n v="80.599999999999994"/>
    <n v="619.76"/>
    <x v="38"/>
    <x v="1"/>
  </r>
  <r>
    <x v="8"/>
    <x v="6"/>
    <x v="3"/>
    <n v="44797.11"/>
    <n v="41233.800000000003"/>
    <n v="64.739999999999995"/>
    <n v="1234.6300000000001"/>
    <x v="39"/>
    <x v="0"/>
  </r>
  <r>
    <x v="8"/>
    <x v="2"/>
    <x v="7"/>
    <n v="40398.07"/>
    <n v="48103.94"/>
    <n v="177.95"/>
    <n v="367.79"/>
    <x v="40"/>
    <x v="1"/>
  </r>
  <r>
    <x v="18"/>
    <x v="6"/>
    <x v="2"/>
    <n v="13679.64"/>
    <n v="14249.79"/>
    <n v="182.75"/>
    <n v="776.16"/>
    <x v="41"/>
    <x v="0"/>
  </r>
  <r>
    <x v="5"/>
    <x v="3"/>
    <x v="6"/>
    <n v="11766.79"/>
    <n v="11890.12"/>
    <n v="21.26"/>
    <n v="84.69"/>
    <x v="42"/>
    <x v="1"/>
  </r>
  <r>
    <x v="15"/>
    <x v="5"/>
    <x v="4"/>
    <n v="24444.03"/>
    <n v="26615.82"/>
    <n v="123.83"/>
    <n v="303.77999999999997"/>
    <x v="43"/>
    <x v="0"/>
  </r>
  <r>
    <x v="18"/>
    <x v="0"/>
    <x v="7"/>
    <n v="15476.91"/>
    <n v="13087.99"/>
    <n v="176.5"/>
    <n v="1335.8"/>
    <x v="44"/>
    <x v="0"/>
  </r>
  <r>
    <x v="11"/>
    <x v="4"/>
    <x v="6"/>
    <n v="2751.15"/>
    <n v="2310.7600000000002"/>
    <n v="52.39"/>
    <n v="622.91999999999996"/>
    <x v="45"/>
    <x v="0"/>
  </r>
  <r>
    <x v="12"/>
    <x v="3"/>
    <x v="0"/>
    <n v="20238.650000000001"/>
    <n v="18395.86"/>
    <n v="22.64"/>
    <n v="467.6"/>
    <x v="46"/>
    <x v="1"/>
  </r>
  <r>
    <x v="9"/>
    <x v="1"/>
    <x v="2"/>
    <n v="8731.68"/>
    <n v="10040.120000000001"/>
    <n v="63.83"/>
    <n v="543.41"/>
    <x v="47"/>
    <x v="1"/>
  </r>
  <r>
    <x v="6"/>
    <x v="2"/>
    <x v="5"/>
    <n v="23609.83"/>
    <n v="25520.57"/>
    <n v="152.21"/>
    <n v="272.87"/>
    <x v="48"/>
    <x v="1"/>
  </r>
  <r>
    <x v="17"/>
    <x v="3"/>
    <x v="5"/>
    <n v="38427.68"/>
    <n v="31258.66"/>
    <n v="92.89"/>
    <n v="952.23"/>
    <x v="49"/>
    <x v="1"/>
  </r>
  <r>
    <x v="2"/>
    <x v="2"/>
    <x v="7"/>
    <n v="33550.410000000003"/>
    <n v="32946.480000000003"/>
    <n v="193.85"/>
    <n v="1333.3"/>
    <x v="50"/>
    <x v="1"/>
  </r>
  <r>
    <x v="0"/>
    <x v="6"/>
    <x v="3"/>
    <n v="45243.85"/>
    <n v="37828.94"/>
    <n v="47.21"/>
    <n v="559.57000000000005"/>
    <x v="51"/>
    <x v="0"/>
  </r>
  <r>
    <x v="6"/>
    <x v="2"/>
    <x v="4"/>
    <n v="30022.09"/>
    <n v="24487.08"/>
    <n v="92.64"/>
    <n v="1278.03"/>
    <x v="52"/>
    <x v="1"/>
  </r>
  <r>
    <x v="15"/>
    <x v="0"/>
    <x v="1"/>
    <n v="49481.61"/>
    <n v="51126.239999999998"/>
    <n v="95.46"/>
    <n v="1281.78"/>
    <x v="53"/>
    <x v="0"/>
  </r>
  <r>
    <x v="0"/>
    <x v="1"/>
    <x v="5"/>
    <n v="13313.78"/>
    <n v="13273.68"/>
    <n v="140.85"/>
    <n v="183.45"/>
    <x v="54"/>
    <x v="1"/>
  </r>
  <r>
    <x v="6"/>
    <x v="5"/>
    <x v="6"/>
    <n v="33936.660000000003"/>
    <n v="31082.9"/>
    <n v="24.93"/>
    <n v="1234.55"/>
    <x v="55"/>
    <x v="0"/>
  </r>
  <r>
    <x v="18"/>
    <x v="6"/>
    <x v="1"/>
    <n v="26418.47"/>
    <n v="24820.06"/>
    <n v="85.69"/>
    <n v="1257.32"/>
    <x v="56"/>
    <x v="0"/>
  </r>
  <r>
    <x v="14"/>
    <x v="5"/>
    <x v="6"/>
    <n v="25204.06"/>
    <n v="22725.56"/>
    <n v="65.790000000000006"/>
    <n v="1196.99"/>
    <x v="57"/>
    <x v="0"/>
  </r>
  <r>
    <x v="8"/>
    <x v="1"/>
    <x v="1"/>
    <n v="3891.45"/>
    <n v="4059.29"/>
    <n v="183.91"/>
    <n v="160.01"/>
    <x v="58"/>
    <x v="1"/>
  </r>
  <r>
    <x v="16"/>
    <x v="3"/>
    <x v="6"/>
    <n v="29007.66"/>
    <n v="28622.38"/>
    <n v="34.53"/>
    <n v="1327.02"/>
    <x v="59"/>
    <x v="1"/>
  </r>
  <r>
    <x v="14"/>
    <x v="5"/>
    <x v="4"/>
    <n v="32727.8"/>
    <n v="37447.1"/>
    <n v="100.48"/>
    <n v="261.12"/>
    <x v="60"/>
    <x v="0"/>
  </r>
  <r>
    <x v="12"/>
    <x v="2"/>
    <x v="2"/>
    <n v="46189.14"/>
    <n v="42351.8"/>
    <n v="150.94999999999999"/>
    <n v="253.83"/>
    <x v="61"/>
    <x v="1"/>
  </r>
  <r>
    <x v="11"/>
    <x v="3"/>
    <x v="0"/>
    <n v="1104.56"/>
    <n v="1300.1400000000001"/>
    <n v="134.77000000000001"/>
    <n v="906.42"/>
    <x v="62"/>
    <x v="1"/>
  </r>
  <r>
    <x v="14"/>
    <x v="5"/>
    <x v="1"/>
    <n v="41701.22"/>
    <n v="42629.63"/>
    <n v="154.94999999999999"/>
    <n v="850.56"/>
    <x v="63"/>
    <x v="0"/>
  </r>
  <r>
    <x v="19"/>
    <x v="1"/>
    <x v="1"/>
    <n v="11484.88"/>
    <n v="10827.65"/>
    <n v="196.26"/>
    <n v="39.26"/>
    <x v="64"/>
    <x v="1"/>
  </r>
  <r>
    <x v="1"/>
    <x v="5"/>
    <x v="3"/>
    <n v="23043.63"/>
    <n v="22714.51"/>
    <n v="167.69"/>
    <n v="477.21"/>
    <x v="65"/>
    <x v="0"/>
  </r>
  <r>
    <x v="19"/>
    <x v="3"/>
    <x v="6"/>
    <n v="49640.44"/>
    <n v="43002.21"/>
    <n v="147.97"/>
    <n v="1199.99"/>
    <x v="66"/>
    <x v="1"/>
  </r>
  <r>
    <x v="8"/>
    <x v="0"/>
    <x v="6"/>
    <n v="47373.71"/>
    <n v="50237.279999999999"/>
    <n v="122.91"/>
    <n v="1333.29"/>
    <x v="67"/>
    <x v="0"/>
  </r>
  <r>
    <x v="5"/>
    <x v="5"/>
    <x v="2"/>
    <n v="16464.38"/>
    <n v="18670.32"/>
    <n v="37.64"/>
    <n v="1184.69"/>
    <x v="68"/>
    <x v="0"/>
  </r>
  <r>
    <x v="2"/>
    <x v="3"/>
    <x v="0"/>
    <n v="26111.99"/>
    <n v="21589.27"/>
    <n v="168.69"/>
    <n v="1172.25"/>
    <x v="69"/>
    <x v="1"/>
  </r>
  <r>
    <x v="19"/>
    <x v="1"/>
    <x v="5"/>
    <n v="29147.18"/>
    <n v="33953.620000000003"/>
    <n v="131.16"/>
    <n v="1317.63"/>
    <x v="70"/>
    <x v="1"/>
  </r>
  <r>
    <x v="11"/>
    <x v="2"/>
    <x v="2"/>
    <n v="12894.18"/>
    <n v="13051.48"/>
    <n v="160.37"/>
    <n v="418.74"/>
    <x v="71"/>
    <x v="1"/>
  </r>
  <r>
    <x v="12"/>
    <x v="4"/>
    <x v="0"/>
    <n v="24353.78"/>
    <n v="26604.16"/>
    <n v="188.03"/>
    <n v="430.09"/>
    <x v="72"/>
    <x v="0"/>
  </r>
  <r>
    <x v="2"/>
    <x v="2"/>
    <x v="1"/>
    <n v="46296.01"/>
    <n v="45513.35"/>
    <n v="53.07"/>
    <n v="754.61"/>
    <x v="73"/>
    <x v="1"/>
  </r>
  <r>
    <x v="1"/>
    <x v="2"/>
    <x v="1"/>
    <n v="35998.11"/>
    <n v="32227.85"/>
    <n v="69.8"/>
    <n v="672.05"/>
    <x v="74"/>
    <x v="1"/>
  </r>
  <r>
    <x v="4"/>
    <x v="3"/>
    <x v="7"/>
    <n v="19940.669999999998"/>
    <n v="16685"/>
    <n v="69.489999999999995"/>
    <n v="1246.79"/>
    <x v="75"/>
    <x v="1"/>
  </r>
  <r>
    <x v="14"/>
    <x v="0"/>
    <x v="2"/>
    <n v="20682.45"/>
    <n v="18331.22"/>
    <n v="75.790000000000006"/>
    <n v="789.69"/>
    <x v="76"/>
    <x v="0"/>
  </r>
  <r>
    <x v="4"/>
    <x v="3"/>
    <x v="3"/>
    <n v="25894.46"/>
    <n v="23584.07"/>
    <n v="85.66"/>
    <n v="1317.81"/>
    <x v="77"/>
    <x v="1"/>
  </r>
  <r>
    <x v="8"/>
    <x v="3"/>
    <x v="5"/>
    <n v="6206.67"/>
    <n v="5227.1000000000004"/>
    <n v="109.03"/>
    <n v="1303.51"/>
    <x v="78"/>
    <x v="1"/>
  </r>
  <r>
    <x v="6"/>
    <x v="2"/>
    <x v="1"/>
    <n v="6158.59"/>
    <n v="5344.53"/>
    <n v="52.96"/>
    <n v="271.02999999999997"/>
    <x v="79"/>
    <x v="1"/>
  </r>
  <r>
    <x v="17"/>
    <x v="4"/>
    <x v="2"/>
    <n v="2995.27"/>
    <n v="3247.61"/>
    <n v="47.23"/>
    <n v="592.16"/>
    <x v="80"/>
    <x v="0"/>
  </r>
  <r>
    <x v="1"/>
    <x v="4"/>
    <x v="6"/>
    <n v="22227.759999999998"/>
    <n v="24684.1"/>
    <n v="186.41"/>
    <n v="378.43"/>
    <x v="81"/>
    <x v="0"/>
  </r>
  <r>
    <x v="17"/>
    <x v="5"/>
    <x v="5"/>
    <n v="37912.85"/>
    <n v="31508.32"/>
    <n v="147.55000000000001"/>
    <n v="1208.19"/>
    <x v="82"/>
    <x v="0"/>
  </r>
  <r>
    <x v="3"/>
    <x v="2"/>
    <x v="1"/>
    <n v="45216.87"/>
    <n v="53291.62"/>
    <n v="199.27"/>
    <n v="1258.49"/>
    <x v="83"/>
    <x v="1"/>
  </r>
  <r>
    <x v="11"/>
    <x v="6"/>
    <x v="4"/>
    <n v="6000.35"/>
    <n v="6335.63"/>
    <n v="119.75"/>
    <n v="936.97"/>
    <x v="84"/>
    <x v="0"/>
  </r>
  <r>
    <x v="5"/>
    <x v="0"/>
    <x v="5"/>
    <n v="11699.76"/>
    <n v="13226.55"/>
    <n v="139.02000000000001"/>
    <n v="143.06"/>
    <x v="85"/>
    <x v="0"/>
  </r>
  <r>
    <x v="11"/>
    <x v="5"/>
    <x v="1"/>
    <n v="34919.42"/>
    <n v="40964.21"/>
    <n v="196.62"/>
    <n v="343.21"/>
    <x v="86"/>
    <x v="0"/>
  </r>
  <r>
    <x v="6"/>
    <x v="2"/>
    <x v="3"/>
    <n v="37270.620000000003"/>
    <n v="43998.68"/>
    <n v="148.18"/>
    <n v="459.9"/>
    <x v="87"/>
    <x v="1"/>
  </r>
  <r>
    <x v="13"/>
    <x v="4"/>
    <x v="3"/>
    <n v="30435.06"/>
    <n v="28495.47"/>
    <n v="131.24"/>
    <n v="876.44"/>
    <x v="88"/>
    <x v="0"/>
  </r>
  <r>
    <x v="16"/>
    <x v="5"/>
    <x v="3"/>
    <n v="29977.13"/>
    <n v="30214.94"/>
    <n v="92.79"/>
    <n v="330.05"/>
    <x v="89"/>
    <x v="0"/>
  </r>
  <r>
    <x v="1"/>
    <x v="3"/>
    <x v="4"/>
    <n v="41624.99"/>
    <n v="42883.64"/>
    <n v="88.01"/>
    <n v="674.31"/>
    <x v="90"/>
    <x v="1"/>
  </r>
  <r>
    <x v="3"/>
    <x v="1"/>
    <x v="0"/>
    <n v="23626.74"/>
    <n v="24156.13"/>
    <n v="198.38"/>
    <n v="745.17"/>
    <x v="91"/>
    <x v="1"/>
  </r>
  <r>
    <x v="2"/>
    <x v="1"/>
    <x v="3"/>
    <n v="48456.51"/>
    <n v="42311.26"/>
    <n v="191.89"/>
    <n v="370.23"/>
    <x v="92"/>
    <x v="1"/>
  </r>
  <r>
    <x v="12"/>
    <x v="2"/>
    <x v="3"/>
    <n v="11714.16"/>
    <n v="10116"/>
    <n v="103.42"/>
    <n v="918.9"/>
    <x v="93"/>
    <x v="1"/>
  </r>
  <r>
    <x v="0"/>
    <x v="2"/>
    <x v="3"/>
    <n v="3628.5"/>
    <n v="4199.04"/>
    <n v="100.92"/>
    <n v="654.54999999999995"/>
    <x v="94"/>
    <x v="1"/>
  </r>
  <r>
    <x v="11"/>
    <x v="6"/>
    <x v="6"/>
    <n v="5522.93"/>
    <n v="4526.3500000000004"/>
    <n v="179.95"/>
    <n v="425.27"/>
    <x v="95"/>
    <x v="0"/>
  </r>
  <r>
    <x v="6"/>
    <x v="0"/>
    <x v="6"/>
    <n v="5222.79"/>
    <n v="5146.97"/>
    <n v="39.159999999999997"/>
    <n v="1388.73"/>
    <x v="96"/>
    <x v="0"/>
  </r>
  <r>
    <x v="4"/>
    <x v="4"/>
    <x v="1"/>
    <n v="24858.69"/>
    <n v="21034.400000000001"/>
    <n v="156.15"/>
    <n v="1057.3900000000001"/>
    <x v="97"/>
    <x v="0"/>
  </r>
  <r>
    <x v="14"/>
    <x v="4"/>
    <x v="4"/>
    <n v="49002.55"/>
    <n v="39733.879999999997"/>
    <n v="69.3"/>
    <n v="1280.4000000000001"/>
    <x v="98"/>
    <x v="0"/>
  </r>
  <r>
    <x v="10"/>
    <x v="1"/>
    <x v="0"/>
    <n v="37440.239999999998"/>
    <n v="33827.9"/>
    <n v="94.17"/>
    <n v="953.06"/>
    <x v="99"/>
    <x v="1"/>
  </r>
  <r>
    <x v="10"/>
    <x v="2"/>
    <x v="7"/>
    <n v="30854.25"/>
    <n v="28373.57"/>
    <n v="115.04"/>
    <n v="747.57"/>
    <x v="100"/>
    <x v="1"/>
  </r>
  <r>
    <x v="12"/>
    <x v="3"/>
    <x v="4"/>
    <n v="46852.800000000003"/>
    <n v="55386.73"/>
    <n v="139.02000000000001"/>
    <n v="24.51"/>
    <x v="101"/>
    <x v="1"/>
  </r>
  <r>
    <x v="11"/>
    <x v="1"/>
    <x v="4"/>
    <n v="11318.5"/>
    <n v="12341.11"/>
    <n v="64.349999999999994"/>
    <n v="1018.05"/>
    <x v="102"/>
    <x v="1"/>
  </r>
  <r>
    <x v="19"/>
    <x v="5"/>
    <x v="3"/>
    <n v="40184.32"/>
    <n v="39105.550000000003"/>
    <n v="152.13999999999999"/>
    <n v="377.45"/>
    <x v="103"/>
    <x v="0"/>
  </r>
  <r>
    <x v="8"/>
    <x v="2"/>
    <x v="0"/>
    <n v="2192.54"/>
    <n v="2459.5100000000002"/>
    <n v="181.4"/>
    <n v="705.89"/>
    <x v="104"/>
    <x v="1"/>
  </r>
  <r>
    <x v="15"/>
    <x v="2"/>
    <x v="6"/>
    <n v="27521.46"/>
    <n v="25452.38"/>
    <n v="176.44"/>
    <n v="1116.0999999999999"/>
    <x v="105"/>
    <x v="1"/>
  </r>
  <r>
    <x v="15"/>
    <x v="5"/>
    <x v="5"/>
    <n v="33487.17"/>
    <n v="37702.25"/>
    <n v="86.33"/>
    <n v="1025.8800000000001"/>
    <x v="106"/>
    <x v="0"/>
  </r>
  <r>
    <x v="9"/>
    <x v="3"/>
    <x v="1"/>
    <n v="35924.32"/>
    <n v="30004.9"/>
    <n v="192.56"/>
    <n v="1109.32"/>
    <x v="107"/>
    <x v="1"/>
  </r>
  <r>
    <x v="15"/>
    <x v="0"/>
    <x v="4"/>
    <n v="43465.47"/>
    <n v="42742.96"/>
    <n v="129.35"/>
    <n v="889.88"/>
    <x v="108"/>
    <x v="0"/>
  </r>
  <r>
    <x v="13"/>
    <x v="3"/>
    <x v="4"/>
    <n v="33791.279999999999"/>
    <n v="31479.67"/>
    <n v="65.900000000000006"/>
    <n v="219.46"/>
    <x v="109"/>
    <x v="1"/>
  </r>
  <r>
    <x v="1"/>
    <x v="2"/>
    <x v="4"/>
    <n v="48216.19"/>
    <n v="51593.84"/>
    <n v="151.13999999999999"/>
    <n v="353.04"/>
    <x v="110"/>
    <x v="1"/>
  </r>
  <r>
    <x v="3"/>
    <x v="3"/>
    <x v="6"/>
    <n v="1314.06"/>
    <n v="1332.64"/>
    <n v="128.69"/>
    <n v="1082.83"/>
    <x v="111"/>
    <x v="1"/>
  </r>
  <r>
    <x v="10"/>
    <x v="4"/>
    <x v="2"/>
    <n v="21847"/>
    <n v="20986.45"/>
    <n v="84.77"/>
    <n v="846.22"/>
    <x v="112"/>
    <x v="0"/>
  </r>
  <r>
    <x v="11"/>
    <x v="3"/>
    <x v="1"/>
    <n v="37050.71"/>
    <n v="38365.47"/>
    <n v="196.14"/>
    <n v="116.66"/>
    <x v="113"/>
    <x v="1"/>
  </r>
  <r>
    <x v="3"/>
    <x v="6"/>
    <x v="3"/>
    <n v="41479.300000000003"/>
    <n v="45051.73"/>
    <n v="157.4"/>
    <n v="53.57"/>
    <x v="114"/>
    <x v="0"/>
  </r>
  <r>
    <x v="3"/>
    <x v="6"/>
    <x v="7"/>
    <n v="24927.16"/>
    <n v="21789.99"/>
    <n v="48.66"/>
    <n v="597.02"/>
    <x v="115"/>
    <x v="0"/>
  </r>
  <r>
    <x v="15"/>
    <x v="6"/>
    <x v="0"/>
    <n v="48169.18"/>
    <n v="53898.55"/>
    <n v="60.39"/>
    <n v="1231.31"/>
    <x v="116"/>
    <x v="0"/>
  </r>
  <r>
    <x v="10"/>
    <x v="2"/>
    <x v="1"/>
    <n v="16972.96"/>
    <n v="14320.65"/>
    <n v="99.26"/>
    <n v="165.4"/>
    <x v="117"/>
    <x v="1"/>
  </r>
  <r>
    <x v="13"/>
    <x v="2"/>
    <x v="2"/>
    <n v="13937.28"/>
    <n v="15512.11"/>
    <n v="108.3"/>
    <n v="27.87"/>
    <x v="118"/>
    <x v="1"/>
  </r>
  <r>
    <x v="2"/>
    <x v="0"/>
    <x v="3"/>
    <n v="23004.2"/>
    <n v="19818.330000000002"/>
    <n v="76.510000000000005"/>
    <n v="199.6"/>
    <x v="119"/>
    <x v="0"/>
  </r>
  <r>
    <x v="6"/>
    <x v="4"/>
    <x v="1"/>
    <n v="10099.58"/>
    <n v="10925.71"/>
    <n v="145.46"/>
    <n v="1363.87"/>
    <x v="120"/>
    <x v="0"/>
  </r>
  <r>
    <x v="8"/>
    <x v="3"/>
    <x v="2"/>
    <n v="47567.09"/>
    <n v="46165.99"/>
    <n v="94.32"/>
    <n v="32.61"/>
    <x v="121"/>
    <x v="1"/>
  </r>
  <r>
    <x v="7"/>
    <x v="3"/>
    <x v="0"/>
    <n v="16963.98"/>
    <n v="19065.759999999998"/>
    <n v="193.04"/>
    <n v="1268.4000000000001"/>
    <x v="122"/>
    <x v="1"/>
  </r>
  <r>
    <x v="13"/>
    <x v="5"/>
    <x v="6"/>
    <n v="30672.66"/>
    <n v="31614.27"/>
    <n v="20.47"/>
    <n v="470.41"/>
    <x v="123"/>
    <x v="0"/>
  </r>
  <r>
    <x v="18"/>
    <x v="1"/>
    <x v="4"/>
    <n v="38383.370000000003"/>
    <n v="42044.15"/>
    <n v="140.83000000000001"/>
    <n v="515.01"/>
    <x v="124"/>
    <x v="1"/>
  </r>
  <r>
    <x v="15"/>
    <x v="1"/>
    <x v="2"/>
    <n v="8037.7"/>
    <n v="8365.3700000000008"/>
    <n v="196.29"/>
    <n v="880.47"/>
    <x v="125"/>
    <x v="1"/>
  </r>
  <r>
    <x v="13"/>
    <x v="0"/>
    <x v="7"/>
    <n v="24425.55"/>
    <n v="26942.73"/>
    <n v="54.77"/>
    <n v="966.95"/>
    <x v="126"/>
    <x v="0"/>
  </r>
  <r>
    <x v="9"/>
    <x v="5"/>
    <x v="7"/>
    <n v="34908.959999999999"/>
    <n v="40850.93"/>
    <n v="121.91"/>
    <n v="237.19"/>
    <x v="127"/>
    <x v="0"/>
  </r>
  <r>
    <x v="4"/>
    <x v="1"/>
    <x v="6"/>
    <n v="11629.26"/>
    <n v="11829.8"/>
    <n v="64.13"/>
    <n v="716.37"/>
    <x v="128"/>
    <x v="1"/>
  </r>
  <r>
    <x v="5"/>
    <x v="6"/>
    <x v="4"/>
    <n v="6880.38"/>
    <n v="7585.37"/>
    <n v="71.67"/>
    <n v="1387.28"/>
    <x v="129"/>
    <x v="0"/>
  </r>
  <r>
    <x v="16"/>
    <x v="4"/>
    <x v="6"/>
    <n v="1325.37"/>
    <n v="1513.38"/>
    <n v="154.74"/>
    <n v="221.32"/>
    <x v="130"/>
    <x v="0"/>
  </r>
  <r>
    <x v="1"/>
    <x v="3"/>
    <x v="6"/>
    <n v="3567.42"/>
    <n v="3713.77"/>
    <n v="51.71"/>
    <n v="255.85"/>
    <x v="131"/>
    <x v="1"/>
  </r>
  <r>
    <x v="10"/>
    <x v="0"/>
    <x v="2"/>
    <n v="8646.0400000000009"/>
    <n v="10179.33"/>
    <n v="132.05000000000001"/>
    <n v="73.19"/>
    <x v="132"/>
    <x v="0"/>
  </r>
  <r>
    <x v="6"/>
    <x v="5"/>
    <x v="3"/>
    <n v="41619.64"/>
    <n v="44143.49"/>
    <n v="72.03"/>
    <n v="108.81"/>
    <x v="133"/>
    <x v="0"/>
  </r>
  <r>
    <x v="6"/>
    <x v="6"/>
    <x v="7"/>
    <n v="10908.22"/>
    <n v="11660.55"/>
    <n v="45.21"/>
    <n v="567.83000000000004"/>
    <x v="134"/>
    <x v="0"/>
  </r>
  <r>
    <x v="11"/>
    <x v="1"/>
    <x v="5"/>
    <n v="42281.31"/>
    <n v="42664.53"/>
    <n v="35.36"/>
    <n v="994.35"/>
    <x v="135"/>
    <x v="1"/>
  </r>
  <r>
    <x v="2"/>
    <x v="6"/>
    <x v="0"/>
    <n v="1474.15"/>
    <n v="1540.57"/>
    <n v="196.14"/>
    <n v="105.89"/>
    <x v="136"/>
    <x v="0"/>
  </r>
  <r>
    <x v="6"/>
    <x v="4"/>
    <x v="4"/>
    <n v="5636.3"/>
    <n v="5593.44"/>
    <n v="34.72"/>
    <n v="911.69"/>
    <x v="137"/>
    <x v="0"/>
  </r>
  <r>
    <x v="19"/>
    <x v="6"/>
    <x v="4"/>
    <n v="23475.18"/>
    <n v="20967.939999999999"/>
    <n v="44.9"/>
    <n v="333.9"/>
    <x v="138"/>
    <x v="0"/>
  </r>
  <r>
    <x v="18"/>
    <x v="0"/>
    <x v="0"/>
    <n v="27030.65"/>
    <n v="27392.400000000001"/>
    <n v="169.05"/>
    <n v="919.96"/>
    <x v="139"/>
    <x v="0"/>
  </r>
  <r>
    <x v="4"/>
    <x v="2"/>
    <x v="4"/>
    <n v="43446.92"/>
    <n v="47096.44"/>
    <n v="35.450000000000003"/>
    <n v="16.149999999999999"/>
    <x v="140"/>
    <x v="1"/>
  </r>
  <r>
    <x v="7"/>
    <x v="0"/>
    <x v="5"/>
    <n v="34585.58"/>
    <n v="33098.129999999997"/>
    <n v="132.07"/>
    <n v="1354.57"/>
    <x v="141"/>
    <x v="0"/>
  </r>
  <r>
    <x v="7"/>
    <x v="6"/>
    <x v="3"/>
    <n v="20690.04"/>
    <n v="17002.439999999999"/>
    <n v="92.56"/>
    <n v="1201.73"/>
    <x v="142"/>
    <x v="0"/>
  </r>
  <r>
    <x v="0"/>
    <x v="2"/>
    <x v="7"/>
    <n v="35899.519999999997"/>
    <n v="36123.81"/>
    <n v="127.57"/>
    <n v="503.69"/>
    <x v="143"/>
    <x v="1"/>
  </r>
  <r>
    <x v="5"/>
    <x v="3"/>
    <x v="2"/>
    <n v="41094.36"/>
    <n v="42324.94"/>
    <n v="81.2"/>
    <n v="760.09"/>
    <x v="144"/>
    <x v="1"/>
  </r>
  <r>
    <x v="9"/>
    <x v="1"/>
    <x v="7"/>
    <n v="48642.96"/>
    <n v="50037.63"/>
    <n v="57.61"/>
    <n v="1105.55"/>
    <x v="145"/>
    <x v="1"/>
  </r>
  <r>
    <x v="9"/>
    <x v="6"/>
    <x v="2"/>
    <n v="10517.37"/>
    <n v="11093.88"/>
    <n v="77.33"/>
    <n v="65.06"/>
    <x v="146"/>
    <x v="0"/>
  </r>
  <r>
    <x v="9"/>
    <x v="6"/>
    <x v="2"/>
    <n v="19143.400000000001"/>
    <n v="18627.53"/>
    <n v="199.02"/>
    <n v="544.66"/>
    <x v="147"/>
    <x v="0"/>
  </r>
  <r>
    <x v="11"/>
    <x v="2"/>
    <x v="1"/>
    <n v="31798.5"/>
    <n v="27380.38"/>
    <n v="45.11"/>
    <n v="462.38"/>
    <x v="148"/>
    <x v="1"/>
  </r>
  <r>
    <x v="2"/>
    <x v="4"/>
    <x v="3"/>
    <n v="6860.69"/>
    <n v="7700.46"/>
    <n v="104.38"/>
    <n v="495.94"/>
    <x v="149"/>
    <x v="0"/>
  </r>
  <r>
    <x v="10"/>
    <x v="4"/>
    <x v="3"/>
    <n v="49122.58"/>
    <n v="51296.9"/>
    <n v="99.49"/>
    <n v="539.04"/>
    <x v="150"/>
    <x v="0"/>
  </r>
  <r>
    <x v="16"/>
    <x v="6"/>
    <x v="7"/>
    <n v="40262.79"/>
    <n v="41152.89"/>
    <n v="58.15"/>
    <n v="816.23"/>
    <x v="151"/>
    <x v="0"/>
  </r>
  <r>
    <x v="2"/>
    <x v="1"/>
    <x v="3"/>
    <n v="14791.28"/>
    <n v="16497.72"/>
    <n v="159.66999999999999"/>
    <n v="667.57"/>
    <x v="152"/>
    <x v="1"/>
  </r>
  <r>
    <x v="19"/>
    <x v="2"/>
    <x v="6"/>
    <n v="6743.26"/>
    <n v="6479.62"/>
    <n v="55.33"/>
    <n v="1118.23"/>
    <x v="153"/>
    <x v="1"/>
  </r>
  <r>
    <x v="9"/>
    <x v="0"/>
    <x v="2"/>
    <n v="4194.0600000000004"/>
    <n v="3640.51"/>
    <n v="187.66"/>
    <n v="337.53"/>
    <x v="154"/>
    <x v="0"/>
  </r>
  <r>
    <x v="13"/>
    <x v="2"/>
    <x v="3"/>
    <n v="46787.67"/>
    <n v="50857"/>
    <n v="53.42"/>
    <n v="663.44"/>
    <x v="155"/>
    <x v="1"/>
  </r>
  <r>
    <x v="15"/>
    <x v="3"/>
    <x v="0"/>
    <n v="34377.5"/>
    <n v="29795.03"/>
    <n v="119.44"/>
    <n v="790.96"/>
    <x v="156"/>
    <x v="1"/>
  </r>
  <r>
    <x v="19"/>
    <x v="2"/>
    <x v="7"/>
    <n v="23215.07"/>
    <n v="23317.07"/>
    <n v="195.51"/>
    <n v="669.66"/>
    <x v="157"/>
    <x v="1"/>
  </r>
  <r>
    <x v="19"/>
    <x v="1"/>
    <x v="1"/>
    <n v="43199.69"/>
    <n v="47597.87"/>
    <n v="60.43"/>
    <n v="1077.0899999999999"/>
    <x v="158"/>
    <x v="1"/>
  </r>
  <r>
    <x v="6"/>
    <x v="2"/>
    <x v="7"/>
    <n v="8030.17"/>
    <n v="7356.13"/>
    <n v="76.42"/>
    <n v="454.39"/>
    <x v="159"/>
    <x v="1"/>
  </r>
  <r>
    <x v="8"/>
    <x v="5"/>
    <x v="7"/>
    <n v="6814.57"/>
    <n v="6646.62"/>
    <n v="55.24"/>
    <n v="336.87"/>
    <x v="160"/>
    <x v="0"/>
  </r>
  <r>
    <x v="3"/>
    <x v="3"/>
    <x v="7"/>
    <n v="3959.24"/>
    <n v="4269.63"/>
    <n v="107.29"/>
    <n v="987.09"/>
    <x v="161"/>
    <x v="1"/>
  </r>
  <r>
    <x v="11"/>
    <x v="3"/>
    <x v="4"/>
    <n v="7049.17"/>
    <n v="7695.97"/>
    <n v="136.52000000000001"/>
    <n v="643.09"/>
    <x v="162"/>
    <x v="1"/>
  </r>
  <r>
    <x v="12"/>
    <x v="0"/>
    <x v="5"/>
    <n v="4927.29"/>
    <n v="5656.69"/>
    <n v="114.23"/>
    <n v="405.74"/>
    <x v="163"/>
    <x v="0"/>
  </r>
  <r>
    <x v="0"/>
    <x v="5"/>
    <x v="5"/>
    <n v="38211"/>
    <n v="45495.03"/>
    <n v="181.25"/>
    <n v="1369.27"/>
    <x v="164"/>
    <x v="0"/>
  </r>
  <r>
    <x v="17"/>
    <x v="3"/>
    <x v="2"/>
    <n v="5058.24"/>
    <n v="4824.18"/>
    <n v="144.75"/>
    <n v="1382.05"/>
    <x v="165"/>
    <x v="1"/>
  </r>
  <r>
    <x v="10"/>
    <x v="1"/>
    <x v="1"/>
    <n v="36132.58"/>
    <n v="36878.620000000003"/>
    <n v="116.97"/>
    <n v="999.12"/>
    <x v="166"/>
    <x v="1"/>
  </r>
  <r>
    <x v="16"/>
    <x v="6"/>
    <x v="7"/>
    <n v="578.58000000000004"/>
    <n v="646.46"/>
    <n v="94.43"/>
    <n v="534.07000000000005"/>
    <x v="167"/>
    <x v="0"/>
  </r>
  <r>
    <x v="6"/>
    <x v="5"/>
    <x v="0"/>
    <n v="24046.92"/>
    <n v="22580.75"/>
    <n v="46.84"/>
    <n v="26.69"/>
    <x v="168"/>
    <x v="0"/>
  </r>
  <r>
    <x v="8"/>
    <x v="3"/>
    <x v="3"/>
    <n v="40854.18"/>
    <n v="40444.58"/>
    <n v="68.81"/>
    <n v="47.02"/>
    <x v="169"/>
    <x v="1"/>
  </r>
  <r>
    <x v="1"/>
    <x v="2"/>
    <x v="3"/>
    <n v="32931.800000000003"/>
    <n v="37000.199999999997"/>
    <n v="24.98"/>
    <n v="358.18"/>
    <x v="170"/>
    <x v="1"/>
  </r>
  <r>
    <x v="7"/>
    <x v="3"/>
    <x v="5"/>
    <n v="23137.63"/>
    <n v="27294.6"/>
    <n v="173.68"/>
    <n v="808.33"/>
    <x v="171"/>
    <x v="1"/>
  </r>
  <r>
    <x v="15"/>
    <x v="5"/>
    <x v="3"/>
    <n v="3088.35"/>
    <n v="2809.98"/>
    <n v="179.07"/>
    <n v="391.35"/>
    <x v="172"/>
    <x v="0"/>
  </r>
  <r>
    <x v="12"/>
    <x v="2"/>
    <x v="0"/>
    <n v="31130.27"/>
    <n v="36622.71"/>
    <n v="139.05000000000001"/>
    <n v="415.19"/>
    <x v="173"/>
    <x v="1"/>
  </r>
  <r>
    <x v="10"/>
    <x v="0"/>
    <x v="0"/>
    <n v="31515.32"/>
    <n v="37428.53"/>
    <n v="179.92"/>
    <n v="1274.45"/>
    <x v="174"/>
    <x v="0"/>
  </r>
  <r>
    <x v="4"/>
    <x v="4"/>
    <x v="7"/>
    <n v="41159.800000000003"/>
    <n v="38825.97"/>
    <n v="81.599999999999994"/>
    <n v="835.23"/>
    <x v="175"/>
    <x v="0"/>
  </r>
  <r>
    <x v="16"/>
    <x v="1"/>
    <x v="2"/>
    <n v="40267.47"/>
    <n v="39933.879999999997"/>
    <n v="171.17"/>
    <n v="844.93"/>
    <x v="176"/>
    <x v="1"/>
  </r>
  <r>
    <x v="14"/>
    <x v="0"/>
    <x v="2"/>
    <n v="20750.009999999998"/>
    <n v="20032.02"/>
    <n v="32.25"/>
    <n v="960.19"/>
    <x v="177"/>
    <x v="0"/>
  </r>
  <r>
    <x v="5"/>
    <x v="0"/>
    <x v="7"/>
    <n v="8381.26"/>
    <n v="7150.57"/>
    <n v="132.06"/>
    <n v="1307.9000000000001"/>
    <x v="178"/>
    <x v="0"/>
  </r>
  <r>
    <x v="11"/>
    <x v="1"/>
    <x v="5"/>
    <n v="25689.200000000001"/>
    <n v="27161.16"/>
    <n v="190.25"/>
    <n v="722.25"/>
    <x v="179"/>
    <x v="1"/>
  </r>
  <r>
    <x v="10"/>
    <x v="6"/>
    <x v="1"/>
    <n v="15808.38"/>
    <n v="16825.54"/>
    <n v="194.85"/>
    <n v="1098"/>
    <x v="180"/>
    <x v="0"/>
  </r>
  <r>
    <x v="7"/>
    <x v="1"/>
    <x v="4"/>
    <n v="3751.19"/>
    <n v="3403.5"/>
    <n v="112.55"/>
    <n v="600.38"/>
    <x v="181"/>
    <x v="1"/>
  </r>
  <r>
    <x v="15"/>
    <x v="6"/>
    <x v="1"/>
    <n v="15333.15"/>
    <n v="13655.73"/>
    <n v="32.53"/>
    <n v="599.9"/>
    <x v="182"/>
    <x v="0"/>
  </r>
  <r>
    <x v="0"/>
    <x v="6"/>
    <x v="0"/>
    <n v="45456.99"/>
    <n v="47399.77"/>
    <n v="105.52"/>
    <n v="897.68"/>
    <x v="183"/>
    <x v="0"/>
  </r>
  <r>
    <x v="9"/>
    <x v="1"/>
    <x v="4"/>
    <n v="12712.22"/>
    <n v="11265.97"/>
    <n v="31.29"/>
    <n v="1167.45"/>
    <x v="184"/>
    <x v="1"/>
  </r>
  <r>
    <x v="15"/>
    <x v="0"/>
    <x v="5"/>
    <n v="48904.89"/>
    <n v="57120.77"/>
    <n v="186.51"/>
    <n v="94.54"/>
    <x v="185"/>
    <x v="0"/>
  </r>
  <r>
    <x v="19"/>
    <x v="4"/>
    <x v="0"/>
    <n v="38921.019999999997"/>
    <n v="38773.26"/>
    <n v="130.38999999999999"/>
    <n v="1205.1099999999999"/>
    <x v="186"/>
    <x v="0"/>
  </r>
  <r>
    <x v="16"/>
    <x v="3"/>
    <x v="4"/>
    <n v="6167.66"/>
    <n v="6479.29"/>
    <n v="165.44"/>
    <n v="1190.31"/>
    <x v="187"/>
    <x v="1"/>
  </r>
  <r>
    <x v="8"/>
    <x v="6"/>
    <x v="1"/>
    <n v="3471.38"/>
    <n v="3642.06"/>
    <n v="162.63999999999999"/>
    <n v="1201.95"/>
    <x v="188"/>
    <x v="0"/>
  </r>
  <r>
    <x v="11"/>
    <x v="6"/>
    <x v="5"/>
    <n v="36432.74"/>
    <n v="38640.080000000002"/>
    <n v="160.6"/>
    <n v="790.29"/>
    <x v="189"/>
    <x v="0"/>
  </r>
  <r>
    <x v="17"/>
    <x v="0"/>
    <x v="6"/>
    <n v="19231.849999999999"/>
    <n v="16773.79"/>
    <n v="70.91"/>
    <n v="1235.48"/>
    <x v="190"/>
    <x v="0"/>
  </r>
  <r>
    <x v="17"/>
    <x v="4"/>
    <x v="7"/>
    <n v="4198.4799999999996"/>
    <n v="4740.46"/>
    <n v="183.39"/>
    <n v="802.23"/>
    <x v="191"/>
    <x v="0"/>
  </r>
  <r>
    <x v="17"/>
    <x v="0"/>
    <x v="6"/>
    <n v="48375.92"/>
    <n v="54885.58"/>
    <n v="111.57"/>
    <n v="87.25"/>
    <x v="192"/>
    <x v="0"/>
  </r>
  <r>
    <x v="18"/>
    <x v="6"/>
    <x v="6"/>
    <n v="23721"/>
    <n v="27890.37"/>
    <n v="55.83"/>
    <n v="308.82"/>
    <x v="193"/>
    <x v="0"/>
  </r>
  <r>
    <x v="13"/>
    <x v="1"/>
    <x v="0"/>
    <n v="49893.96"/>
    <n v="42739.19"/>
    <n v="123.54"/>
    <n v="446.97"/>
    <x v="194"/>
    <x v="1"/>
  </r>
  <r>
    <x v="3"/>
    <x v="2"/>
    <x v="5"/>
    <n v="42544.59"/>
    <n v="39659.69"/>
    <n v="97.09"/>
    <n v="58.21"/>
    <x v="195"/>
    <x v="1"/>
  </r>
  <r>
    <x v="3"/>
    <x v="2"/>
    <x v="7"/>
    <n v="15275.97"/>
    <n v="13016.74"/>
    <n v="39.68"/>
    <n v="640.22"/>
    <x v="196"/>
    <x v="1"/>
  </r>
  <r>
    <x v="0"/>
    <x v="5"/>
    <x v="4"/>
    <n v="3714.44"/>
    <n v="3261.31"/>
    <n v="170.97"/>
    <n v="232.56"/>
    <x v="197"/>
    <x v="0"/>
  </r>
  <r>
    <x v="3"/>
    <x v="1"/>
    <x v="2"/>
    <n v="739.5"/>
    <n v="763.45"/>
    <n v="172.65"/>
    <n v="673.21"/>
    <x v="198"/>
    <x v="1"/>
  </r>
  <r>
    <x v="19"/>
    <x v="5"/>
    <x v="4"/>
    <n v="32933.1"/>
    <n v="26687.759999999998"/>
    <n v="174.87"/>
    <n v="367.32"/>
    <x v="199"/>
    <x v="0"/>
  </r>
  <r>
    <x v="9"/>
    <x v="4"/>
    <x v="5"/>
    <n v="25308.57"/>
    <n v="30171.15"/>
    <n v="66.16"/>
    <n v="1015.59"/>
    <x v="200"/>
    <x v="0"/>
  </r>
  <r>
    <x v="12"/>
    <x v="1"/>
    <x v="1"/>
    <n v="16593.43"/>
    <n v="16794.72"/>
    <n v="40"/>
    <n v="18.13"/>
    <x v="201"/>
    <x v="1"/>
  </r>
  <r>
    <x v="7"/>
    <x v="0"/>
    <x v="7"/>
    <n v="49576.05"/>
    <n v="40382.720000000001"/>
    <n v="104.51"/>
    <n v="173.02"/>
    <x v="202"/>
    <x v="0"/>
  </r>
  <r>
    <x v="4"/>
    <x v="6"/>
    <x v="2"/>
    <n v="4364.47"/>
    <n v="4652.6099999999997"/>
    <n v="169.33"/>
    <n v="267.81"/>
    <x v="203"/>
    <x v="0"/>
  </r>
  <r>
    <x v="10"/>
    <x v="5"/>
    <x v="1"/>
    <n v="24385.74"/>
    <n v="25811.86"/>
    <n v="54.04"/>
    <n v="1061.4000000000001"/>
    <x v="204"/>
    <x v="0"/>
  </r>
  <r>
    <x v="3"/>
    <x v="2"/>
    <x v="2"/>
    <n v="16869.71"/>
    <n v="14181.75"/>
    <n v="157.22"/>
    <n v="874.04"/>
    <x v="205"/>
    <x v="1"/>
  </r>
  <r>
    <x v="10"/>
    <x v="2"/>
    <x v="4"/>
    <n v="21397.48"/>
    <n v="18490.310000000001"/>
    <n v="177.98"/>
    <n v="956.45"/>
    <x v="206"/>
    <x v="1"/>
  </r>
  <r>
    <x v="17"/>
    <x v="0"/>
    <x v="0"/>
    <n v="39896.879999999997"/>
    <n v="34365.58"/>
    <n v="92.78"/>
    <n v="744.95"/>
    <x v="207"/>
    <x v="0"/>
  </r>
  <r>
    <x v="7"/>
    <x v="4"/>
    <x v="5"/>
    <n v="11229.86"/>
    <n v="9641.07"/>
    <n v="175.21"/>
    <n v="831.35"/>
    <x v="208"/>
    <x v="0"/>
  </r>
  <r>
    <x v="13"/>
    <x v="2"/>
    <x v="6"/>
    <n v="9716.2199999999993"/>
    <n v="10604.28"/>
    <n v="149.41999999999999"/>
    <n v="963.75"/>
    <x v="209"/>
    <x v="1"/>
  </r>
  <r>
    <x v="5"/>
    <x v="3"/>
    <x v="6"/>
    <n v="30243.94"/>
    <n v="26197.119999999999"/>
    <n v="171.54"/>
    <n v="863.36"/>
    <x v="210"/>
    <x v="1"/>
  </r>
  <r>
    <x v="8"/>
    <x v="5"/>
    <x v="5"/>
    <n v="3818.33"/>
    <n v="4240.41"/>
    <n v="59.44"/>
    <n v="97.08"/>
    <x v="211"/>
    <x v="0"/>
  </r>
  <r>
    <x v="2"/>
    <x v="6"/>
    <x v="5"/>
    <n v="35940.67"/>
    <n v="41777.449999999997"/>
    <n v="65.48"/>
    <n v="904.28"/>
    <x v="212"/>
    <x v="0"/>
  </r>
  <r>
    <x v="16"/>
    <x v="5"/>
    <x v="3"/>
    <n v="4959.43"/>
    <n v="4817.6000000000004"/>
    <n v="155.88999999999999"/>
    <n v="774.03"/>
    <x v="213"/>
    <x v="0"/>
  </r>
  <r>
    <x v="6"/>
    <x v="6"/>
    <x v="2"/>
    <n v="20329.78"/>
    <n v="17755.810000000001"/>
    <n v="62.5"/>
    <n v="51.24"/>
    <x v="214"/>
    <x v="0"/>
  </r>
  <r>
    <x v="15"/>
    <x v="5"/>
    <x v="5"/>
    <n v="44554.11"/>
    <n v="53406.23"/>
    <n v="169.72"/>
    <n v="666.78"/>
    <x v="215"/>
    <x v="0"/>
  </r>
  <r>
    <x v="17"/>
    <x v="1"/>
    <x v="3"/>
    <n v="31835.4"/>
    <n v="33619.040000000001"/>
    <n v="186.04"/>
    <n v="1085.21"/>
    <x v="216"/>
    <x v="1"/>
  </r>
  <r>
    <x v="2"/>
    <x v="2"/>
    <x v="3"/>
    <n v="35643.89"/>
    <n v="41185.440000000002"/>
    <n v="65.930000000000007"/>
    <n v="1062.33"/>
    <x v="217"/>
    <x v="1"/>
  </r>
  <r>
    <x v="13"/>
    <x v="0"/>
    <x v="0"/>
    <n v="16133.76"/>
    <n v="15262.81"/>
    <n v="129.19999999999999"/>
    <n v="515.20000000000005"/>
    <x v="218"/>
    <x v="0"/>
  </r>
  <r>
    <x v="12"/>
    <x v="5"/>
    <x v="5"/>
    <n v="1709.16"/>
    <n v="1961.3"/>
    <n v="194.1"/>
    <n v="244.01"/>
    <x v="219"/>
    <x v="0"/>
  </r>
  <r>
    <x v="17"/>
    <x v="2"/>
    <x v="0"/>
    <n v="41482.57"/>
    <n v="46333.09"/>
    <n v="121.92"/>
    <n v="244.71"/>
    <x v="220"/>
    <x v="1"/>
  </r>
  <r>
    <x v="1"/>
    <x v="5"/>
    <x v="0"/>
    <n v="46273.760000000002"/>
    <n v="53925.1"/>
    <n v="65.3"/>
    <n v="536.6"/>
    <x v="221"/>
    <x v="0"/>
  </r>
  <r>
    <x v="5"/>
    <x v="3"/>
    <x v="0"/>
    <n v="31630.65"/>
    <n v="36217.51"/>
    <n v="181.08"/>
    <n v="270.32"/>
    <x v="222"/>
    <x v="1"/>
  </r>
  <r>
    <x v="0"/>
    <x v="4"/>
    <x v="6"/>
    <n v="3623.19"/>
    <n v="3779.23"/>
    <n v="164.96"/>
    <n v="1266.0899999999999"/>
    <x v="223"/>
    <x v="0"/>
  </r>
  <r>
    <x v="0"/>
    <x v="4"/>
    <x v="6"/>
    <n v="46482.1"/>
    <n v="55692.74"/>
    <n v="112.9"/>
    <n v="235.89"/>
    <x v="224"/>
    <x v="0"/>
  </r>
  <r>
    <x v="17"/>
    <x v="3"/>
    <x v="2"/>
    <n v="7654.24"/>
    <n v="8374.5"/>
    <n v="40.54"/>
    <n v="850.74"/>
    <x v="225"/>
    <x v="1"/>
  </r>
  <r>
    <x v="17"/>
    <x v="6"/>
    <x v="3"/>
    <n v="46944.56"/>
    <n v="50437.65"/>
    <n v="151.66"/>
    <n v="164.41"/>
    <x v="226"/>
    <x v="0"/>
  </r>
  <r>
    <x v="15"/>
    <x v="6"/>
    <x v="1"/>
    <n v="8933.08"/>
    <n v="8058.58"/>
    <n v="118.63"/>
    <n v="96.65"/>
    <x v="227"/>
    <x v="0"/>
  </r>
  <r>
    <x v="2"/>
    <x v="5"/>
    <x v="4"/>
    <n v="49843.31"/>
    <n v="53122.46"/>
    <n v="182.65"/>
    <n v="1184.54"/>
    <x v="228"/>
    <x v="0"/>
  </r>
  <r>
    <x v="14"/>
    <x v="5"/>
    <x v="3"/>
    <n v="1504.09"/>
    <n v="1538.77"/>
    <n v="141.38999999999999"/>
    <n v="286.04000000000002"/>
    <x v="229"/>
    <x v="0"/>
  </r>
  <r>
    <x v="6"/>
    <x v="5"/>
    <x v="6"/>
    <n v="47308.57"/>
    <n v="48088.55"/>
    <n v="86.74"/>
    <n v="839.06"/>
    <x v="230"/>
    <x v="0"/>
  </r>
  <r>
    <x v="4"/>
    <x v="6"/>
    <x v="4"/>
    <n v="27939.53"/>
    <n v="25519.13"/>
    <n v="85.87"/>
    <n v="1253.46"/>
    <x v="231"/>
    <x v="0"/>
  </r>
  <r>
    <x v="13"/>
    <x v="4"/>
    <x v="1"/>
    <n v="13854.47"/>
    <n v="15117.89"/>
    <n v="103.59"/>
    <n v="83.38"/>
    <x v="232"/>
    <x v="0"/>
  </r>
  <r>
    <x v="5"/>
    <x v="4"/>
    <x v="5"/>
    <n v="38417.129999999997"/>
    <n v="34206.81"/>
    <n v="41.04"/>
    <n v="807.66"/>
    <x v="233"/>
    <x v="0"/>
  </r>
  <r>
    <x v="17"/>
    <x v="2"/>
    <x v="6"/>
    <n v="38328.79"/>
    <n v="41982.15"/>
    <n v="32.630000000000003"/>
    <n v="785.91"/>
    <x v="234"/>
    <x v="1"/>
  </r>
  <r>
    <x v="1"/>
    <x v="3"/>
    <x v="2"/>
    <n v="42665.84"/>
    <n v="50088.639999999999"/>
    <n v="158.69"/>
    <n v="661.13"/>
    <x v="235"/>
    <x v="1"/>
  </r>
  <r>
    <x v="11"/>
    <x v="1"/>
    <x v="2"/>
    <n v="37587.480000000003"/>
    <n v="37984.639999999999"/>
    <n v="60.13"/>
    <n v="361.08"/>
    <x v="236"/>
    <x v="1"/>
  </r>
  <r>
    <x v="16"/>
    <x v="4"/>
    <x v="1"/>
    <n v="44840.34"/>
    <n v="52923.07"/>
    <n v="161.21"/>
    <n v="48.84"/>
    <x v="237"/>
    <x v="0"/>
  </r>
  <r>
    <x v="12"/>
    <x v="6"/>
    <x v="0"/>
    <n v="14928.8"/>
    <n v="16120.56"/>
    <n v="34.49"/>
    <n v="1182.3399999999999"/>
    <x v="238"/>
    <x v="0"/>
  </r>
  <r>
    <x v="15"/>
    <x v="0"/>
    <x v="1"/>
    <n v="48827.14"/>
    <n v="47821.599999999999"/>
    <n v="195.5"/>
    <n v="397.41"/>
    <x v="239"/>
    <x v="0"/>
  </r>
  <r>
    <x v="4"/>
    <x v="2"/>
    <x v="3"/>
    <n v="41053.019999999997"/>
    <n v="45487.65"/>
    <n v="157.25"/>
    <n v="886.32"/>
    <x v="240"/>
    <x v="1"/>
  </r>
  <r>
    <x v="8"/>
    <x v="1"/>
    <x v="6"/>
    <n v="47284.74"/>
    <n v="54679.88"/>
    <n v="86.66"/>
    <n v="891.21"/>
    <x v="241"/>
    <x v="1"/>
  </r>
  <r>
    <x v="10"/>
    <x v="0"/>
    <x v="6"/>
    <n v="21011.84"/>
    <n v="17190.439999999999"/>
    <n v="179.55"/>
    <n v="253.71"/>
    <x v="242"/>
    <x v="0"/>
  </r>
  <r>
    <x v="13"/>
    <x v="3"/>
    <x v="0"/>
    <n v="47975.09"/>
    <n v="57145.29"/>
    <n v="197.07"/>
    <n v="1192.25"/>
    <x v="243"/>
    <x v="1"/>
  </r>
  <r>
    <x v="9"/>
    <x v="5"/>
    <x v="1"/>
    <n v="9749.6"/>
    <n v="8533.14"/>
    <n v="88.77"/>
    <n v="1321.24"/>
    <x v="244"/>
    <x v="0"/>
  </r>
  <r>
    <x v="5"/>
    <x v="1"/>
    <x v="6"/>
    <n v="19970.98"/>
    <n v="20997.66"/>
    <n v="100.95"/>
    <n v="180.09"/>
    <x v="245"/>
    <x v="1"/>
  </r>
  <r>
    <x v="12"/>
    <x v="4"/>
    <x v="7"/>
    <n v="28264.6"/>
    <n v="26586.74"/>
    <n v="131.87"/>
    <n v="734.56"/>
    <x v="246"/>
    <x v="0"/>
  </r>
  <r>
    <x v="16"/>
    <x v="6"/>
    <x v="3"/>
    <n v="14149.17"/>
    <n v="13279.14"/>
    <n v="39.32"/>
    <n v="775.43"/>
    <x v="247"/>
    <x v="0"/>
  </r>
  <r>
    <x v="16"/>
    <x v="6"/>
    <x v="0"/>
    <n v="16677.830000000002"/>
    <n v="19617.080000000002"/>
    <n v="150.27000000000001"/>
    <n v="225.48"/>
    <x v="248"/>
    <x v="0"/>
  </r>
  <r>
    <x v="8"/>
    <x v="0"/>
    <x v="7"/>
    <n v="33127.97"/>
    <n v="33984.19"/>
    <n v="116.88"/>
    <n v="396.48"/>
    <x v="249"/>
    <x v="0"/>
  </r>
  <r>
    <x v="12"/>
    <x v="2"/>
    <x v="5"/>
    <n v="49823.95"/>
    <n v="57142.48"/>
    <n v="59.49"/>
    <n v="1028.07"/>
    <x v="250"/>
    <x v="1"/>
  </r>
  <r>
    <x v="3"/>
    <x v="6"/>
    <x v="6"/>
    <n v="35800"/>
    <n v="38746.589999999997"/>
    <n v="63.99"/>
    <n v="1012.24"/>
    <x v="251"/>
    <x v="0"/>
  </r>
  <r>
    <x v="17"/>
    <x v="6"/>
    <x v="4"/>
    <n v="39534.300000000003"/>
    <n v="35806.769999999997"/>
    <n v="29.72"/>
    <n v="1114.18"/>
    <x v="252"/>
    <x v="0"/>
  </r>
  <r>
    <x v="6"/>
    <x v="5"/>
    <x v="3"/>
    <n v="44741.46"/>
    <n v="52445.59"/>
    <n v="54.59"/>
    <n v="960.74"/>
    <x v="253"/>
    <x v="0"/>
  </r>
  <r>
    <x v="18"/>
    <x v="4"/>
    <x v="4"/>
    <n v="5566.38"/>
    <n v="6572.58"/>
    <n v="177.5"/>
    <n v="113.24"/>
    <x v="254"/>
    <x v="0"/>
  </r>
  <r>
    <x v="5"/>
    <x v="2"/>
    <x v="6"/>
    <n v="47358.87"/>
    <n v="41016.65"/>
    <n v="172.4"/>
    <n v="829.62"/>
    <x v="255"/>
    <x v="1"/>
  </r>
  <r>
    <x v="0"/>
    <x v="1"/>
    <x v="1"/>
    <n v="6445.46"/>
    <n v="6889.42"/>
    <n v="168.41"/>
    <n v="300.61"/>
    <x v="256"/>
    <x v="1"/>
  </r>
  <r>
    <x v="1"/>
    <x v="1"/>
    <x v="1"/>
    <n v="10489.55"/>
    <n v="11668.87"/>
    <n v="116.66"/>
    <n v="1379.49"/>
    <x v="257"/>
    <x v="1"/>
  </r>
  <r>
    <x v="6"/>
    <x v="0"/>
    <x v="7"/>
    <n v="27231.360000000001"/>
    <n v="25786.68"/>
    <n v="164.63"/>
    <n v="735.45"/>
    <x v="258"/>
    <x v="0"/>
  </r>
  <r>
    <x v="18"/>
    <x v="6"/>
    <x v="2"/>
    <n v="20868.28"/>
    <n v="22147.11"/>
    <n v="176.22"/>
    <n v="932.41"/>
    <x v="259"/>
    <x v="0"/>
  </r>
  <r>
    <x v="4"/>
    <x v="4"/>
    <x v="4"/>
    <n v="48231.23"/>
    <n v="51550.44"/>
    <n v="63.65"/>
    <n v="1354.85"/>
    <x v="260"/>
    <x v="0"/>
  </r>
  <r>
    <x v="8"/>
    <x v="6"/>
    <x v="3"/>
    <n v="25634.29"/>
    <n v="28608.02"/>
    <n v="91.48"/>
    <n v="976.84"/>
    <x v="261"/>
    <x v="0"/>
  </r>
  <r>
    <x v="6"/>
    <x v="3"/>
    <x v="2"/>
    <n v="47696.15"/>
    <n v="42730.6"/>
    <n v="29.76"/>
    <n v="1149.9100000000001"/>
    <x v="262"/>
    <x v="1"/>
  </r>
  <r>
    <x v="5"/>
    <x v="0"/>
    <x v="4"/>
    <n v="7525.2"/>
    <n v="7500.46"/>
    <n v="56.25"/>
    <n v="573.65"/>
    <x v="263"/>
    <x v="0"/>
  </r>
  <r>
    <x v="13"/>
    <x v="1"/>
    <x v="3"/>
    <n v="16295.06"/>
    <n v="15742.71"/>
    <n v="194.26"/>
    <n v="1005.63"/>
    <x v="264"/>
    <x v="1"/>
  </r>
  <r>
    <x v="17"/>
    <x v="0"/>
    <x v="2"/>
    <n v="48254.61"/>
    <n v="55699.76"/>
    <n v="47.58"/>
    <n v="1112.73"/>
    <x v="265"/>
    <x v="0"/>
  </r>
  <r>
    <x v="7"/>
    <x v="4"/>
    <x v="4"/>
    <n v="9673.67"/>
    <n v="10064.780000000001"/>
    <n v="140.33000000000001"/>
    <n v="977.59"/>
    <x v="266"/>
    <x v="0"/>
  </r>
  <r>
    <x v="15"/>
    <x v="3"/>
    <x v="0"/>
    <n v="27091.599999999999"/>
    <n v="29279.15"/>
    <n v="138.61000000000001"/>
    <n v="1150.97"/>
    <x v="267"/>
    <x v="1"/>
  </r>
  <r>
    <x v="10"/>
    <x v="5"/>
    <x v="6"/>
    <n v="24720.560000000001"/>
    <n v="27802.44"/>
    <n v="134.46"/>
    <n v="607.91"/>
    <x v="268"/>
    <x v="0"/>
  </r>
  <r>
    <x v="5"/>
    <x v="5"/>
    <x v="4"/>
    <n v="15173.36"/>
    <n v="16088.2"/>
    <n v="145"/>
    <n v="536.59"/>
    <x v="269"/>
    <x v="0"/>
  </r>
  <r>
    <x v="11"/>
    <x v="2"/>
    <x v="6"/>
    <n v="16959.330000000002"/>
    <n v="16228.69"/>
    <n v="62.9"/>
    <n v="515.74"/>
    <x v="270"/>
    <x v="1"/>
  </r>
  <r>
    <x v="13"/>
    <x v="4"/>
    <x v="0"/>
    <n v="22685.51"/>
    <n v="26055.96"/>
    <n v="116.34"/>
    <n v="306.19"/>
    <x v="271"/>
    <x v="0"/>
  </r>
  <r>
    <x v="10"/>
    <x v="3"/>
    <x v="6"/>
    <n v="31823.4"/>
    <n v="32839.68"/>
    <n v="82.47"/>
    <n v="1080.81"/>
    <x v="272"/>
    <x v="1"/>
  </r>
  <r>
    <x v="19"/>
    <x v="6"/>
    <x v="0"/>
    <n v="26312.28"/>
    <n v="28731.45"/>
    <n v="129.82"/>
    <n v="1184.8499999999999"/>
    <x v="273"/>
    <x v="0"/>
  </r>
  <r>
    <x v="17"/>
    <x v="3"/>
    <x v="1"/>
    <n v="12463.29"/>
    <n v="14521.65"/>
    <n v="110.45"/>
    <n v="1200.44"/>
    <x v="274"/>
    <x v="1"/>
  </r>
  <r>
    <x v="9"/>
    <x v="0"/>
    <x v="7"/>
    <n v="13335.53"/>
    <n v="15984.75"/>
    <n v="52.08"/>
    <n v="318.89"/>
    <x v="275"/>
    <x v="0"/>
  </r>
  <r>
    <x v="3"/>
    <x v="2"/>
    <x v="5"/>
    <n v="13851.18"/>
    <n v="11430.7"/>
    <n v="119.26"/>
    <n v="1157.56"/>
    <x v="276"/>
    <x v="1"/>
  </r>
  <r>
    <x v="9"/>
    <x v="3"/>
    <x v="4"/>
    <n v="13285.19"/>
    <n v="14486.71"/>
    <n v="82.34"/>
    <n v="310.95999999999998"/>
    <x v="277"/>
    <x v="1"/>
  </r>
  <r>
    <x v="15"/>
    <x v="1"/>
    <x v="2"/>
    <n v="11936.85"/>
    <n v="13402.52"/>
    <n v="137.37"/>
    <n v="74.28"/>
    <x v="278"/>
    <x v="1"/>
  </r>
  <r>
    <x v="16"/>
    <x v="3"/>
    <x v="0"/>
    <n v="28461.83"/>
    <n v="24132.13"/>
    <n v="86.06"/>
    <n v="1246.5999999999999"/>
    <x v="279"/>
    <x v="1"/>
  </r>
  <r>
    <x v="14"/>
    <x v="3"/>
    <x v="1"/>
    <n v="32998.71"/>
    <n v="31325.02"/>
    <n v="49.89"/>
    <n v="868.78"/>
    <x v="280"/>
    <x v="1"/>
  </r>
  <r>
    <x v="5"/>
    <x v="4"/>
    <x v="0"/>
    <n v="18784.36"/>
    <n v="19388.71"/>
    <n v="80.73"/>
    <n v="123.56"/>
    <x v="281"/>
    <x v="0"/>
  </r>
  <r>
    <x v="5"/>
    <x v="6"/>
    <x v="7"/>
    <n v="11226.72"/>
    <n v="9121.44"/>
    <n v="166.54"/>
    <n v="42.39"/>
    <x v="282"/>
    <x v="0"/>
  </r>
  <r>
    <x v="3"/>
    <x v="3"/>
    <x v="0"/>
    <n v="39609.599999999999"/>
    <n v="33231.19"/>
    <n v="64.459999999999994"/>
    <n v="855.57"/>
    <x v="283"/>
    <x v="1"/>
  </r>
  <r>
    <x v="10"/>
    <x v="6"/>
    <x v="5"/>
    <n v="32669.75"/>
    <n v="37578.410000000003"/>
    <n v="112.89"/>
    <n v="240.33"/>
    <x v="284"/>
    <x v="0"/>
  </r>
  <r>
    <x v="13"/>
    <x v="6"/>
    <x v="6"/>
    <n v="4595.08"/>
    <n v="3780.96"/>
    <n v="28.93"/>
    <n v="517.12"/>
    <x v="285"/>
    <x v="0"/>
  </r>
  <r>
    <x v="1"/>
    <x v="6"/>
    <x v="1"/>
    <n v="26344.41"/>
    <n v="21515.45"/>
    <n v="52.9"/>
    <n v="1322.82"/>
    <x v="286"/>
    <x v="0"/>
  </r>
  <r>
    <x v="11"/>
    <x v="2"/>
    <x v="4"/>
    <n v="27318.34"/>
    <n v="25841.38"/>
    <n v="35.520000000000003"/>
    <n v="339.53"/>
    <x v="287"/>
    <x v="1"/>
  </r>
  <r>
    <x v="18"/>
    <x v="2"/>
    <x v="4"/>
    <n v="37886.839999999997"/>
    <n v="41860.68"/>
    <n v="129.59"/>
    <n v="657.36"/>
    <x v="288"/>
    <x v="1"/>
  </r>
  <r>
    <x v="1"/>
    <x v="3"/>
    <x v="7"/>
    <n v="2225.09"/>
    <n v="1836.76"/>
    <n v="104.14"/>
    <n v="1157.3"/>
    <x v="289"/>
    <x v="1"/>
  </r>
  <r>
    <x v="14"/>
    <x v="1"/>
    <x v="4"/>
    <n v="3703.66"/>
    <n v="3078.03"/>
    <n v="160.61000000000001"/>
    <n v="657.65"/>
    <x v="290"/>
    <x v="1"/>
  </r>
  <r>
    <x v="1"/>
    <x v="6"/>
    <x v="6"/>
    <n v="41783.18"/>
    <n v="41756.910000000003"/>
    <n v="139.1"/>
    <n v="1169.6600000000001"/>
    <x v="291"/>
    <x v="0"/>
  </r>
  <r>
    <x v="10"/>
    <x v="6"/>
    <x v="1"/>
    <n v="44433.25"/>
    <n v="44849.49"/>
    <n v="150.83000000000001"/>
    <n v="1127.17"/>
    <x v="292"/>
    <x v="0"/>
  </r>
  <r>
    <x v="13"/>
    <x v="4"/>
    <x v="1"/>
    <n v="12950.96"/>
    <n v="11413.42"/>
    <n v="31.78"/>
    <n v="174.12"/>
    <x v="293"/>
    <x v="0"/>
  </r>
  <r>
    <x v="2"/>
    <x v="0"/>
    <x v="2"/>
    <n v="21322.29"/>
    <n v="21219.75"/>
    <n v="142.93"/>
    <n v="72.540000000000006"/>
    <x v="294"/>
    <x v="0"/>
  </r>
  <r>
    <x v="1"/>
    <x v="1"/>
    <x v="3"/>
    <n v="30712.33"/>
    <n v="35453.71"/>
    <n v="84.58"/>
    <n v="1152.47"/>
    <x v="295"/>
    <x v="1"/>
  </r>
  <r>
    <x v="3"/>
    <x v="3"/>
    <x v="2"/>
    <n v="10300.52"/>
    <n v="11104.21"/>
    <n v="62.1"/>
    <n v="1315.28"/>
    <x v="296"/>
    <x v="1"/>
  </r>
  <r>
    <x v="17"/>
    <x v="5"/>
    <x v="5"/>
    <n v="29871.200000000001"/>
    <n v="31874.06"/>
    <n v="58.5"/>
    <n v="849.27"/>
    <x v="297"/>
    <x v="0"/>
  </r>
  <r>
    <x v="17"/>
    <x v="5"/>
    <x v="3"/>
    <n v="3774.42"/>
    <n v="4430.59"/>
    <n v="159.63"/>
    <n v="504.93"/>
    <x v="298"/>
    <x v="0"/>
  </r>
  <r>
    <x v="4"/>
    <x v="0"/>
    <x v="5"/>
    <n v="16766"/>
    <n v="18496.75"/>
    <n v="132.32"/>
    <n v="98.92"/>
    <x v="299"/>
    <x v="0"/>
  </r>
  <r>
    <x v="8"/>
    <x v="0"/>
    <x v="5"/>
    <n v="3285.83"/>
    <n v="2642.49"/>
    <n v="30.27"/>
    <n v="1010.38"/>
    <x v="300"/>
    <x v="0"/>
  </r>
  <r>
    <x v="17"/>
    <x v="1"/>
    <x v="2"/>
    <n v="30609.13"/>
    <n v="26741.35"/>
    <n v="87.04"/>
    <n v="231.66"/>
    <x v="301"/>
    <x v="1"/>
  </r>
  <r>
    <x v="15"/>
    <x v="0"/>
    <x v="6"/>
    <n v="20490.36"/>
    <n v="18726.21"/>
    <n v="106.77"/>
    <n v="336.01"/>
    <x v="302"/>
    <x v="0"/>
  </r>
  <r>
    <x v="9"/>
    <x v="6"/>
    <x v="3"/>
    <n v="36826.44"/>
    <n v="42048.9"/>
    <n v="150.4"/>
    <n v="516.02"/>
    <x v="303"/>
    <x v="0"/>
  </r>
  <r>
    <x v="12"/>
    <x v="5"/>
    <x v="4"/>
    <n v="12148.41"/>
    <n v="12962.53"/>
    <n v="113.06"/>
    <n v="423.76"/>
    <x v="304"/>
    <x v="0"/>
  </r>
  <r>
    <x v="11"/>
    <x v="0"/>
    <x v="2"/>
    <n v="26723.91"/>
    <n v="22010.240000000002"/>
    <n v="87.54"/>
    <n v="766.34"/>
    <x v="305"/>
    <x v="0"/>
  </r>
  <r>
    <x v="4"/>
    <x v="5"/>
    <x v="0"/>
    <n v="20385.310000000001"/>
    <n v="21467.14"/>
    <n v="134.21"/>
    <n v="856.05"/>
    <x v="306"/>
    <x v="0"/>
  </r>
  <r>
    <x v="9"/>
    <x v="3"/>
    <x v="1"/>
    <n v="9272.98"/>
    <n v="10324.969999999999"/>
    <n v="182.31"/>
    <n v="675.39"/>
    <x v="307"/>
    <x v="1"/>
  </r>
  <r>
    <x v="0"/>
    <x v="5"/>
    <x v="2"/>
    <n v="34325.040000000001"/>
    <n v="33080.21"/>
    <n v="80.55"/>
    <n v="826.63"/>
    <x v="308"/>
    <x v="0"/>
  </r>
  <r>
    <x v="3"/>
    <x v="4"/>
    <x v="5"/>
    <n v="23329.02"/>
    <n v="19639.5"/>
    <n v="138.91"/>
    <n v="1303.1600000000001"/>
    <x v="309"/>
    <x v="0"/>
  </r>
  <r>
    <x v="13"/>
    <x v="0"/>
    <x v="6"/>
    <n v="27999.24"/>
    <n v="24345.31"/>
    <n v="35.5"/>
    <n v="321.39"/>
    <x v="310"/>
    <x v="0"/>
  </r>
  <r>
    <x v="4"/>
    <x v="0"/>
    <x v="0"/>
    <n v="10668.39"/>
    <n v="10113.76"/>
    <n v="78.36"/>
    <n v="709.22"/>
    <x v="311"/>
    <x v="0"/>
  </r>
  <r>
    <x v="5"/>
    <x v="4"/>
    <x v="6"/>
    <n v="6216.13"/>
    <n v="7024.47"/>
    <n v="129.81"/>
    <n v="800.63"/>
    <x v="312"/>
    <x v="0"/>
  </r>
  <r>
    <x v="0"/>
    <x v="1"/>
    <x v="4"/>
    <n v="25947.66"/>
    <n v="23899.18"/>
    <n v="48.07"/>
    <n v="469.91"/>
    <x v="313"/>
    <x v="1"/>
  </r>
  <r>
    <x v="7"/>
    <x v="0"/>
    <x v="6"/>
    <n v="8209.84"/>
    <n v="7556.2"/>
    <n v="21.33"/>
    <n v="420.85"/>
    <x v="314"/>
    <x v="0"/>
  </r>
  <r>
    <x v="15"/>
    <x v="1"/>
    <x v="0"/>
    <n v="43281.08"/>
    <n v="38481.97"/>
    <n v="187.09"/>
    <n v="1109.48"/>
    <x v="315"/>
    <x v="1"/>
  </r>
  <r>
    <x v="14"/>
    <x v="5"/>
    <x v="5"/>
    <n v="15742.16"/>
    <n v="17297.580000000002"/>
    <n v="100.01"/>
    <n v="136.09"/>
    <x v="316"/>
    <x v="0"/>
  </r>
  <r>
    <x v="18"/>
    <x v="6"/>
    <x v="1"/>
    <n v="19747.12"/>
    <n v="19112.57"/>
    <n v="167.79"/>
    <n v="1170"/>
    <x v="317"/>
    <x v="0"/>
  </r>
  <r>
    <x v="19"/>
    <x v="3"/>
    <x v="5"/>
    <n v="10668.1"/>
    <n v="9622.69"/>
    <n v="102.58"/>
    <n v="737.64"/>
    <x v="318"/>
    <x v="1"/>
  </r>
  <r>
    <x v="5"/>
    <x v="0"/>
    <x v="5"/>
    <n v="24674.19"/>
    <n v="28985.24"/>
    <n v="172.4"/>
    <n v="393.27"/>
    <x v="319"/>
    <x v="0"/>
  </r>
  <r>
    <x v="15"/>
    <x v="2"/>
    <x v="5"/>
    <n v="8416.1"/>
    <n v="6929.97"/>
    <n v="126.12"/>
    <n v="830.43"/>
    <x v="320"/>
    <x v="1"/>
  </r>
  <r>
    <x v="12"/>
    <x v="2"/>
    <x v="7"/>
    <n v="5158.83"/>
    <n v="5533.23"/>
    <n v="187.33"/>
    <n v="954.11"/>
    <x v="321"/>
    <x v="1"/>
  </r>
  <r>
    <x v="9"/>
    <x v="3"/>
    <x v="2"/>
    <n v="2512.6799999999998"/>
    <n v="2273.25"/>
    <n v="183.28"/>
    <n v="820.54"/>
    <x v="322"/>
    <x v="1"/>
  </r>
  <r>
    <x v="2"/>
    <x v="6"/>
    <x v="0"/>
    <n v="41105.94"/>
    <n v="47590.19"/>
    <n v="54.75"/>
    <n v="720.5"/>
    <x v="323"/>
    <x v="0"/>
  </r>
  <r>
    <x v="15"/>
    <x v="5"/>
    <x v="7"/>
    <n v="32589.23"/>
    <n v="36377.68"/>
    <n v="173.23"/>
    <n v="135.79"/>
    <x v="324"/>
    <x v="0"/>
  </r>
  <r>
    <x v="10"/>
    <x v="5"/>
    <x v="7"/>
    <n v="19203.37"/>
    <n v="19148.46"/>
    <n v="174.87"/>
    <n v="1258.25"/>
    <x v="325"/>
    <x v="0"/>
  </r>
  <r>
    <x v="7"/>
    <x v="4"/>
    <x v="0"/>
    <n v="48569.06"/>
    <n v="50526.39"/>
    <n v="111.18"/>
    <n v="775.09"/>
    <x v="326"/>
    <x v="0"/>
  </r>
  <r>
    <x v="8"/>
    <x v="4"/>
    <x v="3"/>
    <n v="23990.63"/>
    <n v="25812.35"/>
    <n v="158.80000000000001"/>
    <n v="628.04999999999995"/>
    <x v="327"/>
    <x v="0"/>
  </r>
  <r>
    <x v="13"/>
    <x v="6"/>
    <x v="5"/>
    <n v="31991.72"/>
    <n v="31110.65"/>
    <n v="89.08"/>
    <n v="304.88"/>
    <x v="328"/>
    <x v="0"/>
  </r>
  <r>
    <x v="12"/>
    <x v="0"/>
    <x v="1"/>
    <n v="3007.77"/>
    <n v="2560.4899999999998"/>
    <n v="109.09"/>
    <n v="1312.13"/>
    <x v="329"/>
    <x v="0"/>
  </r>
  <r>
    <x v="13"/>
    <x v="2"/>
    <x v="7"/>
    <n v="26866.42"/>
    <n v="29648.63"/>
    <n v="171.62"/>
    <n v="1242.5899999999999"/>
    <x v="330"/>
    <x v="1"/>
  </r>
  <r>
    <x v="19"/>
    <x v="5"/>
    <x v="0"/>
    <n v="41913.300000000003"/>
    <n v="38652.18"/>
    <n v="30.71"/>
    <n v="82.09"/>
    <x v="331"/>
    <x v="0"/>
  </r>
  <r>
    <x v="17"/>
    <x v="4"/>
    <x v="5"/>
    <n v="35789.49"/>
    <n v="40299.58"/>
    <n v="119.33"/>
    <n v="257.85000000000002"/>
    <x v="332"/>
    <x v="0"/>
  </r>
  <r>
    <x v="12"/>
    <x v="5"/>
    <x v="5"/>
    <n v="40825.300000000003"/>
    <n v="44057.3"/>
    <n v="158.6"/>
    <n v="391.2"/>
    <x v="333"/>
    <x v="0"/>
  </r>
  <r>
    <x v="14"/>
    <x v="6"/>
    <x v="6"/>
    <n v="33829.339999999997"/>
    <n v="37634.44"/>
    <n v="58.46"/>
    <n v="964.99"/>
    <x v="334"/>
    <x v="0"/>
  </r>
  <r>
    <x v="18"/>
    <x v="4"/>
    <x v="5"/>
    <n v="33169.17"/>
    <n v="31095.77"/>
    <n v="88.57"/>
    <n v="797.67"/>
    <x v="335"/>
    <x v="0"/>
  </r>
  <r>
    <x v="4"/>
    <x v="0"/>
    <x v="6"/>
    <n v="40010.99"/>
    <n v="42792.66"/>
    <n v="87.37"/>
    <n v="831.94"/>
    <x v="336"/>
    <x v="0"/>
  </r>
  <r>
    <x v="6"/>
    <x v="0"/>
    <x v="7"/>
    <n v="11188.67"/>
    <n v="9813.6200000000008"/>
    <n v="100.52"/>
    <n v="623.46"/>
    <x v="337"/>
    <x v="0"/>
  </r>
  <r>
    <x v="14"/>
    <x v="1"/>
    <x v="4"/>
    <n v="49188.61"/>
    <n v="44353.01"/>
    <n v="164.75"/>
    <n v="659.02"/>
    <x v="338"/>
    <x v="1"/>
  </r>
  <r>
    <x v="16"/>
    <x v="1"/>
    <x v="2"/>
    <n v="8075.18"/>
    <n v="9515"/>
    <n v="192.64"/>
    <n v="552.09"/>
    <x v="339"/>
    <x v="1"/>
  </r>
  <r>
    <x v="16"/>
    <x v="2"/>
    <x v="6"/>
    <n v="10961.77"/>
    <n v="12576.03"/>
    <n v="176.8"/>
    <n v="977.68"/>
    <x v="340"/>
    <x v="1"/>
  </r>
  <r>
    <x v="10"/>
    <x v="1"/>
    <x v="7"/>
    <n v="37256.43"/>
    <n v="39190.01"/>
    <n v="38.82"/>
    <n v="1199.92"/>
    <x v="341"/>
    <x v="1"/>
  </r>
  <r>
    <x v="10"/>
    <x v="4"/>
    <x v="0"/>
    <n v="49446.48"/>
    <n v="52898.91"/>
    <n v="46.3"/>
    <n v="1013.71"/>
    <x v="342"/>
    <x v="0"/>
  </r>
  <r>
    <x v="2"/>
    <x v="1"/>
    <x v="2"/>
    <n v="740.99"/>
    <n v="831.86"/>
    <n v="53.1"/>
    <n v="1360.46"/>
    <x v="343"/>
    <x v="1"/>
  </r>
  <r>
    <x v="10"/>
    <x v="4"/>
    <x v="5"/>
    <n v="2436.5"/>
    <n v="2216.85"/>
    <n v="61.08"/>
    <n v="908.5"/>
    <x v="344"/>
    <x v="0"/>
  </r>
  <r>
    <x v="15"/>
    <x v="4"/>
    <x v="1"/>
    <n v="11181.65"/>
    <n v="13164.79"/>
    <n v="122.54"/>
    <n v="40.619999999999997"/>
    <x v="345"/>
    <x v="0"/>
  </r>
  <r>
    <x v="6"/>
    <x v="1"/>
    <x v="2"/>
    <n v="49529.61"/>
    <n v="52776.18"/>
    <n v="118.72"/>
    <n v="903.19"/>
    <x v="346"/>
    <x v="1"/>
  </r>
  <r>
    <x v="17"/>
    <x v="0"/>
    <x v="6"/>
    <n v="31383.34"/>
    <n v="36151.599999999999"/>
    <n v="66.73"/>
    <n v="1204.8399999999999"/>
    <x v="347"/>
    <x v="0"/>
  </r>
  <r>
    <x v="13"/>
    <x v="4"/>
    <x v="3"/>
    <n v="26441.53"/>
    <n v="27000.75"/>
    <n v="103.49"/>
    <n v="425.03"/>
    <x v="348"/>
    <x v="0"/>
  </r>
  <r>
    <x v="5"/>
    <x v="4"/>
    <x v="2"/>
    <n v="9960.73"/>
    <n v="11541.31"/>
    <n v="70.91"/>
    <n v="981.92"/>
    <x v="349"/>
    <x v="0"/>
  </r>
  <r>
    <x v="16"/>
    <x v="1"/>
    <x v="2"/>
    <n v="25268.13"/>
    <n v="22719.63"/>
    <n v="60.51"/>
    <n v="352.62"/>
    <x v="350"/>
    <x v="1"/>
  </r>
  <r>
    <x v="18"/>
    <x v="0"/>
    <x v="2"/>
    <n v="3732.53"/>
    <n v="4168.82"/>
    <n v="113.6"/>
    <n v="1019.37"/>
    <x v="351"/>
    <x v="0"/>
  </r>
  <r>
    <x v="3"/>
    <x v="4"/>
    <x v="7"/>
    <n v="13444.76"/>
    <n v="14984.01"/>
    <n v="163.9"/>
    <n v="511.76"/>
    <x v="352"/>
    <x v="0"/>
  </r>
  <r>
    <x v="14"/>
    <x v="1"/>
    <x v="0"/>
    <n v="42384.09"/>
    <n v="36474.21"/>
    <n v="67.16"/>
    <n v="943.85"/>
    <x v="353"/>
    <x v="1"/>
  </r>
  <r>
    <x v="1"/>
    <x v="0"/>
    <x v="3"/>
    <n v="23745.49"/>
    <n v="20351.509999999998"/>
    <n v="20.09"/>
    <n v="60.25"/>
    <x v="354"/>
    <x v="0"/>
  </r>
  <r>
    <x v="18"/>
    <x v="3"/>
    <x v="4"/>
    <n v="7620.64"/>
    <n v="8232.41"/>
    <n v="175.09"/>
    <n v="1322.56"/>
    <x v="355"/>
    <x v="1"/>
  </r>
  <r>
    <x v="9"/>
    <x v="4"/>
    <x v="6"/>
    <n v="46203.29"/>
    <n v="51020.59"/>
    <n v="64.260000000000005"/>
    <n v="1231.3399999999999"/>
    <x v="356"/>
    <x v="0"/>
  </r>
  <r>
    <x v="15"/>
    <x v="1"/>
    <x v="0"/>
    <n v="49520.12"/>
    <n v="43991.89"/>
    <n v="53.18"/>
    <n v="1390.46"/>
    <x v="357"/>
    <x v="1"/>
  </r>
  <r>
    <x v="4"/>
    <x v="6"/>
    <x v="1"/>
    <n v="5505.18"/>
    <n v="6279.76"/>
    <n v="37.04"/>
    <n v="742.35"/>
    <x v="358"/>
    <x v="0"/>
  </r>
  <r>
    <x v="5"/>
    <x v="6"/>
    <x v="0"/>
    <n v="28052.23"/>
    <n v="32720.639999999999"/>
    <n v="142.25"/>
    <n v="416.66"/>
    <x v="359"/>
    <x v="0"/>
  </r>
  <r>
    <x v="8"/>
    <x v="2"/>
    <x v="3"/>
    <n v="36013.660000000003"/>
    <n v="34055.43"/>
    <n v="28.84"/>
    <n v="1218.8699999999999"/>
    <x v="360"/>
    <x v="1"/>
  </r>
  <r>
    <x v="4"/>
    <x v="6"/>
    <x v="2"/>
    <n v="32563.439999999999"/>
    <n v="33379"/>
    <n v="36.130000000000003"/>
    <n v="1181.29"/>
    <x v="361"/>
    <x v="0"/>
  </r>
  <r>
    <x v="14"/>
    <x v="0"/>
    <x v="3"/>
    <n v="8970.5300000000007"/>
    <n v="10242.07"/>
    <n v="51.07"/>
    <n v="118.38"/>
    <x v="362"/>
    <x v="0"/>
  </r>
  <r>
    <x v="17"/>
    <x v="4"/>
    <x v="1"/>
    <n v="8375.59"/>
    <n v="9834.6200000000008"/>
    <n v="174.41"/>
    <n v="103.26"/>
    <x v="363"/>
    <x v="0"/>
  </r>
  <r>
    <x v="16"/>
    <x v="2"/>
    <x v="5"/>
    <n v="42828.76"/>
    <n v="44223.92"/>
    <n v="108.41"/>
    <n v="1372.05"/>
    <x v="364"/>
    <x v="1"/>
  </r>
  <r>
    <x v="14"/>
    <x v="4"/>
    <x v="1"/>
    <n v="11621.64"/>
    <n v="13270.71"/>
    <n v="172.63"/>
    <n v="1099.3"/>
    <x v="365"/>
    <x v="0"/>
  </r>
  <r>
    <x v="16"/>
    <x v="3"/>
    <x v="2"/>
    <n v="47299.18"/>
    <n v="47088.76"/>
    <n v="69.3"/>
    <n v="1087.99"/>
    <x v="366"/>
    <x v="1"/>
  </r>
  <r>
    <x v="19"/>
    <x v="4"/>
    <x v="7"/>
    <n v="32067.33"/>
    <n v="35582.94"/>
    <n v="67.69"/>
    <n v="1068.74"/>
    <x v="367"/>
    <x v="0"/>
  </r>
  <r>
    <x v="19"/>
    <x v="6"/>
    <x v="3"/>
    <n v="20253.990000000002"/>
    <n v="19827.79"/>
    <n v="141.59"/>
    <n v="1243.45"/>
    <x v="368"/>
    <x v="0"/>
  </r>
  <r>
    <x v="18"/>
    <x v="5"/>
    <x v="7"/>
    <n v="16436.490000000002"/>
    <n v="13228.23"/>
    <n v="189.1"/>
    <n v="833.92"/>
    <x v="369"/>
    <x v="0"/>
  </r>
  <r>
    <x v="16"/>
    <x v="6"/>
    <x v="0"/>
    <n v="7871.05"/>
    <n v="6643.78"/>
    <n v="69.87"/>
    <n v="451.84"/>
    <x v="370"/>
    <x v="0"/>
  </r>
  <r>
    <x v="16"/>
    <x v="5"/>
    <x v="2"/>
    <n v="17352.04"/>
    <n v="19072.79"/>
    <n v="125.83"/>
    <n v="622.35"/>
    <x v="371"/>
    <x v="0"/>
  </r>
  <r>
    <x v="2"/>
    <x v="5"/>
    <x v="5"/>
    <n v="48936.24"/>
    <n v="52003.78"/>
    <n v="110.24"/>
    <n v="210.58"/>
    <x v="372"/>
    <x v="0"/>
  </r>
  <r>
    <x v="6"/>
    <x v="4"/>
    <x v="4"/>
    <n v="45513.32"/>
    <n v="41588.01"/>
    <n v="33.520000000000003"/>
    <n v="1267.31"/>
    <x v="373"/>
    <x v="0"/>
  </r>
  <r>
    <x v="12"/>
    <x v="3"/>
    <x v="7"/>
    <n v="13588.97"/>
    <n v="12125.32"/>
    <n v="192.19"/>
    <n v="430.73"/>
    <x v="374"/>
    <x v="1"/>
  </r>
  <r>
    <x v="4"/>
    <x v="3"/>
    <x v="7"/>
    <n v="42905.2"/>
    <n v="43781.19"/>
    <n v="147.07"/>
    <n v="866.71"/>
    <x v="375"/>
    <x v="1"/>
  </r>
  <r>
    <x v="12"/>
    <x v="0"/>
    <x v="6"/>
    <n v="13942.38"/>
    <n v="11285.35"/>
    <n v="182.91"/>
    <n v="792.65"/>
    <x v="376"/>
    <x v="0"/>
  </r>
  <r>
    <x v="12"/>
    <x v="5"/>
    <x v="2"/>
    <n v="6632.86"/>
    <n v="6267.87"/>
    <n v="37.729999999999997"/>
    <n v="246.88"/>
    <x v="377"/>
    <x v="0"/>
  </r>
  <r>
    <x v="14"/>
    <x v="1"/>
    <x v="7"/>
    <n v="39084.33"/>
    <n v="38765.74"/>
    <n v="137.49"/>
    <n v="443.4"/>
    <x v="378"/>
    <x v="1"/>
  </r>
  <r>
    <x v="8"/>
    <x v="5"/>
    <x v="5"/>
    <n v="24682.87"/>
    <n v="29268.22"/>
    <n v="95.83"/>
    <n v="652.14"/>
    <x v="379"/>
    <x v="0"/>
  </r>
  <r>
    <x v="16"/>
    <x v="1"/>
    <x v="2"/>
    <n v="37496.51"/>
    <n v="42211.61"/>
    <n v="156.9"/>
    <n v="70.03"/>
    <x v="380"/>
    <x v="1"/>
  </r>
  <r>
    <x v="4"/>
    <x v="0"/>
    <x v="7"/>
    <n v="15309.05"/>
    <n v="17658.66"/>
    <n v="55.57"/>
    <n v="766.96"/>
    <x v="381"/>
    <x v="0"/>
  </r>
  <r>
    <x v="1"/>
    <x v="6"/>
    <x v="7"/>
    <n v="9225.11"/>
    <n v="9884.5400000000009"/>
    <n v="119.89"/>
    <n v="932.8"/>
    <x v="382"/>
    <x v="0"/>
  </r>
  <r>
    <x v="2"/>
    <x v="1"/>
    <x v="7"/>
    <n v="17933.14"/>
    <n v="16338.87"/>
    <n v="55.04"/>
    <n v="533.84"/>
    <x v="383"/>
    <x v="1"/>
  </r>
  <r>
    <x v="3"/>
    <x v="1"/>
    <x v="1"/>
    <n v="47744.44"/>
    <n v="53650.75"/>
    <n v="31.56"/>
    <n v="760.44"/>
    <x v="384"/>
    <x v="1"/>
  </r>
  <r>
    <x v="3"/>
    <x v="2"/>
    <x v="7"/>
    <n v="24942.52"/>
    <n v="22397.14"/>
    <n v="156.77000000000001"/>
    <n v="791.47"/>
    <x v="385"/>
    <x v="1"/>
  </r>
  <r>
    <x v="14"/>
    <x v="0"/>
    <x v="4"/>
    <n v="21830.31"/>
    <n v="25941.84"/>
    <n v="135.31"/>
    <n v="888.62"/>
    <x v="386"/>
    <x v="0"/>
  </r>
  <r>
    <x v="6"/>
    <x v="3"/>
    <x v="5"/>
    <n v="38667.49"/>
    <n v="32165.91"/>
    <n v="104.41"/>
    <n v="759.94"/>
    <x v="387"/>
    <x v="1"/>
  </r>
  <r>
    <x v="11"/>
    <x v="1"/>
    <x v="1"/>
    <n v="1452.89"/>
    <n v="1463.53"/>
    <n v="151.26"/>
    <n v="967.76"/>
    <x v="388"/>
    <x v="1"/>
  </r>
  <r>
    <x v="10"/>
    <x v="1"/>
    <x v="2"/>
    <n v="11765.21"/>
    <n v="13641.61"/>
    <n v="174.43"/>
    <n v="1237.19"/>
    <x v="389"/>
    <x v="1"/>
  </r>
  <r>
    <x v="6"/>
    <x v="2"/>
    <x v="4"/>
    <n v="20556.93"/>
    <n v="17089.990000000002"/>
    <n v="48.42"/>
    <n v="1128.96"/>
    <x v="390"/>
    <x v="1"/>
  </r>
  <r>
    <x v="7"/>
    <x v="4"/>
    <x v="0"/>
    <n v="6607.86"/>
    <n v="6138.7"/>
    <n v="71.260000000000005"/>
    <n v="534.92999999999995"/>
    <x v="391"/>
    <x v="0"/>
  </r>
  <r>
    <x v="18"/>
    <x v="1"/>
    <x v="4"/>
    <n v="17362.259999999998"/>
    <n v="16343.72"/>
    <n v="139.27000000000001"/>
    <n v="710.02"/>
    <x v="392"/>
    <x v="1"/>
  </r>
  <r>
    <x v="16"/>
    <x v="2"/>
    <x v="1"/>
    <n v="32521.119999999999"/>
    <n v="32543.38"/>
    <n v="136.11000000000001"/>
    <n v="754.46"/>
    <x v="393"/>
    <x v="1"/>
  </r>
  <r>
    <x v="5"/>
    <x v="6"/>
    <x v="6"/>
    <n v="48689.95"/>
    <n v="41106.230000000003"/>
    <n v="93.46"/>
    <n v="746.18"/>
    <x v="394"/>
    <x v="0"/>
  </r>
  <r>
    <x v="9"/>
    <x v="6"/>
    <x v="7"/>
    <n v="29313.73"/>
    <n v="30309.69"/>
    <n v="143.83000000000001"/>
    <n v="1291.82"/>
    <x v="395"/>
    <x v="0"/>
  </r>
  <r>
    <x v="3"/>
    <x v="0"/>
    <x v="4"/>
    <n v="22523.27"/>
    <n v="25385.21"/>
    <n v="197.42"/>
    <n v="939.34"/>
    <x v="396"/>
    <x v="0"/>
  </r>
  <r>
    <x v="14"/>
    <x v="2"/>
    <x v="7"/>
    <n v="41431.57"/>
    <n v="41218.18"/>
    <n v="87.76"/>
    <n v="644.84"/>
    <x v="397"/>
    <x v="1"/>
  </r>
  <r>
    <x v="19"/>
    <x v="6"/>
    <x v="7"/>
    <n v="13613.53"/>
    <n v="13351.41"/>
    <n v="66.86"/>
    <n v="320.08"/>
    <x v="398"/>
    <x v="0"/>
  </r>
  <r>
    <x v="19"/>
    <x v="0"/>
    <x v="7"/>
    <n v="44602.78"/>
    <n v="51869.78"/>
    <n v="24.9"/>
    <n v="1182.44"/>
    <x v="399"/>
    <x v="0"/>
  </r>
  <r>
    <x v="18"/>
    <x v="2"/>
    <x v="0"/>
    <n v="33865.11"/>
    <n v="38931.11"/>
    <n v="113.98"/>
    <n v="353.68"/>
    <x v="400"/>
    <x v="1"/>
  </r>
  <r>
    <x v="19"/>
    <x v="1"/>
    <x v="4"/>
    <n v="34057.08"/>
    <n v="39020.78"/>
    <n v="184.44"/>
    <n v="361.57"/>
    <x v="401"/>
    <x v="1"/>
  </r>
  <r>
    <x v="6"/>
    <x v="1"/>
    <x v="2"/>
    <n v="4585.3"/>
    <n v="5242.22"/>
    <n v="190.76"/>
    <n v="683.92"/>
    <x v="402"/>
    <x v="1"/>
  </r>
  <r>
    <x v="1"/>
    <x v="2"/>
    <x v="2"/>
    <n v="3191.57"/>
    <n v="3288.83"/>
    <n v="59.33"/>
    <n v="841.8"/>
    <x v="403"/>
    <x v="1"/>
  </r>
  <r>
    <x v="16"/>
    <x v="0"/>
    <x v="7"/>
    <n v="37475.82"/>
    <n v="30740.02"/>
    <n v="87.45"/>
    <n v="992.1"/>
    <x v="404"/>
    <x v="0"/>
  </r>
  <r>
    <x v="10"/>
    <x v="4"/>
    <x v="0"/>
    <n v="15547.35"/>
    <n v="12545.33"/>
    <n v="150.15"/>
    <n v="1166.98"/>
    <x v="405"/>
    <x v="0"/>
  </r>
  <r>
    <x v="1"/>
    <x v="6"/>
    <x v="1"/>
    <n v="33358.71"/>
    <n v="35916.660000000003"/>
    <n v="165.02"/>
    <n v="1075.6500000000001"/>
    <x v="406"/>
    <x v="0"/>
  </r>
  <r>
    <x v="3"/>
    <x v="4"/>
    <x v="7"/>
    <n v="1508.85"/>
    <n v="1646.31"/>
    <n v="71.489999999999995"/>
    <n v="1345.58"/>
    <x v="407"/>
    <x v="0"/>
  </r>
  <r>
    <x v="6"/>
    <x v="5"/>
    <x v="2"/>
    <n v="38783.980000000003"/>
    <n v="31056.35"/>
    <n v="22.59"/>
    <n v="577.65"/>
    <x v="408"/>
    <x v="0"/>
  </r>
  <r>
    <x v="5"/>
    <x v="6"/>
    <x v="5"/>
    <n v="14578.42"/>
    <n v="12421.07"/>
    <n v="27.85"/>
    <n v="989.21"/>
    <x v="409"/>
    <x v="0"/>
  </r>
  <r>
    <x v="11"/>
    <x v="4"/>
    <x v="3"/>
    <n v="38111.67"/>
    <n v="34589.19"/>
    <n v="193.35"/>
    <n v="1339.54"/>
    <x v="410"/>
    <x v="0"/>
  </r>
  <r>
    <x v="11"/>
    <x v="1"/>
    <x v="3"/>
    <n v="24701.03"/>
    <n v="25708.18"/>
    <n v="54.58"/>
    <n v="1017.71"/>
    <x v="411"/>
    <x v="1"/>
  </r>
  <r>
    <x v="8"/>
    <x v="2"/>
    <x v="4"/>
    <n v="7153.42"/>
    <n v="7576.53"/>
    <n v="161.84"/>
    <n v="773.92"/>
    <x v="412"/>
    <x v="1"/>
  </r>
  <r>
    <x v="18"/>
    <x v="4"/>
    <x v="4"/>
    <n v="24143.37"/>
    <n v="22274.87"/>
    <n v="101.35"/>
    <n v="183.01"/>
    <x v="413"/>
    <x v="0"/>
  </r>
  <r>
    <x v="13"/>
    <x v="2"/>
    <x v="2"/>
    <n v="19324.439999999999"/>
    <n v="22476.63"/>
    <n v="132.93"/>
    <n v="131.5"/>
    <x v="414"/>
    <x v="1"/>
  </r>
  <r>
    <x v="14"/>
    <x v="2"/>
    <x v="4"/>
    <n v="515.29999999999995"/>
    <n v="467.63"/>
    <n v="78.959999999999994"/>
    <n v="70.77"/>
    <x v="415"/>
    <x v="1"/>
  </r>
  <r>
    <x v="7"/>
    <x v="3"/>
    <x v="2"/>
    <n v="42244.94"/>
    <n v="47489.87"/>
    <n v="110.12"/>
    <n v="909.79"/>
    <x v="416"/>
    <x v="1"/>
  </r>
  <r>
    <x v="5"/>
    <x v="6"/>
    <x v="5"/>
    <n v="44945.69"/>
    <n v="52772.31"/>
    <n v="73.47"/>
    <n v="965.26"/>
    <x v="417"/>
    <x v="0"/>
  </r>
  <r>
    <x v="11"/>
    <x v="4"/>
    <x v="5"/>
    <n v="31149.31"/>
    <n v="36064.1"/>
    <n v="186.72"/>
    <n v="796.75"/>
    <x v="418"/>
    <x v="0"/>
  </r>
  <r>
    <x v="16"/>
    <x v="1"/>
    <x v="5"/>
    <n v="19812.18"/>
    <n v="21933.49"/>
    <n v="39.200000000000003"/>
    <n v="1005.65"/>
    <x v="419"/>
    <x v="1"/>
  </r>
  <r>
    <x v="11"/>
    <x v="0"/>
    <x v="1"/>
    <n v="44530.83"/>
    <n v="45440.33"/>
    <n v="159.81"/>
    <n v="1322.8"/>
    <x v="420"/>
    <x v="0"/>
  </r>
  <r>
    <x v="7"/>
    <x v="6"/>
    <x v="1"/>
    <n v="43497.58"/>
    <n v="35854.370000000003"/>
    <n v="34.54"/>
    <n v="856.38"/>
    <x v="421"/>
    <x v="0"/>
  </r>
  <r>
    <x v="9"/>
    <x v="2"/>
    <x v="7"/>
    <n v="37466.65"/>
    <n v="37017.5"/>
    <n v="42.3"/>
    <n v="575.13"/>
    <x v="422"/>
    <x v="1"/>
  </r>
  <r>
    <x v="0"/>
    <x v="6"/>
    <x v="2"/>
    <n v="42719.21"/>
    <n v="36764.089999999997"/>
    <n v="103.18"/>
    <n v="862.97"/>
    <x v="423"/>
    <x v="0"/>
  </r>
  <r>
    <x v="19"/>
    <x v="3"/>
    <x v="0"/>
    <n v="25477.84"/>
    <n v="26272.99"/>
    <n v="143.08000000000001"/>
    <n v="432.71"/>
    <x v="424"/>
    <x v="1"/>
  </r>
  <r>
    <x v="11"/>
    <x v="0"/>
    <x v="1"/>
    <n v="33716.46"/>
    <n v="28974.75"/>
    <n v="181.97"/>
    <n v="309.42"/>
    <x v="425"/>
    <x v="0"/>
  </r>
  <r>
    <x v="7"/>
    <x v="1"/>
    <x v="3"/>
    <n v="33231.300000000003"/>
    <n v="33766.93"/>
    <n v="113.61"/>
    <n v="1232.97"/>
    <x v="426"/>
    <x v="1"/>
  </r>
  <r>
    <x v="14"/>
    <x v="1"/>
    <x v="3"/>
    <n v="12742.04"/>
    <n v="12835.43"/>
    <n v="66.34"/>
    <n v="683.77"/>
    <x v="427"/>
    <x v="1"/>
  </r>
  <r>
    <x v="0"/>
    <x v="4"/>
    <x v="3"/>
    <n v="49778.91"/>
    <n v="43169.98"/>
    <n v="36.840000000000003"/>
    <n v="458.89"/>
    <x v="428"/>
    <x v="0"/>
  </r>
  <r>
    <x v="6"/>
    <x v="6"/>
    <x v="0"/>
    <n v="20105.439999999999"/>
    <n v="20917.28"/>
    <n v="106.83"/>
    <n v="706.58"/>
    <x v="429"/>
    <x v="0"/>
  </r>
  <r>
    <x v="9"/>
    <x v="3"/>
    <x v="3"/>
    <n v="38466.65"/>
    <n v="45817.07"/>
    <n v="134.68"/>
    <n v="901.1"/>
    <x v="430"/>
    <x v="1"/>
  </r>
  <r>
    <x v="18"/>
    <x v="1"/>
    <x v="3"/>
    <n v="29561.89"/>
    <n v="27591.25"/>
    <n v="169.82"/>
    <n v="949.89"/>
    <x v="431"/>
    <x v="1"/>
  </r>
  <r>
    <x v="6"/>
    <x v="1"/>
    <x v="5"/>
    <n v="2157.21"/>
    <n v="2050.67"/>
    <n v="27.7"/>
    <n v="1299.73"/>
    <x v="432"/>
    <x v="1"/>
  </r>
  <r>
    <x v="11"/>
    <x v="6"/>
    <x v="0"/>
    <n v="26368.68"/>
    <n v="23936.55"/>
    <n v="155.26"/>
    <n v="28.75"/>
    <x v="433"/>
    <x v="0"/>
  </r>
  <r>
    <x v="18"/>
    <x v="4"/>
    <x v="0"/>
    <n v="33562.71"/>
    <n v="39533.599999999999"/>
    <n v="139.08000000000001"/>
    <n v="827.58"/>
    <x v="434"/>
    <x v="0"/>
  </r>
  <r>
    <x v="14"/>
    <x v="6"/>
    <x v="6"/>
    <n v="9609.17"/>
    <n v="8928.64"/>
    <n v="186.83"/>
    <n v="62.41"/>
    <x v="435"/>
    <x v="0"/>
  </r>
  <r>
    <x v="1"/>
    <x v="6"/>
    <x v="6"/>
    <n v="21546.05"/>
    <n v="17858.810000000001"/>
    <n v="111.91"/>
    <n v="742.85"/>
    <x v="436"/>
    <x v="0"/>
  </r>
  <r>
    <x v="15"/>
    <x v="5"/>
    <x v="0"/>
    <n v="49285.440000000002"/>
    <n v="58668.959999999999"/>
    <n v="128.66999999999999"/>
    <n v="56.65"/>
    <x v="437"/>
    <x v="0"/>
  </r>
  <r>
    <x v="16"/>
    <x v="6"/>
    <x v="0"/>
    <n v="25902.43"/>
    <n v="29646.51"/>
    <n v="189.28"/>
    <n v="489.32"/>
    <x v="438"/>
    <x v="0"/>
  </r>
  <r>
    <x v="11"/>
    <x v="4"/>
    <x v="2"/>
    <n v="10602.68"/>
    <n v="12099.68"/>
    <n v="36.26"/>
    <n v="313.94"/>
    <x v="439"/>
    <x v="0"/>
  </r>
  <r>
    <x v="5"/>
    <x v="4"/>
    <x v="7"/>
    <n v="5502.68"/>
    <n v="6029.14"/>
    <n v="191.85"/>
    <n v="853.33"/>
    <x v="440"/>
    <x v="0"/>
  </r>
  <r>
    <x v="15"/>
    <x v="4"/>
    <x v="7"/>
    <n v="9028.01"/>
    <n v="7669.53"/>
    <n v="28.27"/>
    <n v="997.9"/>
    <x v="441"/>
    <x v="0"/>
  </r>
  <r>
    <x v="13"/>
    <x v="2"/>
    <x v="4"/>
    <n v="11862.67"/>
    <n v="10071.379999999999"/>
    <n v="136.18"/>
    <n v="1384.63"/>
    <x v="442"/>
    <x v="1"/>
  </r>
  <r>
    <x v="1"/>
    <x v="2"/>
    <x v="0"/>
    <n v="11877.33"/>
    <n v="9911.33"/>
    <n v="164.78"/>
    <n v="269.02999999999997"/>
    <x v="443"/>
    <x v="1"/>
  </r>
  <r>
    <x v="1"/>
    <x v="2"/>
    <x v="7"/>
    <n v="22177.05"/>
    <n v="19044.939999999999"/>
    <n v="106.83"/>
    <n v="1124.1300000000001"/>
    <x v="444"/>
    <x v="1"/>
  </r>
  <r>
    <x v="3"/>
    <x v="2"/>
    <x v="5"/>
    <n v="17060.48"/>
    <n v="15970.34"/>
    <n v="182.68"/>
    <n v="97.29"/>
    <x v="445"/>
    <x v="1"/>
  </r>
  <r>
    <x v="13"/>
    <x v="4"/>
    <x v="2"/>
    <n v="22079.89"/>
    <n v="24757.97"/>
    <n v="61.95"/>
    <n v="1372.67"/>
    <x v="446"/>
    <x v="0"/>
  </r>
  <r>
    <x v="12"/>
    <x v="4"/>
    <x v="2"/>
    <n v="29030.31"/>
    <n v="28892.66"/>
    <n v="153.79"/>
    <n v="762.69"/>
    <x v="447"/>
    <x v="0"/>
  </r>
  <r>
    <x v="17"/>
    <x v="0"/>
    <x v="2"/>
    <n v="10124.27"/>
    <n v="10160.74"/>
    <n v="154.41999999999999"/>
    <n v="242.87"/>
    <x v="448"/>
    <x v="0"/>
  </r>
  <r>
    <x v="7"/>
    <x v="6"/>
    <x v="6"/>
    <n v="41869.35"/>
    <n v="41561.96"/>
    <n v="117.62"/>
    <n v="1390.71"/>
    <x v="449"/>
    <x v="0"/>
  </r>
  <r>
    <x v="16"/>
    <x v="6"/>
    <x v="7"/>
    <n v="30612.78"/>
    <n v="29423.02"/>
    <n v="69.19"/>
    <n v="841.71"/>
    <x v="450"/>
    <x v="0"/>
  </r>
  <r>
    <x v="14"/>
    <x v="4"/>
    <x v="3"/>
    <n v="16676.990000000002"/>
    <n v="15802.19"/>
    <n v="140.28"/>
    <n v="1308.9000000000001"/>
    <x v="451"/>
    <x v="0"/>
  </r>
  <r>
    <x v="3"/>
    <x v="3"/>
    <x v="5"/>
    <n v="4646.46"/>
    <n v="5532.06"/>
    <n v="31.12"/>
    <n v="350.61"/>
    <x v="452"/>
    <x v="1"/>
  </r>
  <r>
    <x v="17"/>
    <x v="3"/>
    <x v="7"/>
    <n v="7710.62"/>
    <n v="8555.34"/>
    <n v="82.11"/>
    <n v="38.08"/>
    <x v="453"/>
    <x v="1"/>
  </r>
  <r>
    <x v="9"/>
    <x v="1"/>
    <x v="4"/>
    <n v="39571.910000000003"/>
    <n v="37077.050000000003"/>
    <n v="89.73"/>
    <n v="612.95000000000005"/>
    <x v="454"/>
    <x v="1"/>
  </r>
  <r>
    <x v="18"/>
    <x v="3"/>
    <x v="0"/>
    <n v="43629.68"/>
    <n v="40012.99"/>
    <n v="20.87"/>
    <n v="787.2"/>
    <x v="455"/>
    <x v="1"/>
  </r>
  <r>
    <x v="7"/>
    <x v="0"/>
    <x v="5"/>
    <n v="34179.49"/>
    <n v="37491.339999999997"/>
    <n v="182.41"/>
    <n v="147.33000000000001"/>
    <x v="456"/>
    <x v="0"/>
  </r>
  <r>
    <x v="3"/>
    <x v="5"/>
    <x v="6"/>
    <n v="32642.85"/>
    <n v="31509.7"/>
    <n v="47.56"/>
    <n v="551.83000000000004"/>
    <x v="457"/>
    <x v="0"/>
  </r>
  <r>
    <x v="17"/>
    <x v="5"/>
    <x v="1"/>
    <n v="13763.5"/>
    <n v="13330.87"/>
    <n v="84.12"/>
    <n v="598.94000000000005"/>
    <x v="458"/>
    <x v="0"/>
  </r>
  <r>
    <x v="1"/>
    <x v="2"/>
    <x v="6"/>
    <n v="37589.730000000003"/>
    <n v="35781.769999999997"/>
    <n v="79.67"/>
    <n v="1203.93"/>
    <x v="459"/>
    <x v="1"/>
  </r>
  <r>
    <x v="3"/>
    <x v="6"/>
    <x v="6"/>
    <n v="47544.6"/>
    <n v="38386.61"/>
    <n v="153.13"/>
    <n v="629.59"/>
    <x v="460"/>
    <x v="0"/>
  </r>
  <r>
    <x v="9"/>
    <x v="2"/>
    <x v="4"/>
    <n v="4220.33"/>
    <n v="4951.63"/>
    <n v="37.86"/>
    <n v="290.17"/>
    <x v="461"/>
    <x v="1"/>
  </r>
  <r>
    <x v="17"/>
    <x v="4"/>
    <x v="2"/>
    <n v="20192.240000000002"/>
    <n v="22576.99"/>
    <n v="147.53"/>
    <n v="21.62"/>
    <x v="462"/>
    <x v="0"/>
  </r>
  <r>
    <x v="6"/>
    <x v="0"/>
    <x v="2"/>
    <n v="48064.86"/>
    <n v="43609.06"/>
    <n v="74.989999999999995"/>
    <n v="426.47"/>
    <x v="463"/>
    <x v="0"/>
  </r>
  <r>
    <x v="6"/>
    <x v="3"/>
    <x v="3"/>
    <n v="28113.02"/>
    <n v="22698.02"/>
    <n v="108.53"/>
    <n v="191.39"/>
    <x v="464"/>
    <x v="1"/>
  </r>
  <r>
    <x v="18"/>
    <x v="3"/>
    <x v="0"/>
    <n v="32749.78"/>
    <n v="35677.31"/>
    <n v="130.84"/>
    <n v="574.11"/>
    <x v="465"/>
    <x v="1"/>
  </r>
  <r>
    <x v="6"/>
    <x v="4"/>
    <x v="6"/>
    <n v="18838.27"/>
    <n v="16086.77"/>
    <n v="53.22"/>
    <n v="1219.4100000000001"/>
    <x v="466"/>
    <x v="0"/>
  </r>
  <r>
    <x v="18"/>
    <x v="3"/>
    <x v="5"/>
    <n v="46372.26"/>
    <n v="48183.74"/>
    <n v="181.94"/>
    <n v="453.34"/>
    <x v="467"/>
    <x v="1"/>
  </r>
  <r>
    <x v="5"/>
    <x v="4"/>
    <x v="4"/>
    <n v="40724.83"/>
    <n v="34325.21"/>
    <n v="167.3"/>
    <n v="831.65"/>
    <x v="468"/>
    <x v="0"/>
  </r>
  <r>
    <x v="18"/>
    <x v="5"/>
    <x v="6"/>
    <n v="28669.98"/>
    <n v="30460.6"/>
    <n v="107.63"/>
    <n v="721.12"/>
    <x v="469"/>
    <x v="0"/>
  </r>
  <r>
    <x v="12"/>
    <x v="1"/>
    <x v="1"/>
    <n v="27081.29"/>
    <n v="24870.73"/>
    <n v="52.05"/>
    <n v="1101.68"/>
    <x v="470"/>
    <x v="1"/>
  </r>
  <r>
    <x v="16"/>
    <x v="0"/>
    <x v="7"/>
    <n v="13508.24"/>
    <n v="15870.96"/>
    <n v="175.87"/>
    <n v="481.19"/>
    <x v="471"/>
    <x v="0"/>
  </r>
  <r>
    <x v="18"/>
    <x v="6"/>
    <x v="1"/>
    <n v="3043.2"/>
    <n v="2749.9"/>
    <n v="143.94"/>
    <n v="493.01"/>
    <x v="472"/>
    <x v="0"/>
  </r>
  <r>
    <x v="7"/>
    <x v="2"/>
    <x v="3"/>
    <n v="8389.64"/>
    <n v="7379.73"/>
    <n v="155.47"/>
    <n v="1172.1199999999999"/>
    <x v="473"/>
    <x v="1"/>
  </r>
  <r>
    <x v="15"/>
    <x v="2"/>
    <x v="0"/>
    <n v="40294.06"/>
    <n v="35993.26"/>
    <n v="157.24"/>
    <n v="620.35"/>
    <x v="474"/>
    <x v="1"/>
  </r>
  <r>
    <x v="16"/>
    <x v="0"/>
    <x v="4"/>
    <n v="22942.54"/>
    <n v="19760.77"/>
    <n v="39.799999999999997"/>
    <n v="1156.17"/>
    <x v="475"/>
    <x v="0"/>
  </r>
  <r>
    <x v="12"/>
    <x v="2"/>
    <x v="6"/>
    <n v="40851.800000000003"/>
    <n v="40926.25"/>
    <n v="47.25"/>
    <n v="1080.3499999999999"/>
    <x v="476"/>
    <x v="1"/>
  </r>
  <r>
    <x v="19"/>
    <x v="0"/>
    <x v="1"/>
    <n v="34166.400000000001"/>
    <n v="40937.71"/>
    <n v="105.59"/>
    <n v="419.51"/>
    <x v="477"/>
    <x v="0"/>
  </r>
  <r>
    <x v="18"/>
    <x v="0"/>
    <x v="1"/>
    <n v="31130.68"/>
    <n v="34061.129999999997"/>
    <n v="94.35"/>
    <n v="208.45"/>
    <x v="478"/>
    <x v="0"/>
  </r>
  <r>
    <x v="10"/>
    <x v="2"/>
    <x v="5"/>
    <n v="14249.66"/>
    <n v="14160.14"/>
    <n v="77.06"/>
    <n v="639.32000000000005"/>
    <x v="479"/>
    <x v="1"/>
  </r>
  <r>
    <x v="1"/>
    <x v="4"/>
    <x v="2"/>
    <n v="5962.53"/>
    <n v="5420.45"/>
    <n v="79.010000000000005"/>
    <n v="182.36"/>
    <x v="480"/>
    <x v="0"/>
  </r>
  <r>
    <x v="15"/>
    <x v="5"/>
    <x v="0"/>
    <n v="44001.94"/>
    <n v="46100.59"/>
    <n v="127.6"/>
    <n v="828.31"/>
    <x v="481"/>
    <x v="0"/>
  </r>
  <r>
    <x v="11"/>
    <x v="6"/>
    <x v="2"/>
    <n v="28279.75"/>
    <n v="25265.27"/>
    <n v="67.41"/>
    <n v="910.03"/>
    <x v="482"/>
    <x v="0"/>
  </r>
  <r>
    <x v="0"/>
    <x v="5"/>
    <x v="2"/>
    <n v="5147.13"/>
    <n v="4816.3999999999996"/>
    <n v="137.27000000000001"/>
    <n v="603.46"/>
    <x v="483"/>
    <x v="0"/>
  </r>
  <r>
    <x v="18"/>
    <x v="0"/>
    <x v="0"/>
    <n v="6994.9"/>
    <n v="6098.7"/>
    <n v="52.34"/>
    <n v="51.37"/>
    <x v="484"/>
    <x v="0"/>
  </r>
  <r>
    <x v="19"/>
    <x v="1"/>
    <x v="1"/>
    <n v="7696.78"/>
    <n v="8450.6"/>
    <n v="77.25"/>
    <n v="1340.4"/>
    <x v="485"/>
    <x v="1"/>
  </r>
  <r>
    <x v="10"/>
    <x v="2"/>
    <x v="2"/>
    <n v="32010.17"/>
    <n v="35709.120000000003"/>
    <n v="64.25"/>
    <n v="1231.6199999999999"/>
    <x v="486"/>
    <x v="1"/>
  </r>
  <r>
    <x v="17"/>
    <x v="2"/>
    <x v="6"/>
    <n v="4159.18"/>
    <n v="4790.84"/>
    <n v="46.69"/>
    <n v="1251.98"/>
    <x v="487"/>
    <x v="1"/>
  </r>
  <r>
    <x v="5"/>
    <x v="5"/>
    <x v="4"/>
    <n v="1264.68"/>
    <n v="1294.02"/>
    <n v="94.71"/>
    <n v="223.83"/>
    <x v="488"/>
    <x v="0"/>
  </r>
  <r>
    <x v="6"/>
    <x v="2"/>
    <x v="1"/>
    <n v="13538.84"/>
    <n v="13488.94"/>
    <n v="118.35"/>
    <n v="1357.24"/>
    <x v="489"/>
    <x v="1"/>
  </r>
  <r>
    <x v="0"/>
    <x v="3"/>
    <x v="2"/>
    <n v="7143.71"/>
    <n v="7952.53"/>
    <n v="27.61"/>
    <n v="88.75"/>
    <x v="490"/>
    <x v="1"/>
  </r>
  <r>
    <x v="7"/>
    <x v="2"/>
    <x v="6"/>
    <n v="24038.76"/>
    <n v="22319.98"/>
    <n v="63.27"/>
    <n v="1189.8699999999999"/>
    <x v="491"/>
    <x v="1"/>
  </r>
  <r>
    <x v="4"/>
    <x v="4"/>
    <x v="5"/>
    <n v="6040.4"/>
    <n v="6825.51"/>
    <n v="185.41"/>
    <n v="860.1"/>
    <x v="492"/>
    <x v="0"/>
  </r>
  <r>
    <x v="3"/>
    <x v="4"/>
    <x v="2"/>
    <n v="41959.48"/>
    <n v="33789.279999999999"/>
    <n v="100.25"/>
    <n v="122.85"/>
    <x v="493"/>
    <x v="0"/>
  </r>
  <r>
    <x v="6"/>
    <x v="3"/>
    <x v="6"/>
    <n v="3044.54"/>
    <n v="3598.9"/>
    <n v="177.55"/>
    <n v="1285.6099999999999"/>
    <x v="494"/>
    <x v="1"/>
  </r>
  <r>
    <x v="8"/>
    <x v="5"/>
    <x v="3"/>
    <n v="2124.6799999999998"/>
    <n v="1743.54"/>
    <n v="199.84"/>
    <n v="326.11"/>
    <x v="495"/>
    <x v="0"/>
  </r>
  <r>
    <x v="7"/>
    <x v="2"/>
    <x v="7"/>
    <n v="4162.13"/>
    <n v="3946.3"/>
    <n v="97.69"/>
    <n v="739.64"/>
    <x v="496"/>
    <x v="1"/>
  </r>
  <r>
    <x v="5"/>
    <x v="5"/>
    <x v="7"/>
    <n v="1116.5"/>
    <n v="1142.6300000000001"/>
    <n v="46.69"/>
    <n v="1295.29"/>
    <x v="497"/>
    <x v="0"/>
  </r>
  <r>
    <x v="16"/>
    <x v="4"/>
    <x v="4"/>
    <n v="15659.36"/>
    <n v="15841.03"/>
    <n v="120"/>
    <n v="570.91999999999996"/>
    <x v="498"/>
    <x v="0"/>
  </r>
  <r>
    <x v="17"/>
    <x v="2"/>
    <x v="2"/>
    <n v="41189.15"/>
    <n v="40978.800000000003"/>
    <n v="104.1"/>
    <n v="323.72000000000003"/>
    <x v="499"/>
    <x v="1"/>
  </r>
  <r>
    <x v="15"/>
    <x v="6"/>
    <x v="3"/>
    <n v="13192.66"/>
    <n v="12870.35"/>
    <n v="138.68"/>
    <n v="1347.93"/>
    <x v="500"/>
    <x v="0"/>
  </r>
  <r>
    <x v="5"/>
    <x v="0"/>
    <x v="1"/>
    <n v="26698.82"/>
    <n v="23943.29"/>
    <n v="164.01"/>
    <n v="1267.25"/>
    <x v="501"/>
    <x v="0"/>
  </r>
  <r>
    <x v="4"/>
    <x v="2"/>
    <x v="6"/>
    <n v="11292.96"/>
    <n v="12418.68"/>
    <n v="191.13"/>
    <n v="690.74"/>
    <x v="502"/>
    <x v="1"/>
  </r>
  <r>
    <x v="11"/>
    <x v="3"/>
    <x v="4"/>
    <n v="6791.87"/>
    <n v="5504.78"/>
    <n v="191.39"/>
    <n v="72.75"/>
    <x v="503"/>
    <x v="1"/>
  </r>
  <r>
    <x v="6"/>
    <x v="1"/>
    <x v="5"/>
    <n v="7115.91"/>
    <n v="7979.12"/>
    <n v="40.1"/>
    <n v="175.89"/>
    <x v="504"/>
    <x v="1"/>
  </r>
  <r>
    <x v="19"/>
    <x v="6"/>
    <x v="6"/>
    <n v="16740.03"/>
    <n v="13885.5"/>
    <n v="102.4"/>
    <n v="232.44"/>
    <x v="505"/>
    <x v="0"/>
  </r>
  <r>
    <x v="17"/>
    <x v="5"/>
    <x v="7"/>
    <n v="36475.35"/>
    <n v="36156.44"/>
    <n v="169.79"/>
    <n v="185.45"/>
    <x v="506"/>
    <x v="0"/>
  </r>
  <r>
    <x v="15"/>
    <x v="2"/>
    <x v="3"/>
    <n v="7329.99"/>
    <n v="7119.51"/>
    <n v="27.24"/>
    <n v="774.64"/>
    <x v="507"/>
    <x v="1"/>
  </r>
  <r>
    <x v="7"/>
    <x v="0"/>
    <x v="5"/>
    <n v="30026.37"/>
    <n v="30917.26"/>
    <n v="176.89"/>
    <n v="550.44000000000005"/>
    <x v="508"/>
    <x v="0"/>
  </r>
  <r>
    <x v="13"/>
    <x v="2"/>
    <x v="3"/>
    <n v="43508.87"/>
    <n v="38666.550000000003"/>
    <n v="70.84"/>
    <n v="1354.06"/>
    <x v="509"/>
    <x v="1"/>
  </r>
  <r>
    <x v="12"/>
    <x v="4"/>
    <x v="4"/>
    <n v="39209.050000000003"/>
    <n v="45135.64"/>
    <n v="83.84"/>
    <n v="531.02"/>
    <x v="510"/>
    <x v="0"/>
  </r>
  <r>
    <x v="13"/>
    <x v="3"/>
    <x v="6"/>
    <n v="14042.05"/>
    <n v="13913.87"/>
    <n v="159.81"/>
    <n v="671.9"/>
    <x v="511"/>
    <x v="1"/>
  </r>
  <r>
    <x v="0"/>
    <x v="2"/>
    <x v="6"/>
    <n v="45075.81"/>
    <n v="49946.6"/>
    <n v="98.29"/>
    <n v="918.86"/>
    <x v="512"/>
    <x v="1"/>
  </r>
  <r>
    <x v="18"/>
    <x v="6"/>
    <x v="6"/>
    <n v="2396.5300000000002"/>
    <n v="2509.06"/>
    <n v="193.85"/>
    <n v="1394.56"/>
    <x v="513"/>
    <x v="0"/>
  </r>
  <r>
    <x v="0"/>
    <x v="2"/>
    <x v="2"/>
    <n v="37062.879999999997"/>
    <n v="34362.980000000003"/>
    <n v="36.36"/>
    <n v="1205.5899999999999"/>
    <x v="514"/>
    <x v="1"/>
  </r>
  <r>
    <x v="4"/>
    <x v="0"/>
    <x v="3"/>
    <n v="16866.23"/>
    <n v="14349.29"/>
    <n v="34.729999999999997"/>
    <n v="1331.25"/>
    <x v="515"/>
    <x v="0"/>
  </r>
  <r>
    <x v="8"/>
    <x v="4"/>
    <x v="7"/>
    <n v="22795.27"/>
    <n v="27006.77"/>
    <n v="49.55"/>
    <n v="1224.24"/>
    <x v="516"/>
    <x v="0"/>
  </r>
  <r>
    <x v="16"/>
    <x v="5"/>
    <x v="1"/>
    <n v="43186.82"/>
    <n v="38566.31"/>
    <n v="37.630000000000003"/>
    <n v="1012.7"/>
    <x v="517"/>
    <x v="0"/>
  </r>
  <r>
    <x v="8"/>
    <x v="2"/>
    <x v="0"/>
    <n v="23699.63"/>
    <n v="24189.61"/>
    <n v="70.28"/>
    <n v="1303.0999999999999"/>
    <x v="518"/>
    <x v="1"/>
  </r>
  <r>
    <x v="18"/>
    <x v="4"/>
    <x v="1"/>
    <n v="5143.07"/>
    <n v="4171.2299999999996"/>
    <n v="119.45"/>
    <n v="108.34"/>
    <x v="519"/>
    <x v="0"/>
  </r>
  <r>
    <x v="19"/>
    <x v="5"/>
    <x v="5"/>
    <n v="23679.43"/>
    <n v="24717.39"/>
    <n v="105.91"/>
    <n v="24.62"/>
    <x v="520"/>
    <x v="0"/>
  </r>
  <r>
    <x v="11"/>
    <x v="5"/>
    <x v="6"/>
    <n v="27720.79"/>
    <n v="23629.95"/>
    <n v="35.700000000000003"/>
    <n v="483.41"/>
    <x v="521"/>
    <x v="0"/>
  </r>
  <r>
    <x v="18"/>
    <x v="1"/>
    <x v="4"/>
    <n v="22093.45"/>
    <n v="22206.46"/>
    <n v="43.27"/>
    <n v="636"/>
    <x v="522"/>
    <x v="1"/>
  </r>
  <r>
    <x v="17"/>
    <x v="4"/>
    <x v="2"/>
    <n v="3556.98"/>
    <n v="3687.98"/>
    <n v="153.96"/>
    <n v="888.42"/>
    <x v="523"/>
    <x v="0"/>
  </r>
  <r>
    <x v="16"/>
    <x v="3"/>
    <x v="3"/>
    <n v="13936.71"/>
    <n v="13293.1"/>
    <n v="31.23"/>
    <n v="548.69000000000005"/>
    <x v="524"/>
    <x v="1"/>
  </r>
  <r>
    <x v="9"/>
    <x v="1"/>
    <x v="7"/>
    <n v="2909.42"/>
    <n v="3013.57"/>
    <n v="165.59"/>
    <n v="497.79"/>
    <x v="525"/>
    <x v="1"/>
  </r>
  <r>
    <x v="5"/>
    <x v="0"/>
    <x v="7"/>
    <n v="42999.33"/>
    <n v="46248.08"/>
    <n v="176.09"/>
    <n v="238.5"/>
    <x v="526"/>
    <x v="0"/>
  </r>
  <r>
    <x v="14"/>
    <x v="4"/>
    <x v="1"/>
    <n v="30566.99"/>
    <n v="29522.29"/>
    <n v="132.9"/>
    <n v="773.92"/>
    <x v="527"/>
    <x v="0"/>
  </r>
  <r>
    <x v="2"/>
    <x v="3"/>
    <x v="0"/>
    <n v="9448.44"/>
    <n v="9574.7800000000007"/>
    <n v="136.94999999999999"/>
    <n v="395.09"/>
    <x v="528"/>
    <x v="1"/>
  </r>
  <r>
    <x v="0"/>
    <x v="5"/>
    <x v="0"/>
    <n v="6306.54"/>
    <n v="6017.22"/>
    <n v="160.19999999999999"/>
    <n v="1257.48"/>
    <x v="529"/>
    <x v="0"/>
  </r>
  <r>
    <x v="9"/>
    <x v="4"/>
    <x v="6"/>
    <n v="17195.43"/>
    <n v="16888.39"/>
    <n v="76.790000000000006"/>
    <n v="302.27"/>
    <x v="530"/>
    <x v="0"/>
  </r>
  <r>
    <x v="11"/>
    <x v="6"/>
    <x v="1"/>
    <n v="13560.18"/>
    <n v="12193.31"/>
    <n v="198.08"/>
    <n v="1021.17"/>
    <x v="531"/>
    <x v="0"/>
  </r>
  <r>
    <x v="0"/>
    <x v="4"/>
    <x v="7"/>
    <n v="27437.11"/>
    <n v="32891.879999999997"/>
    <n v="196.25"/>
    <n v="711.52"/>
    <x v="532"/>
    <x v="0"/>
  </r>
  <r>
    <x v="8"/>
    <x v="1"/>
    <x v="5"/>
    <n v="34191.949999999997"/>
    <n v="27453.58"/>
    <n v="88.82"/>
    <n v="1025.1199999999999"/>
    <x v="533"/>
    <x v="1"/>
  </r>
  <r>
    <x v="19"/>
    <x v="2"/>
    <x v="3"/>
    <n v="27838.3"/>
    <n v="22942.91"/>
    <n v="107.53"/>
    <n v="768.74"/>
    <x v="534"/>
    <x v="1"/>
  </r>
  <r>
    <x v="13"/>
    <x v="3"/>
    <x v="4"/>
    <n v="32261.02"/>
    <n v="30056.23"/>
    <n v="37.22"/>
    <n v="1061.95"/>
    <x v="535"/>
    <x v="1"/>
  </r>
  <r>
    <x v="12"/>
    <x v="4"/>
    <x v="7"/>
    <n v="46469.96"/>
    <n v="43064.09"/>
    <n v="62.5"/>
    <n v="1228.7"/>
    <x v="536"/>
    <x v="0"/>
  </r>
  <r>
    <x v="4"/>
    <x v="5"/>
    <x v="4"/>
    <n v="28457.93"/>
    <n v="28368.1"/>
    <n v="151.29"/>
    <n v="138.07"/>
    <x v="537"/>
    <x v="0"/>
  </r>
  <r>
    <x v="13"/>
    <x v="4"/>
    <x v="4"/>
    <n v="32782.58"/>
    <n v="28850.82"/>
    <n v="50.32"/>
    <n v="237.61"/>
    <x v="538"/>
    <x v="0"/>
  </r>
  <r>
    <x v="19"/>
    <x v="2"/>
    <x v="1"/>
    <n v="29270.959999999999"/>
    <n v="28088.74"/>
    <n v="53.89"/>
    <n v="194.08"/>
    <x v="539"/>
    <x v="1"/>
  </r>
  <r>
    <x v="7"/>
    <x v="4"/>
    <x v="7"/>
    <n v="46279.34"/>
    <n v="49889.95"/>
    <n v="59.23"/>
    <n v="26.96"/>
    <x v="540"/>
    <x v="0"/>
  </r>
  <r>
    <x v="10"/>
    <x v="2"/>
    <x v="4"/>
    <n v="30627.200000000001"/>
    <n v="32844.639999999999"/>
    <n v="191.73"/>
    <n v="453.18"/>
    <x v="541"/>
    <x v="1"/>
  </r>
  <r>
    <x v="1"/>
    <x v="6"/>
    <x v="3"/>
    <n v="19025.02"/>
    <n v="15990.02"/>
    <n v="93.52"/>
    <n v="350.41"/>
    <x v="542"/>
    <x v="0"/>
  </r>
  <r>
    <x v="15"/>
    <x v="3"/>
    <x v="2"/>
    <n v="24562.19"/>
    <n v="22556.23"/>
    <n v="163.15"/>
    <n v="799.37"/>
    <x v="543"/>
    <x v="1"/>
  </r>
  <r>
    <x v="6"/>
    <x v="3"/>
    <x v="0"/>
    <n v="13311.78"/>
    <n v="15226.26"/>
    <n v="49.49"/>
    <n v="93.63"/>
    <x v="544"/>
    <x v="1"/>
  </r>
  <r>
    <x v="17"/>
    <x v="3"/>
    <x v="1"/>
    <n v="11274.34"/>
    <n v="9453.84"/>
    <n v="162.85"/>
    <n v="898.82"/>
    <x v="545"/>
    <x v="1"/>
  </r>
  <r>
    <x v="2"/>
    <x v="6"/>
    <x v="3"/>
    <n v="20221.650000000001"/>
    <n v="18088.05"/>
    <n v="196.72"/>
    <n v="469.53"/>
    <x v="546"/>
    <x v="0"/>
  </r>
  <r>
    <x v="17"/>
    <x v="1"/>
    <x v="5"/>
    <n v="36554.67"/>
    <n v="38456.400000000001"/>
    <n v="132.91999999999999"/>
    <n v="327.44"/>
    <x v="547"/>
    <x v="1"/>
  </r>
  <r>
    <x v="19"/>
    <x v="6"/>
    <x v="6"/>
    <n v="36147.050000000003"/>
    <n v="34984.68"/>
    <n v="105.09"/>
    <n v="1336"/>
    <x v="548"/>
    <x v="0"/>
  </r>
  <r>
    <x v="2"/>
    <x v="4"/>
    <x v="0"/>
    <n v="9120.4599999999991"/>
    <n v="9814.7900000000009"/>
    <n v="145.25"/>
    <n v="1389.14"/>
    <x v="549"/>
    <x v="0"/>
  </r>
  <r>
    <x v="10"/>
    <x v="2"/>
    <x v="5"/>
    <n v="31856.68"/>
    <n v="28869.02"/>
    <n v="185.37"/>
    <n v="820.56"/>
    <x v="550"/>
    <x v="1"/>
  </r>
  <r>
    <x v="2"/>
    <x v="6"/>
    <x v="4"/>
    <n v="12106.78"/>
    <n v="13854.25"/>
    <n v="25.09"/>
    <n v="263.89999999999998"/>
    <x v="551"/>
    <x v="0"/>
  </r>
  <r>
    <x v="17"/>
    <x v="0"/>
    <x v="1"/>
    <n v="48412.38"/>
    <n v="45154.71"/>
    <n v="82.96"/>
    <n v="410.8"/>
    <x v="552"/>
    <x v="0"/>
  </r>
  <r>
    <x v="16"/>
    <x v="0"/>
    <x v="4"/>
    <n v="25633.360000000001"/>
    <n v="28551.45"/>
    <n v="184.24"/>
    <n v="1198.29"/>
    <x v="553"/>
    <x v="0"/>
  </r>
  <r>
    <x v="19"/>
    <x v="6"/>
    <x v="0"/>
    <n v="23142.09"/>
    <n v="21236.33"/>
    <n v="21.84"/>
    <n v="943.38"/>
    <x v="554"/>
    <x v="0"/>
  </r>
  <r>
    <x v="1"/>
    <x v="4"/>
    <x v="1"/>
    <n v="44944.160000000003"/>
    <n v="47468.77"/>
    <n v="135.79"/>
    <n v="1222.9100000000001"/>
    <x v="555"/>
    <x v="0"/>
  </r>
  <r>
    <x v="4"/>
    <x v="6"/>
    <x v="1"/>
    <n v="34376.019999999997"/>
    <n v="33216.93"/>
    <n v="31.23"/>
    <n v="341.62"/>
    <x v="556"/>
    <x v="0"/>
  </r>
  <r>
    <x v="3"/>
    <x v="5"/>
    <x v="1"/>
    <n v="8164.82"/>
    <n v="7396.43"/>
    <n v="55.7"/>
    <n v="974.57"/>
    <x v="557"/>
    <x v="0"/>
  </r>
  <r>
    <x v="6"/>
    <x v="4"/>
    <x v="5"/>
    <n v="15882.09"/>
    <n v="17533.349999999999"/>
    <n v="64.38"/>
    <n v="43.75"/>
    <x v="558"/>
    <x v="0"/>
  </r>
  <r>
    <x v="15"/>
    <x v="5"/>
    <x v="1"/>
    <n v="17180.080000000002"/>
    <n v="16230.16"/>
    <n v="167.41"/>
    <n v="555.15"/>
    <x v="559"/>
    <x v="0"/>
  </r>
  <r>
    <x v="4"/>
    <x v="2"/>
    <x v="3"/>
    <n v="35046.879999999997"/>
    <n v="28836.400000000001"/>
    <n v="61.06"/>
    <n v="877.75"/>
    <x v="560"/>
    <x v="1"/>
  </r>
  <r>
    <x v="8"/>
    <x v="0"/>
    <x v="2"/>
    <n v="18282.900000000001"/>
    <n v="19907.88"/>
    <n v="117.04"/>
    <n v="218.42"/>
    <x v="561"/>
    <x v="0"/>
  </r>
  <r>
    <x v="19"/>
    <x v="0"/>
    <x v="6"/>
    <n v="27908.29"/>
    <n v="31702.71"/>
    <n v="122.95"/>
    <n v="839.65"/>
    <x v="562"/>
    <x v="0"/>
  </r>
  <r>
    <x v="13"/>
    <x v="4"/>
    <x v="4"/>
    <n v="24333.7"/>
    <n v="23559.3"/>
    <n v="144.41"/>
    <n v="764.54"/>
    <x v="563"/>
    <x v="0"/>
  </r>
  <r>
    <x v="5"/>
    <x v="5"/>
    <x v="5"/>
    <n v="27103.78"/>
    <n v="29818.560000000001"/>
    <n v="34.950000000000003"/>
    <n v="724.83"/>
    <x v="564"/>
    <x v="0"/>
  </r>
  <r>
    <x v="15"/>
    <x v="0"/>
    <x v="4"/>
    <n v="23412.25"/>
    <n v="23514.13"/>
    <n v="178.36"/>
    <n v="712.72"/>
    <x v="565"/>
    <x v="0"/>
  </r>
  <r>
    <x v="19"/>
    <x v="5"/>
    <x v="5"/>
    <n v="24006.25"/>
    <n v="24000.12"/>
    <n v="149.30000000000001"/>
    <n v="346.78"/>
    <x v="566"/>
    <x v="0"/>
  </r>
  <r>
    <x v="8"/>
    <x v="6"/>
    <x v="6"/>
    <n v="20684.599999999999"/>
    <n v="23718.31"/>
    <n v="177.96"/>
    <n v="906.28"/>
    <x v="567"/>
    <x v="0"/>
  </r>
  <r>
    <x v="18"/>
    <x v="0"/>
    <x v="3"/>
    <n v="43986.15"/>
    <n v="45143.65"/>
    <n v="98.37"/>
    <n v="806.13"/>
    <x v="568"/>
    <x v="0"/>
  </r>
  <r>
    <x v="1"/>
    <x v="0"/>
    <x v="4"/>
    <n v="43932.7"/>
    <n v="51906.76"/>
    <n v="52.28"/>
    <n v="1223.81"/>
    <x v="569"/>
    <x v="0"/>
  </r>
  <r>
    <x v="18"/>
    <x v="1"/>
    <x v="1"/>
    <n v="34297.800000000003"/>
    <n v="39263.78"/>
    <n v="50.86"/>
    <n v="1032.2"/>
    <x v="570"/>
    <x v="1"/>
  </r>
  <r>
    <x v="7"/>
    <x v="0"/>
    <x v="1"/>
    <n v="46009.35"/>
    <n v="45497.33"/>
    <n v="40.04"/>
    <n v="1157.17"/>
    <x v="571"/>
    <x v="0"/>
  </r>
  <r>
    <x v="8"/>
    <x v="2"/>
    <x v="2"/>
    <n v="34738.28"/>
    <n v="27945.72"/>
    <n v="133.57"/>
    <n v="126.33"/>
    <x v="572"/>
    <x v="1"/>
  </r>
  <r>
    <x v="2"/>
    <x v="3"/>
    <x v="3"/>
    <n v="32804.559999999998"/>
    <n v="27648.66"/>
    <n v="199.49"/>
    <n v="832.19"/>
    <x v="573"/>
    <x v="1"/>
  </r>
  <r>
    <x v="0"/>
    <x v="4"/>
    <x v="1"/>
    <n v="16184.37"/>
    <n v="13070.43"/>
    <n v="87.6"/>
    <n v="779.58"/>
    <x v="574"/>
    <x v="0"/>
  </r>
  <r>
    <x v="4"/>
    <x v="2"/>
    <x v="3"/>
    <n v="29511.37"/>
    <n v="26246.42"/>
    <n v="29.4"/>
    <n v="55.16"/>
    <x v="575"/>
    <x v="1"/>
  </r>
  <r>
    <x v="2"/>
    <x v="0"/>
    <x v="5"/>
    <n v="31122.240000000002"/>
    <n v="29274.75"/>
    <n v="53.28"/>
    <n v="1090.3800000000001"/>
    <x v="576"/>
    <x v="0"/>
  </r>
  <r>
    <x v="2"/>
    <x v="3"/>
    <x v="2"/>
    <n v="7521.02"/>
    <n v="6162.1"/>
    <n v="125.48"/>
    <n v="811.53"/>
    <x v="577"/>
    <x v="1"/>
  </r>
  <r>
    <x v="15"/>
    <x v="1"/>
    <x v="4"/>
    <n v="28725.46"/>
    <n v="28821.33"/>
    <n v="126.02"/>
    <n v="412.4"/>
    <x v="578"/>
    <x v="1"/>
  </r>
  <r>
    <x v="12"/>
    <x v="4"/>
    <x v="7"/>
    <n v="18905.86"/>
    <n v="18077.939999999999"/>
    <n v="47.45"/>
    <n v="630.44000000000005"/>
    <x v="579"/>
    <x v="0"/>
  </r>
  <r>
    <x v="5"/>
    <x v="5"/>
    <x v="4"/>
    <n v="44966.77"/>
    <n v="51324.35"/>
    <n v="194.58"/>
    <n v="743.47"/>
    <x v="580"/>
    <x v="0"/>
  </r>
  <r>
    <x v="11"/>
    <x v="6"/>
    <x v="0"/>
    <n v="30142.42"/>
    <n v="34331.56"/>
    <n v="185.41"/>
    <n v="182.81"/>
    <x v="581"/>
    <x v="0"/>
  </r>
  <r>
    <x v="19"/>
    <x v="3"/>
    <x v="6"/>
    <n v="1034.78"/>
    <n v="918.78"/>
    <n v="144.59"/>
    <n v="1097.06"/>
    <x v="582"/>
    <x v="1"/>
  </r>
  <r>
    <x v="3"/>
    <x v="6"/>
    <x v="2"/>
    <n v="23031.759999999998"/>
    <n v="25472.53"/>
    <n v="117.75"/>
    <n v="1061.0899999999999"/>
    <x v="583"/>
    <x v="0"/>
  </r>
  <r>
    <x v="12"/>
    <x v="2"/>
    <x v="5"/>
    <n v="22878.01"/>
    <n v="18853.740000000002"/>
    <n v="96.88"/>
    <n v="731.86"/>
    <x v="584"/>
    <x v="1"/>
  </r>
  <r>
    <x v="14"/>
    <x v="0"/>
    <x v="7"/>
    <n v="31125.26"/>
    <n v="28142.7"/>
    <n v="128.08000000000001"/>
    <n v="902.52"/>
    <x v="585"/>
    <x v="0"/>
  </r>
  <r>
    <x v="17"/>
    <x v="0"/>
    <x v="2"/>
    <n v="47749.85"/>
    <n v="39215.5"/>
    <n v="82.49"/>
    <n v="514.45000000000005"/>
    <x v="586"/>
    <x v="0"/>
  </r>
  <r>
    <x v="19"/>
    <x v="5"/>
    <x v="5"/>
    <n v="40454.79"/>
    <n v="34950.620000000003"/>
    <n v="42.27"/>
    <n v="1135.99"/>
    <x v="587"/>
    <x v="0"/>
  </r>
  <r>
    <x v="6"/>
    <x v="3"/>
    <x v="6"/>
    <n v="39984.129999999997"/>
    <n v="38330.43"/>
    <n v="165.75"/>
    <n v="849.12"/>
    <x v="588"/>
    <x v="1"/>
  </r>
  <r>
    <x v="12"/>
    <x v="5"/>
    <x v="4"/>
    <n v="23379.55"/>
    <n v="21260.31"/>
    <n v="97.11"/>
    <n v="1086.3499999999999"/>
    <x v="589"/>
    <x v="0"/>
  </r>
  <r>
    <x v="1"/>
    <x v="4"/>
    <x v="6"/>
    <n v="47458.45"/>
    <n v="55336.83"/>
    <n v="20.91"/>
    <n v="1379.22"/>
    <x v="590"/>
    <x v="0"/>
  </r>
  <r>
    <x v="5"/>
    <x v="6"/>
    <x v="6"/>
    <n v="20230.7"/>
    <n v="24122.91"/>
    <n v="32.229999999999997"/>
    <n v="920.19"/>
    <x v="591"/>
    <x v="0"/>
  </r>
  <r>
    <x v="15"/>
    <x v="6"/>
    <x v="1"/>
    <n v="36543.9"/>
    <n v="42077.440000000002"/>
    <n v="75.66"/>
    <n v="742.48"/>
    <x v="592"/>
    <x v="0"/>
  </r>
  <r>
    <x v="8"/>
    <x v="6"/>
    <x v="4"/>
    <n v="37140.65"/>
    <n v="31065.59"/>
    <n v="160.88999999999999"/>
    <n v="194.7"/>
    <x v="593"/>
    <x v="0"/>
  </r>
  <r>
    <x v="9"/>
    <x v="4"/>
    <x v="5"/>
    <n v="14616.52"/>
    <n v="17039.16"/>
    <n v="165.79"/>
    <n v="283.04000000000002"/>
    <x v="594"/>
    <x v="0"/>
  </r>
  <r>
    <x v="6"/>
    <x v="0"/>
    <x v="6"/>
    <n v="28457.58"/>
    <n v="28855.919999999998"/>
    <n v="156.07"/>
    <n v="1277.54"/>
    <x v="595"/>
    <x v="0"/>
  </r>
  <r>
    <x v="18"/>
    <x v="0"/>
    <x v="5"/>
    <n v="37997.83"/>
    <n v="43183.88"/>
    <n v="104.24"/>
    <n v="268.41000000000003"/>
    <x v="596"/>
    <x v="0"/>
  </r>
  <r>
    <x v="2"/>
    <x v="0"/>
    <x v="0"/>
    <n v="4786.6099999999997"/>
    <n v="4613.1400000000003"/>
    <n v="56.82"/>
    <n v="687.26"/>
    <x v="597"/>
    <x v="0"/>
  </r>
  <r>
    <x v="15"/>
    <x v="0"/>
    <x v="7"/>
    <n v="34188.550000000003"/>
    <n v="27863.119999999999"/>
    <n v="100.58"/>
    <n v="1126.98"/>
    <x v="598"/>
    <x v="0"/>
  </r>
  <r>
    <x v="13"/>
    <x v="1"/>
    <x v="0"/>
    <n v="34773.589999999997"/>
    <n v="38031.519999999997"/>
    <n v="147.56"/>
    <n v="665.77"/>
    <x v="599"/>
    <x v="1"/>
  </r>
  <r>
    <x v="19"/>
    <x v="1"/>
    <x v="0"/>
    <n v="22312.82"/>
    <n v="23816.82"/>
    <n v="165.49"/>
    <n v="680.69"/>
    <x v="600"/>
    <x v="1"/>
  </r>
  <r>
    <x v="4"/>
    <x v="3"/>
    <x v="3"/>
    <n v="14354.36"/>
    <n v="15921.53"/>
    <n v="83.92"/>
    <n v="777.68"/>
    <x v="601"/>
    <x v="1"/>
  </r>
  <r>
    <x v="1"/>
    <x v="0"/>
    <x v="6"/>
    <n v="23496.66"/>
    <n v="22381.03"/>
    <n v="79.81"/>
    <n v="637.86"/>
    <x v="602"/>
    <x v="0"/>
  </r>
  <r>
    <x v="14"/>
    <x v="4"/>
    <x v="4"/>
    <n v="27955.74"/>
    <n v="27444.880000000001"/>
    <n v="180.8"/>
    <n v="107.24"/>
    <x v="603"/>
    <x v="0"/>
  </r>
  <r>
    <x v="7"/>
    <x v="2"/>
    <x v="2"/>
    <n v="8999.8799999999992"/>
    <n v="8655.15"/>
    <n v="196.23"/>
    <n v="1269.93"/>
    <x v="604"/>
    <x v="1"/>
  </r>
  <r>
    <x v="7"/>
    <x v="0"/>
    <x v="6"/>
    <n v="8371.48"/>
    <n v="8826.82"/>
    <n v="92.24"/>
    <n v="543.11"/>
    <x v="605"/>
    <x v="0"/>
  </r>
  <r>
    <x v="1"/>
    <x v="0"/>
    <x v="5"/>
    <n v="7175.3"/>
    <n v="7270.2"/>
    <n v="31.16"/>
    <n v="195.78"/>
    <x v="606"/>
    <x v="0"/>
  </r>
  <r>
    <x v="3"/>
    <x v="0"/>
    <x v="6"/>
    <n v="35394.14"/>
    <n v="33417.83"/>
    <n v="73.87"/>
    <n v="876.52"/>
    <x v="607"/>
    <x v="0"/>
  </r>
  <r>
    <x v="3"/>
    <x v="4"/>
    <x v="2"/>
    <n v="44601.51"/>
    <n v="40578.39"/>
    <n v="48.8"/>
    <n v="163"/>
    <x v="608"/>
    <x v="0"/>
  </r>
  <r>
    <x v="7"/>
    <x v="0"/>
    <x v="1"/>
    <n v="16335.15"/>
    <n v="15430.81"/>
    <n v="23.54"/>
    <n v="1127.3399999999999"/>
    <x v="609"/>
    <x v="0"/>
  </r>
  <r>
    <x v="7"/>
    <x v="3"/>
    <x v="1"/>
    <n v="44823.94"/>
    <n v="52763.9"/>
    <n v="103.61"/>
    <n v="227.69"/>
    <x v="610"/>
    <x v="1"/>
  </r>
  <r>
    <x v="7"/>
    <x v="6"/>
    <x v="6"/>
    <n v="9384.3799999999992"/>
    <n v="11112.64"/>
    <n v="47.73"/>
    <n v="1318.98"/>
    <x v="611"/>
    <x v="0"/>
  </r>
  <r>
    <x v="4"/>
    <x v="3"/>
    <x v="0"/>
    <n v="3826.59"/>
    <n v="3414.23"/>
    <n v="167.08"/>
    <n v="1380.53"/>
    <x v="612"/>
    <x v="1"/>
  </r>
  <r>
    <x v="8"/>
    <x v="0"/>
    <x v="5"/>
    <n v="23249.73"/>
    <n v="20742.89"/>
    <n v="165.17"/>
    <n v="234.1"/>
    <x v="613"/>
    <x v="0"/>
  </r>
  <r>
    <x v="19"/>
    <x v="3"/>
    <x v="0"/>
    <n v="32314.45"/>
    <n v="34638.559999999998"/>
    <n v="25.06"/>
    <n v="1144.69"/>
    <x v="614"/>
    <x v="1"/>
  </r>
  <r>
    <x v="14"/>
    <x v="5"/>
    <x v="2"/>
    <n v="4823.97"/>
    <n v="4800.67"/>
    <n v="93.91"/>
    <n v="699.56"/>
    <x v="615"/>
    <x v="0"/>
  </r>
  <r>
    <x v="11"/>
    <x v="3"/>
    <x v="5"/>
    <n v="14124.13"/>
    <n v="12918.47"/>
    <n v="198.89"/>
    <n v="800.59"/>
    <x v="616"/>
    <x v="1"/>
  </r>
  <r>
    <x v="2"/>
    <x v="0"/>
    <x v="0"/>
    <n v="36202.160000000003"/>
    <n v="35040.6"/>
    <n v="48.78"/>
    <n v="1147.96"/>
    <x v="617"/>
    <x v="0"/>
  </r>
  <r>
    <x v="4"/>
    <x v="4"/>
    <x v="5"/>
    <n v="502.61"/>
    <n v="406.69"/>
    <n v="159.84"/>
    <n v="818.87"/>
    <x v="618"/>
    <x v="0"/>
  </r>
  <r>
    <x v="2"/>
    <x v="1"/>
    <x v="4"/>
    <n v="31865.01"/>
    <n v="30788.79"/>
    <n v="181.09"/>
    <n v="1304.01"/>
    <x v="619"/>
    <x v="1"/>
  </r>
  <r>
    <x v="4"/>
    <x v="4"/>
    <x v="0"/>
    <n v="6328.46"/>
    <n v="6402.8"/>
    <n v="77.930000000000007"/>
    <n v="643.41999999999996"/>
    <x v="620"/>
    <x v="0"/>
  </r>
  <r>
    <x v="13"/>
    <x v="0"/>
    <x v="6"/>
    <n v="4760.53"/>
    <n v="4322.82"/>
    <n v="45.4"/>
    <n v="981.51"/>
    <x v="621"/>
    <x v="0"/>
  </r>
  <r>
    <x v="6"/>
    <x v="3"/>
    <x v="3"/>
    <n v="42759.18"/>
    <n v="42036.89"/>
    <n v="117.14"/>
    <n v="483.78"/>
    <x v="622"/>
    <x v="1"/>
  </r>
  <r>
    <x v="13"/>
    <x v="1"/>
    <x v="5"/>
    <n v="31901.94"/>
    <n v="36181.410000000003"/>
    <n v="103.08"/>
    <n v="157.44999999999999"/>
    <x v="623"/>
    <x v="1"/>
  </r>
  <r>
    <x v="0"/>
    <x v="4"/>
    <x v="7"/>
    <n v="13304.77"/>
    <n v="14606.84"/>
    <n v="73.11"/>
    <n v="1051.6600000000001"/>
    <x v="624"/>
    <x v="0"/>
  </r>
  <r>
    <x v="1"/>
    <x v="4"/>
    <x v="2"/>
    <n v="26115"/>
    <n v="30823.67"/>
    <n v="144.24"/>
    <n v="1182.1400000000001"/>
    <x v="625"/>
    <x v="0"/>
  </r>
  <r>
    <x v="4"/>
    <x v="5"/>
    <x v="5"/>
    <n v="38697.269999999997"/>
    <n v="39372.589999999997"/>
    <n v="164.88"/>
    <n v="1322.3"/>
    <x v="626"/>
    <x v="0"/>
  </r>
  <r>
    <x v="13"/>
    <x v="4"/>
    <x v="5"/>
    <n v="4642.49"/>
    <n v="5249.63"/>
    <n v="195.04"/>
    <n v="925.89"/>
    <x v="627"/>
    <x v="0"/>
  </r>
  <r>
    <x v="13"/>
    <x v="6"/>
    <x v="2"/>
    <n v="32534.82"/>
    <n v="28567.08"/>
    <n v="55.41"/>
    <n v="548.24"/>
    <x v="628"/>
    <x v="0"/>
  </r>
  <r>
    <x v="11"/>
    <x v="4"/>
    <x v="1"/>
    <n v="33461.64"/>
    <n v="38879.360000000001"/>
    <n v="46.66"/>
    <n v="74.94"/>
    <x v="629"/>
    <x v="0"/>
  </r>
  <r>
    <x v="2"/>
    <x v="4"/>
    <x v="2"/>
    <n v="29875.17"/>
    <n v="26717.15"/>
    <n v="152.07"/>
    <n v="1029.81"/>
    <x v="630"/>
    <x v="0"/>
  </r>
  <r>
    <x v="10"/>
    <x v="2"/>
    <x v="6"/>
    <n v="30809.52"/>
    <n v="29577.54"/>
    <n v="165.09"/>
    <n v="1303.1099999999999"/>
    <x v="631"/>
    <x v="1"/>
  </r>
  <r>
    <x v="5"/>
    <x v="0"/>
    <x v="1"/>
    <n v="29803.85"/>
    <n v="33831.42"/>
    <n v="124.2"/>
    <n v="549.85"/>
    <x v="632"/>
    <x v="0"/>
  </r>
  <r>
    <x v="1"/>
    <x v="3"/>
    <x v="0"/>
    <n v="40420.06"/>
    <n v="41377.71"/>
    <n v="148.52000000000001"/>
    <n v="1078.0899999999999"/>
    <x v="633"/>
    <x v="1"/>
  </r>
  <r>
    <x v="14"/>
    <x v="4"/>
    <x v="5"/>
    <n v="29193.22"/>
    <n v="32608.45"/>
    <n v="153.99"/>
    <n v="920.99"/>
    <x v="634"/>
    <x v="0"/>
  </r>
  <r>
    <x v="0"/>
    <x v="4"/>
    <x v="1"/>
    <n v="19741.34"/>
    <n v="21470.57"/>
    <n v="156.19999999999999"/>
    <n v="362.02"/>
    <x v="635"/>
    <x v="0"/>
  </r>
  <r>
    <x v="8"/>
    <x v="6"/>
    <x v="6"/>
    <n v="9847.1299999999992"/>
    <n v="7935"/>
    <n v="154.38999999999999"/>
    <n v="1322.17"/>
    <x v="636"/>
    <x v="0"/>
  </r>
  <r>
    <x v="5"/>
    <x v="3"/>
    <x v="4"/>
    <n v="21595.8"/>
    <n v="20770.57"/>
    <n v="187.58"/>
    <n v="363.04"/>
    <x v="637"/>
    <x v="1"/>
  </r>
  <r>
    <x v="8"/>
    <x v="1"/>
    <x v="4"/>
    <n v="19458.71"/>
    <n v="22447.19"/>
    <n v="82.62"/>
    <n v="1061.73"/>
    <x v="638"/>
    <x v="1"/>
  </r>
  <r>
    <x v="16"/>
    <x v="1"/>
    <x v="7"/>
    <n v="40766.07"/>
    <n v="40014.78"/>
    <n v="102.87"/>
    <n v="956.46"/>
    <x v="639"/>
    <x v="1"/>
  </r>
  <r>
    <x v="17"/>
    <x v="2"/>
    <x v="3"/>
    <n v="7828.63"/>
    <n v="6513.48"/>
    <n v="174.68"/>
    <n v="1393.99"/>
    <x v="640"/>
    <x v="1"/>
  </r>
  <r>
    <x v="11"/>
    <x v="1"/>
    <x v="3"/>
    <n v="15899.39"/>
    <n v="16551.560000000001"/>
    <n v="196.11"/>
    <n v="1357.47"/>
    <x v="641"/>
    <x v="1"/>
  </r>
  <r>
    <x v="4"/>
    <x v="5"/>
    <x v="6"/>
    <n v="10037.84"/>
    <n v="10618.35"/>
    <n v="107.95"/>
    <n v="1192.3800000000001"/>
    <x v="642"/>
    <x v="0"/>
  </r>
  <r>
    <x v="12"/>
    <x v="0"/>
    <x v="2"/>
    <n v="28818.65"/>
    <n v="26518.28"/>
    <n v="185.1"/>
    <n v="890.73"/>
    <x v="643"/>
    <x v="0"/>
  </r>
  <r>
    <x v="0"/>
    <x v="2"/>
    <x v="1"/>
    <n v="13625.18"/>
    <n v="13845.11"/>
    <n v="128.26"/>
    <n v="12.22"/>
    <x v="644"/>
    <x v="1"/>
  </r>
  <r>
    <x v="18"/>
    <x v="0"/>
    <x v="3"/>
    <n v="49616.68"/>
    <n v="47664.9"/>
    <n v="111.65"/>
    <n v="1195.6099999999999"/>
    <x v="645"/>
    <x v="0"/>
  </r>
  <r>
    <x v="3"/>
    <x v="5"/>
    <x v="0"/>
    <n v="42837.63"/>
    <n v="46371.3"/>
    <n v="57.13"/>
    <n v="90.51"/>
    <x v="646"/>
    <x v="0"/>
  </r>
  <r>
    <x v="14"/>
    <x v="3"/>
    <x v="4"/>
    <n v="816.85"/>
    <n v="717.12"/>
    <n v="108.96"/>
    <n v="916.84"/>
    <x v="647"/>
    <x v="1"/>
  </r>
  <r>
    <x v="13"/>
    <x v="4"/>
    <x v="4"/>
    <n v="17134.55"/>
    <n v="19550.91"/>
    <n v="185.98"/>
    <n v="588.94000000000005"/>
    <x v="648"/>
    <x v="0"/>
  </r>
  <r>
    <x v="1"/>
    <x v="5"/>
    <x v="0"/>
    <n v="38562.46"/>
    <n v="44717.25"/>
    <n v="76.12"/>
    <n v="1332.68"/>
    <x v="649"/>
    <x v="0"/>
  </r>
  <r>
    <x v="17"/>
    <x v="2"/>
    <x v="1"/>
    <n v="14451.64"/>
    <n v="12964.99"/>
    <n v="197.13"/>
    <n v="1209.0899999999999"/>
    <x v="650"/>
    <x v="1"/>
  </r>
  <r>
    <x v="11"/>
    <x v="5"/>
    <x v="1"/>
    <n v="13211.89"/>
    <n v="12016.28"/>
    <n v="98.46"/>
    <n v="452.4"/>
    <x v="651"/>
    <x v="0"/>
  </r>
  <r>
    <x v="14"/>
    <x v="6"/>
    <x v="4"/>
    <n v="23277.43"/>
    <n v="23991.94"/>
    <n v="95.85"/>
    <n v="387.53"/>
    <x v="652"/>
    <x v="0"/>
  </r>
  <r>
    <x v="15"/>
    <x v="1"/>
    <x v="6"/>
    <n v="33412.339999999997"/>
    <n v="34850.589999999997"/>
    <n v="104.15"/>
    <n v="331.23"/>
    <x v="653"/>
    <x v="1"/>
  </r>
  <r>
    <x v="10"/>
    <x v="0"/>
    <x v="6"/>
    <n v="12212.08"/>
    <n v="14310.38"/>
    <n v="72.569999999999993"/>
    <n v="338.84"/>
    <x v="654"/>
    <x v="0"/>
  </r>
  <r>
    <x v="1"/>
    <x v="5"/>
    <x v="6"/>
    <n v="33260.089999999997"/>
    <n v="27667.81"/>
    <n v="111.38"/>
    <n v="1389.54"/>
    <x v="655"/>
    <x v="0"/>
  </r>
  <r>
    <x v="13"/>
    <x v="6"/>
    <x v="2"/>
    <n v="21604.19"/>
    <n v="20115.5"/>
    <n v="154.15"/>
    <n v="439.98"/>
    <x v="656"/>
    <x v="0"/>
  </r>
  <r>
    <x v="14"/>
    <x v="5"/>
    <x v="1"/>
    <n v="37107.01"/>
    <n v="30234.05"/>
    <n v="177.34"/>
    <n v="603.55999999999995"/>
    <x v="657"/>
    <x v="0"/>
  </r>
  <r>
    <x v="2"/>
    <x v="6"/>
    <x v="2"/>
    <n v="19907.82"/>
    <n v="22080.71"/>
    <n v="66.88"/>
    <n v="745.39"/>
    <x v="658"/>
    <x v="0"/>
  </r>
  <r>
    <x v="5"/>
    <x v="6"/>
    <x v="1"/>
    <n v="13556.49"/>
    <n v="12779.94"/>
    <n v="30.6"/>
    <n v="1254.3900000000001"/>
    <x v="659"/>
    <x v="0"/>
  </r>
  <r>
    <x v="8"/>
    <x v="0"/>
    <x v="3"/>
    <n v="42337.48"/>
    <n v="47448.959999999999"/>
    <n v="159.22999999999999"/>
    <n v="659.36"/>
    <x v="660"/>
    <x v="0"/>
  </r>
  <r>
    <x v="16"/>
    <x v="1"/>
    <x v="2"/>
    <n v="4388.4399999999996"/>
    <n v="4018.63"/>
    <n v="81.760000000000005"/>
    <n v="1385.96"/>
    <x v="661"/>
    <x v="1"/>
  </r>
  <r>
    <x v="1"/>
    <x v="0"/>
    <x v="1"/>
    <n v="14058.04"/>
    <n v="11492.19"/>
    <n v="37.06"/>
    <n v="340.82"/>
    <x v="662"/>
    <x v="0"/>
  </r>
  <r>
    <x v="6"/>
    <x v="1"/>
    <x v="0"/>
    <n v="11625.2"/>
    <n v="13304.61"/>
    <n v="51.32"/>
    <n v="1224.54"/>
    <x v="663"/>
    <x v="1"/>
  </r>
  <r>
    <x v="12"/>
    <x v="4"/>
    <x v="5"/>
    <n v="26758.51"/>
    <n v="31431.22"/>
    <n v="68.180000000000007"/>
    <n v="1214.68"/>
    <x v="664"/>
    <x v="0"/>
  </r>
  <r>
    <x v="3"/>
    <x v="4"/>
    <x v="7"/>
    <n v="30566.39"/>
    <n v="30720.11"/>
    <n v="172.65"/>
    <n v="1128.7"/>
    <x v="665"/>
    <x v="0"/>
  </r>
  <r>
    <x v="16"/>
    <x v="4"/>
    <x v="2"/>
    <n v="41903.980000000003"/>
    <n v="47300.42"/>
    <n v="70.08"/>
    <n v="1013.45"/>
    <x v="666"/>
    <x v="0"/>
  </r>
  <r>
    <x v="4"/>
    <x v="3"/>
    <x v="3"/>
    <n v="9530.67"/>
    <n v="11364.44"/>
    <n v="155.78"/>
    <n v="61.85"/>
    <x v="667"/>
    <x v="1"/>
  </r>
  <r>
    <x v="10"/>
    <x v="5"/>
    <x v="1"/>
    <n v="18670.95"/>
    <n v="21899.65"/>
    <n v="117.64"/>
    <n v="23.25"/>
    <x v="668"/>
    <x v="0"/>
  </r>
  <r>
    <x v="17"/>
    <x v="0"/>
    <x v="3"/>
    <n v="7445.37"/>
    <n v="7752.69"/>
    <n v="165.9"/>
    <n v="239.21"/>
    <x v="669"/>
    <x v="0"/>
  </r>
  <r>
    <x v="19"/>
    <x v="4"/>
    <x v="3"/>
    <n v="36240.18"/>
    <n v="36650.65"/>
    <n v="143.13"/>
    <n v="327.18"/>
    <x v="670"/>
    <x v="0"/>
  </r>
  <r>
    <x v="8"/>
    <x v="6"/>
    <x v="0"/>
    <n v="9347.5300000000007"/>
    <n v="8304.4599999999991"/>
    <n v="49.01"/>
    <n v="806.6"/>
    <x v="671"/>
    <x v="0"/>
  </r>
  <r>
    <x v="8"/>
    <x v="5"/>
    <x v="3"/>
    <n v="42369.17"/>
    <n v="34591.370000000003"/>
    <n v="87.31"/>
    <n v="210.89"/>
    <x v="672"/>
    <x v="0"/>
  </r>
  <r>
    <x v="13"/>
    <x v="4"/>
    <x v="7"/>
    <n v="1683.27"/>
    <n v="1442.35"/>
    <n v="160.65"/>
    <n v="975.58"/>
    <x v="673"/>
    <x v="0"/>
  </r>
  <r>
    <x v="12"/>
    <x v="5"/>
    <x v="6"/>
    <n v="17554.59"/>
    <n v="19405.7"/>
    <n v="93.22"/>
    <n v="123.55"/>
    <x v="674"/>
    <x v="0"/>
  </r>
  <r>
    <x v="15"/>
    <x v="0"/>
    <x v="0"/>
    <n v="3998.23"/>
    <n v="3882.12"/>
    <n v="49.84"/>
    <n v="1072.29"/>
    <x v="675"/>
    <x v="0"/>
  </r>
  <r>
    <x v="15"/>
    <x v="3"/>
    <x v="4"/>
    <n v="1831.93"/>
    <n v="1767.05"/>
    <n v="77.489999999999995"/>
    <n v="549.04999999999995"/>
    <x v="676"/>
    <x v="1"/>
  </r>
  <r>
    <x v="2"/>
    <x v="5"/>
    <x v="6"/>
    <n v="33764.19"/>
    <n v="31725.21"/>
    <n v="191.3"/>
    <n v="366.18"/>
    <x v="677"/>
    <x v="0"/>
  </r>
  <r>
    <x v="2"/>
    <x v="5"/>
    <x v="5"/>
    <n v="33215.360000000001"/>
    <n v="37140.57"/>
    <n v="196.35"/>
    <n v="11.68"/>
    <x v="678"/>
    <x v="0"/>
  </r>
  <r>
    <x v="14"/>
    <x v="2"/>
    <x v="7"/>
    <n v="45674.14"/>
    <n v="49013"/>
    <n v="39.909999999999997"/>
    <n v="403.69"/>
    <x v="679"/>
    <x v="1"/>
  </r>
  <r>
    <x v="7"/>
    <x v="6"/>
    <x v="7"/>
    <n v="5856.51"/>
    <n v="4821.21"/>
    <n v="88.94"/>
    <n v="54.84"/>
    <x v="680"/>
    <x v="0"/>
  </r>
  <r>
    <x v="11"/>
    <x v="0"/>
    <x v="1"/>
    <n v="31970.21"/>
    <n v="29382.42"/>
    <n v="46.54"/>
    <n v="848.07"/>
    <x v="681"/>
    <x v="0"/>
  </r>
  <r>
    <x v="0"/>
    <x v="6"/>
    <x v="1"/>
    <n v="23528.03"/>
    <n v="26354.400000000001"/>
    <n v="29.26"/>
    <n v="126.04"/>
    <x v="682"/>
    <x v="0"/>
  </r>
  <r>
    <x v="0"/>
    <x v="3"/>
    <x v="7"/>
    <n v="10846.97"/>
    <n v="10032.31"/>
    <n v="45.76"/>
    <n v="1099.76"/>
    <x v="683"/>
    <x v="1"/>
  </r>
  <r>
    <x v="0"/>
    <x v="5"/>
    <x v="5"/>
    <n v="42427.67"/>
    <n v="42969.85"/>
    <n v="133.84"/>
    <n v="431.39"/>
    <x v="684"/>
    <x v="0"/>
  </r>
  <r>
    <x v="14"/>
    <x v="2"/>
    <x v="1"/>
    <n v="14473.2"/>
    <n v="12874.04"/>
    <n v="112.53"/>
    <n v="113.44"/>
    <x v="685"/>
    <x v="1"/>
  </r>
  <r>
    <x v="6"/>
    <x v="5"/>
    <x v="2"/>
    <n v="15835.41"/>
    <n v="13294.51"/>
    <n v="99.6"/>
    <n v="931.71"/>
    <x v="686"/>
    <x v="0"/>
  </r>
  <r>
    <x v="4"/>
    <x v="1"/>
    <x v="5"/>
    <n v="32365.55"/>
    <n v="27479.09"/>
    <n v="191.92"/>
    <n v="1218.2"/>
    <x v="687"/>
    <x v="1"/>
  </r>
  <r>
    <x v="3"/>
    <x v="2"/>
    <x v="6"/>
    <n v="20381.900000000001"/>
    <n v="20085.37"/>
    <n v="51.3"/>
    <n v="654.89"/>
    <x v="688"/>
    <x v="1"/>
  </r>
  <r>
    <x v="9"/>
    <x v="0"/>
    <x v="5"/>
    <n v="5748.71"/>
    <n v="6266.35"/>
    <n v="133.37"/>
    <n v="1255.1500000000001"/>
    <x v="689"/>
    <x v="0"/>
  </r>
  <r>
    <x v="7"/>
    <x v="0"/>
    <x v="6"/>
    <n v="40328"/>
    <n v="37664.720000000001"/>
    <n v="44.22"/>
    <n v="223.33"/>
    <x v="690"/>
    <x v="0"/>
  </r>
  <r>
    <x v="16"/>
    <x v="5"/>
    <x v="4"/>
    <n v="16557.810000000001"/>
    <n v="18891.23"/>
    <n v="23.44"/>
    <n v="431.46"/>
    <x v="691"/>
    <x v="0"/>
  </r>
  <r>
    <x v="9"/>
    <x v="1"/>
    <x v="7"/>
    <n v="43533.11"/>
    <n v="42609.120000000003"/>
    <n v="100"/>
    <n v="729.14"/>
    <x v="692"/>
    <x v="1"/>
  </r>
  <r>
    <x v="19"/>
    <x v="0"/>
    <x v="4"/>
    <n v="46093.27"/>
    <n v="40675.22"/>
    <n v="119.95"/>
    <n v="1162.54"/>
    <x v="693"/>
    <x v="0"/>
  </r>
  <r>
    <x v="9"/>
    <x v="6"/>
    <x v="0"/>
    <n v="3092.34"/>
    <n v="3485.97"/>
    <n v="118.56"/>
    <n v="1112.06"/>
    <x v="694"/>
    <x v="0"/>
  </r>
  <r>
    <x v="18"/>
    <x v="6"/>
    <x v="3"/>
    <n v="4731.2"/>
    <n v="3892.21"/>
    <n v="189.07"/>
    <n v="798.61"/>
    <x v="695"/>
    <x v="0"/>
  </r>
  <r>
    <x v="17"/>
    <x v="6"/>
    <x v="5"/>
    <n v="16302.75"/>
    <n v="13133.25"/>
    <n v="174.93"/>
    <n v="610.6"/>
    <x v="696"/>
    <x v="0"/>
  </r>
  <r>
    <x v="9"/>
    <x v="4"/>
    <x v="2"/>
    <n v="16533.400000000001"/>
    <n v="14169.22"/>
    <n v="168.61"/>
    <n v="766.69"/>
    <x v="697"/>
    <x v="0"/>
  </r>
  <r>
    <x v="8"/>
    <x v="0"/>
    <x v="3"/>
    <n v="26278.87"/>
    <n v="23864.95"/>
    <n v="63.04"/>
    <n v="881.57"/>
    <x v="698"/>
    <x v="0"/>
  </r>
  <r>
    <x v="18"/>
    <x v="1"/>
    <x v="0"/>
    <n v="38657.089999999997"/>
    <n v="36583.54"/>
    <n v="67.33"/>
    <n v="1013.78"/>
    <x v="699"/>
    <x v="1"/>
  </r>
  <r>
    <x v="18"/>
    <x v="5"/>
    <x v="4"/>
    <n v="47835.45"/>
    <n v="49884.39"/>
    <n v="151.93"/>
    <n v="1164.3499999999999"/>
    <x v="700"/>
    <x v="0"/>
  </r>
  <r>
    <x v="18"/>
    <x v="0"/>
    <x v="3"/>
    <n v="9916.26"/>
    <n v="11592.97"/>
    <n v="168.12"/>
    <n v="519.82000000000005"/>
    <x v="701"/>
    <x v="0"/>
  </r>
  <r>
    <x v="5"/>
    <x v="3"/>
    <x v="4"/>
    <n v="23632.77"/>
    <n v="22368.76"/>
    <n v="83.34"/>
    <n v="39.28"/>
    <x v="702"/>
    <x v="1"/>
  </r>
  <r>
    <x v="9"/>
    <x v="1"/>
    <x v="6"/>
    <n v="1746.66"/>
    <n v="1480.35"/>
    <n v="104.05"/>
    <n v="873.39"/>
    <x v="703"/>
    <x v="1"/>
  </r>
  <r>
    <x v="6"/>
    <x v="5"/>
    <x v="1"/>
    <n v="19252.09"/>
    <n v="21204.560000000001"/>
    <n v="114.12"/>
    <n v="447.44"/>
    <x v="704"/>
    <x v="0"/>
  </r>
  <r>
    <x v="18"/>
    <x v="1"/>
    <x v="2"/>
    <n v="41031.17"/>
    <n v="41606"/>
    <n v="198.76"/>
    <n v="1379.01"/>
    <x v="705"/>
    <x v="1"/>
  </r>
  <r>
    <x v="1"/>
    <x v="5"/>
    <x v="2"/>
    <n v="30286.7"/>
    <n v="29077.279999999999"/>
    <n v="105.28"/>
    <n v="465.6"/>
    <x v="706"/>
    <x v="0"/>
  </r>
  <r>
    <x v="7"/>
    <x v="2"/>
    <x v="3"/>
    <n v="17647.73"/>
    <n v="18779.23"/>
    <n v="121.14"/>
    <n v="958.1"/>
    <x v="707"/>
    <x v="1"/>
  </r>
  <r>
    <x v="6"/>
    <x v="5"/>
    <x v="6"/>
    <n v="43069.52"/>
    <n v="37488.26"/>
    <n v="29.25"/>
    <n v="1002.24"/>
    <x v="708"/>
    <x v="0"/>
  </r>
  <r>
    <x v="15"/>
    <x v="6"/>
    <x v="6"/>
    <n v="47333.67"/>
    <n v="50584.97"/>
    <n v="85"/>
    <n v="1328.02"/>
    <x v="709"/>
    <x v="0"/>
  </r>
  <r>
    <x v="13"/>
    <x v="4"/>
    <x v="6"/>
    <n v="38344.76"/>
    <n v="38343.99"/>
    <n v="176.9"/>
    <n v="1012.62"/>
    <x v="710"/>
    <x v="0"/>
  </r>
  <r>
    <x v="10"/>
    <x v="6"/>
    <x v="7"/>
    <n v="18128.419999999998"/>
    <n v="16756.25"/>
    <n v="104.88"/>
    <n v="430.89"/>
    <x v="711"/>
    <x v="0"/>
  </r>
  <r>
    <x v="15"/>
    <x v="4"/>
    <x v="6"/>
    <n v="17583.939999999999"/>
    <n v="20555.060000000001"/>
    <n v="109.29"/>
    <n v="432.98"/>
    <x v="712"/>
    <x v="0"/>
  </r>
  <r>
    <x v="1"/>
    <x v="1"/>
    <x v="2"/>
    <n v="17070.669999999998"/>
    <n v="19787.98"/>
    <n v="170.23"/>
    <n v="216.56"/>
    <x v="713"/>
    <x v="1"/>
  </r>
  <r>
    <x v="2"/>
    <x v="3"/>
    <x v="6"/>
    <n v="26229.040000000001"/>
    <n v="24689.61"/>
    <n v="152.53"/>
    <n v="361.3"/>
    <x v="714"/>
    <x v="1"/>
  </r>
  <r>
    <x v="7"/>
    <x v="6"/>
    <x v="3"/>
    <n v="13833.36"/>
    <n v="13544.7"/>
    <n v="64.58"/>
    <n v="727.8"/>
    <x v="715"/>
    <x v="0"/>
  </r>
  <r>
    <x v="16"/>
    <x v="1"/>
    <x v="1"/>
    <n v="39270.11"/>
    <n v="33056.94"/>
    <n v="67.81"/>
    <n v="368.05"/>
    <x v="716"/>
    <x v="1"/>
  </r>
  <r>
    <x v="3"/>
    <x v="2"/>
    <x v="6"/>
    <n v="692.3"/>
    <n v="823.34"/>
    <n v="177.65"/>
    <n v="175.57"/>
    <x v="717"/>
    <x v="1"/>
  </r>
  <r>
    <x v="3"/>
    <x v="5"/>
    <x v="1"/>
    <n v="35983.910000000003"/>
    <n v="32823.22"/>
    <n v="26.35"/>
    <n v="983.65"/>
    <x v="718"/>
    <x v="0"/>
  </r>
  <r>
    <x v="2"/>
    <x v="4"/>
    <x v="4"/>
    <n v="18612.96"/>
    <n v="19427.45"/>
    <n v="42.69"/>
    <n v="1355.27"/>
    <x v="719"/>
    <x v="0"/>
  </r>
  <r>
    <x v="4"/>
    <x v="4"/>
    <x v="4"/>
    <n v="25849.34"/>
    <n v="24973.599999999999"/>
    <n v="34.31"/>
    <n v="797.25"/>
    <x v="720"/>
    <x v="0"/>
  </r>
  <r>
    <x v="3"/>
    <x v="1"/>
    <x v="3"/>
    <n v="41661.370000000003"/>
    <n v="46602.71"/>
    <n v="148.49"/>
    <n v="1234.67"/>
    <x v="721"/>
    <x v="1"/>
  </r>
  <r>
    <x v="16"/>
    <x v="4"/>
    <x v="5"/>
    <n v="44062.69"/>
    <n v="40962.720000000001"/>
    <n v="163.08000000000001"/>
    <n v="105.88"/>
    <x v="722"/>
    <x v="0"/>
  </r>
  <r>
    <x v="16"/>
    <x v="3"/>
    <x v="4"/>
    <n v="31935.65"/>
    <n v="27163.23"/>
    <n v="121.64"/>
    <n v="776.33"/>
    <x v="723"/>
    <x v="1"/>
  </r>
  <r>
    <x v="1"/>
    <x v="5"/>
    <x v="1"/>
    <n v="13173.08"/>
    <n v="11332.58"/>
    <n v="119.06"/>
    <n v="1106.48"/>
    <x v="724"/>
    <x v="0"/>
  </r>
  <r>
    <x v="13"/>
    <x v="5"/>
    <x v="7"/>
    <n v="38807.86"/>
    <n v="33303.360000000001"/>
    <n v="120.93"/>
    <n v="295.33999999999997"/>
    <x v="725"/>
    <x v="0"/>
  </r>
  <r>
    <x v="9"/>
    <x v="0"/>
    <x v="1"/>
    <n v="35944.75"/>
    <n v="32280.28"/>
    <n v="145.01"/>
    <n v="1067.04"/>
    <x v="726"/>
    <x v="0"/>
  </r>
  <r>
    <x v="2"/>
    <x v="6"/>
    <x v="0"/>
    <n v="32102.11"/>
    <n v="35880.14"/>
    <n v="87.98"/>
    <n v="1322.73"/>
    <x v="727"/>
    <x v="0"/>
  </r>
  <r>
    <x v="9"/>
    <x v="5"/>
    <x v="0"/>
    <n v="47993.43"/>
    <n v="40894.14"/>
    <n v="89.28"/>
    <n v="932.01"/>
    <x v="728"/>
    <x v="0"/>
  </r>
  <r>
    <x v="19"/>
    <x v="6"/>
    <x v="4"/>
    <n v="28261.040000000001"/>
    <n v="30809.279999999999"/>
    <n v="107.85"/>
    <n v="1292.2"/>
    <x v="729"/>
    <x v="0"/>
  </r>
  <r>
    <x v="0"/>
    <x v="6"/>
    <x v="1"/>
    <n v="16118.96"/>
    <n v="13978.13"/>
    <n v="97.51"/>
    <n v="1059.7"/>
    <x v="730"/>
    <x v="0"/>
  </r>
  <r>
    <x v="8"/>
    <x v="5"/>
    <x v="3"/>
    <n v="45793.5"/>
    <n v="41233"/>
    <n v="179.37"/>
    <n v="1161.6300000000001"/>
    <x v="731"/>
    <x v="0"/>
  </r>
  <r>
    <x v="6"/>
    <x v="1"/>
    <x v="1"/>
    <n v="45377.13"/>
    <n v="37742"/>
    <n v="155.56"/>
    <n v="680.98"/>
    <x v="732"/>
    <x v="1"/>
  </r>
  <r>
    <x v="3"/>
    <x v="4"/>
    <x v="6"/>
    <n v="36547.58"/>
    <n v="31061.02"/>
    <n v="53.5"/>
    <n v="680.03"/>
    <x v="733"/>
    <x v="0"/>
  </r>
  <r>
    <x v="4"/>
    <x v="0"/>
    <x v="7"/>
    <n v="38833.949999999997"/>
    <n v="44329.65"/>
    <n v="35.56"/>
    <n v="1075.19"/>
    <x v="734"/>
    <x v="0"/>
  </r>
  <r>
    <x v="11"/>
    <x v="3"/>
    <x v="7"/>
    <n v="47562.85"/>
    <n v="55737.39"/>
    <n v="165.18"/>
    <n v="85.26"/>
    <x v="735"/>
    <x v="1"/>
  </r>
  <r>
    <x v="19"/>
    <x v="0"/>
    <x v="4"/>
    <n v="8848.11"/>
    <n v="9464.59"/>
    <n v="131.91"/>
    <n v="625.11"/>
    <x v="736"/>
    <x v="0"/>
  </r>
  <r>
    <x v="2"/>
    <x v="2"/>
    <x v="6"/>
    <n v="20660.740000000002"/>
    <n v="19312.939999999999"/>
    <n v="111.07"/>
    <n v="765.49"/>
    <x v="737"/>
    <x v="1"/>
  </r>
  <r>
    <x v="2"/>
    <x v="5"/>
    <x v="3"/>
    <n v="1109.54"/>
    <n v="1214.82"/>
    <n v="170.78"/>
    <n v="49.27"/>
    <x v="738"/>
    <x v="0"/>
  </r>
  <r>
    <x v="15"/>
    <x v="3"/>
    <x v="2"/>
    <n v="29583.53"/>
    <n v="33481.65"/>
    <n v="45.69"/>
    <n v="1063.9100000000001"/>
    <x v="739"/>
    <x v="1"/>
  </r>
  <r>
    <x v="18"/>
    <x v="2"/>
    <x v="5"/>
    <n v="36095.480000000003"/>
    <n v="43115.74"/>
    <n v="37.43"/>
    <n v="899.35"/>
    <x v="740"/>
    <x v="1"/>
  </r>
  <r>
    <x v="15"/>
    <x v="0"/>
    <x v="5"/>
    <n v="7738.36"/>
    <n v="6877.19"/>
    <n v="175.24"/>
    <n v="1013.01"/>
    <x v="741"/>
    <x v="0"/>
  </r>
  <r>
    <x v="19"/>
    <x v="6"/>
    <x v="1"/>
    <n v="42303.27"/>
    <n v="44822.91"/>
    <n v="119.73"/>
    <n v="505.7"/>
    <x v="742"/>
    <x v="0"/>
  </r>
  <r>
    <x v="13"/>
    <x v="6"/>
    <x v="3"/>
    <n v="4989.08"/>
    <n v="5864.14"/>
    <n v="100.6"/>
    <n v="1296.8699999999999"/>
    <x v="743"/>
    <x v="0"/>
  </r>
  <r>
    <x v="5"/>
    <x v="6"/>
    <x v="7"/>
    <n v="27757.71"/>
    <n v="22778.29"/>
    <n v="193.39"/>
    <n v="373.58"/>
    <x v="744"/>
    <x v="0"/>
  </r>
  <r>
    <x v="16"/>
    <x v="6"/>
    <x v="7"/>
    <n v="23311.38"/>
    <n v="26725.02"/>
    <n v="41.11"/>
    <n v="643.79"/>
    <x v="745"/>
    <x v="0"/>
  </r>
  <r>
    <x v="5"/>
    <x v="0"/>
    <x v="4"/>
    <n v="6679.89"/>
    <n v="6925.21"/>
    <n v="59.68"/>
    <n v="310.56"/>
    <x v="746"/>
    <x v="0"/>
  </r>
  <r>
    <x v="9"/>
    <x v="4"/>
    <x v="6"/>
    <n v="42469.51"/>
    <n v="39368.14"/>
    <n v="166.01"/>
    <n v="1068.21"/>
    <x v="747"/>
    <x v="0"/>
  </r>
  <r>
    <x v="6"/>
    <x v="5"/>
    <x v="7"/>
    <n v="13761.51"/>
    <n v="15410.13"/>
    <n v="80.78"/>
    <n v="1387.75"/>
    <x v="748"/>
    <x v="0"/>
  </r>
  <r>
    <x v="15"/>
    <x v="6"/>
    <x v="6"/>
    <n v="40358.980000000003"/>
    <n v="46152.36"/>
    <n v="57.91"/>
    <n v="728.64"/>
    <x v="749"/>
    <x v="0"/>
  </r>
  <r>
    <x v="6"/>
    <x v="6"/>
    <x v="2"/>
    <n v="25957.96"/>
    <n v="25162.71"/>
    <n v="147.22999999999999"/>
    <n v="1178.21"/>
    <x v="750"/>
    <x v="0"/>
  </r>
  <r>
    <x v="9"/>
    <x v="0"/>
    <x v="6"/>
    <n v="5059.87"/>
    <n v="5395.54"/>
    <n v="129.44"/>
    <n v="305.35000000000002"/>
    <x v="751"/>
    <x v="0"/>
  </r>
  <r>
    <x v="1"/>
    <x v="5"/>
    <x v="3"/>
    <n v="33470.6"/>
    <n v="35751.86"/>
    <n v="81.8"/>
    <n v="95.58"/>
    <x v="752"/>
    <x v="0"/>
  </r>
  <r>
    <x v="4"/>
    <x v="4"/>
    <x v="6"/>
    <n v="28760.38"/>
    <n v="29664.82"/>
    <n v="73.11"/>
    <n v="329.62"/>
    <x v="753"/>
    <x v="0"/>
  </r>
  <r>
    <x v="0"/>
    <x v="6"/>
    <x v="2"/>
    <n v="10200.44"/>
    <n v="12125.39"/>
    <n v="182.11"/>
    <n v="893.25"/>
    <x v="754"/>
    <x v="0"/>
  </r>
  <r>
    <x v="18"/>
    <x v="1"/>
    <x v="1"/>
    <n v="12914.29"/>
    <n v="11233.79"/>
    <n v="190.73"/>
    <n v="1101.96"/>
    <x v="755"/>
    <x v="1"/>
  </r>
  <r>
    <x v="12"/>
    <x v="6"/>
    <x v="5"/>
    <n v="42307.43"/>
    <n v="34262.07"/>
    <n v="191.86"/>
    <n v="1324.27"/>
    <x v="756"/>
    <x v="0"/>
  </r>
  <r>
    <x v="7"/>
    <x v="2"/>
    <x v="4"/>
    <n v="19445.22"/>
    <n v="19020.37"/>
    <n v="73.58"/>
    <n v="1319.94"/>
    <x v="757"/>
    <x v="1"/>
  </r>
  <r>
    <x v="0"/>
    <x v="4"/>
    <x v="1"/>
    <n v="8659.7999999999993"/>
    <n v="8592.27"/>
    <n v="43.29"/>
    <n v="421.95"/>
    <x v="758"/>
    <x v="0"/>
  </r>
  <r>
    <x v="7"/>
    <x v="6"/>
    <x v="0"/>
    <n v="33461.35"/>
    <n v="35714.089999999997"/>
    <n v="83.09"/>
    <n v="386.41"/>
    <x v="759"/>
    <x v="0"/>
  </r>
  <r>
    <x v="2"/>
    <x v="3"/>
    <x v="2"/>
    <n v="14674.52"/>
    <n v="14947.46"/>
    <n v="133.02000000000001"/>
    <n v="744.1"/>
    <x v="760"/>
    <x v="1"/>
  </r>
  <r>
    <x v="1"/>
    <x v="6"/>
    <x v="4"/>
    <n v="31593.9"/>
    <n v="37852.85"/>
    <n v="170.62"/>
    <n v="76.489999999999995"/>
    <x v="761"/>
    <x v="0"/>
  </r>
  <r>
    <x v="15"/>
    <x v="5"/>
    <x v="5"/>
    <n v="29822.97"/>
    <n v="24565.55"/>
    <n v="52.23"/>
    <n v="801.17"/>
    <x v="762"/>
    <x v="0"/>
  </r>
  <r>
    <x v="2"/>
    <x v="4"/>
    <x v="3"/>
    <n v="26503"/>
    <n v="23734.01"/>
    <n v="144.19"/>
    <n v="590.83000000000004"/>
    <x v="763"/>
    <x v="0"/>
  </r>
  <r>
    <x v="14"/>
    <x v="3"/>
    <x v="2"/>
    <n v="23080.87"/>
    <n v="20864.580000000002"/>
    <n v="81.56"/>
    <n v="581.19000000000005"/>
    <x v="764"/>
    <x v="1"/>
  </r>
  <r>
    <x v="4"/>
    <x v="0"/>
    <x v="7"/>
    <n v="34344.01"/>
    <n v="34071.17"/>
    <n v="91.93"/>
    <n v="944.1"/>
    <x v="765"/>
    <x v="0"/>
  </r>
  <r>
    <x v="5"/>
    <x v="6"/>
    <x v="4"/>
    <n v="33660.29"/>
    <n v="39305.74"/>
    <n v="183.03"/>
    <n v="772.31"/>
    <x v="766"/>
    <x v="0"/>
  </r>
  <r>
    <x v="11"/>
    <x v="1"/>
    <x v="1"/>
    <n v="9735.2800000000007"/>
    <n v="10734.45"/>
    <n v="59.33"/>
    <n v="969.71"/>
    <x v="767"/>
    <x v="1"/>
  </r>
  <r>
    <x v="12"/>
    <x v="5"/>
    <x v="1"/>
    <n v="39944.94"/>
    <n v="33732.85"/>
    <n v="150.86000000000001"/>
    <n v="763.58"/>
    <x v="768"/>
    <x v="0"/>
  </r>
  <r>
    <x v="12"/>
    <x v="0"/>
    <x v="0"/>
    <n v="14839.7"/>
    <n v="16743.919999999998"/>
    <n v="98.64"/>
    <n v="838.81"/>
    <x v="769"/>
    <x v="0"/>
  </r>
  <r>
    <x v="10"/>
    <x v="2"/>
    <x v="5"/>
    <n v="13744.82"/>
    <n v="14829.62"/>
    <n v="184.28"/>
    <n v="877.75"/>
    <x v="770"/>
    <x v="1"/>
  </r>
  <r>
    <x v="10"/>
    <x v="0"/>
    <x v="7"/>
    <n v="32860.51"/>
    <n v="32933.760000000002"/>
    <n v="44.7"/>
    <n v="986.9"/>
    <x v="771"/>
    <x v="0"/>
  </r>
  <r>
    <x v="15"/>
    <x v="3"/>
    <x v="0"/>
    <n v="48462.45"/>
    <n v="49443.65"/>
    <n v="71.760000000000005"/>
    <n v="1061.3800000000001"/>
    <x v="772"/>
    <x v="1"/>
  </r>
  <r>
    <x v="15"/>
    <x v="1"/>
    <x v="3"/>
    <n v="15696.72"/>
    <n v="14452.61"/>
    <n v="57.68"/>
    <n v="1096.97"/>
    <x v="773"/>
    <x v="1"/>
  </r>
  <r>
    <x v="19"/>
    <x v="2"/>
    <x v="6"/>
    <n v="43576.62"/>
    <n v="43775.85"/>
    <n v="131.91"/>
    <n v="583.79999999999995"/>
    <x v="774"/>
    <x v="1"/>
  </r>
  <r>
    <x v="1"/>
    <x v="3"/>
    <x v="4"/>
    <n v="8838.5300000000007"/>
    <n v="8867.16"/>
    <n v="107.69"/>
    <n v="1064.1300000000001"/>
    <x v="775"/>
    <x v="1"/>
  </r>
  <r>
    <x v="18"/>
    <x v="4"/>
    <x v="6"/>
    <n v="35652.980000000003"/>
    <n v="29748.42"/>
    <n v="57.03"/>
    <n v="636.35"/>
    <x v="776"/>
    <x v="0"/>
  </r>
  <r>
    <x v="5"/>
    <x v="5"/>
    <x v="1"/>
    <n v="20674.88"/>
    <n v="21332.67"/>
    <n v="30.96"/>
    <n v="627.41"/>
    <x v="777"/>
    <x v="0"/>
  </r>
  <r>
    <x v="15"/>
    <x v="6"/>
    <x v="0"/>
    <n v="42565.57"/>
    <n v="42401.65"/>
    <n v="84.56"/>
    <n v="682.36"/>
    <x v="778"/>
    <x v="0"/>
  </r>
  <r>
    <x v="19"/>
    <x v="2"/>
    <x v="1"/>
    <n v="9879.9599999999991"/>
    <n v="10722.25"/>
    <n v="95.61"/>
    <n v="452.07"/>
    <x v="779"/>
    <x v="1"/>
  </r>
  <r>
    <x v="4"/>
    <x v="0"/>
    <x v="4"/>
    <n v="31831.93"/>
    <n v="31374.26"/>
    <n v="167.48"/>
    <n v="369.62"/>
    <x v="780"/>
    <x v="0"/>
  </r>
  <r>
    <x v="1"/>
    <x v="5"/>
    <x v="5"/>
    <n v="43627.15"/>
    <n v="35038.76"/>
    <n v="44.55"/>
    <n v="953.68"/>
    <x v="781"/>
    <x v="0"/>
  </r>
  <r>
    <x v="16"/>
    <x v="3"/>
    <x v="1"/>
    <n v="37542.25"/>
    <n v="32066.37"/>
    <n v="156.09"/>
    <n v="135.94999999999999"/>
    <x v="782"/>
    <x v="1"/>
  </r>
  <r>
    <x v="3"/>
    <x v="3"/>
    <x v="0"/>
    <n v="31099.34"/>
    <n v="29441.29"/>
    <n v="79.2"/>
    <n v="984.27"/>
    <x v="783"/>
    <x v="1"/>
  </r>
  <r>
    <x v="5"/>
    <x v="5"/>
    <x v="7"/>
    <n v="41217.83"/>
    <n v="37654.449999999997"/>
    <n v="57.17"/>
    <n v="1008.99"/>
    <x v="784"/>
    <x v="0"/>
  </r>
  <r>
    <x v="9"/>
    <x v="2"/>
    <x v="0"/>
    <n v="2475.4299999999998"/>
    <n v="2330.35"/>
    <n v="49.42"/>
    <n v="911.06"/>
    <x v="785"/>
    <x v="1"/>
  </r>
  <r>
    <x v="18"/>
    <x v="1"/>
    <x v="0"/>
    <n v="28964.9"/>
    <n v="26287.08"/>
    <n v="123.57"/>
    <n v="378.62"/>
    <x v="786"/>
    <x v="1"/>
  </r>
  <r>
    <x v="0"/>
    <x v="5"/>
    <x v="2"/>
    <n v="33322.199999999997"/>
    <n v="39144.379999999997"/>
    <n v="149.24"/>
    <n v="1128.83"/>
    <x v="787"/>
    <x v="0"/>
  </r>
  <r>
    <x v="10"/>
    <x v="2"/>
    <x v="1"/>
    <n v="48522.23"/>
    <n v="44276.44"/>
    <n v="171.9"/>
    <n v="1123.8900000000001"/>
    <x v="788"/>
    <x v="1"/>
  </r>
  <r>
    <x v="1"/>
    <x v="4"/>
    <x v="1"/>
    <n v="40227.99"/>
    <n v="36890.75"/>
    <n v="55.64"/>
    <n v="16.18"/>
    <x v="789"/>
    <x v="0"/>
  </r>
  <r>
    <x v="5"/>
    <x v="2"/>
    <x v="1"/>
    <n v="10738.97"/>
    <n v="8613.14"/>
    <n v="162.96"/>
    <n v="987.99"/>
    <x v="790"/>
    <x v="1"/>
  </r>
  <r>
    <x v="9"/>
    <x v="1"/>
    <x v="0"/>
    <n v="26681.9"/>
    <n v="27854.54"/>
    <n v="70.709999999999994"/>
    <n v="1159.1500000000001"/>
    <x v="791"/>
    <x v="1"/>
  </r>
  <r>
    <x v="12"/>
    <x v="3"/>
    <x v="1"/>
    <n v="49164.98"/>
    <n v="56638.77"/>
    <n v="185.73"/>
    <n v="662.41"/>
    <x v="792"/>
    <x v="1"/>
  </r>
  <r>
    <x v="14"/>
    <x v="3"/>
    <x v="0"/>
    <n v="46577.19"/>
    <n v="54740.160000000003"/>
    <n v="138.28"/>
    <n v="1022.88"/>
    <x v="793"/>
    <x v="1"/>
  </r>
  <r>
    <x v="18"/>
    <x v="5"/>
    <x v="1"/>
    <n v="1633.99"/>
    <n v="1856.49"/>
    <n v="60.41"/>
    <n v="611.82000000000005"/>
    <x v="794"/>
    <x v="0"/>
  </r>
  <r>
    <x v="10"/>
    <x v="4"/>
    <x v="7"/>
    <n v="42496.97"/>
    <n v="47062.1"/>
    <n v="177.79"/>
    <n v="378.56"/>
    <x v="795"/>
    <x v="0"/>
  </r>
  <r>
    <x v="14"/>
    <x v="2"/>
    <x v="0"/>
    <n v="41515.29"/>
    <n v="42488.1"/>
    <n v="185.66"/>
    <n v="62.21"/>
    <x v="796"/>
    <x v="1"/>
  </r>
  <r>
    <x v="10"/>
    <x v="0"/>
    <x v="5"/>
    <n v="21203.25"/>
    <n v="21102.37"/>
    <n v="21.18"/>
    <n v="1134.22"/>
    <x v="797"/>
    <x v="0"/>
  </r>
  <r>
    <x v="18"/>
    <x v="3"/>
    <x v="6"/>
    <n v="8352.67"/>
    <n v="9536.98"/>
    <n v="27.32"/>
    <n v="1063.02"/>
    <x v="798"/>
    <x v="1"/>
  </r>
  <r>
    <x v="9"/>
    <x v="0"/>
    <x v="6"/>
    <n v="43889.15"/>
    <n v="38039.160000000003"/>
    <n v="124.76"/>
    <n v="926.37"/>
    <x v="799"/>
    <x v="0"/>
  </r>
  <r>
    <x v="19"/>
    <x v="4"/>
    <x v="5"/>
    <n v="38982.81"/>
    <n v="44850.25"/>
    <n v="47.51"/>
    <n v="679.57"/>
    <x v="800"/>
    <x v="0"/>
  </r>
  <r>
    <x v="14"/>
    <x v="3"/>
    <x v="7"/>
    <n v="5740.16"/>
    <n v="6006.83"/>
    <n v="105.41"/>
    <n v="1257.32"/>
    <x v="801"/>
    <x v="1"/>
  </r>
  <r>
    <x v="0"/>
    <x v="5"/>
    <x v="0"/>
    <n v="24267.79"/>
    <n v="21302.14"/>
    <n v="43.56"/>
    <n v="119.98"/>
    <x v="802"/>
    <x v="0"/>
  </r>
  <r>
    <x v="12"/>
    <x v="2"/>
    <x v="7"/>
    <n v="15102.01"/>
    <n v="16515.169999999998"/>
    <n v="182.79"/>
    <n v="547.22"/>
    <x v="803"/>
    <x v="1"/>
  </r>
  <r>
    <x v="18"/>
    <x v="2"/>
    <x v="4"/>
    <n v="9594.9"/>
    <n v="8635.68"/>
    <n v="89.41"/>
    <n v="1318.44"/>
    <x v="804"/>
    <x v="1"/>
  </r>
  <r>
    <x v="19"/>
    <x v="3"/>
    <x v="4"/>
    <n v="44122.03"/>
    <n v="37487.870000000003"/>
    <n v="81.040000000000006"/>
    <n v="552.70000000000005"/>
    <x v="805"/>
    <x v="1"/>
  </r>
  <r>
    <x v="6"/>
    <x v="4"/>
    <x v="4"/>
    <n v="32934.75"/>
    <n v="26985.79"/>
    <n v="182.05"/>
    <n v="43.37"/>
    <x v="806"/>
    <x v="0"/>
  </r>
  <r>
    <x v="13"/>
    <x v="6"/>
    <x v="4"/>
    <n v="9550.41"/>
    <n v="8401.6200000000008"/>
    <n v="47.94"/>
    <n v="1007.12"/>
    <x v="807"/>
    <x v="0"/>
  </r>
  <r>
    <x v="11"/>
    <x v="4"/>
    <x v="5"/>
    <n v="37772.93"/>
    <n v="36707.67"/>
    <n v="36.24"/>
    <n v="915.26"/>
    <x v="808"/>
    <x v="0"/>
  </r>
  <r>
    <x v="6"/>
    <x v="4"/>
    <x v="1"/>
    <n v="3847.14"/>
    <n v="4473.37"/>
    <n v="54.85"/>
    <n v="1332.5"/>
    <x v="809"/>
    <x v="0"/>
  </r>
  <r>
    <x v="10"/>
    <x v="3"/>
    <x v="7"/>
    <n v="49284.51"/>
    <n v="52917.99"/>
    <n v="116.39"/>
    <n v="83.06"/>
    <x v="810"/>
    <x v="1"/>
  </r>
  <r>
    <x v="11"/>
    <x v="5"/>
    <x v="2"/>
    <n v="37469.440000000002"/>
    <n v="42045.64"/>
    <n v="80.52"/>
    <n v="264.86"/>
    <x v="811"/>
    <x v="0"/>
  </r>
  <r>
    <x v="10"/>
    <x v="5"/>
    <x v="0"/>
    <n v="22503.66"/>
    <n v="21736.97"/>
    <n v="180.76"/>
    <n v="395.64"/>
    <x v="812"/>
    <x v="0"/>
  </r>
  <r>
    <x v="0"/>
    <x v="5"/>
    <x v="4"/>
    <n v="36458.5"/>
    <n v="42052.73"/>
    <n v="59.66"/>
    <n v="604.25"/>
    <x v="813"/>
    <x v="0"/>
  </r>
  <r>
    <x v="1"/>
    <x v="2"/>
    <x v="0"/>
    <n v="20585.97"/>
    <n v="21867.46"/>
    <n v="197.18"/>
    <n v="1151.3499999999999"/>
    <x v="814"/>
    <x v="1"/>
  </r>
  <r>
    <x v="17"/>
    <x v="5"/>
    <x v="6"/>
    <n v="8879.6299999999992"/>
    <n v="8321.7199999999993"/>
    <n v="146.78"/>
    <n v="195.8"/>
    <x v="815"/>
    <x v="0"/>
  </r>
  <r>
    <x v="16"/>
    <x v="6"/>
    <x v="3"/>
    <n v="20467.580000000002"/>
    <n v="17710.61"/>
    <n v="161.6"/>
    <n v="723.69"/>
    <x v="816"/>
    <x v="0"/>
  </r>
  <r>
    <x v="16"/>
    <x v="6"/>
    <x v="7"/>
    <n v="27926.81"/>
    <n v="23557.01"/>
    <n v="178.45"/>
    <n v="430.03"/>
    <x v="817"/>
    <x v="0"/>
  </r>
  <r>
    <x v="18"/>
    <x v="0"/>
    <x v="2"/>
    <n v="35500.69"/>
    <n v="35693.769999999997"/>
    <n v="182.79"/>
    <n v="458.44"/>
    <x v="818"/>
    <x v="0"/>
  </r>
  <r>
    <x v="11"/>
    <x v="6"/>
    <x v="6"/>
    <n v="44816.92"/>
    <n v="44060.44"/>
    <n v="128.59"/>
    <n v="1081.82"/>
    <x v="819"/>
    <x v="0"/>
  </r>
  <r>
    <x v="13"/>
    <x v="3"/>
    <x v="3"/>
    <n v="38566.47"/>
    <n v="31631.59"/>
    <n v="172.43"/>
    <n v="858.26"/>
    <x v="820"/>
    <x v="1"/>
  </r>
  <r>
    <x v="9"/>
    <x v="3"/>
    <x v="5"/>
    <n v="26806.05"/>
    <n v="24067.040000000001"/>
    <n v="92.95"/>
    <n v="776.13"/>
    <x v="821"/>
    <x v="1"/>
  </r>
  <r>
    <x v="4"/>
    <x v="6"/>
    <x v="0"/>
    <n v="43185.71"/>
    <n v="38857.86"/>
    <n v="130.57"/>
    <n v="1324.31"/>
    <x v="822"/>
    <x v="0"/>
  </r>
  <r>
    <x v="9"/>
    <x v="1"/>
    <x v="3"/>
    <n v="22759.439999999999"/>
    <n v="22153.17"/>
    <n v="76.02"/>
    <n v="1049.57"/>
    <x v="823"/>
    <x v="1"/>
  </r>
  <r>
    <x v="1"/>
    <x v="3"/>
    <x v="3"/>
    <n v="16338.96"/>
    <n v="13830.73"/>
    <n v="167.76"/>
    <n v="1250.52"/>
    <x v="824"/>
    <x v="1"/>
  </r>
  <r>
    <x v="5"/>
    <x v="1"/>
    <x v="2"/>
    <n v="43568.25"/>
    <n v="41325.89"/>
    <n v="68.510000000000005"/>
    <n v="1158.9100000000001"/>
    <x v="825"/>
    <x v="1"/>
  </r>
  <r>
    <x v="5"/>
    <x v="5"/>
    <x v="5"/>
    <n v="6153.96"/>
    <n v="6170.8"/>
    <n v="176.24"/>
    <n v="611.9"/>
    <x v="826"/>
    <x v="0"/>
  </r>
  <r>
    <x v="9"/>
    <x v="3"/>
    <x v="6"/>
    <n v="9827.4500000000007"/>
    <n v="9747.39"/>
    <n v="53.24"/>
    <n v="574.88"/>
    <x v="827"/>
    <x v="1"/>
  </r>
  <r>
    <x v="2"/>
    <x v="3"/>
    <x v="1"/>
    <n v="11296.78"/>
    <n v="11830.97"/>
    <n v="21.64"/>
    <n v="645.44000000000005"/>
    <x v="828"/>
    <x v="1"/>
  </r>
  <r>
    <x v="7"/>
    <x v="5"/>
    <x v="0"/>
    <n v="37450.89"/>
    <n v="33480.639999999999"/>
    <n v="164.68"/>
    <n v="383.42"/>
    <x v="829"/>
    <x v="0"/>
  </r>
  <r>
    <x v="16"/>
    <x v="6"/>
    <x v="4"/>
    <n v="5391.02"/>
    <n v="4886.51"/>
    <n v="70.55"/>
    <n v="1110.81"/>
    <x v="830"/>
    <x v="0"/>
  </r>
  <r>
    <x v="7"/>
    <x v="5"/>
    <x v="3"/>
    <n v="46108.05"/>
    <n v="47253.01"/>
    <n v="104.11"/>
    <n v="1058.72"/>
    <x v="831"/>
    <x v="0"/>
  </r>
  <r>
    <x v="7"/>
    <x v="3"/>
    <x v="0"/>
    <n v="45682.04"/>
    <n v="39117.339999999997"/>
    <n v="42.62"/>
    <n v="404.16"/>
    <x v="832"/>
    <x v="1"/>
  </r>
  <r>
    <x v="15"/>
    <x v="4"/>
    <x v="1"/>
    <n v="35797.75"/>
    <n v="29894.59"/>
    <n v="77.260000000000005"/>
    <n v="639.45000000000005"/>
    <x v="833"/>
    <x v="0"/>
  </r>
  <r>
    <x v="2"/>
    <x v="4"/>
    <x v="0"/>
    <n v="36830.980000000003"/>
    <n v="43300.12"/>
    <n v="150.55000000000001"/>
    <n v="274.62"/>
    <x v="834"/>
    <x v="0"/>
  </r>
  <r>
    <x v="2"/>
    <x v="3"/>
    <x v="4"/>
    <n v="38470.33"/>
    <n v="43779.81"/>
    <n v="119.22"/>
    <n v="337.73"/>
    <x v="835"/>
    <x v="1"/>
  </r>
  <r>
    <x v="13"/>
    <x v="5"/>
    <x v="3"/>
    <n v="45204.06"/>
    <n v="38358.519999999997"/>
    <n v="81.87"/>
    <n v="732.55"/>
    <x v="836"/>
    <x v="0"/>
  </r>
  <r>
    <x v="11"/>
    <x v="5"/>
    <x v="6"/>
    <n v="11082.19"/>
    <n v="9026.56"/>
    <n v="179.11"/>
    <n v="632.24"/>
    <x v="837"/>
    <x v="0"/>
  </r>
  <r>
    <x v="19"/>
    <x v="3"/>
    <x v="3"/>
    <n v="28825.21"/>
    <n v="30502.34"/>
    <n v="107.12"/>
    <n v="537.79"/>
    <x v="838"/>
    <x v="1"/>
  </r>
  <r>
    <x v="11"/>
    <x v="2"/>
    <x v="4"/>
    <n v="47231.97"/>
    <n v="53421.64"/>
    <n v="109.68"/>
    <n v="1275.1099999999999"/>
    <x v="839"/>
    <x v="1"/>
  </r>
  <r>
    <x v="8"/>
    <x v="5"/>
    <x v="7"/>
    <n v="40472.730000000003"/>
    <n v="33719.67"/>
    <n v="109.15"/>
    <n v="1009.24"/>
    <x v="840"/>
    <x v="0"/>
  </r>
  <r>
    <x v="19"/>
    <x v="2"/>
    <x v="2"/>
    <n v="22963.66"/>
    <n v="24723.96"/>
    <n v="105.7"/>
    <n v="1265.02"/>
    <x v="841"/>
    <x v="1"/>
  </r>
  <r>
    <x v="1"/>
    <x v="1"/>
    <x v="7"/>
    <n v="47937.02"/>
    <n v="39218.6"/>
    <n v="164.71"/>
    <n v="953.46"/>
    <x v="842"/>
    <x v="1"/>
  </r>
  <r>
    <x v="17"/>
    <x v="6"/>
    <x v="3"/>
    <n v="12428.8"/>
    <n v="12685.51"/>
    <n v="99.23"/>
    <n v="1064.28"/>
    <x v="843"/>
    <x v="0"/>
  </r>
  <r>
    <x v="2"/>
    <x v="5"/>
    <x v="6"/>
    <n v="18157.79"/>
    <n v="16818.650000000001"/>
    <n v="186.62"/>
    <n v="289.48"/>
    <x v="844"/>
    <x v="0"/>
  </r>
  <r>
    <x v="16"/>
    <x v="0"/>
    <x v="5"/>
    <n v="9450.08"/>
    <n v="8058.23"/>
    <n v="54.77"/>
    <n v="731.87"/>
    <x v="845"/>
    <x v="0"/>
  </r>
  <r>
    <x v="13"/>
    <x v="0"/>
    <x v="6"/>
    <n v="35747.35"/>
    <n v="38945.32"/>
    <n v="147.61000000000001"/>
    <n v="1287.73"/>
    <x v="846"/>
    <x v="0"/>
  </r>
  <r>
    <x v="17"/>
    <x v="2"/>
    <x v="3"/>
    <n v="27610.31"/>
    <n v="27250.78"/>
    <n v="141.58000000000001"/>
    <n v="444.92"/>
    <x v="847"/>
    <x v="1"/>
  </r>
  <r>
    <x v="1"/>
    <x v="4"/>
    <x v="0"/>
    <n v="33348.239999999998"/>
    <n v="32688.799999999999"/>
    <n v="92"/>
    <n v="866.83"/>
    <x v="848"/>
    <x v="0"/>
  </r>
  <r>
    <x v="18"/>
    <x v="4"/>
    <x v="7"/>
    <n v="35404.449999999997"/>
    <n v="34573.33"/>
    <n v="52.83"/>
    <n v="1114.94"/>
    <x v="849"/>
    <x v="0"/>
  </r>
  <r>
    <x v="9"/>
    <x v="1"/>
    <x v="4"/>
    <n v="35709.120000000003"/>
    <n v="34134.17"/>
    <n v="141.9"/>
    <n v="57.58"/>
    <x v="850"/>
    <x v="1"/>
  </r>
  <r>
    <x v="12"/>
    <x v="3"/>
    <x v="0"/>
    <n v="25148.53"/>
    <n v="26580.93"/>
    <n v="96.84"/>
    <n v="1373.75"/>
    <x v="851"/>
    <x v="1"/>
  </r>
  <r>
    <x v="0"/>
    <x v="0"/>
    <x v="1"/>
    <n v="40257.449999999997"/>
    <n v="42998.94"/>
    <n v="145.47"/>
    <n v="92.26"/>
    <x v="852"/>
    <x v="0"/>
  </r>
  <r>
    <x v="16"/>
    <x v="1"/>
    <x v="7"/>
    <n v="32266.14"/>
    <n v="28182.03"/>
    <n v="62.43"/>
    <n v="618.72"/>
    <x v="853"/>
    <x v="1"/>
  </r>
  <r>
    <x v="10"/>
    <x v="0"/>
    <x v="3"/>
    <n v="27129.87"/>
    <n v="25612.86"/>
    <n v="68.38"/>
    <n v="719.72"/>
    <x v="854"/>
    <x v="0"/>
  </r>
  <r>
    <x v="2"/>
    <x v="4"/>
    <x v="7"/>
    <n v="42434.63"/>
    <n v="42409.63"/>
    <n v="59.74"/>
    <n v="1296.98"/>
    <x v="855"/>
    <x v="0"/>
  </r>
  <r>
    <x v="6"/>
    <x v="3"/>
    <x v="4"/>
    <n v="4897.7299999999996"/>
    <n v="3924.03"/>
    <n v="164.04"/>
    <n v="1066.56"/>
    <x v="856"/>
    <x v="1"/>
  </r>
  <r>
    <x v="12"/>
    <x v="4"/>
    <x v="0"/>
    <n v="6845.55"/>
    <n v="6342"/>
    <n v="140.04"/>
    <n v="1351.41"/>
    <x v="857"/>
    <x v="0"/>
  </r>
  <r>
    <x v="13"/>
    <x v="0"/>
    <x v="4"/>
    <n v="44700.35"/>
    <n v="45771.57"/>
    <n v="55.69"/>
    <n v="561.85"/>
    <x v="858"/>
    <x v="0"/>
  </r>
  <r>
    <x v="12"/>
    <x v="5"/>
    <x v="7"/>
    <n v="7244.15"/>
    <n v="5905.22"/>
    <n v="119.33"/>
    <n v="683.01"/>
    <x v="859"/>
    <x v="0"/>
  </r>
  <r>
    <x v="6"/>
    <x v="1"/>
    <x v="0"/>
    <n v="33854.230000000003"/>
    <n v="30364.97"/>
    <n v="82.99"/>
    <n v="510.15"/>
    <x v="860"/>
    <x v="1"/>
  </r>
  <r>
    <x v="5"/>
    <x v="1"/>
    <x v="0"/>
    <n v="44291.93"/>
    <n v="47222.04"/>
    <n v="70.22"/>
    <n v="99.98"/>
    <x v="861"/>
    <x v="1"/>
  </r>
  <r>
    <x v="8"/>
    <x v="0"/>
    <x v="2"/>
    <n v="32886.269999999997"/>
    <n v="38702.18"/>
    <n v="199.4"/>
    <n v="866.88"/>
    <x v="862"/>
    <x v="0"/>
  </r>
  <r>
    <x v="16"/>
    <x v="0"/>
    <x v="2"/>
    <n v="43730.86"/>
    <n v="35135.24"/>
    <n v="134.63"/>
    <n v="1021.4"/>
    <x v="863"/>
    <x v="0"/>
  </r>
  <r>
    <x v="3"/>
    <x v="2"/>
    <x v="0"/>
    <n v="42584.45"/>
    <n v="34687.74"/>
    <n v="190.89"/>
    <n v="671.16"/>
    <x v="864"/>
    <x v="1"/>
  </r>
  <r>
    <x v="18"/>
    <x v="1"/>
    <x v="3"/>
    <n v="14279.35"/>
    <n v="12857.6"/>
    <n v="69.69"/>
    <n v="962.01"/>
    <x v="865"/>
    <x v="1"/>
  </r>
  <r>
    <x v="3"/>
    <x v="4"/>
    <x v="0"/>
    <n v="8482.02"/>
    <n v="9641.15"/>
    <n v="127.48"/>
    <n v="1276.31"/>
    <x v="866"/>
    <x v="0"/>
  </r>
  <r>
    <x v="4"/>
    <x v="2"/>
    <x v="1"/>
    <n v="12889.02"/>
    <n v="12044.44"/>
    <n v="25.54"/>
    <n v="920.02"/>
    <x v="867"/>
    <x v="1"/>
  </r>
  <r>
    <x v="1"/>
    <x v="4"/>
    <x v="1"/>
    <n v="26522.14"/>
    <n v="21329.27"/>
    <n v="36.950000000000003"/>
    <n v="1084.6099999999999"/>
    <x v="868"/>
    <x v="0"/>
  </r>
  <r>
    <x v="15"/>
    <x v="2"/>
    <x v="4"/>
    <n v="12996.1"/>
    <n v="10791.47"/>
    <n v="176.69"/>
    <n v="1219.29"/>
    <x v="869"/>
    <x v="1"/>
  </r>
  <r>
    <x v="0"/>
    <x v="4"/>
    <x v="1"/>
    <n v="10234.379999999999"/>
    <n v="10925.55"/>
    <n v="75.3"/>
    <n v="1328.14"/>
    <x v="870"/>
    <x v="0"/>
  </r>
  <r>
    <x v="2"/>
    <x v="0"/>
    <x v="0"/>
    <n v="11503.27"/>
    <n v="12818.4"/>
    <n v="116.23"/>
    <n v="987.97"/>
    <x v="871"/>
    <x v="0"/>
  </r>
  <r>
    <x v="1"/>
    <x v="6"/>
    <x v="0"/>
    <n v="24515.11"/>
    <n v="26391.040000000001"/>
    <n v="156.80000000000001"/>
    <n v="257.73"/>
    <x v="872"/>
    <x v="0"/>
  </r>
  <r>
    <x v="8"/>
    <x v="6"/>
    <x v="5"/>
    <n v="23708.54"/>
    <n v="21422.03"/>
    <n v="25.93"/>
    <n v="999.01"/>
    <x v="873"/>
    <x v="0"/>
  </r>
  <r>
    <x v="13"/>
    <x v="0"/>
    <x v="4"/>
    <n v="35215.19"/>
    <n v="30350.95"/>
    <n v="97.75"/>
    <n v="187.24"/>
    <x v="874"/>
    <x v="0"/>
  </r>
  <r>
    <x v="8"/>
    <x v="4"/>
    <x v="2"/>
    <n v="5983.65"/>
    <n v="6409.36"/>
    <n v="103.06"/>
    <n v="850.21"/>
    <x v="875"/>
    <x v="0"/>
  </r>
  <r>
    <x v="17"/>
    <x v="0"/>
    <x v="6"/>
    <n v="46830.94"/>
    <n v="53089"/>
    <n v="109.93"/>
    <n v="1313.38"/>
    <x v="876"/>
    <x v="0"/>
  </r>
  <r>
    <x v="2"/>
    <x v="2"/>
    <x v="2"/>
    <n v="39640.67"/>
    <n v="45257.9"/>
    <n v="172.04"/>
    <n v="884.85"/>
    <x v="877"/>
    <x v="1"/>
  </r>
  <r>
    <x v="13"/>
    <x v="3"/>
    <x v="7"/>
    <n v="40774.51"/>
    <n v="40166.639999999999"/>
    <n v="170.8"/>
    <n v="418.7"/>
    <x v="878"/>
    <x v="1"/>
  </r>
  <r>
    <x v="1"/>
    <x v="4"/>
    <x v="2"/>
    <n v="12446.82"/>
    <n v="13000.65"/>
    <n v="96.34"/>
    <n v="1061.4100000000001"/>
    <x v="879"/>
    <x v="0"/>
  </r>
  <r>
    <x v="0"/>
    <x v="5"/>
    <x v="5"/>
    <n v="26079.42"/>
    <n v="25803.49"/>
    <n v="160.44"/>
    <n v="97.84"/>
    <x v="880"/>
    <x v="0"/>
  </r>
  <r>
    <x v="12"/>
    <x v="3"/>
    <x v="1"/>
    <n v="17805.95"/>
    <n v="14344.08"/>
    <n v="98.43"/>
    <n v="737.86"/>
    <x v="881"/>
    <x v="1"/>
  </r>
  <r>
    <x v="6"/>
    <x v="3"/>
    <x v="0"/>
    <n v="1770.01"/>
    <n v="1586.6"/>
    <n v="124.12"/>
    <n v="465.5"/>
    <x v="882"/>
    <x v="1"/>
  </r>
  <r>
    <x v="2"/>
    <x v="6"/>
    <x v="7"/>
    <n v="42605.03"/>
    <n v="41963.21"/>
    <n v="164.67"/>
    <n v="850.23"/>
    <x v="883"/>
    <x v="0"/>
  </r>
  <r>
    <x v="12"/>
    <x v="6"/>
    <x v="4"/>
    <n v="47037.46"/>
    <n v="37722.959999999999"/>
    <n v="35.83"/>
    <n v="63.44"/>
    <x v="884"/>
    <x v="0"/>
  </r>
  <r>
    <x v="10"/>
    <x v="0"/>
    <x v="7"/>
    <n v="11535.53"/>
    <n v="11122.14"/>
    <n v="137.86000000000001"/>
    <n v="1393.56"/>
    <x v="885"/>
    <x v="0"/>
  </r>
  <r>
    <x v="10"/>
    <x v="1"/>
    <x v="6"/>
    <n v="2544.85"/>
    <n v="2094.59"/>
    <n v="54.43"/>
    <n v="158.79"/>
    <x v="886"/>
    <x v="1"/>
  </r>
  <r>
    <x v="5"/>
    <x v="3"/>
    <x v="6"/>
    <n v="44571.72"/>
    <n v="38799.410000000003"/>
    <n v="64.52"/>
    <n v="265.2"/>
    <x v="887"/>
    <x v="1"/>
  </r>
  <r>
    <x v="2"/>
    <x v="2"/>
    <x v="2"/>
    <n v="34265.32"/>
    <n v="31824.29"/>
    <n v="36.36"/>
    <n v="85.99"/>
    <x v="888"/>
    <x v="1"/>
  </r>
  <r>
    <x v="15"/>
    <x v="4"/>
    <x v="3"/>
    <n v="30869.97"/>
    <n v="27152.97"/>
    <n v="81"/>
    <n v="637.92999999999995"/>
    <x v="889"/>
    <x v="0"/>
  </r>
  <r>
    <x v="5"/>
    <x v="1"/>
    <x v="4"/>
    <n v="46425.16"/>
    <n v="51894.080000000002"/>
    <n v="119.52"/>
    <n v="1232.3399999999999"/>
    <x v="890"/>
    <x v="1"/>
  </r>
  <r>
    <x v="15"/>
    <x v="4"/>
    <x v="5"/>
    <n v="15983.89"/>
    <n v="13743.01"/>
    <n v="118.51"/>
    <n v="613.62"/>
    <x v="891"/>
    <x v="0"/>
  </r>
  <r>
    <x v="7"/>
    <x v="3"/>
    <x v="2"/>
    <n v="37272.33"/>
    <n v="36169.5"/>
    <n v="164.31"/>
    <n v="221.67"/>
    <x v="892"/>
    <x v="1"/>
  </r>
  <r>
    <x v="13"/>
    <x v="1"/>
    <x v="7"/>
    <n v="38743.72"/>
    <n v="34924.65"/>
    <n v="175.76"/>
    <n v="906.74"/>
    <x v="893"/>
    <x v="1"/>
  </r>
  <r>
    <x v="4"/>
    <x v="2"/>
    <x v="1"/>
    <n v="22824.99"/>
    <n v="21668.59"/>
    <n v="69.44"/>
    <n v="965.14"/>
    <x v="894"/>
    <x v="1"/>
  </r>
  <r>
    <x v="0"/>
    <x v="0"/>
    <x v="2"/>
    <n v="47790.7"/>
    <n v="44900.9"/>
    <n v="55.76"/>
    <n v="724.21"/>
    <x v="895"/>
    <x v="0"/>
  </r>
  <r>
    <x v="6"/>
    <x v="5"/>
    <x v="1"/>
    <n v="2385.3000000000002"/>
    <n v="2575"/>
    <n v="81.73"/>
    <n v="340.76"/>
    <x v="896"/>
    <x v="0"/>
  </r>
  <r>
    <x v="6"/>
    <x v="5"/>
    <x v="6"/>
    <n v="17123.97"/>
    <n v="18075.66"/>
    <n v="26.65"/>
    <n v="892.99"/>
    <x v="897"/>
    <x v="0"/>
  </r>
  <r>
    <x v="9"/>
    <x v="0"/>
    <x v="0"/>
    <n v="25898.1"/>
    <n v="27122.01"/>
    <n v="167.21"/>
    <n v="1088.02"/>
    <x v="898"/>
    <x v="0"/>
  </r>
  <r>
    <x v="6"/>
    <x v="6"/>
    <x v="4"/>
    <n v="37962.199999999997"/>
    <n v="38039.760000000002"/>
    <n v="105.57"/>
    <n v="1118.1500000000001"/>
    <x v="899"/>
    <x v="0"/>
  </r>
  <r>
    <x v="2"/>
    <x v="2"/>
    <x v="0"/>
    <n v="11793.7"/>
    <n v="14057.41"/>
    <n v="186.27"/>
    <n v="1086.43"/>
    <x v="900"/>
    <x v="1"/>
  </r>
  <r>
    <x v="16"/>
    <x v="4"/>
    <x v="5"/>
    <n v="40578.720000000001"/>
    <n v="40705.86"/>
    <n v="79.650000000000006"/>
    <n v="1284.28"/>
    <x v="901"/>
    <x v="0"/>
  </r>
  <r>
    <x v="5"/>
    <x v="6"/>
    <x v="7"/>
    <n v="635.89"/>
    <n v="678.39"/>
    <n v="121.86"/>
    <n v="1100.53"/>
    <x v="902"/>
    <x v="0"/>
  </r>
  <r>
    <x v="17"/>
    <x v="3"/>
    <x v="6"/>
    <n v="44274.37"/>
    <n v="48037.82"/>
    <n v="93.24"/>
    <n v="635.66"/>
    <x v="903"/>
    <x v="1"/>
  </r>
  <r>
    <x v="13"/>
    <x v="1"/>
    <x v="7"/>
    <n v="18914.73"/>
    <n v="17461.66"/>
    <n v="141.38999999999999"/>
    <n v="953.38"/>
    <x v="904"/>
    <x v="1"/>
  </r>
  <r>
    <x v="5"/>
    <x v="1"/>
    <x v="6"/>
    <n v="43403.34"/>
    <n v="50453.95"/>
    <n v="121.87"/>
    <n v="609.88"/>
    <x v="905"/>
    <x v="1"/>
  </r>
  <r>
    <x v="14"/>
    <x v="1"/>
    <x v="0"/>
    <n v="13377.2"/>
    <n v="13169.52"/>
    <n v="124.92"/>
    <n v="233.39"/>
    <x v="906"/>
    <x v="1"/>
  </r>
  <r>
    <x v="14"/>
    <x v="4"/>
    <x v="6"/>
    <n v="6676.42"/>
    <n v="5689.53"/>
    <n v="47.56"/>
    <n v="272.95999999999998"/>
    <x v="907"/>
    <x v="0"/>
  </r>
  <r>
    <x v="8"/>
    <x v="5"/>
    <x v="6"/>
    <n v="48272.56"/>
    <n v="45655.35"/>
    <n v="146.66"/>
    <n v="236.12"/>
    <x v="908"/>
    <x v="0"/>
  </r>
  <r>
    <x v="4"/>
    <x v="6"/>
    <x v="4"/>
    <n v="16124.59"/>
    <n v="13779.36"/>
    <n v="122.51"/>
    <n v="1369.98"/>
    <x v="909"/>
    <x v="0"/>
  </r>
  <r>
    <x v="6"/>
    <x v="3"/>
    <x v="3"/>
    <n v="28410.76"/>
    <n v="27734.23"/>
    <n v="139.37"/>
    <n v="581.96"/>
    <x v="910"/>
    <x v="1"/>
  </r>
  <r>
    <x v="3"/>
    <x v="6"/>
    <x v="5"/>
    <n v="46292.03"/>
    <n v="47192.54"/>
    <n v="86.61"/>
    <n v="48.66"/>
    <x v="911"/>
    <x v="0"/>
  </r>
  <r>
    <x v="17"/>
    <x v="4"/>
    <x v="0"/>
    <n v="43517.47"/>
    <n v="39926.28"/>
    <n v="175.83"/>
    <n v="701.28"/>
    <x v="912"/>
    <x v="0"/>
  </r>
  <r>
    <x v="2"/>
    <x v="4"/>
    <x v="2"/>
    <n v="19101.73"/>
    <n v="21537.88"/>
    <n v="81.45"/>
    <n v="87.63"/>
    <x v="913"/>
    <x v="0"/>
  </r>
  <r>
    <x v="15"/>
    <x v="1"/>
    <x v="6"/>
    <n v="13620.65"/>
    <n v="11080.62"/>
    <n v="42.48"/>
    <n v="625.29999999999995"/>
    <x v="914"/>
    <x v="1"/>
  </r>
  <r>
    <x v="18"/>
    <x v="4"/>
    <x v="7"/>
    <n v="38704.629999999997"/>
    <n v="45379.18"/>
    <n v="144.29"/>
    <n v="56.12"/>
    <x v="915"/>
    <x v="0"/>
  </r>
  <r>
    <x v="0"/>
    <x v="4"/>
    <x v="0"/>
    <n v="18097.21"/>
    <n v="18489.13"/>
    <n v="39.5"/>
    <n v="197.64"/>
    <x v="916"/>
    <x v="0"/>
  </r>
  <r>
    <x v="17"/>
    <x v="5"/>
    <x v="3"/>
    <n v="23393.34"/>
    <n v="25594.240000000002"/>
    <n v="101.54"/>
    <n v="374.29"/>
    <x v="917"/>
    <x v="0"/>
  </r>
  <r>
    <x v="1"/>
    <x v="2"/>
    <x v="7"/>
    <n v="46548.17"/>
    <n v="38763.17"/>
    <n v="78.95"/>
    <n v="21.75"/>
    <x v="918"/>
    <x v="1"/>
  </r>
  <r>
    <x v="12"/>
    <x v="1"/>
    <x v="0"/>
    <n v="15570.99"/>
    <n v="18315.75"/>
    <n v="189.25"/>
    <n v="164.5"/>
    <x v="919"/>
    <x v="1"/>
  </r>
  <r>
    <x v="2"/>
    <x v="2"/>
    <x v="1"/>
    <n v="15781.53"/>
    <n v="15316.49"/>
    <n v="87.81"/>
    <n v="1354.7"/>
    <x v="920"/>
    <x v="1"/>
  </r>
  <r>
    <x v="10"/>
    <x v="6"/>
    <x v="6"/>
    <n v="41933.58"/>
    <n v="39978.85"/>
    <n v="100.94"/>
    <n v="122.93"/>
    <x v="921"/>
    <x v="0"/>
  </r>
  <r>
    <x v="7"/>
    <x v="4"/>
    <x v="2"/>
    <n v="31464.15"/>
    <n v="29967.55"/>
    <n v="152.91999999999999"/>
    <n v="844.13"/>
    <x v="922"/>
    <x v="0"/>
  </r>
  <r>
    <x v="17"/>
    <x v="3"/>
    <x v="5"/>
    <n v="45096.37"/>
    <n v="36342.17"/>
    <n v="142.82"/>
    <n v="663.2"/>
    <x v="923"/>
    <x v="1"/>
  </r>
  <r>
    <x v="15"/>
    <x v="1"/>
    <x v="0"/>
    <n v="34127.57"/>
    <n v="38894.660000000003"/>
    <n v="178.13"/>
    <n v="1044.28"/>
    <x v="924"/>
    <x v="1"/>
  </r>
  <r>
    <x v="4"/>
    <x v="2"/>
    <x v="3"/>
    <n v="36185.230000000003"/>
    <n v="35302.89"/>
    <n v="54.87"/>
    <n v="1187.7"/>
    <x v="925"/>
    <x v="1"/>
  </r>
  <r>
    <x v="9"/>
    <x v="1"/>
    <x v="0"/>
    <n v="37308.22"/>
    <n v="35650.720000000001"/>
    <n v="38.46"/>
    <n v="993.5"/>
    <x v="926"/>
    <x v="1"/>
  </r>
  <r>
    <x v="18"/>
    <x v="1"/>
    <x v="1"/>
    <n v="26371.71"/>
    <n v="29653.89"/>
    <n v="101.13"/>
    <n v="549.29"/>
    <x v="927"/>
    <x v="1"/>
  </r>
  <r>
    <x v="19"/>
    <x v="2"/>
    <x v="2"/>
    <n v="49901.29"/>
    <n v="58558.02"/>
    <n v="140.66"/>
    <n v="772.79"/>
    <x v="928"/>
    <x v="1"/>
  </r>
  <r>
    <x v="11"/>
    <x v="2"/>
    <x v="6"/>
    <n v="24337.9"/>
    <n v="28971.13"/>
    <n v="180.03"/>
    <n v="1116.72"/>
    <x v="929"/>
    <x v="1"/>
  </r>
  <r>
    <x v="7"/>
    <x v="2"/>
    <x v="6"/>
    <n v="43003.8"/>
    <n v="37348.25"/>
    <n v="116.74"/>
    <n v="711.68"/>
    <x v="930"/>
    <x v="1"/>
  </r>
  <r>
    <x v="18"/>
    <x v="4"/>
    <x v="3"/>
    <n v="46460.21"/>
    <n v="46687.14"/>
    <n v="23.32"/>
    <n v="596.36"/>
    <x v="931"/>
    <x v="0"/>
  </r>
  <r>
    <x v="13"/>
    <x v="6"/>
    <x v="3"/>
    <n v="37089.1"/>
    <n v="42160.67"/>
    <n v="163.28"/>
    <n v="1376.88"/>
    <x v="932"/>
    <x v="0"/>
  </r>
  <r>
    <x v="13"/>
    <x v="0"/>
    <x v="0"/>
    <n v="32733.05"/>
    <n v="27650.11"/>
    <n v="184.63"/>
    <n v="293.68"/>
    <x v="933"/>
    <x v="0"/>
  </r>
  <r>
    <x v="5"/>
    <x v="3"/>
    <x v="2"/>
    <n v="41378.19"/>
    <n v="49135.69"/>
    <n v="129.79"/>
    <n v="304.39"/>
    <x v="934"/>
    <x v="1"/>
  </r>
  <r>
    <x v="14"/>
    <x v="2"/>
    <x v="2"/>
    <n v="3279.54"/>
    <n v="2827.11"/>
    <n v="136.78"/>
    <n v="1203.45"/>
    <x v="935"/>
    <x v="1"/>
  </r>
  <r>
    <x v="18"/>
    <x v="5"/>
    <x v="7"/>
    <n v="9245.76"/>
    <n v="10467.85"/>
    <n v="158.44"/>
    <n v="60.52"/>
    <x v="936"/>
    <x v="0"/>
  </r>
  <r>
    <x v="7"/>
    <x v="3"/>
    <x v="4"/>
    <n v="27306.53"/>
    <n v="29348.47"/>
    <n v="170.03"/>
    <n v="1050.27"/>
    <x v="937"/>
    <x v="1"/>
  </r>
  <r>
    <x v="5"/>
    <x v="1"/>
    <x v="0"/>
    <n v="6956.39"/>
    <n v="8270.9699999999993"/>
    <n v="53.14"/>
    <n v="1079.9100000000001"/>
    <x v="938"/>
    <x v="1"/>
  </r>
  <r>
    <x v="5"/>
    <x v="2"/>
    <x v="7"/>
    <n v="38641.379999999997"/>
    <n v="34253.480000000003"/>
    <n v="174.9"/>
    <n v="305.32"/>
    <x v="939"/>
    <x v="1"/>
  </r>
  <r>
    <x v="14"/>
    <x v="2"/>
    <x v="2"/>
    <n v="6420.44"/>
    <n v="6483.5"/>
    <n v="58.89"/>
    <n v="806.78"/>
    <x v="940"/>
    <x v="1"/>
  </r>
  <r>
    <x v="8"/>
    <x v="0"/>
    <x v="2"/>
    <n v="31365.78"/>
    <n v="33290.07"/>
    <n v="101.5"/>
    <n v="1356.14"/>
    <x v="941"/>
    <x v="0"/>
  </r>
  <r>
    <x v="0"/>
    <x v="6"/>
    <x v="4"/>
    <n v="44121.24"/>
    <n v="51283.18"/>
    <n v="105.84"/>
    <n v="893.98"/>
    <x v="942"/>
    <x v="0"/>
  </r>
  <r>
    <x v="3"/>
    <x v="1"/>
    <x v="7"/>
    <n v="4249.76"/>
    <n v="3658.99"/>
    <n v="188.54"/>
    <n v="1375.48"/>
    <x v="943"/>
    <x v="1"/>
  </r>
  <r>
    <x v="9"/>
    <x v="6"/>
    <x v="1"/>
    <n v="10222.14"/>
    <n v="10349.68"/>
    <n v="179.42"/>
    <n v="409.89"/>
    <x v="944"/>
    <x v="0"/>
  </r>
  <r>
    <x v="6"/>
    <x v="1"/>
    <x v="3"/>
    <n v="3352.93"/>
    <n v="3963.47"/>
    <n v="74.94"/>
    <n v="452.83"/>
    <x v="945"/>
    <x v="1"/>
  </r>
  <r>
    <x v="16"/>
    <x v="5"/>
    <x v="2"/>
    <n v="39058.870000000003"/>
    <n v="43276.88"/>
    <n v="77.3"/>
    <n v="652.86"/>
    <x v="946"/>
    <x v="0"/>
  </r>
  <r>
    <x v="1"/>
    <x v="4"/>
    <x v="7"/>
    <n v="963.49"/>
    <n v="1122.6099999999999"/>
    <n v="160.65"/>
    <n v="716.9"/>
    <x v="947"/>
    <x v="0"/>
  </r>
  <r>
    <x v="7"/>
    <x v="6"/>
    <x v="7"/>
    <n v="40210.550000000003"/>
    <n v="46764.79"/>
    <n v="67.099999999999994"/>
    <n v="479.04"/>
    <x v="948"/>
    <x v="0"/>
  </r>
  <r>
    <x v="14"/>
    <x v="2"/>
    <x v="1"/>
    <n v="1194.8499999999999"/>
    <n v="1136.47"/>
    <n v="177.31"/>
    <n v="530.85"/>
    <x v="949"/>
    <x v="1"/>
  </r>
  <r>
    <x v="19"/>
    <x v="5"/>
    <x v="3"/>
    <n v="21591.78"/>
    <n v="19703.87"/>
    <n v="27.28"/>
    <n v="261.5"/>
    <x v="950"/>
    <x v="0"/>
  </r>
  <r>
    <x v="11"/>
    <x v="3"/>
    <x v="2"/>
    <n v="20831.11"/>
    <n v="23262.240000000002"/>
    <n v="24.05"/>
    <n v="736.89"/>
    <x v="951"/>
    <x v="1"/>
  </r>
  <r>
    <x v="13"/>
    <x v="1"/>
    <x v="1"/>
    <n v="27503.07"/>
    <n v="32988.39"/>
    <n v="192.1"/>
    <n v="936.51"/>
    <x v="952"/>
    <x v="1"/>
  </r>
  <r>
    <x v="19"/>
    <x v="0"/>
    <x v="2"/>
    <n v="18122.16"/>
    <n v="18313.09"/>
    <n v="96.17"/>
    <n v="109.78"/>
    <x v="953"/>
    <x v="0"/>
  </r>
  <r>
    <x v="4"/>
    <x v="3"/>
    <x v="1"/>
    <n v="19680.23"/>
    <n v="23231.43"/>
    <n v="48.72"/>
    <n v="1379.67"/>
    <x v="954"/>
    <x v="1"/>
  </r>
  <r>
    <x v="10"/>
    <x v="3"/>
    <x v="7"/>
    <n v="3712.67"/>
    <n v="3865.38"/>
    <n v="29.77"/>
    <n v="1288.1600000000001"/>
    <x v="955"/>
    <x v="1"/>
  </r>
  <r>
    <x v="1"/>
    <x v="1"/>
    <x v="2"/>
    <n v="28840.44"/>
    <n v="25910.74"/>
    <n v="102.04"/>
    <n v="948.24"/>
    <x v="956"/>
    <x v="1"/>
  </r>
  <r>
    <x v="3"/>
    <x v="6"/>
    <x v="3"/>
    <n v="17482.830000000002"/>
    <n v="19230.97"/>
    <n v="108.82"/>
    <n v="1026.01"/>
    <x v="957"/>
    <x v="0"/>
  </r>
  <r>
    <x v="18"/>
    <x v="0"/>
    <x v="2"/>
    <n v="15722.18"/>
    <n v="18293.46"/>
    <n v="185.85"/>
    <n v="665.04"/>
    <x v="958"/>
    <x v="0"/>
  </r>
  <r>
    <x v="7"/>
    <x v="3"/>
    <x v="2"/>
    <n v="15408.5"/>
    <n v="13885.66"/>
    <n v="170.36"/>
    <n v="650.01"/>
    <x v="959"/>
    <x v="1"/>
  </r>
  <r>
    <x v="12"/>
    <x v="4"/>
    <x v="1"/>
    <n v="44615.67"/>
    <n v="37861.26"/>
    <n v="100.18"/>
    <n v="1208.29"/>
    <x v="960"/>
    <x v="0"/>
  </r>
  <r>
    <x v="15"/>
    <x v="6"/>
    <x v="4"/>
    <n v="19362.330000000002"/>
    <n v="17907.89"/>
    <n v="70.459999999999994"/>
    <n v="1263.43"/>
    <x v="961"/>
    <x v="0"/>
  </r>
  <r>
    <x v="8"/>
    <x v="2"/>
    <x v="5"/>
    <n v="6480.74"/>
    <n v="5694.1"/>
    <n v="25.66"/>
    <n v="479.48"/>
    <x v="962"/>
    <x v="1"/>
  </r>
  <r>
    <x v="2"/>
    <x v="3"/>
    <x v="0"/>
    <n v="6620.95"/>
    <n v="7772.36"/>
    <n v="71.95"/>
    <n v="707.73"/>
    <x v="963"/>
    <x v="1"/>
  </r>
  <r>
    <x v="10"/>
    <x v="3"/>
    <x v="6"/>
    <n v="29138.47"/>
    <n v="29241.06"/>
    <n v="119.04"/>
    <n v="562.29999999999995"/>
    <x v="964"/>
    <x v="1"/>
  </r>
  <r>
    <x v="0"/>
    <x v="0"/>
    <x v="6"/>
    <n v="24871.75"/>
    <n v="25714.31"/>
    <n v="76.849999999999994"/>
    <n v="462.89"/>
    <x v="965"/>
    <x v="0"/>
  </r>
  <r>
    <x v="12"/>
    <x v="2"/>
    <x v="1"/>
    <n v="10434.59"/>
    <n v="10683.6"/>
    <n v="47.91"/>
    <n v="77.19"/>
    <x v="966"/>
    <x v="1"/>
  </r>
  <r>
    <x v="12"/>
    <x v="3"/>
    <x v="1"/>
    <n v="19679.93"/>
    <n v="17477.72"/>
    <n v="194.07"/>
    <n v="318.35000000000002"/>
    <x v="967"/>
    <x v="1"/>
  </r>
  <r>
    <x v="13"/>
    <x v="6"/>
    <x v="6"/>
    <n v="31292.11"/>
    <n v="31166.48"/>
    <n v="50.94"/>
    <n v="940.56"/>
    <x v="968"/>
    <x v="0"/>
  </r>
  <r>
    <x v="7"/>
    <x v="6"/>
    <x v="5"/>
    <n v="8014.57"/>
    <n v="9081.7099999999991"/>
    <n v="132.83000000000001"/>
    <n v="245.17"/>
    <x v="969"/>
    <x v="0"/>
  </r>
  <r>
    <x v="7"/>
    <x v="4"/>
    <x v="4"/>
    <n v="34522.22"/>
    <n v="37162.44"/>
    <n v="184.71"/>
    <n v="45.14"/>
    <x v="970"/>
    <x v="0"/>
  </r>
  <r>
    <x v="19"/>
    <x v="1"/>
    <x v="0"/>
    <n v="38945.29"/>
    <n v="39970.75"/>
    <n v="78.25"/>
    <n v="643.38"/>
    <x v="971"/>
    <x v="1"/>
  </r>
  <r>
    <x v="13"/>
    <x v="6"/>
    <x v="7"/>
    <n v="3359.4"/>
    <n v="3254.51"/>
    <n v="49.07"/>
    <n v="94.19"/>
    <x v="972"/>
    <x v="0"/>
  </r>
  <r>
    <x v="2"/>
    <x v="4"/>
    <x v="2"/>
    <n v="15837.57"/>
    <n v="18226.46"/>
    <n v="197.41"/>
    <n v="1291.8699999999999"/>
    <x v="973"/>
    <x v="0"/>
  </r>
  <r>
    <x v="5"/>
    <x v="1"/>
    <x v="1"/>
    <n v="25645.86"/>
    <n v="20939.16"/>
    <n v="87.21"/>
    <n v="1036.46"/>
    <x v="974"/>
    <x v="1"/>
  </r>
  <r>
    <x v="4"/>
    <x v="0"/>
    <x v="3"/>
    <n v="34989.800000000003"/>
    <n v="38796.370000000003"/>
    <n v="191.7"/>
    <n v="124.33"/>
    <x v="975"/>
    <x v="0"/>
  </r>
  <r>
    <x v="15"/>
    <x v="0"/>
    <x v="0"/>
    <n v="21200.77"/>
    <n v="22369.7"/>
    <n v="135.97999999999999"/>
    <n v="679.99"/>
    <x v="976"/>
    <x v="0"/>
  </r>
  <r>
    <x v="13"/>
    <x v="3"/>
    <x v="4"/>
    <n v="24233.58"/>
    <n v="23642.65"/>
    <n v="152.56"/>
    <n v="439.75"/>
    <x v="977"/>
    <x v="1"/>
  </r>
  <r>
    <x v="11"/>
    <x v="3"/>
    <x v="4"/>
    <n v="1431.67"/>
    <n v="1583.08"/>
    <n v="164.46"/>
    <n v="715.16"/>
    <x v="978"/>
    <x v="1"/>
  </r>
  <r>
    <x v="2"/>
    <x v="3"/>
    <x v="5"/>
    <n v="31978.880000000001"/>
    <n v="28163.85"/>
    <n v="40.76"/>
    <n v="958.48"/>
    <x v="979"/>
    <x v="1"/>
  </r>
  <r>
    <x v="10"/>
    <x v="3"/>
    <x v="5"/>
    <n v="46528.85"/>
    <n v="37983.769999999997"/>
    <n v="95.75"/>
    <n v="1113.76"/>
    <x v="980"/>
    <x v="1"/>
  </r>
  <r>
    <x v="3"/>
    <x v="1"/>
    <x v="5"/>
    <n v="12831.68"/>
    <n v="10856.01"/>
    <n v="187.33"/>
    <n v="247.28"/>
    <x v="981"/>
    <x v="1"/>
  </r>
  <r>
    <x v="18"/>
    <x v="3"/>
    <x v="4"/>
    <n v="14892.13"/>
    <n v="13964.05"/>
    <n v="60.85"/>
    <n v="835.15"/>
    <x v="982"/>
    <x v="1"/>
  </r>
  <r>
    <x v="17"/>
    <x v="0"/>
    <x v="6"/>
    <n v="9612.3799999999992"/>
    <n v="8521.2999999999993"/>
    <n v="78.14"/>
    <n v="605.34"/>
    <x v="983"/>
    <x v="0"/>
  </r>
  <r>
    <x v="6"/>
    <x v="6"/>
    <x v="2"/>
    <n v="20881.02"/>
    <n v="22847.14"/>
    <n v="21.23"/>
    <n v="662.32"/>
    <x v="984"/>
    <x v="0"/>
  </r>
  <r>
    <x v="17"/>
    <x v="6"/>
    <x v="1"/>
    <n v="1570.43"/>
    <n v="1843.92"/>
    <n v="110.22"/>
    <n v="1340.77"/>
    <x v="985"/>
    <x v="0"/>
  </r>
  <r>
    <x v="8"/>
    <x v="3"/>
    <x v="1"/>
    <n v="42632.27"/>
    <n v="34780.26"/>
    <n v="34.82"/>
    <n v="88.86"/>
    <x v="986"/>
    <x v="1"/>
  </r>
  <r>
    <x v="5"/>
    <x v="5"/>
    <x v="3"/>
    <n v="28262.79"/>
    <n v="28932.61"/>
    <n v="144.47999999999999"/>
    <n v="972.48"/>
    <x v="987"/>
    <x v="0"/>
  </r>
  <r>
    <x v="17"/>
    <x v="5"/>
    <x v="3"/>
    <n v="31719.67"/>
    <n v="37838.410000000003"/>
    <n v="95.35"/>
    <n v="1227.44"/>
    <x v="988"/>
    <x v="0"/>
  </r>
  <r>
    <x v="13"/>
    <x v="5"/>
    <x v="7"/>
    <n v="10185.040000000001"/>
    <n v="9179.73"/>
    <n v="143.16"/>
    <n v="1078.2"/>
    <x v="989"/>
    <x v="0"/>
  </r>
  <r>
    <x v="15"/>
    <x v="6"/>
    <x v="7"/>
    <n v="43351.26"/>
    <n v="50858.44"/>
    <n v="182.61"/>
    <n v="51.35"/>
    <x v="990"/>
    <x v="0"/>
  </r>
  <r>
    <x v="10"/>
    <x v="6"/>
    <x v="4"/>
    <n v="13944.64"/>
    <n v="11161.72"/>
    <n v="110.98"/>
    <n v="598.19000000000005"/>
    <x v="991"/>
    <x v="0"/>
  </r>
  <r>
    <x v="18"/>
    <x v="1"/>
    <x v="4"/>
    <n v="27577.58"/>
    <n v="22782.98"/>
    <n v="71.64"/>
    <n v="608.53"/>
    <x v="992"/>
    <x v="1"/>
  </r>
  <r>
    <x v="10"/>
    <x v="0"/>
    <x v="3"/>
    <n v="12138.65"/>
    <n v="12670.28"/>
    <n v="71.540000000000006"/>
    <n v="967.81"/>
    <x v="993"/>
    <x v="0"/>
  </r>
  <r>
    <x v="7"/>
    <x v="5"/>
    <x v="5"/>
    <n v="10506.6"/>
    <n v="9369.75"/>
    <n v="103.14"/>
    <n v="516.88"/>
    <x v="994"/>
    <x v="0"/>
  </r>
  <r>
    <x v="0"/>
    <x v="4"/>
    <x v="6"/>
    <n v="8658.9"/>
    <n v="7370.51"/>
    <n v="37.19"/>
    <n v="843.13"/>
    <x v="995"/>
    <x v="0"/>
  </r>
  <r>
    <x v="10"/>
    <x v="3"/>
    <x v="5"/>
    <n v="4554.03"/>
    <n v="4992.4799999999996"/>
    <n v="27.3"/>
    <n v="1104.7"/>
    <x v="996"/>
    <x v="1"/>
  </r>
  <r>
    <x v="13"/>
    <x v="4"/>
    <x v="0"/>
    <n v="23035.88"/>
    <n v="27523.54"/>
    <n v="29.54"/>
    <n v="423.41"/>
    <x v="997"/>
    <x v="0"/>
  </r>
  <r>
    <x v="19"/>
    <x v="0"/>
    <x v="0"/>
    <n v="39660.870000000003"/>
    <n v="39971.879999999997"/>
    <n v="72.150000000000006"/>
    <n v="292.07"/>
    <x v="998"/>
    <x v="0"/>
  </r>
  <r>
    <x v="15"/>
    <x v="5"/>
    <x v="3"/>
    <n v="38840.33"/>
    <n v="40716.92"/>
    <n v="57.45"/>
    <n v="1204.57"/>
    <x v="999"/>
    <x v="0"/>
  </r>
  <r>
    <x v="11"/>
    <x v="0"/>
    <x v="1"/>
    <n v="5258.84"/>
    <n v="6263.31"/>
    <n v="186.54"/>
    <n v="386.95"/>
    <x v="1000"/>
    <x v="0"/>
  </r>
  <r>
    <x v="0"/>
    <x v="1"/>
    <x v="0"/>
    <n v="44744.89"/>
    <n v="37652.47"/>
    <n v="114.65"/>
    <n v="23.87"/>
    <x v="1001"/>
    <x v="1"/>
  </r>
  <r>
    <x v="12"/>
    <x v="1"/>
    <x v="4"/>
    <n v="27169.47"/>
    <n v="27439.48"/>
    <n v="157.77000000000001"/>
    <n v="1326.82"/>
    <x v="1002"/>
    <x v="1"/>
  </r>
  <r>
    <x v="16"/>
    <x v="4"/>
    <x v="7"/>
    <n v="1364.91"/>
    <n v="1573.3"/>
    <n v="160.05000000000001"/>
    <n v="509.06"/>
    <x v="1003"/>
    <x v="0"/>
  </r>
  <r>
    <x v="6"/>
    <x v="4"/>
    <x v="6"/>
    <n v="12027.45"/>
    <n v="10887.03"/>
    <n v="96.28"/>
    <n v="1061.0999999999999"/>
    <x v="1004"/>
    <x v="0"/>
  </r>
  <r>
    <x v="2"/>
    <x v="1"/>
    <x v="6"/>
    <n v="23099.58"/>
    <n v="25032.75"/>
    <n v="162.46"/>
    <n v="543.41"/>
    <x v="1005"/>
    <x v="1"/>
  </r>
  <r>
    <x v="12"/>
    <x v="2"/>
    <x v="7"/>
    <n v="35870.230000000003"/>
    <n v="36198.080000000002"/>
    <n v="165.96"/>
    <n v="538.36"/>
    <x v="1006"/>
    <x v="1"/>
  </r>
  <r>
    <x v="7"/>
    <x v="6"/>
    <x v="1"/>
    <n v="37937.769999999997"/>
    <n v="31837.45"/>
    <n v="65.959999999999994"/>
    <n v="270.27"/>
    <x v="1007"/>
    <x v="0"/>
  </r>
  <r>
    <x v="11"/>
    <x v="6"/>
    <x v="5"/>
    <n v="14500.05"/>
    <n v="15252.22"/>
    <n v="107.18"/>
    <n v="65.05"/>
    <x v="1008"/>
    <x v="0"/>
  </r>
  <r>
    <x v="10"/>
    <x v="2"/>
    <x v="4"/>
    <n v="42648.4"/>
    <n v="45802.879999999997"/>
    <n v="113.25"/>
    <n v="913.45"/>
    <x v="1009"/>
    <x v="1"/>
  </r>
  <r>
    <x v="14"/>
    <x v="0"/>
    <x v="4"/>
    <n v="1423.1"/>
    <n v="1576.37"/>
    <n v="173.09"/>
    <n v="590.38"/>
    <x v="1010"/>
    <x v="0"/>
  </r>
  <r>
    <x v="7"/>
    <x v="2"/>
    <x v="3"/>
    <n v="20008.2"/>
    <n v="18401.349999999999"/>
    <n v="169.33"/>
    <n v="84.58"/>
    <x v="1011"/>
    <x v="1"/>
  </r>
  <r>
    <x v="15"/>
    <x v="2"/>
    <x v="7"/>
    <n v="40238.94"/>
    <n v="44387.839999999997"/>
    <n v="119.8"/>
    <n v="289.05"/>
    <x v="1012"/>
    <x v="1"/>
  </r>
  <r>
    <x v="1"/>
    <x v="5"/>
    <x v="6"/>
    <n v="21420.18"/>
    <n v="23267.72"/>
    <n v="30.97"/>
    <n v="496.66"/>
    <x v="1013"/>
    <x v="0"/>
  </r>
  <r>
    <x v="5"/>
    <x v="0"/>
    <x v="1"/>
    <n v="31662.74"/>
    <n v="31216.38"/>
    <n v="114.45"/>
    <n v="1307.08"/>
    <x v="1014"/>
    <x v="0"/>
  </r>
  <r>
    <x v="13"/>
    <x v="3"/>
    <x v="1"/>
    <n v="17664.689999999999"/>
    <n v="17838.919999999998"/>
    <n v="93.64"/>
    <n v="1029.06"/>
    <x v="1015"/>
    <x v="1"/>
  </r>
  <r>
    <x v="16"/>
    <x v="5"/>
    <x v="7"/>
    <n v="24275.57"/>
    <n v="23476.97"/>
    <n v="196.3"/>
    <n v="1066.3900000000001"/>
    <x v="1016"/>
    <x v="0"/>
  </r>
  <r>
    <x v="13"/>
    <x v="3"/>
    <x v="3"/>
    <n v="41075.85"/>
    <n v="43800"/>
    <n v="104.1"/>
    <n v="1221.33"/>
    <x v="1017"/>
    <x v="1"/>
  </r>
  <r>
    <x v="5"/>
    <x v="5"/>
    <x v="7"/>
    <n v="5979.53"/>
    <n v="5722.67"/>
    <n v="168.32"/>
    <n v="349.65"/>
    <x v="1018"/>
    <x v="0"/>
  </r>
  <r>
    <x v="12"/>
    <x v="3"/>
    <x v="2"/>
    <n v="1115.3"/>
    <n v="1284.47"/>
    <n v="90.67"/>
    <n v="912.65"/>
    <x v="1019"/>
    <x v="1"/>
  </r>
  <r>
    <x v="3"/>
    <x v="4"/>
    <x v="5"/>
    <n v="16866.86"/>
    <n v="18795.509999999998"/>
    <n v="57.42"/>
    <n v="1157.26"/>
    <x v="1020"/>
    <x v="0"/>
  </r>
  <r>
    <x v="0"/>
    <x v="0"/>
    <x v="0"/>
    <n v="26050.39"/>
    <n v="25969.88"/>
    <n v="149.5"/>
    <n v="1018.85"/>
    <x v="1021"/>
    <x v="0"/>
  </r>
  <r>
    <x v="7"/>
    <x v="1"/>
    <x v="3"/>
    <n v="28529.39"/>
    <n v="26199.69"/>
    <n v="64.180000000000007"/>
    <n v="1060.5999999999999"/>
    <x v="1022"/>
    <x v="1"/>
  </r>
  <r>
    <x v="9"/>
    <x v="3"/>
    <x v="3"/>
    <n v="28584.45"/>
    <n v="28500.76"/>
    <n v="171.68"/>
    <n v="1002.04"/>
    <x v="1023"/>
    <x v="1"/>
  </r>
  <r>
    <x v="18"/>
    <x v="4"/>
    <x v="7"/>
    <n v="11192.81"/>
    <n v="10911.49"/>
    <n v="116.3"/>
    <n v="1001"/>
    <x v="1024"/>
    <x v="0"/>
  </r>
  <r>
    <x v="14"/>
    <x v="1"/>
    <x v="2"/>
    <n v="5170.01"/>
    <n v="6192.15"/>
    <n v="141.83000000000001"/>
    <n v="911.34"/>
    <x v="1025"/>
    <x v="1"/>
  </r>
  <r>
    <x v="2"/>
    <x v="2"/>
    <x v="1"/>
    <n v="18111.13"/>
    <n v="20384.84"/>
    <n v="153.77000000000001"/>
    <n v="244.66"/>
    <x v="1026"/>
    <x v="1"/>
  </r>
  <r>
    <x v="13"/>
    <x v="1"/>
    <x v="2"/>
    <n v="8499.64"/>
    <n v="8074.29"/>
    <n v="97.02"/>
    <n v="1353.16"/>
    <x v="1027"/>
    <x v="1"/>
  </r>
  <r>
    <x v="7"/>
    <x v="1"/>
    <x v="1"/>
    <n v="12719.37"/>
    <n v="12611.99"/>
    <n v="129.63999999999999"/>
    <n v="524.76"/>
    <x v="1028"/>
    <x v="1"/>
  </r>
  <r>
    <x v="19"/>
    <x v="0"/>
    <x v="1"/>
    <n v="44554.35"/>
    <n v="43230.52"/>
    <n v="27.55"/>
    <n v="48.05"/>
    <x v="1029"/>
    <x v="0"/>
  </r>
  <r>
    <x v="7"/>
    <x v="3"/>
    <x v="7"/>
    <n v="31998.09"/>
    <n v="25693.59"/>
    <n v="196.25"/>
    <n v="309.62"/>
    <x v="1030"/>
    <x v="1"/>
  </r>
  <r>
    <x v="15"/>
    <x v="3"/>
    <x v="1"/>
    <n v="13074.51"/>
    <n v="14667.3"/>
    <n v="110.13"/>
    <n v="549.63"/>
    <x v="1031"/>
    <x v="1"/>
  </r>
  <r>
    <x v="5"/>
    <x v="4"/>
    <x v="7"/>
    <n v="24699.17"/>
    <n v="29320.94"/>
    <n v="35.380000000000003"/>
    <n v="531.44000000000005"/>
    <x v="1032"/>
    <x v="0"/>
  </r>
  <r>
    <x v="11"/>
    <x v="6"/>
    <x v="6"/>
    <n v="30645.38"/>
    <n v="30122.45"/>
    <n v="197.42"/>
    <n v="1100.45"/>
    <x v="1033"/>
    <x v="0"/>
  </r>
  <r>
    <x v="11"/>
    <x v="5"/>
    <x v="6"/>
    <n v="23526.639999999999"/>
    <n v="23209.94"/>
    <n v="87.44"/>
    <n v="1162.6500000000001"/>
    <x v="1034"/>
    <x v="0"/>
  </r>
  <r>
    <x v="9"/>
    <x v="6"/>
    <x v="5"/>
    <n v="16008.15"/>
    <n v="13462.8"/>
    <n v="22.08"/>
    <n v="1281.0899999999999"/>
    <x v="1035"/>
    <x v="0"/>
  </r>
  <r>
    <x v="11"/>
    <x v="4"/>
    <x v="4"/>
    <n v="38108.26"/>
    <n v="40154.239999999998"/>
    <n v="27.27"/>
    <n v="1328.63"/>
    <x v="1036"/>
    <x v="0"/>
  </r>
  <r>
    <x v="6"/>
    <x v="2"/>
    <x v="1"/>
    <n v="21672.82"/>
    <n v="24875.84"/>
    <n v="98.25"/>
    <n v="192.75"/>
    <x v="1037"/>
    <x v="1"/>
  </r>
  <r>
    <x v="10"/>
    <x v="2"/>
    <x v="4"/>
    <n v="41472.17"/>
    <n v="35977.69"/>
    <n v="151.85"/>
    <n v="615"/>
    <x v="1038"/>
    <x v="1"/>
  </r>
  <r>
    <x v="13"/>
    <x v="1"/>
    <x v="7"/>
    <n v="9297.42"/>
    <n v="8204.09"/>
    <n v="185.11"/>
    <n v="63.16"/>
    <x v="1039"/>
    <x v="1"/>
  </r>
  <r>
    <x v="1"/>
    <x v="4"/>
    <x v="5"/>
    <n v="10632.45"/>
    <n v="9498.7099999999991"/>
    <n v="141.97999999999999"/>
    <n v="124.1"/>
    <x v="1040"/>
    <x v="0"/>
  </r>
  <r>
    <x v="14"/>
    <x v="6"/>
    <x v="5"/>
    <n v="32068.51"/>
    <n v="30062.400000000001"/>
    <n v="165.92"/>
    <n v="976.11"/>
    <x v="1041"/>
    <x v="0"/>
  </r>
  <r>
    <x v="15"/>
    <x v="6"/>
    <x v="3"/>
    <n v="49889.66"/>
    <n v="44810.879999999997"/>
    <n v="133"/>
    <n v="845.55"/>
    <x v="1042"/>
    <x v="0"/>
  </r>
  <r>
    <x v="11"/>
    <x v="1"/>
    <x v="3"/>
    <n v="15774.47"/>
    <n v="15802.45"/>
    <n v="175.73"/>
    <n v="1024.4100000000001"/>
    <x v="1043"/>
    <x v="1"/>
  </r>
  <r>
    <x v="19"/>
    <x v="6"/>
    <x v="4"/>
    <n v="22518.03"/>
    <n v="19261.939999999999"/>
    <n v="61.51"/>
    <n v="995.2"/>
    <x v="1044"/>
    <x v="0"/>
  </r>
  <r>
    <x v="9"/>
    <x v="0"/>
    <x v="0"/>
    <n v="41480.75"/>
    <n v="48148.62"/>
    <n v="193.84"/>
    <n v="487.25"/>
    <x v="1045"/>
    <x v="0"/>
  </r>
  <r>
    <x v="12"/>
    <x v="0"/>
    <x v="1"/>
    <n v="39733.300000000003"/>
    <n v="45838.23"/>
    <n v="100.5"/>
    <n v="900.96"/>
    <x v="1046"/>
    <x v="0"/>
  </r>
  <r>
    <x v="13"/>
    <x v="6"/>
    <x v="1"/>
    <n v="31158.61"/>
    <n v="27947.03"/>
    <n v="54.36"/>
    <n v="1311.48"/>
    <x v="1047"/>
    <x v="0"/>
  </r>
  <r>
    <x v="6"/>
    <x v="3"/>
    <x v="4"/>
    <n v="17844.400000000001"/>
    <n v="14300.73"/>
    <n v="77.12"/>
    <n v="1234.5"/>
    <x v="1048"/>
    <x v="1"/>
  </r>
  <r>
    <x v="1"/>
    <x v="5"/>
    <x v="6"/>
    <n v="1692.54"/>
    <n v="1448.29"/>
    <n v="185.96"/>
    <n v="709.14"/>
    <x v="1049"/>
    <x v="0"/>
  </r>
  <r>
    <x v="19"/>
    <x v="6"/>
    <x v="1"/>
    <n v="45437.919999999998"/>
    <n v="48138.04"/>
    <n v="93.1"/>
    <n v="862.88"/>
    <x v="1050"/>
    <x v="0"/>
  </r>
  <r>
    <x v="18"/>
    <x v="5"/>
    <x v="6"/>
    <n v="39673.800000000003"/>
    <n v="40251.01"/>
    <n v="79.33"/>
    <n v="796.52"/>
    <x v="1051"/>
    <x v="0"/>
  </r>
  <r>
    <x v="8"/>
    <x v="4"/>
    <x v="1"/>
    <n v="29800.32"/>
    <n v="26749.98"/>
    <n v="115.49"/>
    <n v="1134.6099999999999"/>
    <x v="1052"/>
    <x v="0"/>
  </r>
  <r>
    <x v="4"/>
    <x v="5"/>
    <x v="5"/>
    <n v="21702.46"/>
    <n v="20170.87"/>
    <n v="155.54"/>
    <n v="1236.53"/>
    <x v="1053"/>
    <x v="0"/>
  </r>
  <r>
    <x v="15"/>
    <x v="3"/>
    <x v="0"/>
    <n v="37037.129999999997"/>
    <n v="37620.57"/>
    <n v="26.79"/>
    <n v="101.88"/>
    <x v="1054"/>
    <x v="1"/>
  </r>
  <r>
    <x v="1"/>
    <x v="2"/>
    <x v="0"/>
    <n v="21279.19"/>
    <n v="22604.89"/>
    <n v="160.58000000000001"/>
    <n v="362.46"/>
    <x v="1055"/>
    <x v="1"/>
  </r>
  <r>
    <x v="6"/>
    <x v="1"/>
    <x v="4"/>
    <n v="10858.33"/>
    <n v="11545.39"/>
    <n v="167.61"/>
    <n v="1338.74"/>
    <x v="1056"/>
    <x v="1"/>
  </r>
  <r>
    <x v="8"/>
    <x v="3"/>
    <x v="3"/>
    <n v="35367.51"/>
    <n v="35898.89"/>
    <n v="47.67"/>
    <n v="686.95"/>
    <x v="1057"/>
    <x v="1"/>
  </r>
  <r>
    <x v="12"/>
    <x v="0"/>
    <x v="2"/>
    <n v="41606.199999999997"/>
    <n v="41819.33"/>
    <n v="44.52"/>
    <n v="462.16"/>
    <x v="1058"/>
    <x v="0"/>
  </r>
  <r>
    <x v="17"/>
    <x v="6"/>
    <x v="3"/>
    <n v="5791.28"/>
    <n v="6210.37"/>
    <n v="78.099999999999994"/>
    <n v="668.48"/>
    <x v="1059"/>
    <x v="0"/>
  </r>
  <r>
    <x v="1"/>
    <x v="6"/>
    <x v="4"/>
    <n v="1562.07"/>
    <n v="1350.58"/>
    <n v="131.13999999999999"/>
    <n v="95.66"/>
    <x v="1060"/>
    <x v="0"/>
  </r>
  <r>
    <x v="11"/>
    <x v="5"/>
    <x v="7"/>
    <n v="10641.86"/>
    <n v="11210.1"/>
    <n v="172.14"/>
    <n v="377.24"/>
    <x v="1061"/>
    <x v="0"/>
  </r>
  <r>
    <x v="18"/>
    <x v="4"/>
    <x v="3"/>
    <n v="20985.41"/>
    <n v="17724.53"/>
    <n v="103.4"/>
    <n v="724.74"/>
    <x v="1062"/>
    <x v="0"/>
  </r>
  <r>
    <x v="6"/>
    <x v="2"/>
    <x v="2"/>
    <n v="20877.009999999998"/>
    <n v="22489.55"/>
    <n v="83.03"/>
    <n v="786.66"/>
    <x v="1063"/>
    <x v="1"/>
  </r>
  <r>
    <x v="16"/>
    <x v="5"/>
    <x v="4"/>
    <n v="37061.96"/>
    <n v="39742.980000000003"/>
    <n v="156.63"/>
    <n v="961.64"/>
    <x v="1064"/>
    <x v="0"/>
  </r>
  <r>
    <x v="15"/>
    <x v="4"/>
    <x v="3"/>
    <n v="40365.61"/>
    <n v="41840.239999999998"/>
    <n v="188.93"/>
    <n v="81.87"/>
    <x v="1065"/>
    <x v="0"/>
  </r>
  <r>
    <x v="8"/>
    <x v="2"/>
    <x v="1"/>
    <n v="44053.48"/>
    <n v="44075.72"/>
    <n v="33.340000000000003"/>
    <n v="1388.68"/>
    <x v="1066"/>
    <x v="1"/>
  </r>
  <r>
    <x v="15"/>
    <x v="0"/>
    <x v="6"/>
    <n v="12416.76"/>
    <n v="14595.25"/>
    <n v="40.72"/>
    <n v="926.2"/>
    <x v="1067"/>
    <x v="0"/>
  </r>
  <r>
    <x v="13"/>
    <x v="3"/>
    <x v="4"/>
    <n v="18123.509999999998"/>
    <n v="20935.21"/>
    <n v="44.6"/>
    <n v="556.72"/>
    <x v="1068"/>
    <x v="1"/>
  </r>
  <r>
    <x v="6"/>
    <x v="1"/>
    <x v="4"/>
    <n v="11038.81"/>
    <n v="11671.56"/>
    <n v="117.63"/>
    <n v="494.43"/>
    <x v="1069"/>
    <x v="1"/>
  </r>
  <r>
    <x v="19"/>
    <x v="4"/>
    <x v="5"/>
    <n v="41812.39"/>
    <n v="46816.13"/>
    <n v="54.38"/>
    <n v="1160.97"/>
    <x v="1070"/>
    <x v="0"/>
  </r>
  <r>
    <x v="5"/>
    <x v="0"/>
    <x v="2"/>
    <n v="23452.17"/>
    <n v="25246.16"/>
    <n v="134.02000000000001"/>
    <n v="473.94"/>
    <x v="1071"/>
    <x v="0"/>
  </r>
  <r>
    <x v="3"/>
    <x v="3"/>
    <x v="6"/>
    <n v="33109.85"/>
    <n v="39031.620000000003"/>
    <n v="164.41"/>
    <n v="1151.56"/>
    <x v="1072"/>
    <x v="1"/>
  </r>
  <r>
    <x v="15"/>
    <x v="0"/>
    <x v="3"/>
    <n v="20628.73"/>
    <n v="19286.349999999999"/>
    <n v="141.78"/>
    <n v="1242.17"/>
    <x v="1073"/>
    <x v="0"/>
  </r>
  <r>
    <x v="7"/>
    <x v="5"/>
    <x v="4"/>
    <n v="14380.68"/>
    <n v="15473.8"/>
    <n v="113.4"/>
    <n v="307.45"/>
    <x v="1074"/>
    <x v="0"/>
  </r>
  <r>
    <x v="2"/>
    <x v="6"/>
    <x v="1"/>
    <n v="13442.75"/>
    <n v="12803.26"/>
    <n v="183.72"/>
    <n v="770.14"/>
    <x v="1075"/>
    <x v="0"/>
  </r>
  <r>
    <x v="11"/>
    <x v="4"/>
    <x v="2"/>
    <n v="27893.67"/>
    <n v="33292.57"/>
    <n v="64.06"/>
    <n v="208.04"/>
    <x v="1076"/>
    <x v="0"/>
  </r>
  <r>
    <x v="1"/>
    <x v="3"/>
    <x v="0"/>
    <n v="38628.78"/>
    <n v="39024.03"/>
    <n v="79.19"/>
    <n v="1067.24"/>
    <x v="1077"/>
    <x v="1"/>
  </r>
  <r>
    <x v="9"/>
    <x v="2"/>
    <x v="7"/>
    <n v="39056.25"/>
    <n v="37705.58"/>
    <n v="156.16"/>
    <n v="338.01"/>
    <x v="1078"/>
    <x v="1"/>
  </r>
  <r>
    <x v="10"/>
    <x v="3"/>
    <x v="5"/>
    <n v="27207.95"/>
    <n v="27249.53"/>
    <n v="151.93"/>
    <n v="153.87"/>
    <x v="1079"/>
    <x v="1"/>
  </r>
  <r>
    <x v="3"/>
    <x v="1"/>
    <x v="0"/>
    <n v="35777.370000000003"/>
    <n v="41960.35"/>
    <n v="101.92"/>
    <n v="690.45"/>
    <x v="1080"/>
    <x v="1"/>
  </r>
  <r>
    <x v="9"/>
    <x v="0"/>
    <x v="5"/>
    <n v="33613.39"/>
    <n v="39214.03"/>
    <n v="83.4"/>
    <n v="913.2"/>
    <x v="1081"/>
    <x v="0"/>
  </r>
  <r>
    <x v="18"/>
    <x v="1"/>
    <x v="7"/>
    <n v="25136.240000000002"/>
    <n v="23880.07"/>
    <n v="162.68"/>
    <n v="662.96"/>
    <x v="1082"/>
    <x v="1"/>
  </r>
  <r>
    <x v="13"/>
    <x v="2"/>
    <x v="2"/>
    <n v="45066.36"/>
    <n v="43571.49"/>
    <n v="198.87"/>
    <n v="376.17"/>
    <x v="1083"/>
    <x v="1"/>
  </r>
  <r>
    <x v="2"/>
    <x v="5"/>
    <x v="1"/>
    <n v="13639.74"/>
    <n v="13476.61"/>
    <n v="136.82"/>
    <n v="899.92"/>
    <x v="1084"/>
    <x v="0"/>
  </r>
  <r>
    <x v="7"/>
    <x v="4"/>
    <x v="2"/>
    <n v="2037.72"/>
    <n v="1638.94"/>
    <n v="122.26"/>
    <n v="773.89"/>
    <x v="1085"/>
    <x v="0"/>
  </r>
  <r>
    <x v="15"/>
    <x v="3"/>
    <x v="3"/>
    <n v="23393.96"/>
    <n v="24355.11"/>
    <n v="109.23"/>
    <n v="108.6"/>
    <x v="1086"/>
    <x v="1"/>
  </r>
  <r>
    <x v="18"/>
    <x v="6"/>
    <x v="7"/>
    <n v="48587.3"/>
    <n v="50551.02"/>
    <n v="97.06"/>
    <n v="951.51"/>
    <x v="1087"/>
    <x v="0"/>
  </r>
  <r>
    <x v="1"/>
    <x v="3"/>
    <x v="6"/>
    <n v="15863.75"/>
    <n v="14755.62"/>
    <n v="94.25"/>
    <n v="898.18"/>
    <x v="1088"/>
    <x v="1"/>
  </r>
  <r>
    <x v="7"/>
    <x v="3"/>
    <x v="5"/>
    <n v="44128.03"/>
    <n v="42983.4"/>
    <n v="50.66"/>
    <n v="992.53"/>
    <x v="1089"/>
    <x v="1"/>
  </r>
  <r>
    <x v="12"/>
    <x v="5"/>
    <x v="3"/>
    <n v="26268.93"/>
    <n v="30109.97"/>
    <n v="78.2"/>
    <n v="621.46"/>
    <x v="1090"/>
    <x v="0"/>
  </r>
  <r>
    <x v="10"/>
    <x v="2"/>
    <x v="5"/>
    <n v="47791.81"/>
    <n v="47489.1"/>
    <n v="62.64"/>
    <n v="721.89"/>
    <x v="1091"/>
    <x v="1"/>
  </r>
  <r>
    <x v="18"/>
    <x v="0"/>
    <x v="5"/>
    <n v="14994.51"/>
    <n v="16037.43"/>
    <n v="93.43"/>
    <n v="187.34"/>
    <x v="1092"/>
    <x v="0"/>
  </r>
  <r>
    <x v="7"/>
    <x v="3"/>
    <x v="7"/>
    <n v="15262.77"/>
    <n v="14992.95"/>
    <n v="190.44"/>
    <n v="1284.0999999999999"/>
    <x v="1093"/>
    <x v="1"/>
  </r>
  <r>
    <x v="18"/>
    <x v="3"/>
    <x v="4"/>
    <n v="45746.48"/>
    <n v="52728.75"/>
    <n v="75.63"/>
    <n v="311.69"/>
    <x v="1094"/>
    <x v="1"/>
  </r>
  <r>
    <x v="6"/>
    <x v="6"/>
    <x v="1"/>
    <n v="44256.46"/>
    <n v="43115.91"/>
    <n v="197.67"/>
    <n v="47.78"/>
    <x v="1095"/>
    <x v="0"/>
  </r>
  <r>
    <x v="18"/>
    <x v="4"/>
    <x v="6"/>
    <n v="46669.86"/>
    <n v="51765.4"/>
    <n v="20.85"/>
    <n v="724.49"/>
    <x v="1096"/>
    <x v="0"/>
  </r>
  <r>
    <x v="10"/>
    <x v="1"/>
    <x v="6"/>
    <n v="4987.5600000000004"/>
    <n v="4933.79"/>
    <n v="144.57"/>
    <n v="459.48"/>
    <x v="1097"/>
    <x v="1"/>
  </r>
  <r>
    <x v="7"/>
    <x v="2"/>
    <x v="7"/>
    <n v="24515.74"/>
    <n v="28891.78"/>
    <n v="150.78"/>
    <n v="514.75"/>
    <x v="1098"/>
    <x v="1"/>
  </r>
  <r>
    <x v="14"/>
    <x v="4"/>
    <x v="5"/>
    <n v="25406.19"/>
    <n v="23066.9"/>
    <n v="85.49"/>
    <n v="513.48"/>
    <x v="1099"/>
    <x v="0"/>
  </r>
  <r>
    <x v="17"/>
    <x v="0"/>
    <x v="2"/>
    <n v="36269.089999999997"/>
    <n v="36585.01"/>
    <n v="106.24"/>
    <n v="1033.53"/>
    <x v="1100"/>
    <x v="0"/>
  </r>
  <r>
    <x v="17"/>
    <x v="6"/>
    <x v="6"/>
    <n v="28400.85"/>
    <n v="25628.63"/>
    <n v="148.97"/>
    <n v="72.19"/>
    <x v="1101"/>
    <x v="0"/>
  </r>
  <r>
    <x v="14"/>
    <x v="6"/>
    <x v="4"/>
    <n v="39391.769999999997"/>
    <n v="46155.48"/>
    <n v="117.33"/>
    <n v="1364.5"/>
    <x v="1102"/>
    <x v="0"/>
  </r>
  <r>
    <x v="17"/>
    <x v="0"/>
    <x v="2"/>
    <n v="46537.2"/>
    <n v="54095.34"/>
    <n v="71.02"/>
    <n v="164"/>
    <x v="1103"/>
    <x v="0"/>
  </r>
  <r>
    <x v="19"/>
    <x v="2"/>
    <x v="2"/>
    <n v="9784.34"/>
    <n v="10088.25"/>
    <n v="43.8"/>
    <n v="201.24"/>
    <x v="1104"/>
    <x v="1"/>
  </r>
  <r>
    <x v="0"/>
    <x v="6"/>
    <x v="7"/>
    <n v="18268.34"/>
    <n v="19207.28"/>
    <n v="80.37"/>
    <n v="118.97"/>
    <x v="1105"/>
    <x v="0"/>
  </r>
  <r>
    <x v="4"/>
    <x v="6"/>
    <x v="5"/>
    <n v="29742.34"/>
    <n v="32808.629999999997"/>
    <n v="128.84"/>
    <n v="456.26"/>
    <x v="1106"/>
    <x v="0"/>
  </r>
  <r>
    <x v="7"/>
    <x v="0"/>
    <x v="5"/>
    <n v="44080.31"/>
    <n v="47663.040000000001"/>
    <n v="191.1"/>
    <n v="789.92"/>
    <x v="1107"/>
    <x v="0"/>
  </r>
  <r>
    <x v="0"/>
    <x v="3"/>
    <x v="1"/>
    <n v="43312.69"/>
    <n v="36537.57"/>
    <n v="125"/>
    <n v="275.27999999999997"/>
    <x v="1108"/>
    <x v="1"/>
  </r>
  <r>
    <x v="1"/>
    <x v="0"/>
    <x v="0"/>
    <n v="49686.06"/>
    <n v="52016.480000000003"/>
    <n v="59.91"/>
    <n v="363.46"/>
    <x v="1109"/>
    <x v="0"/>
  </r>
  <r>
    <x v="9"/>
    <x v="1"/>
    <x v="3"/>
    <n v="506.76"/>
    <n v="489.15"/>
    <n v="149.12"/>
    <n v="569"/>
    <x v="1110"/>
    <x v="1"/>
  </r>
  <r>
    <x v="18"/>
    <x v="0"/>
    <x v="3"/>
    <n v="27203.4"/>
    <n v="22480.38"/>
    <n v="144.08000000000001"/>
    <n v="1248.5899999999999"/>
    <x v="1111"/>
    <x v="0"/>
  </r>
  <r>
    <x v="1"/>
    <x v="3"/>
    <x v="5"/>
    <n v="20707.63"/>
    <n v="22686.73"/>
    <n v="165.69"/>
    <n v="1269.47"/>
    <x v="1112"/>
    <x v="1"/>
  </r>
  <r>
    <x v="15"/>
    <x v="6"/>
    <x v="5"/>
    <n v="3823.19"/>
    <n v="3899.25"/>
    <n v="75.290000000000006"/>
    <n v="477.68"/>
    <x v="1113"/>
    <x v="0"/>
  </r>
  <r>
    <x v="4"/>
    <x v="1"/>
    <x v="5"/>
    <n v="8699.68"/>
    <n v="8021.62"/>
    <n v="44.52"/>
    <n v="760.48"/>
    <x v="1114"/>
    <x v="1"/>
  </r>
  <r>
    <x v="11"/>
    <x v="2"/>
    <x v="1"/>
    <n v="3605.46"/>
    <n v="4044.41"/>
    <n v="45.06"/>
    <n v="485.01"/>
    <x v="1115"/>
    <x v="1"/>
  </r>
  <r>
    <x v="1"/>
    <x v="6"/>
    <x v="0"/>
    <n v="20714.29"/>
    <n v="18866.53"/>
    <n v="33.299999999999997"/>
    <n v="1197.6099999999999"/>
    <x v="1116"/>
    <x v="0"/>
  </r>
  <r>
    <x v="2"/>
    <x v="4"/>
    <x v="7"/>
    <n v="42064.33"/>
    <n v="49659"/>
    <n v="77.099999999999994"/>
    <n v="736.15"/>
    <x v="1117"/>
    <x v="0"/>
  </r>
  <r>
    <x v="13"/>
    <x v="6"/>
    <x v="7"/>
    <n v="32115.200000000001"/>
    <n v="30832.53"/>
    <n v="109.72"/>
    <n v="505.72"/>
    <x v="1118"/>
    <x v="0"/>
  </r>
  <r>
    <x v="10"/>
    <x v="4"/>
    <x v="6"/>
    <n v="11715.38"/>
    <n v="11968.61"/>
    <n v="176.68"/>
    <n v="220.04"/>
    <x v="1119"/>
    <x v="0"/>
  </r>
  <r>
    <x v="13"/>
    <x v="0"/>
    <x v="2"/>
    <n v="2135.08"/>
    <n v="1776.23"/>
    <n v="69.37"/>
    <n v="330.04"/>
    <x v="1120"/>
    <x v="0"/>
  </r>
  <r>
    <x v="3"/>
    <x v="4"/>
    <x v="1"/>
    <n v="19421.900000000001"/>
    <n v="17445.45"/>
    <n v="111.15"/>
    <n v="128.27000000000001"/>
    <x v="1121"/>
    <x v="0"/>
  </r>
  <r>
    <x v="10"/>
    <x v="3"/>
    <x v="1"/>
    <n v="29820.2"/>
    <n v="30839.88"/>
    <n v="93.78"/>
    <n v="76.33"/>
    <x v="1122"/>
    <x v="1"/>
  </r>
  <r>
    <x v="17"/>
    <x v="6"/>
    <x v="2"/>
    <n v="8609.98"/>
    <n v="7648.11"/>
    <n v="94.45"/>
    <n v="578.26"/>
    <x v="1123"/>
    <x v="0"/>
  </r>
  <r>
    <x v="9"/>
    <x v="5"/>
    <x v="7"/>
    <n v="30491"/>
    <n v="28714.080000000002"/>
    <n v="75.760000000000005"/>
    <n v="574.66999999999996"/>
    <x v="1124"/>
    <x v="0"/>
  </r>
  <r>
    <x v="17"/>
    <x v="6"/>
    <x v="7"/>
    <n v="15541.27"/>
    <n v="14218.52"/>
    <n v="190.16"/>
    <n v="538.98"/>
    <x v="1125"/>
    <x v="0"/>
  </r>
  <r>
    <x v="19"/>
    <x v="5"/>
    <x v="7"/>
    <n v="41832.89"/>
    <n v="34209.760000000002"/>
    <n v="185.19"/>
    <n v="694.63"/>
    <x v="1126"/>
    <x v="0"/>
  </r>
  <r>
    <x v="13"/>
    <x v="2"/>
    <x v="3"/>
    <n v="12867.49"/>
    <n v="11675.71"/>
    <n v="143.76"/>
    <n v="1362.94"/>
    <x v="1127"/>
    <x v="1"/>
  </r>
  <r>
    <x v="14"/>
    <x v="0"/>
    <x v="4"/>
    <n v="37194.78"/>
    <n v="43703.78"/>
    <n v="68.81"/>
    <n v="775.2"/>
    <x v="1128"/>
    <x v="0"/>
  </r>
  <r>
    <x v="14"/>
    <x v="0"/>
    <x v="6"/>
    <n v="3993.22"/>
    <n v="3454.43"/>
    <n v="151.18"/>
    <n v="157.71"/>
    <x v="1129"/>
    <x v="0"/>
  </r>
  <r>
    <x v="12"/>
    <x v="5"/>
    <x v="2"/>
    <n v="31182.53"/>
    <n v="31161.02"/>
    <n v="183.17"/>
    <n v="133.34"/>
    <x v="1130"/>
    <x v="0"/>
  </r>
  <r>
    <x v="4"/>
    <x v="3"/>
    <x v="1"/>
    <n v="35856.35"/>
    <n v="42291.85"/>
    <n v="177.24"/>
    <n v="989.02"/>
    <x v="1131"/>
    <x v="1"/>
  </r>
  <r>
    <x v="17"/>
    <x v="6"/>
    <x v="6"/>
    <n v="10405.43"/>
    <n v="9767.52"/>
    <n v="186.44"/>
    <n v="349.28"/>
    <x v="1132"/>
    <x v="0"/>
  </r>
  <r>
    <x v="12"/>
    <x v="5"/>
    <x v="2"/>
    <n v="7672.5"/>
    <n v="7663.77"/>
    <n v="32.770000000000003"/>
    <n v="1010.83"/>
    <x v="1133"/>
    <x v="0"/>
  </r>
  <r>
    <x v="1"/>
    <x v="2"/>
    <x v="3"/>
    <n v="37381.050000000003"/>
    <n v="43622.57"/>
    <n v="28.71"/>
    <n v="607"/>
    <x v="1134"/>
    <x v="1"/>
  </r>
  <r>
    <x v="12"/>
    <x v="2"/>
    <x v="2"/>
    <n v="28851.4"/>
    <n v="25076.78"/>
    <n v="73.23"/>
    <n v="689.37"/>
    <x v="1135"/>
    <x v="1"/>
  </r>
  <r>
    <x v="13"/>
    <x v="6"/>
    <x v="7"/>
    <n v="10321.08"/>
    <n v="10177.93"/>
    <n v="35.409999999999997"/>
    <n v="902.14"/>
    <x v="1136"/>
    <x v="0"/>
  </r>
  <r>
    <x v="1"/>
    <x v="0"/>
    <x v="5"/>
    <n v="7894.84"/>
    <n v="8079.17"/>
    <n v="23.45"/>
    <n v="430.07"/>
    <x v="1137"/>
    <x v="0"/>
  </r>
  <r>
    <x v="4"/>
    <x v="3"/>
    <x v="1"/>
    <n v="11614.12"/>
    <n v="9959.1"/>
    <n v="75.209999999999994"/>
    <n v="1290.53"/>
    <x v="1138"/>
    <x v="1"/>
  </r>
  <r>
    <x v="9"/>
    <x v="4"/>
    <x v="7"/>
    <n v="40283.96"/>
    <n v="33458.980000000003"/>
    <n v="183.93"/>
    <n v="571.85"/>
    <x v="1139"/>
    <x v="0"/>
  </r>
  <r>
    <x v="5"/>
    <x v="3"/>
    <x v="1"/>
    <n v="12738.75"/>
    <n v="11551.29"/>
    <n v="132.52000000000001"/>
    <n v="807.33"/>
    <x v="1140"/>
    <x v="1"/>
  </r>
  <r>
    <x v="19"/>
    <x v="4"/>
    <x v="3"/>
    <n v="24278.95"/>
    <n v="25035.47"/>
    <n v="187.54"/>
    <n v="218.84"/>
    <x v="1141"/>
    <x v="0"/>
  </r>
  <r>
    <x v="17"/>
    <x v="3"/>
    <x v="7"/>
    <n v="24536.44"/>
    <n v="24892.3"/>
    <n v="147.49"/>
    <n v="305.20999999999998"/>
    <x v="1142"/>
    <x v="1"/>
  </r>
  <r>
    <x v="16"/>
    <x v="5"/>
    <x v="1"/>
    <n v="12389.85"/>
    <n v="10564.07"/>
    <n v="175.53"/>
    <n v="348.95"/>
    <x v="1143"/>
    <x v="0"/>
  </r>
  <r>
    <x v="2"/>
    <x v="5"/>
    <x v="3"/>
    <n v="18818.080000000002"/>
    <n v="18033.21"/>
    <n v="181.46"/>
    <n v="635.14"/>
    <x v="1144"/>
    <x v="0"/>
  </r>
  <r>
    <x v="0"/>
    <x v="6"/>
    <x v="5"/>
    <n v="30320.1"/>
    <n v="32226.91"/>
    <n v="30.64"/>
    <n v="675.78"/>
    <x v="1145"/>
    <x v="0"/>
  </r>
  <r>
    <x v="9"/>
    <x v="6"/>
    <x v="3"/>
    <n v="10418.23"/>
    <n v="11826.26"/>
    <n v="57.24"/>
    <n v="627.17999999999995"/>
    <x v="1146"/>
    <x v="0"/>
  </r>
  <r>
    <x v="11"/>
    <x v="5"/>
    <x v="1"/>
    <n v="13520.77"/>
    <n v="14479.32"/>
    <n v="161.71"/>
    <n v="887.31"/>
    <x v="1147"/>
    <x v="0"/>
  </r>
  <r>
    <x v="16"/>
    <x v="4"/>
    <x v="3"/>
    <n v="2682.54"/>
    <n v="3086.07"/>
    <n v="61.92"/>
    <n v="707.37"/>
    <x v="1148"/>
    <x v="0"/>
  </r>
  <r>
    <x v="14"/>
    <x v="2"/>
    <x v="5"/>
    <n v="47074.42"/>
    <n v="50848.46"/>
    <n v="128.51"/>
    <n v="124.8"/>
    <x v="1149"/>
    <x v="1"/>
  </r>
  <r>
    <x v="9"/>
    <x v="5"/>
    <x v="6"/>
    <n v="1329.45"/>
    <n v="1078.07"/>
    <n v="75.849999999999994"/>
    <n v="816.32"/>
    <x v="1150"/>
    <x v="0"/>
  </r>
  <r>
    <x v="12"/>
    <x v="5"/>
    <x v="1"/>
    <n v="10144"/>
    <n v="10236.01"/>
    <n v="114.31"/>
    <n v="1040.3"/>
    <x v="1151"/>
    <x v="0"/>
  </r>
  <r>
    <x v="16"/>
    <x v="1"/>
    <x v="6"/>
    <n v="26936.48"/>
    <n v="27192.47"/>
    <n v="93.51"/>
    <n v="193.61"/>
    <x v="1152"/>
    <x v="1"/>
  </r>
  <r>
    <x v="13"/>
    <x v="2"/>
    <x v="1"/>
    <n v="47691.12"/>
    <n v="42560.6"/>
    <n v="97.16"/>
    <n v="476.43"/>
    <x v="1153"/>
    <x v="1"/>
  </r>
  <r>
    <x v="13"/>
    <x v="3"/>
    <x v="3"/>
    <n v="11463.72"/>
    <n v="10968.53"/>
    <n v="40.79"/>
    <n v="727.11"/>
    <x v="1154"/>
    <x v="1"/>
  </r>
  <r>
    <x v="0"/>
    <x v="5"/>
    <x v="7"/>
    <n v="6608.38"/>
    <n v="6213.4"/>
    <n v="38.130000000000003"/>
    <n v="311.27"/>
    <x v="1155"/>
    <x v="0"/>
  </r>
  <r>
    <x v="8"/>
    <x v="2"/>
    <x v="2"/>
    <n v="47354.14"/>
    <n v="37996.01"/>
    <n v="103.25"/>
    <n v="350.58"/>
    <x v="1156"/>
    <x v="1"/>
  </r>
  <r>
    <x v="10"/>
    <x v="2"/>
    <x v="1"/>
    <n v="49231.61"/>
    <n v="45743.9"/>
    <n v="43.04"/>
    <n v="971.47"/>
    <x v="1157"/>
    <x v="1"/>
  </r>
  <r>
    <x v="9"/>
    <x v="3"/>
    <x v="1"/>
    <n v="28293.200000000001"/>
    <n v="27917.29"/>
    <n v="136.94"/>
    <n v="1276.82"/>
    <x v="1158"/>
    <x v="1"/>
  </r>
  <r>
    <x v="0"/>
    <x v="4"/>
    <x v="2"/>
    <n v="22602.91"/>
    <n v="20190.34"/>
    <n v="83.28"/>
    <n v="1323.05"/>
    <x v="1159"/>
    <x v="0"/>
  </r>
  <r>
    <x v="6"/>
    <x v="5"/>
    <x v="7"/>
    <n v="15393.58"/>
    <n v="14761.96"/>
    <n v="181.57"/>
    <n v="242.72"/>
    <x v="1160"/>
    <x v="0"/>
  </r>
  <r>
    <x v="2"/>
    <x v="2"/>
    <x v="3"/>
    <n v="29574.47"/>
    <n v="34769.68"/>
    <n v="136.65"/>
    <n v="495.08"/>
    <x v="1161"/>
    <x v="1"/>
  </r>
  <r>
    <x v="2"/>
    <x v="2"/>
    <x v="3"/>
    <n v="6355.69"/>
    <n v="6599.21"/>
    <n v="37.450000000000003"/>
    <n v="821.11"/>
    <x v="1162"/>
    <x v="1"/>
  </r>
  <r>
    <x v="4"/>
    <x v="6"/>
    <x v="3"/>
    <n v="17056.13"/>
    <n v="17884.77"/>
    <n v="149.27000000000001"/>
    <n v="1382.2"/>
    <x v="1163"/>
    <x v="0"/>
  </r>
  <r>
    <x v="17"/>
    <x v="5"/>
    <x v="3"/>
    <n v="40625.93"/>
    <n v="36992.57"/>
    <n v="39.86"/>
    <n v="883.42"/>
    <x v="1164"/>
    <x v="0"/>
  </r>
  <r>
    <x v="11"/>
    <x v="0"/>
    <x v="3"/>
    <n v="3365.2"/>
    <n v="3182.65"/>
    <n v="100.43"/>
    <n v="16.690000000000001"/>
    <x v="1165"/>
    <x v="0"/>
  </r>
  <r>
    <x v="3"/>
    <x v="1"/>
    <x v="6"/>
    <n v="21759.95"/>
    <n v="20158.29"/>
    <n v="178.59"/>
    <n v="267.77"/>
    <x v="1166"/>
    <x v="1"/>
  </r>
  <r>
    <x v="19"/>
    <x v="0"/>
    <x v="2"/>
    <n v="24930.080000000002"/>
    <n v="26461.72"/>
    <n v="127.68"/>
    <n v="95.47"/>
    <x v="1167"/>
    <x v="0"/>
  </r>
  <r>
    <x v="0"/>
    <x v="0"/>
    <x v="4"/>
    <n v="19096.71"/>
    <n v="18273.39"/>
    <n v="128.91999999999999"/>
    <n v="481.02"/>
    <x v="1168"/>
    <x v="0"/>
  </r>
  <r>
    <x v="2"/>
    <x v="3"/>
    <x v="0"/>
    <n v="38728.720000000001"/>
    <n v="35494.629999999997"/>
    <n v="160.46"/>
    <n v="160.58000000000001"/>
    <x v="1169"/>
    <x v="1"/>
  </r>
  <r>
    <x v="19"/>
    <x v="4"/>
    <x v="3"/>
    <n v="35649.51"/>
    <n v="30541.38"/>
    <n v="67.02"/>
    <n v="653.66"/>
    <x v="1170"/>
    <x v="0"/>
  </r>
  <r>
    <x v="8"/>
    <x v="4"/>
    <x v="7"/>
    <n v="47890.2"/>
    <n v="49580.18"/>
    <n v="145.56"/>
    <n v="668.13"/>
    <x v="1171"/>
    <x v="0"/>
  </r>
  <r>
    <x v="17"/>
    <x v="6"/>
    <x v="7"/>
    <n v="8003.98"/>
    <n v="6499.63"/>
    <n v="75.42"/>
    <n v="48"/>
    <x v="1172"/>
    <x v="0"/>
  </r>
  <r>
    <x v="3"/>
    <x v="4"/>
    <x v="1"/>
    <n v="22064.87"/>
    <n v="20476.45"/>
    <n v="113.47"/>
    <n v="243.26"/>
    <x v="1173"/>
    <x v="0"/>
  </r>
  <r>
    <x v="2"/>
    <x v="3"/>
    <x v="6"/>
    <n v="3513.33"/>
    <n v="4052.67"/>
    <n v="133.87"/>
    <n v="363.3"/>
    <x v="1174"/>
    <x v="1"/>
  </r>
  <r>
    <x v="16"/>
    <x v="2"/>
    <x v="7"/>
    <n v="48403.15"/>
    <n v="54948.5"/>
    <n v="175.17"/>
    <n v="160.13999999999999"/>
    <x v="1175"/>
    <x v="1"/>
  </r>
  <r>
    <x v="16"/>
    <x v="0"/>
    <x v="5"/>
    <n v="18317.53"/>
    <n v="19745.29"/>
    <n v="74.400000000000006"/>
    <n v="403.38"/>
    <x v="1176"/>
    <x v="0"/>
  </r>
  <r>
    <x v="3"/>
    <x v="3"/>
    <x v="1"/>
    <n v="11808.79"/>
    <n v="9716.69"/>
    <n v="26.98"/>
    <n v="929.6"/>
    <x v="1177"/>
    <x v="1"/>
  </r>
  <r>
    <x v="13"/>
    <x v="4"/>
    <x v="1"/>
    <n v="6439.2"/>
    <n v="5394.1"/>
    <n v="26.84"/>
    <n v="93.18"/>
    <x v="1178"/>
    <x v="0"/>
  </r>
  <r>
    <x v="13"/>
    <x v="3"/>
    <x v="6"/>
    <n v="43174.51"/>
    <n v="44863.41"/>
    <n v="106.07"/>
    <n v="1045.29"/>
    <x v="1179"/>
    <x v="1"/>
  </r>
  <r>
    <x v="18"/>
    <x v="5"/>
    <x v="2"/>
    <n v="48267.58"/>
    <n v="51264.82"/>
    <n v="36.409999999999997"/>
    <n v="330.84"/>
    <x v="1180"/>
    <x v="0"/>
  </r>
  <r>
    <x v="16"/>
    <x v="3"/>
    <x v="6"/>
    <n v="29213.17"/>
    <n v="32840.660000000003"/>
    <n v="196.08"/>
    <n v="720.28"/>
    <x v="1181"/>
    <x v="1"/>
  </r>
  <r>
    <x v="12"/>
    <x v="6"/>
    <x v="6"/>
    <n v="8903.52"/>
    <n v="9527.7900000000009"/>
    <n v="47.76"/>
    <n v="1394.72"/>
    <x v="1182"/>
    <x v="0"/>
  </r>
  <r>
    <x v="17"/>
    <x v="1"/>
    <x v="3"/>
    <n v="23262.53"/>
    <n v="25824.94"/>
    <n v="75.900000000000006"/>
    <n v="1263.71"/>
    <x v="1183"/>
    <x v="1"/>
  </r>
  <r>
    <x v="18"/>
    <x v="2"/>
    <x v="0"/>
    <n v="30114.14"/>
    <n v="35677.050000000003"/>
    <n v="48.9"/>
    <n v="609.87"/>
    <x v="1184"/>
    <x v="1"/>
  </r>
  <r>
    <x v="5"/>
    <x v="3"/>
    <x v="7"/>
    <n v="45901.37"/>
    <n v="45831.98"/>
    <n v="85.68"/>
    <n v="1026.24"/>
    <x v="1185"/>
    <x v="1"/>
  </r>
  <r>
    <x v="13"/>
    <x v="0"/>
    <x v="4"/>
    <n v="48620.25"/>
    <n v="50301.37"/>
    <n v="173.14"/>
    <n v="516.41"/>
    <x v="1186"/>
    <x v="0"/>
  </r>
  <r>
    <x v="15"/>
    <x v="6"/>
    <x v="5"/>
    <n v="32827.879999999997"/>
    <n v="34463.61"/>
    <n v="140.44"/>
    <n v="437.66"/>
    <x v="1187"/>
    <x v="0"/>
  </r>
  <r>
    <x v="11"/>
    <x v="2"/>
    <x v="7"/>
    <n v="40840.5"/>
    <n v="38524.82"/>
    <n v="141.79"/>
    <n v="1368.67"/>
    <x v="1188"/>
    <x v="1"/>
  </r>
  <r>
    <x v="10"/>
    <x v="2"/>
    <x v="1"/>
    <n v="18777.45"/>
    <n v="20043.849999999999"/>
    <n v="126.6"/>
    <n v="744.7"/>
    <x v="1189"/>
    <x v="1"/>
  </r>
  <r>
    <x v="12"/>
    <x v="2"/>
    <x v="4"/>
    <n v="26903.69"/>
    <n v="24908.69"/>
    <n v="35.1"/>
    <n v="623.29999999999995"/>
    <x v="1190"/>
    <x v="1"/>
  </r>
  <r>
    <x v="9"/>
    <x v="1"/>
    <x v="2"/>
    <n v="25753.42"/>
    <n v="25942.47"/>
    <n v="71.510000000000005"/>
    <n v="577.14"/>
    <x v="1191"/>
    <x v="1"/>
  </r>
  <r>
    <x v="1"/>
    <x v="0"/>
    <x v="2"/>
    <n v="27999.75"/>
    <n v="26735.279999999999"/>
    <n v="92.09"/>
    <n v="593.34"/>
    <x v="1192"/>
    <x v="0"/>
  </r>
  <r>
    <x v="5"/>
    <x v="5"/>
    <x v="1"/>
    <n v="12115.15"/>
    <n v="14281.97"/>
    <n v="190.82"/>
    <n v="58.01"/>
    <x v="1193"/>
    <x v="0"/>
  </r>
  <r>
    <x v="15"/>
    <x v="2"/>
    <x v="1"/>
    <n v="12372.33"/>
    <n v="12415.82"/>
    <n v="138.16999999999999"/>
    <n v="1138.27"/>
    <x v="1194"/>
    <x v="1"/>
  </r>
  <r>
    <x v="7"/>
    <x v="3"/>
    <x v="1"/>
    <n v="17657.47"/>
    <n v="18438.18"/>
    <n v="75.73"/>
    <n v="276.64"/>
    <x v="1195"/>
    <x v="1"/>
  </r>
  <r>
    <x v="2"/>
    <x v="0"/>
    <x v="0"/>
    <n v="3536.85"/>
    <n v="3057.2"/>
    <n v="48.25"/>
    <n v="113.82"/>
    <x v="1196"/>
    <x v="0"/>
  </r>
  <r>
    <x v="1"/>
    <x v="2"/>
    <x v="0"/>
    <n v="18031.41"/>
    <n v="19215.43"/>
    <n v="85.46"/>
    <n v="365.47"/>
    <x v="1197"/>
    <x v="1"/>
  </r>
  <r>
    <x v="13"/>
    <x v="2"/>
    <x v="7"/>
    <n v="5790.86"/>
    <n v="5547.58"/>
    <n v="28.85"/>
    <n v="1214.8599999999999"/>
    <x v="1198"/>
    <x v="1"/>
  </r>
  <r>
    <x v="2"/>
    <x v="4"/>
    <x v="0"/>
    <n v="13636.34"/>
    <n v="15668.2"/>
    <n v="37.1"/>
    <n v="979.09"/>
    <x v="1199"/>
    <x v="0"/>
  </r>
  <r>
    <x v="15"/>
    <x v="4"/>
    <x v="5"/>
    <n v="49181.19"/>
    <n v="58225.68"/>
    <n v="87.31"/>
    <n v="222.31"/>
    <x v="1200"/>
    <x v="0"/>
  </r>
  <r>
    <x v="3"/>
    <x v="2"/>
    <x v="7"/>
    <n v="44497.57"/>
    <n v="46476.28"/>
    <n v="172.75"/>
    <n v="247.47"/>
    <x v="1201"/>
    <x v="1"/>
  </r>
  <r>
    <x v="17"/>
    <x v="3"/>
    <x v="1"/>
    <n v="30053.52"/>
    <n v="34959.69"/>
    <n v="133.09"/>
    <n v="1193.69"/>
    <x v="1202"/>
    <x v="1"/>
  </r>
  <r>
    <x v="13"/>
    <x v="5"/>
    <x v="7"/>
    <n v="11568.16"/>
    <n v="9672.02"/>
    <n v="97.03"/>
    <n v="1370.86"/>
    <x v="1203"/>
    <x v="0"/>
  </r>
  <r>
    <x v="8"/>
    <x v="6"/>
    <x v="6"/>
    <n v="5266.26"/>
    <n v="5549.69"/>
    <n v="25.38"/>
    <n v="1303.24"/>
    <x v="1204"/>
    <x v="0"/>
  </r>
  <r>
    <x v="15"/>
    <x v="0"/>
    <x v="2"/>
    <n v="31877.19"/>
    <n v="35845.519999999997"/>
    <n v="130.19"/>
    <n v="887.49"/>
    <x v="1205"/>
    <x v="0"/>
  </r>
  <r>
    <x v="9"/>
    <x v="3"/>
    <x v="1"/>
    <n v="4538.1099999999997"/>
    <n v="4999.1400000000003"/>
    <n v="26.16"/>
    <n v="932.89"/>
    <x v="1206"/>
    <x v="1"/>
  </r>
  <r>
    <x v="2"/>
    <x v="1"/>
    <x v="2"/>
    <n v="6965.54"/>
    <n v="6131.14"/>
    <n v="174.3"/>
    <n v="84.59"/>
    <x v="1207"/>
    <x v="1"/>
  </r>
  <r>
    <x v="19"/>
    <x v="0"/>
    <x v="0"/>
    <n v="27308.53"/>
    <n v="30169.81"/>
    <n v="145.63"/>
    <n v="1217.18"/>
    <x v="1208"/>
    <x v="0"/>
  </r>
  <r>
    <x v="12"/>
    <x v="1"/>
    <x v="3"/>
    <n v="13803"/>
    <n v="12865.32"/>
    <n v="185.07"/>
    <n v="957.42"/>
    <x v="1209"/>
    <x v="1"/>
  </r>
  <r>
    <x v="1"/>
    <x v="1"/>
    <x v="0"/>
    <n v="2428.52"/>
    <n v="2418.17"/>
    <n v="52.27"/>
    <n v="70.69"/>
    <x v="1210"/>
    <x v="1"/>
  </r>
  <r>
    <x v="3"/>
    <x v="5"/>
    <x v="3"/>
    <n v="2584.39"/>
    <n v="2194.85"/>
    <n v="43.57"/>
    <n v="1142.6300000000001"/>
    <x v="1211"/>
    <x v="0"/>
  </r>
  <r>
    <x v="6"/>
    <x v="6"/>
    <x v="0"/>
    <n v="17092.310000000001"/>
    <n v="14508.6"/>
    <n v="109.47"/>
    <n v="834.86"/>
    <x v="1212"/>
    <x v="0"/>
  </r>
  <r>
    <x v="1"/>
    <x v="3"/>
    <x v="6"/>
    <n v="27988.79"/>
    <n v="32506.92"/>
    <n v="60.95"/>
    <n v="543.37"/>
    <x v="1213"/>
    <x v="1"/>
  </r>
  <r>
    <x v="19"/>
    <x v="4"/>
    <x v="2"/>
    <n v="28969"/>
    <n v="23933.02"/>
    <n v="164.35"/>
    <n v="855.14"/>
    <x v="1214"/>
    <x v="0"/>
  </r>
  <r>
    <x v="15"/>
    <x v="3"/>
    <x v="7"/>
    <n v="46936.57"/>
    <n v="47407.6"/>
    <n v="87.18"/>
    <n v="1057.21"/>
    <x v="1215"/>
    <x v="1"/>
  </r>
  <r>
    <x v="5"/>
    <x v="5"/>
    <x v="5"/>
    <n v="3242.71"/>
    <n v="3746.18"/>
    <n v="160.22"/>
    <n v="966.49"/>
    <x v="1216"/>
    <x v="0"/>
  </r>
  <r>
    <x v="9"/>
    <x v="1"/>
    <x v="0"/>
    <n v="46965.32"/>
    <n v="54387.08"/>
    <n v="173.34"/>
    <n v="948.45"/>
    <x v="1217"/>
    <x v="1"/>
  </r>
  <r>
    <x v="13"/>
    <x v="3"/>
    <x v="0"/>
    <n v="2283.1"/>
    <n v="2654.6"/>
    <n v="116.93"/>
    <n v="344.81"/>
    <x v="1218"/>
    <x v="1"/>
  </r>
  <r>
    <x v="17"/>
    <x v="5"/>
    <x v="4"/>
    <n v="11088.64"/>
    <n v="11899.26"/>
    <n v="194.12"/>
    <n v="67.8"/>
    <x v="1219"/>
    <x v="0"/>
  </r>
  <r>
    <x v="8"/>
    <x v="3"/>
    <x v="5"/>
    <n v="1899.36"/>
    <n v="2058.86"/>
    <n v="49.89"/>
    <n v="955.05"/>
    <x v="1220"/>
    <x v="1"/>
  </r>
  <r>
    <x v="16"/>
    <x v="6"/>
    <x v="4"/>
    <n v="46552.07"/>
    <n v="47859.25"/>
    <n v="52.98"/>
    <n v="1217.9000000000001"/>
    <x v="1221"/>
    <x v="0"/>
  </r>
  <r>
    <x v="8"/>
    <x v="3"/>
    <x v="4"/>
    <n v="37391.39"/>
    <n v="39782.839999999997"/>
    <n v="133.13"/>
    <n v="732.21"/>
    <x v="1222"/>
    <x v="1"/>
  </r>
  <r>
    <x v="10"/>
    <x v="1"/>
    <x v="7"/>
    <n v="7366.15"/>
    <n v="6829.31"/>
    <n v="58.14"/>
    <n v="1384.79"/>
    <x v="1223"/>
    <x v="1"/>
  </r>
  <r>
    <x v="18"/>
    <x v="0"/>
    <x v="0"/>
    <n v="23779.37"/>
    <n v="21406.66"/>
    <n v="46.56"/>
    <n v="920.09"/>
    <x v="1224"/>
    <x v="0"/>
  </r>
  <r>
    <x v="2"/>
    <x v="6"/>
    <x v="3"/>
    <n v="10337.469999999999"/>
    <n v="9683.93"/>
    <n v="113.35"/>
    <n v="206.67"/>
    <x v="1225"/>
    <x v="0"/>
  </r>
  <r>
    <x v="10"/>
    <x v="5"/>
    <x v="5"/>
    <n v="41640.33"/>
    <n v="43340.61"/>
    <n v="191.43"/>
    <n v="344.95"/>
    <x v="1226"/>
    <x v="0"/>
  </r>
  <r>
    <x v="18"/>
    <x v="0"/>
    <x v="1"/>
    <n v="21968.71"/>
    <n v="22440.31"/>
    <n v="26.83"/>
    <n v="906.9"/>
    <x v="1227"/>
    <x v="0"/>
  </r>
  <r>
    <x v="1"/>
    <x v="4"/>
    <x v="7"/>
    <n v="26762.3"/>
    <n v="31233.33"/>
    <n v="118.97"/>
    <n v="849.75"/>
    <x v="1228"/>
    <x v="0"/>
  </r>
  <r>
    <x v="11"/>
    <x v="0"/>
    <x v="3"/>
    <n v="43125.3"/>
    <n v="42468.9"/>
    <n v="137.49"/>
    <n v="304.73"/>
    <x v="1229"/>
    <x v="0"/>
  </r>
  <r>
    <x v="19"/>
    <x v="1"/>
    <x v="0"/>
    <n v="8983.57"/>
    <n v="7739.29"/>
    <n v="190.57"/>
    <n v="146.56"/>
    <x v="1230"/>
    <x v="1"/>
  </r>
  <r>
    <x v="13"/>
    <x v="5"/>
    <x v="4"/>
    <n v="7873.09"/>
    <n v="6701.54"/>
    <n v="22.45"/>
    <n v="690.77"/>
    <x v="1231"/>
    <x v="0"/>
  </r>
  <r>
    <x v="2"/>
    <x v="3"/>
    <x v="6"/>
    <n v="24319.52"/>
    <n v="28927.51"/>
    <n v="77.55"/>
    <n v="162.22999999999999"/>
    <x v="1232"/>
    <x v="1"/>
  </r>
  <r>
    <x v="12"/>
    <x v="5"/>
    <x v="2"/>
    <n v="18546.11"/>
    <n v="20056.32"/>
    <n v="101.23"/>
    <n v="223.02"/>
    <x v="1233"/>
    <x v="0"/>
  </r>
  <r>
    <x v="11"/>
    <x v="2"/>
    <x v="3"/>
    <n v="7137.78"/>
    <n v="8416.94"/>
    <n v="55.96"/>
    <n v="552.89"/>
    <x v="1234"/>
    <x v="1"/>
  </r>
  <r>
    <x v="10"/>
    <x v="5"/>
    <x v="0"/>
    <n v="984.24"/>
    <n v="1145.43"/>
    <n v="66.260000000000005"/>
    <n v="250.68"/>
    <x v="1235"/>
    <x v="0"/>
  </r>
  <r>
    <x v="8"/>
    <x v="4"/>
    <x v="0"/>
    <n v="6945.83"/>
    <n v="7957.41"/>
    <n v="138.30000000000001"/>
    <n v="423.6"/>
    <x v="1236"/>
    <x v="0"/>
  </r>
  <r>
    <x v="14"/>
    <x v="6"/>
    <x v="5"/>
    <n v="26627.11"/>
    <n v="25354.01"/>
    <n v="192.78"/>
    <n v="909.69"/>
    <x v="1237"/>
    <x v="0"/>
  </r>
  <r>
    <x v="7"/>
    <x v="2"/>
    <x v="6"/>
    <n v="18189.87"/>
    <n v="16385.439999999999"/>
    <n v="92.06"/>
    <n v="922.1"/>
    <x v="1238"/>
    <x v="1"/>
  </r>
  <r>
    <x v="4"/>
    <x v="4"/>
    <x v="3"/>
    <n v="20373.650000000001"/>
    <n v="16421.79"/>
    <n v="152.54"/>
    <n v="1319.83"/>
    <x v="1239"/>
    <x v="0"/>
  </r>
  <r>
    <x v="16"/>
    <x v="0"/>
    <x v="5"/>
    <n v="16467.12"/>
    <n v="17287.740000000002"/>
    <n v="27.18"/>
    <n v="445.21"/>
    <x v="1240"/>
    <x v="0"/>
  </r>
  <r>
    <x v="15"/>
    <x v="0"/>
    <x v="2"/>
    <n v="21037.73"/>
    <n v="22514.98"/>
    <n v="153.85"/>
    <n v="1030.98"/>
    <x v="1241"/>
    <x v="0"/>
  </r>
  <r>
    <x v="1"/>
    <x v="0"/>
    <x v="4"/>
    <n v="36073.050000000003"/>
    <n v="31463.71"/>
    <n v="169.16"/>
    <n v="1279.81"/>
    <x v="1242"/>
    <x v="0"/>
  </r>
  <r>
    <x v="2"/>
    <x v="6"/>
    <x v="7"/>
    <n v="3079.36"/>
    <n v="3527"/>
    <n v="195.07"/>
    <n v="782.84"/>
    <x v="1243"/>
    <x v="0"/>
  </r>
  <r>
    <x v="17"/>
    <x v="3"/>
    <x v="1"/>
    <n v="35706.01"/>
    <n v="31406.22"/>
    <n v="162.59"/>
    <n v="1276.55"/>
    <x v="1244"/>
    <x v="1"/>
  </r>
  <r>
    <x v="16"/>
    <x v="2"/>
    <x v="3"/>
    <n v="5754.93"/>
    <n v="4784.1400000000003"/>
    <n v="79.150000000000006"/>
    <n v="313.05"/>
    <x v="1245"/>
    <x v="1"/>
  </r>
  <r>
    <x v="5"/>
    <x v="6"/>
    <x v="3"/>
    <n v="13026.67"/>
    <n v="13313.56"/>
    <n v="158.25"/>
    <n v="1052.69"/>
    <x v="1246"/>
    <x v="0"/>
  </r>
  <r>
    <x v="4"/>
    <x v="6"/>
    <x v="0"/>
    <n v="3279.14"/>
    <n v="2760.93"/>
    <n v="35.35"/>
    <n v="726.66"/>
    <x v="1247"/>
    <x v="0"/>
  </r>
  <r>
    <x v="13"/>
    <x v="2"/>
    <x v="6"/>
    <n v="13016.73"/>
    <n v="15553.12"/>
    <n v="92.19"/>
    <n v="746.25"/>
    <x v="1248"/>
    <x v="1"/>
  </r>
  <r>
    <x v="13"/>
    <x v="0"/>
    <x v="4"/>
    <n v="9304.41"/>
    <n v="8444"/>
    <n v="140.97999999999999"/>
    <n v="148.06"/>
    <x v="1249"/>
    <x v="0"/>
  </r>
  <r>
    <x v="6"/>
    <x v="3"/>
    <x v="6"/>
    <n v="20686.919999999998"/>
    <n v="24116.77"/>
    <n v="84.96"/>
    <n v="894.16"/>
    <x v="1250"/>
    <x v="1"/>
  </r>
  <r>
    <x v="19"/>
    <x v="0"/>
    <x v="4"/>
    <n v="48460.2"/>
    <n v="51958.64"/>
    <n v="102.93"/>
    <n v="900.43"/>
    <x v="1251"/>
    <x v="0"/>
  </r>
  <r>
    <x v="17"/>
    <x v="6"/>
    <x v="0"/>
    <n v="39265.39"/>
    <n v="44449.77"/>
    <n v="157.66"/>
    <n v="509.82"/>
    <x v="1252"/>
    <x v="0"/>
  </r>
  <r>
    <x v="7"/>
    <x v="4"/>
    <x v="1"/>
    <n v="8152.32"/>
    <n v="7400.81"/>
    <n v="138.08000000000001"/>
    <n v="1378.44"/>
    <x v="1253"/>
    <x v="0"/>
  </r>
  <r>
    <x v="9"/>
    <x v="1"/>
    <x v="7"/>
    <n v="22652.62"/>
    <n v="25093.08"/>
    <n v="123.3"/>
    <n v="1249.55"/>
    <x v="1254"/>
    <x v="1"/>
  </r>
  <r>
    <x v="9"/>
    <x v="0"/>
    <x v="1"/>
    <n v="38067.96"/>
    <n v="31816.14"/>
    <n v="35.07"/>
    <n v="341.19"/>
    <x v="1255"/>
    <x v="0"/>
  </r>
  <r>
    <x v="6"/>
    <x v="1"/>
    <x v="6"/>
    <n v="35280.5"/>
    <n v="35456.5"/>
    <n v="199.44"/>
    <n v="859.08"/>
    <x v="1256"/>
    <x v="1"/>
  </r>
  <r>
    <x v="8"/>
    <x v="4"/>
    <x v="6"/>
    <n v="1788.01"/>
    <n v="1952.56"/>
    <n v="159.02000000000001"/>
    <n v="430.13"/>
    <x v="1257"/>
    <x v="0"/>
  </r>
  <r>
    <x v="13"/>
    <x v="6"/>
    <x v="7"/>
    <n v="9646.2000000000007"/>
    <n v="9480.76"/>
    <n v="116.66"/>
    <n v="138.97999999999999"/>
    <x v="1258"/>
    <x v="0"/>
  </r>
  <r>
    <x v="19"/>
    <x v="1"/>
    <x v="4"/>
    <n v="41263.64"/>
    <n v="35583.19"/>
    <n v="37.78"/>
    <n v="417.22"/>
    <x v="1259"/>
    <x v="1"/>
  </r>
  <r>
    <x v="18"/>
    <x v="1"/>
    <x v="5"/>
    <n v="6234.85"/>
    <n v="7062.98"/>
    <n v="21.23"/>
    <n v="508.75"/>
    <x v="1260"/>
    <x v="1"/>
  </r>
  <r>
    <x v="4"/>
    <x v="0"/>
    <x v="6"/>
    <n v="45354.77"/>
    <n v="41336.720000000001"/>
    <n v="99.36"/>
    <n v="464.47"/>
    <x v="1261"/>
    <x v="0"/>
  </r>
  <r>
    <x v="13"/>
    <x v="0"/>
    <x v="1"/>
    <n v="9084.0300000000007"/>
    <n v="9204.48"/>
    <n v="170.75"/>
    <n v="1145.19"/>
    <x v="1262"/>
    <x v="0"/>
  </r>
  <r>
    <x v="13"/>
    <x v="5"/>
    <x v="4"/>
    <n v="10339.44"/>
    <n v="10235.950000000001"/>
    <n v="55.67"/>
    <n v="884.98"/>
    <x v="1263"/>
    <x v="0"/>
  </r>
  <r>
    <x v="11"/>
    <x v="4"/>
    <x v="5"/>
    <n v="41688.480000000003"/>
    <n v="39891.050000000003"/>
    <n v="116.11"/>
    <n v="516.22"/>
    <x v="1264"/>
    <x v="0"/>
  </r>
  <r>
    <x v="13"/>
    <x v="4"/>
    <x v="3"/>
    <n v="48530.06"/>
    <n v="49974.84"/>
    <n v="58.56"/>
    <n v="652.6"/>
    <x v="1265"/>
    <x v="0"/>
  </r>
  <r>
    <x v="15"/>
    <x v="3"/>
    <x v="1"/>
    <n v="22659.37"/>
    <n v="26691.89"/>
    <n v="78.150000000000006"/>
    <n v="1129.9000000000001"/>
    <x v="1266"/>
    <x v="1"/>
  </r>
  <r>
    <x v="5"/>
    <x v="6"/>
    <x v="5"/>
    <n v="49413.98"/>
    <n v="43555.28"/>
    <n v="171.55"/>
    <n v="664.24"/>
    <x v="1267"/>
    <x v="0"/>
  </r>
  <r>
    <x v="17"/>
    <x v="2"/>
    <x v="5"/>
    <n v="27421.17"/>
    <n v="22348.6"/>
    <n v="84.8"/>
    <n v="915.98"/>
    <x v="1268"/>
    <x v="1"/>
  </r>
  <r>
    <x v="19"/>
    <x v="3"/>
    <x v="5"/>
    <n v="14393.52"/>
    <n v="12636.77"/>
    <n v="189.58"/>
    <n v="407.1"/>
    <x v="1269"/>
    <x v="1"/>
  </r>
  <r>
    <x v="14"/>
    <x v="1"/>
    <x v="7"/>
    <n v="16359"/>
    <n v="17432.88"/>
    <n v="197.08"/>
    <n v="525.36"/>
    <x v="1270"/>
    <x v="1"/>
  </r>
  <r>
    <x v="16"/>
    <x v="2"/>
    <x v="4"/>
    <n v="8175.92"/>
    <n v="8432.6"/>
    <n v="34.19"/>
    <n v="294.24"/>
    <x v="1271"/>
    <x v="1"/>
  </r>
  <r>
    <x v="15"/>
    <x v="2"/>
    <x v="3"/>
    <n v="41797.93"/>
    <n v="40312.720000000001"/>
    <n v="74.459999999999994"/>
    <n v="448.26"/>
    <x v="1272"/>
    <x v="1"/>
  </r>
  <r>
    <x v="13"/>
    <x v="0"/>
    <x v="3"/>
    <n v="11452.87"/>
    <n v="9426.67"/>
    <n v="146.18"/>
    <n v="175.76"/>
    <x v="1273"/>
    <x v="0"/>
  </r>
  <r>
    <x v="8"/>
    <x v="3"/>
    <x v="6"/>
    <n v="28821.56"/>
    <n v="29584.17"/>
    <n v="152.78"/>
    <n v="1080.56"/>
    <x v="1274"/>
    <x v="1"/>
  </r>
  <r>
    <x v="1"/>
    <x v="0"/>
    <x v="3"/>
    <n v="26800.13"/>
    <n v="30406.55"/>
    <n v="118.95"/>
    <n v="1329.37"/>
    <x v="1275"/>
    <x v="0"/>
  </r>
  <r>
    <x v="17"/>
    <x v="5"/>
    <x v="5"/>
    <n v="29613.99"/>
    <n v="33330.620000000003"/>
    <n v="71.209999999999994"/>
    <n v="684.81"/>
    <x v="1276"/>
    <x v="0"/>
  </r>
  <r>
    <x v="13"/>
    <x v="3"/>
    <x v="1"/>
    <n v="12524.47"/>
    <n v="10671.38"/>
    <n v="180.96"/>
    <n v="1153.44"/>
    <x v="1277"/>
    <x v="1"/>
  </r>
  <r>
    <x v="18"/>
    <x v="3"/>
    <x v="0"/>
    <n v="563.82000000000005"/>
    <n v="483.7"/>
    <n v="87.46"/>
    <n v="936.48"/>
    <x v="1278"/>
    <x v="1"/>
  </r>
  <r>
    <x v="14"/>
    <x v="2"/>
    <x v="6"/>
    <n v="24218.15"/>
    <n v="20941.25"/>
    <n v="143.37"/>
    <n v="1258.71"/>
    <x v="1279"/>
    <x v="1"/>
  </r>
  <r>
    <x v="5"/>
    <x v="4"/>
    <x v="6"/>
    <n v="23253.200000000001"/>
    <n v="19750.560000000001"/>
    <n v="160.16"/>
    <n v="424.13"/>
    <x v="1280"/>
    <x v="0"/>
  </r>
  <r>
    <x v="11"/>
    <x v="3"/>
    <x v="5"/>
    <n v="45925.08"/>
    <n v="47953.86"/>
    <n v="99.48"/>
    <n v="1383.18"/>
    <x v="1281"/>
    <x v="1"/>
  </r>
  <r>
    <x v="10"/>
    <x v="2"/>
    <x v="4"/>
    <n v="15173.08"/>
    <n v="12308.37"/>
    <n v="130.24"/>
    <n v="878.37"/>
    <x v="1282"/>
    <x v="1"/>
  </r>
  <r>
    <x v="17"/>
    <x v="5"/>
    <x v="1"/>
    <n v="46712.67"/>
    <n v="55490.15"/>
    <n v="46.92"/>
    <n v="680.42"/>
    <x v="1283"/>
    <x v="0"/>
  </r>
  <r>
    <x v="16"/>
    <x v="4"/>
    <x v="2"/>
    <n v="48132.63"/>
    <n v="51767.74"/>
    <n v="54.74"/>
    <n v="254.66"/>
    <x v="1284"/>
    <x v="0"/>
  </r>
  <r>
    <x v="1"/>
    <x v="4"/>
    <x v="3"/>
    <n v="30206.43"/>
    <n v="26359.24"/>
    <n v="92.82"/>
    <n v="99.54"/>
    <x v="1285"/>
    <x v="0"/>
  </r>
  <r>
    <x v="4"/>
    <x v="2"/>
    <x v="6"/>
    <n v="44284.99"/>
    <n v="38861.06"/>
    <n v="51.28"/>
    <n v="908.33"/>
    <x v="1286"/>
    <x v="1"/>
  </r>
  <r>
    <x v="19"/>
    <x v="1"/>
    <x v="0"/>
    <n v="10766.12"/>
    <n v="10972.16"/>
    <n v="182.51"/>
    <n v="118.34"/>
    <x v="1287"/>
    <x v="1"/>
  </r>
  <r>
    <x v="11"/>
    <x v="1"/>
    <x v="5"/>
    <n v="13946.56"/>
    <n v="16195.95"/>
    <n v="29.15"/>
    <n v="384.94"/>
    <x v="1288"/>
    <x v="1"/>
  </r>
  <r>
    <x v="3"/>
    <x v="0"/>
    <x v="7"/>
    <n v="46493.22"/>
    <n v="52602.35"/>
    <n v="57.27"/>
    <n v="233.64"/>
    <x v="1289"/>
    <x v="0"/>
  </r>
  <r>
    <x v="17"/>
    <x v="3"/>
    <x v="3"/>
    <n v="16128.56"/>
    <n v="14838.72"/>
    <n v="75.31"/>
    <n v="106.57"/>
    <x v="1290"/>
    <x v="1"/>
  </r>
  <r>
    <x v="18"/>
    <x v="1"/>
    <x v="1"/>
    <n v="43572.95"/>
    <n v="41125.1"/>
    <n v="140.18"/>
    <n v="821.32"/>
    <x v="1291"/>
    <x v="1"/>
  </r>
  <r>
    <x v="4"/>
    <x v="2"/>
    <x v="3"/>
    <n v="23087.01"/>
    <n v="27030.78"/>
    <n v="78.16"/>
    <n v="424.13"/>
    <x v="1292"/>
    <x v="1"/>
  </r>
  <r>
    <x v="4"/>
    <x v="6"/>
    <x v="3"/>
    <n v="27248.63"/>
    <n v="23242.07"/>
    <n v="147.16999999999999"/>
    <n v="159"/>
    <x v="1293"/>
    <x v="0"/>
  </r>
  <r>
    <x v="1"/>
    <x v="1"/>
    <x v="4"/>
    <n v="27393.87"/>
    <n v="28681.65"/>
    <n v="140.04"/>
    <n v="360.21"/>
    <x v="1294"/>
    <x v="1"/>
  </r>
  <r>
    <x v="7"/>
    <x v="0"/>
    <x v="0"/>
    <n v="43281.52"/>
    <n v="50252.44"/>
    <n v="185.32"/>
    <n v="81.760000000000005"/>
    <x v="1295"/>
    <x v="0"/>
  </r>
  <r>
    <x v="0"/>
    <x v="0"/>
    <x v="5"/>
    <n v="36721.58"/>
    <n v="40889.919999999998"/>
    <n v="63.82"/>
    <n v="956.39"/>
    <x v="1296"/>
    <x v="0"/>
  </r>
  <r>
    <x v="8"/>
    <x v="1"/>
    <x v="1"/>
    <n v="3620.29"/>
    <n v="3800.3"/>
    <n v="151.72"/>
    <n v="910.07"/>
    <x v="1297"/>
    <x v="1"/>
  </r>
  <r>
    <x v="4"/>
    <x v="5"/>
    <x v="6"/>
    <n v="39092.720000000001"/>
    <n v="40546.57"/>
    <n v="61.05"/>
    <n v="1332.14"/>
    <x v="1298"/>
    <x v="0"/>
  </r>
  <r>
    <x v="2"/>
    <x v="0"/>
    <x v="4"/>
    <n v="7411.92"/>
    <n v="6561.36"/>
    <n v="157.02000000000001"/>
    <n v="1000.4"/>
    <x v="1299"/>
    <x v="0"/>
  </r>
  <r>
    <x v="5"/>
    <x v="1"/>
    <x v="7"/>
    <n v="13434.62"/>
    <n v="15556.38"/>
    <n v="69.430000000000007"/>
    <n v="1265.99"/>
    <x v="1300"/>
    <x v="1"/>
  </r>
  <r>
    <x v="18"/>
    <x v="6"/>
    <x v="1"/>
    <n v="16766.82"/>
    <n v="14111.79"/>
    <n v="87.29"/>
    <n v="1249.21"/>
    <x v="1301"/>
    <x v="0"/>
  </r>
  <r>
    <x v="0"/>
    <x v="4"/>
    <x v="1"/>
    <n v="12653.2"/>
    <n v="10610.5"/>
    <n v="67.69"/>
    <n v="1173.8499999999999"/>
    <x v="1302"/>
    <x v="0"/>
  </r>
  <r>
    <x v="11"/>
    <x v="3"/>
    <x v="7"/>
    <n v="19816.91"/>
    <n v="22843.49"/>
    <n v="22.03"/>
    <n v="1125.3900000000001"/>
    <x v="1303"/>
    <x v="1"/>
  </r>
  <r>
    <x v="18"/>
    <x v="3"/>
    <x v="0"/>
    <n v="48862.19"/>
    <n v="39240.6"/>
    <n v="182.57"/>
    <n v="1164.68"/>
    <x v="1304"/>
    <x v="1"/>
  </r>
  <r>
    <x v="5"/>
    <x v="5"/>
    <x v="5"/>
    <n v="1104.25"/>
    <n v="1183.95"/>
    <n v="166.83"/>
    <n v="467.86"/>
    <x v="1305"/>
    <x v="0"/>
  </r>
  <r>
    <x v="9"/>
    <x v="3"/>
    <x v="6"/>
    <n v="36454.83"/>
    <n v="36970.89"/>
    <n v="92.61"/>
    <n v="1282.4000000000001"/>
    <x v="1306"/>
    <x v="1"/>
  </r>
  <r>
    <x v="10"/>
    <x v="5"/>
    <x v="1"/>
    <n v="44803.48"/>
    <n v="42804.14"/>
    <n v="53.62"/>
    <n v="801.62"/>
    <x v="1307"/>
    <x v="0"/>
  </r>
  <r>
    <x v="6"/>
    <x v="5"/>
    <x v="5"/>
    <n v="17602.490000000002"/>
    <n v="20594.52"/>
    <n v="104.77"/>
    <n v="1101.0999999999999"/>
    <x v="1308"/>
    <x v="0"/>
  </r>
  <r>
    <x v="16"/>
    <x v="1"/>
    <x v="5"/>
    <n v="37200.74"/>
    <n v="41753.730000000003"/>
    <n v="57.46"/>
    <n v="1337.2"/>
    <x v="1309"/>
    <x v="1"/>
  </r>
  <r>
    <x v="14"/>
    <x v="4"/>
    <x v="1"/>
    <n v="28281.34"/>
    <n v="25850.04"/>
    <n v="64.67"/>
    <n v="474.26"/>
    <x v="1310"/>
    <x v="0"/>
  </r>
  <r>
    <x v="2"/>
    <x v="3"/>
    <x v="6"/>
    <n v="33695.26"/>
    <n v="38272.43"/>
    <n v="152.54"/>
    <n v="1396.52"/>
    <x v="1311"/>
    <x v="1"/>
  </r>
  <r>
    <x v="14"/>
    <x v="4"/>
    <x v="6"/>
    <n v="31139.18"/>
    <n v="35388.31"/>
    <n v="74.88"/>
    <n v="355.39"/>
    <x v="1312"/>
    <x v="0"/>
  </r>
  <r>
    <x v="6"/>
    <x v="2"/>
    <x v="6"/>
    <n v="40742.239999999998"/>
    <n v="41870.589999999997"/>
    <n v="130.91"/>
    <n v="269.85000000000002"/>
    <x v="1313"/>
    <x v="1"/>
  </r>
  <r>
    <x v="11"/>
    <x v="2"/>
    <x v="7"/>
    <n v="48092.85"/>
    <n v="49579.360000000001"/>
    <n v="177.78"/>
    <n v="902.87"/>
    <x v="1314"/>
    <x v="1"/>
  </r>
  <r>
    <x v="11"/>
    <x v="0"/>
    <x v="5"/>
    <n v="35115.79"/>
    <n v="34821.660000000003"/>
    <n v="93.46"/>
    <n v="630.41"/>
    <x v="1315"/>
    <x v="0"/>
  </r>
  <r>
    <x v="7"/>
    <x v="1"/>
    <x v="3"/>
    <n v="37881.410000000003"/>
    <n v="38285.5"/>
    <n v="75.959999999999994"/>
    <n v="693.08"/>
    <x v="1316"/>
    <x v="1"/>
  </r>
  <r>
    <x v="16"/>
    <x v="2"/>
    <x v="2"/>
    <n v="3006.19"/>
    <n v="3128.94"/>
    <n v="192.61"/>
    <n v="989.04"/>
    <x v="1317"/>
    <x v="1"/>
  </r>
  <r>
    <x v="9"/>
    <x v="0"/>
    <x v="2"/>
    <n v="31107.05"/>
    <n v="31908.1"/>
    <n v="27.68"/>
    <n v="824.31"/>
    <x v="1318"/>
    <x v="0"/>
  </r>
  <r>
    <x v="14"/>
    <x v="2"/>
    <x v="0"/>
    <n v="7025.55"/>
    <n v="5854.36"/>
    <n v="154.08000000000001"/>
    <n v="633.21"/>
    <x v="1319"/>
    <x v="1"/>
  </r>
  <r>
    <x v="3"/>
    <x v="5"/>
    <x v="6"/>
    <n v="41055.24"/>
    <n v="46163.54"/>
    <n v="62.8"/>
    <n v="263.23"/>
    <x v="1320"/>
    <x v="0"/>
  </r>
  <r>
    <x v="18"/>
    <x v="5"/>
    <x v="1"/>
    <n v="40760.94"/>
    <n v="44617.65"/>
    <n v="112.68"/>
    <n v="753.08"/>
    <x v="1321"/>
    <x v="0"/>
  </r>
  <r>
    <x v="8"/>
    <x v="6"/>
    <x v="0"/>
    <n v="27461.24"/>
    <n v="32352.81"/>
    <n v="196.66"/>
    <n v="1067.42"/>
    <x v="1322"/>
    <x v="0"/>
  </r>
  <r>
    <x v="4"/>
    <x v="1"/>
    <x v="2"/>
    <n v="39749.49"/>
    <n v="36414.43"/>
    <n v="103.6"/>
    <n v="556.55999999999995"/>
    <x v="1323"/>
    <x v="1"/>
  </r>
  <r>
    <x v="15"/>
    <x v="5"/>
    <x v="0"/>
    <n v="29875.75"/>
    <n v="31760.799999999999"/>
    <n v="43.69"/>
    <n v="85.71"/>
    <x v="1324"/>
    <x v="0"/>
  </r>
  <r>
    <x v="19"/>
    <x v="4"/>
    <x v="5"/>
    <n v="48194.34"/>
    <n v="52444.24"/>
    <n v="63.53"/>
    <n v="869.55"/>
    <x v="1325"/>
    <x v="0"/>
  </r>
  <r>
    <x v="5"/>
    <x v="6"/>
    <x v="0"/>
    <n v="4877.08"/>
    <n v="4588.33"/>
    <n v="55.31"/>
    <n v="282.97000000000003"/>
    <x v="1326"/>
    <x v="0"/>
  </r>
  <r>
    <x v="17"/>
    <x v="4"/>
    <x v="6"/>
    <n v="15863.51"/>
    <n v="13642.08"/>
    <n v="176.76"/>
    <n v="265.58999999999997"/>
    <x v="1327"/>
    <x v="0"/>
  </r>
  <r>
    <x v="16"/>
    <x v="5"/>
    <x v="2"/>
    <n v="16562.57"/>
    <n v="19826.28"/>
    <n v="196.6"/>
    <n v="1273.6500000000001"/>
    <x v="1328"/>
    <x v="0"/>
  </r>
  <r>
    <x v="15"/>
    <x v="5"/>
    <x v="5"/>
    <n v="39645.51"/>
    <n v="41360.79"/>
    <n v="48.33"/>
    <n v="874.89"/>
    <x v="1329"/>
    <x v="0"/>
  </r>
  <r>
    <x v="13"/>
    <x v="3"/>
    <x v="6"/>
    <n v="38121.699999999997"/>
    <n v="40311.64"/>
    <n v="198.79"/>
    <n v="604.01"/>
    <x v="1330"/>
    <x v="1"/>
  </r>
  <r>
    <x v="13"/>
    <x v="1"/>
    <x v="2"/>
    <n v="22076.13"/>
    <n v="23085.51"/>
    <n v="146.49"/>
    <n v="500.08"/>
    <x v="1331"/>
    <x v="1"/>
  </r>
  <r>
    <x v="16"/>
    <x v="4"/>
    <x v="5"/>
    <n v="27125.919999999998"/>
    <n v="23214.43"/>
    <n v="196.38"/>
    <n v="721.51"/>
    <x v="1332"/>
    <x v="0"/>
  </r>
  <r>
    <x v="6"/>
    <x v="2"/>
    <x v="6"/>
    <n v="43341.18"/>
    <n v="50022.11"/>
    <n v="134.44"/>
    <n v="845.7"/>
    <x v="1333"/>
    <x v="1"/>
  </r>
  <r>
    <x v="5"/>
    <x v="1"/>
    <x v="7"/>
    <n v="17883.919999999998"/>
    <n v="20562.78"/>
    <n v="70.73"/>
    <n v="493.07"/>
    <x v="1334"/>
    <x v="1"/>
  </r>
  <r>
    <x v="14"/>
    <x v="2"/>
    <x v="2"/>
    <n v="17959.47"/>
    <n v="17095.59"/>
    <n v="196.54"/>
    <n v="286.94"/>
    <x v="1335"/>
    <x v="1"/>
  </r>
  <r>
    <x v="17"/>
    <x v="1"/>
    <x v="6"/>
    <n v="44421.56"/>
    <n v="52735.74"/>
    <n v="49.55"/>
    <n v="289.01"/>
    <x v="1336"/>
    <x v="1"/>
  </r>
  <r>
    <x v="12"/>
    <x v="3"/>
    <x v="7"/>
    <n v="30882.6"/>
    <n v="27595.88"/>
    <n v="97.22"/>
    <n v="250.83"/>
    <x v="1337"/>
    <x v="1"/>
  </r>
  <r>
    <x v="14"/>
    <x v="2"/>
    <x v="7"/>
    <n v="47661.94"/>
    <n v="40313.199999999997"/>
    <n v="147.01"/>
    <n v="173.82"/>
    <x v="1338"/>
    <x v="1"/>
  </r>
  <r>
    <x v="11"/>
    <x v="5"/>
    <x v="3"/>
    <n v="38589.78"/>
    <n v="41102.410000000003"/>
    <n v="53.93"/>
    <n v="1136.3399999999999"/>
    <x v="1339"/>
    <x v="0"/>
  </r>
  <r>
    <x v="17"/>
    <x v="0"/>
    <x v="7"/>
    <n v="16133.77"/>
    <n v="17173.330000000002"/>
    <n v="28.34"/>
    <n v="1334.08"/>
    <x v="1340"/>
    <x v="0"/>
  </r>
  <r>
    <x v="4"/>
    <x v="1"/>
    <x v="1"/>
    <n v="16898.09"/>
    <n v="18118.419999999998"/>
    <n v="169.95"/>
    <n v="151.66"/>
    <x v="1341"/>
    <x v="1"/>
  </r>
  <r>
    <x v="3"/>
    <x v="3"/>
    <x v="1"/>
    <n v="41760.67"/>
    <n v="39426.82"/>
    <n v="176.93"/>
    <n v="681.6"/>
    <x v="1342"/>
    <x v="1"/>
  </r>
  <r>
    <x v="6"/>
    <x v="4"/>
    <x v="3"/>
    <n v="15294.75"/>
    <n v="12948.79"/>
    <n v="139.72"/>
    <n v="321.27999999999997"/>
    <x v="1343"/>
    <x v="0"/>
  </r>
  <r>
    <x v="6"/>
    <x v="1"/>
    <x v="5"/>
    <n v="46158.97"/>
    <n v="41857.980000000003"/>
    <n v="86.73"/>
    <n v="661.77"/>
    <x v="1344"/>
    <x v="1"/>
  </r>
  <r>
    <x v="0"/>
    <x v="3"/>
    <x v="7"/>
    <n v="45135.33"/>
    <n v="41771.589999999997"/>
    <n v="173.04"/>
    <n v="1306.9100000000001"/>
    <x v="1345"/>
    <x v="1"/>
  </r>
  <r>
    <x v="3"/>
    <x v="3"/>
    <x v="2"/>
    <n v="46191.21"/>
    <n v="42204.85"/>
    <n v="88.13"/>
    <n v="1011.99"/>
    <x v="1346"/>
    <x v="1"/>
  </r>
  <r>
    <x v="1"/>
    <x v="1"/>
    <x v="3"/>
    <n v="39179.760000000002"/>
    <n v="41903.839999999997"/>
    <n v="20.53"/>
    <n v="853.93"/>
    <x v="1347"/>
    <x v="1"/>
  </r>
  <r>
    <x v="18"/>
    <x v="3"/>
    <x v="5"/>
    <n v="26250.32"/>
    <n v="25541.43"/>
    <n v="116.24"/>
    <n v="536.73"/>
    <x v="1348"/>
    <x v="1"/>
  </r>
  <r>
    <x v="12"/>
    <x v="4"/>
    <x v="4"/>
    <n v="14971"/>
    <n v="14851.57"/>
    <n v="41.03"/>
    <n v="471.21"/>
    <x v="1349"/>
    <x v="0"/>
  </r>
  <r>
    <x v="12"/>
    <x v="2"/>
    <x v="7"/>
    <n v="30733.72"/>
    <n v="33769.58"/>
    <n v="120.73"/>
    <n v="1189.92"/>
    <x v="1350"/>
    <x v="1"/>
  </r>
  <r>
    <x v="1"/>
    <x v="6"/>
    <x v="6"/>
    <n v="12872.9"/>
    <n v="14389.09"/>
    <n v="51.67"/>
    <n v="482.92"/>
    <x v="1351"/>
    <x v="0"/>
  </r>
  <r>
    <x v="16"/>
    <x v="3"/>
    <x v="4"/>
    <n v="4882.01"/>
    <n v="4313.83"/>
    <n v="180.47"/>
    <n v="1137.07"/>
    <x v="1352"/>
    <x v="1"/>
  </r>
  <r>
    <x v="14"/>
    <x v="1"/>
    <x v="6"/>
    <n v="10530.07"/>
    <n v="9172.9699999999993"/>
    <n v="136.9"/>
    <n v="511.7"/>
    <x v="1353"/>
    <x v="1"/>
  </r>
  <r>
    <x v="4"/>
    <x v="0"/>
    <x v="6"/>
    <n v="41436.19"/>
    <n v="47060.959999999999"/>
    <n v="60.12"/>
    <n v="656.08"/>
    <x v="1354"/>
    <x v="0"/>
  </r>
  <r>
    <x v="5"/>
    <x v="2"/>
    <x v="3"/>
    <n v="48055.47"/>
    <n v="55114.239999999998"/>
    <n v="187.57"/>
    <n v="499.69"/>
    <x v="1355"/>
    <x v="1"/>
  </r>
  <r>
    <x v="12"/>
    <x v="0"/>
    <x v="1"/>
    <n v="30533.919999999998"/>
    <n v="35859.64"/>
    <n v="84.32"/>
    <n v="523.85"/>
    <x v="1356"/>
    <x v="0"/>
  </r>
  <r>
    <x v="5"/>
    <x v="6"/>
    <x v="6"/>
    <n v="23132.37"/>
    <n v="22896.66"/>
    <n v="73.540000000000006"/>
    <n v="545.84"/>
    <x v="1357"/>
    <x v="0"/>
  </r>
  <r>
    <x v="5"/>
    <x v="2"/>
    <x v="4"/>
    <n v="8890.9"/>
    <n v="9996.09"/>
    <n v="151.08000000000001"/>
    <n v="523.30999999999995"/>
    <x v="1358"/>
    <x v="1"/>
  </r>
  <r>
    <x v="17"/>
    <x v="5"/>
    <x v="0"/>
    <n v="24188.93"/>
    <n v="24435.03"/>
    <n v="143.66999999999999"/>
    <n v="303.25"/>
    <x v="1359"/>
    <x v="0"/>
  </r>
  <r>
    <x v="4"/>
    <x v="4"/>
    <x v="2"/>
    <n v="16990.14"/>
    <n v="17413.05"/>
    <n v="85.81"/>
    <n v="644.91999999999996"/>
    <x v="1360"/>
    <x v="0"/>
  </r>
  <r>
    <x v="6"/>
    <x v="3"/>
    <x v="7"/>
    <n v="6558.35"/>
    <n v="5615.49"/>
    <n v="57.99"/>
    <n v="1049.71"/>
    <x v="1361"/>
    <x v="1"/>
  </r>
  <r>
    <x v="12"/>
    <x v="2"/>
    <x v="2"/>
    <n v="37860.050000000003"/>
    <n v="41876.1"/>
    <n v="27.72"/>
    <n v="631.04999999999995"/>
    <x v="1362"/>
    <x v="1"/>
  </r>
  <r>
    <x v="14"/>
    <x v="1"/>
    <x v="2"/>
    <n v="2835.61"/>
    <n v="2322.2399999999998"/>
    <n v="64.81"/>
    <n v="1090.54"/>
    <x v="1363"/>
    <x v="1"/>
  </r>
  <r>
    <x v="2"/>
    <x v="5"/>
    <x v="4"/>
    <n v="40465.31"/>
    <n v="36708"/>
    <n v="175.49"/>
    <n v="1316.85"/>
    <x v="1364"/>
    <x v="0"/>
  </r>
  <r>
    <x v="2"/>
    <x v="5"/>
    <x v="6"/>
    <n v="45273.31"/>
    <n v="41425"/>
    <n v="140.41999999999999"/>
    <n v="1230.1099999999999"/>
    <x v="1365"/>
    <x v="0"/>
  </r>
  <r>
    <x v="10"/>
    <x v="0"/>
    <x v="0"/>
    <n v="12175.41"/>
    <n v="12256.12"/>
    <n v="117.2"/>
    <n v="460.97"/>
    <x v="1366"/>
    <x v="0"/>
  </r>
  <r>
    <x v="3"/>
    <x v="6"/>
    <x v="1"/>
    <n v="44669.120000000003"/>
    <n v="48458.67"/>
    <n v="79.45"/>
    <n v="26.65"/>
    <x v="1367"/>
    <x v="0"/>
  </r>
  <r>
    <x v="16"/>
    <x v="2"/>
    <x v="5"/>
    <n v="15877.32"/>
    <n v="17233.580000000002"/>
    <n v="84.86"/>
    <n v="46.27"/>
    <x v="1368"/>
    <x v="1"/>
  </r>
  <r>
    <x v="9"/>
    <x v="3"/>
    <x v="6"/>
    <n v="6575.91"/>
    <n v="6249.36"/>
    <n v="118.44"/>
    <n v="635.65"/>
    <x v="1369"/>
    <x v="1"/>
  </r>
  <r>
    <x v="18"/>
    <x v="2"/>
    <x v="3"/>
    <n v="28516.52"/>
    <n v="26477.35"/>
    <n v="110.39"/>
    <n v="1151.44"/>
    <x v="1370"/>
    <x v="1"/>
  </r>
  <r>
    <x v="17"/>
    <x v="3"/>
    <x v="3"/>
    <n v="2971.47"/>
    <n v="3030.6"/>
    <n v="39.049999999999997"/>
    <n v="352.07"/>
    <x v="1371"/>
    <x v="1"/>
  </r>
  <r>
    <x v="10"/>
    <x v="6"/>
    <x v="1"/>
    <n v="40147.89"/>
    <n v="33275.99"/>
    <n v="151.63"/>
    <n v="856.99"/>
    <x v="1372"/>
    <x v="0"/>
  </r>
  <r>
    <x v="7"/>
    <x v="2"/>
    <x v="3"/>
    <n v="24558.37"/>
    <n v="28500.240000000002"/>
    <n v="140.44999999999999"/>
    <n v="576.19000000000005"/>
    <x v="1373"/>
    <x v="1"/>
  </r>
  <r>
    <x v="13"/>
    <x v="6"/>
    <x v="0"/>
    <n v="1089.46"/>
    <n v="1083.93"/>
    <n v="78.59"/>
    <n v="412.57"/>
    <x v="1374"/>
    <x v="0"/>
  </r>
  <r>
    <x v="7"/>
    <x v="3"/>
    <x v="1"/>
    <n v="13227.42"/>
    <n v="14726.89"/>
    <n v="179.67"/>
    <n v="16.93"/>
    <x v="1375"/>
    <x v="1"/>
  </r>
  <r>
    <x v="5"/>
    <x v="2"/>
    <x v="4"/>
    <n v="19338.41"/>
    <n v="20365.97"/>
    <n v="190.1"/>
    <n v="424.67"/>
    <x v="1376"/>
    <x v="1"/>
  </r>
  <r>
    <x v="5"/>
    <x v="5"/>
    <x v="4"/>
    <n v="4036.49"/>
    <n v="3560.08"/>
    <n v="88.34"/>
    <n v="279.31"/>
    <x v="1377"/>
    <x v="0"/>
  </r>
  <r>
    <x v="18"/>
    <x v="2"/>
    <x v="5"/>
    <n v="1207.3699999999999"/>
    <n v="1390.41"/>
    <n v="128.87"/>
    <n v="1061.17"/>
    <x v="1378"/>
    <x v="1"/>
  </r>
  <r>
    <x v="12"/>
    <x v="6"/>
    <x v="5"/>
    <n v="23225.05"/>
    <n v="26503.439999999999"/>
    <n v="52.02"/>
    <n v="493.99"/>
    <x v="1379"/>
    <x v="0"/>
  </r>
  <r>
    <x v="12"/>
    <x v="3"/>
    <x v="0"/>
    <n v="2474.83"/>
    <n v="2663.13"/>
    <n v="91.22"/>
    <n v="1382.17"/>
    <x v="1380"/>
    <x v="1"/>
  </r>
  <r>
    <x v="9"/>
    <x v="0"/>
    <x v="2"/>
    <n v="40559.42"/>
    <n v="44726.11"/>
    <n v="179.04"/>
    <n v="565.32000000000005"/>
    <x v="1381"/>
    <x v="0"/>
  </r>
  <r>
    <x v="18"/>
    <x v="2"/>
    <x v="4"/>
    <n v="4618.68"/>
    <n v="5138.08"/>
    <n v="69.78"/>
    <n v="280.37"/>
    <x v="1382"/>
    <x v="1"/>
  </r>
  <r>
    <x v="4"/>
    <x v="2"/>
    <x v="3"/>
    <n v="1634.45"/>
    <n v="1960.97"/>
    <n v="71.680000000000007"/>
    <n v="23.17"/>
    <x v="1383"/>
    <x v="1"/>
  </r>
  <r>
    <x v="3"/>
    <x v="2"/>
    <x v="3"/>
    <n v="45126.17"/>
    <n v="49357.919999999998"/>
    <n v="156.41"/>
    <n v="1162.42"/>
    <x v="1384"/>
    <x v="1"/>
  </r>
  <r>
    <x v="13"/>
    <x v="5"/>
    <x v="4"/>
    <n v="45374.16"/>
    <n v="46143.9"/>
    <n v="182.49"/>
    <n v="1199.9000000000001"/>
    <x v="1385"/>
    <x v="0"/>
  </r>
  <r>
    <x v="15"/>
    <x v="6"/>
    <x v="3"/>
    <n v="48449.26"/>
    <n v="47672.6"/>
    <n v="136.74"/>
    <n v="331.37"/>
    <x v="1386"/>
    <x v="0"/>
  </r>
  <r>
    <x v="13"/>
    <x v="3"/>
    <x v="1"/>
    <n v="1732.31"/>
    <n v="1610.76"/>
    <n v="195.49"/>
    <n v="684.97"/>
    <x v="1387"/>
    <x v="1"/>
  </r>
  <r>
    <x v="1"/>
    <x v="3"/>
    <x v="2"/>
    <n v="18682.939999999999"/>
    <n v="16863.27"/>
    <n v="69.900000000000006"/>
    <n v="1362.25"/>
    <x v="1388"/>
    <x v="1"/>
  </r>
  <r>
    <x v="2"/>
    <x v="5"/>
    <x v="2"/>
    <n v="13763.66"/>
    <n v="13534.15"/>
    <n v="159.82"/>
    <n v="1279.45"/>
    <x v="1389"/>
    <x v="0"/>
  </r>
  <r>
    <x v="19"/>
    <x v="5"/>
    <x v="0"/>
    <n v="21211.62"/>
    <n v="22934.32"/>
    <n v="23.56"/>
    <n v="462.99"/>
    <x v="1390"/>
    <x v="0"/>
  </r>
  <r>
    <x v="13"/>
    <x v="5"/>
    <x v="4"/>
    <n v="34559.81"/>
    <n v="30645.51"/>
    <n v="160.72"/>
    <n v="744.61"/>
    <x v="1391"/>
    <x v="0"/>
  </r>
  <r>
    <x v="3"/>
    <x v="6"/>
    <x v="2"/>
    <n v="6103.15"/>
    <n v="5286.27"/>
    <n v="105.48"/>
    <n v="998.77"/>
    <x v="1392"/>
    <x v="0"/>
  </r>
  <r>
    <x v="3"/>
    <x v="5"/>
    <x v="5"/>
    <n v="3737.96"/>
    <n v="4130.6400000000003"/>
    <n v="149.56"/>
    <n v="198.66"/>
    <x v="1393"/>
    <x v="0"/>
  </r>
  <r>
    <x v="6"/>
    <x v="3"/>
    <x v="7"/>
    <n v="46857.01"/>
    <n v="53113.51"/>
    <n v="114.12"/>
    <n v="518.64"/>
    <x v="1394"/>
    <x v="1"/>
  </r>
  <r>
    <x v="5"/>
    <x v="2"/>
    <x v="1"/>
    <n v="4611.9399999999996"/>
    <n v="4929.34"/>
    <n v="41.21"/>
    <n v="53.58"/>
    <x v="1395"/>
    <x v="1"/>
  </r>
  <r>
    <x v="19"/>
    <x v="6"/>
    <x v="3"/>
    <n v="43480.95"/>
    <n v="38449.019999999997"/>
    <n v="165.29"/>
    <n v="734.49"/>
    <x v="1396"/>
    <x v="0"/>
  </r>
  <r>
    <x v="19"/>
    <x v="6"/>
    <x v="7"/>
    <n v="42834.82"/>
    <n v="34838.160000000003"/>
    <n v="92.86"/>
    <n v="234.89"/>
    <x v="1397"/>
    <x v="0"/>
  </r>
  <r>
    <x v="1"/>
    <x v="2"/>
    <x v="1"/>
    <n v="49816.86"/>
    <n v="41239.85"/>
    <n v="134.88"/>
    <n v="1382.02"/>
    <x v="1398"/>
    <x v="1"/>
  </r>
  <r>
    <x v="19"/>
    <x v="3"/>
    <x v="1"/>
    <n v="11404.52"/>
    <n v="11204.75"/>
    <n v="75.84"/>
    <n v="326.42"/>
    <x v="1399"/>
    <x v="1"/>
  </r>
  <r>
    <x v="16"/>
    <x v="5"/>
    <x v="5"/>
    <n v="46798.57"/>
    <n v="37623.18"/>
    <n v="131.37"/>
    <n v="1307.1099999999999"/>
    <x v="1400"/>
    <x v="0"/>
  </r>
  <r>
    <x v="14"/>
    <x v="5"/>
    <x v="1"/>
    <n v="20641.740000000002"/>
    <n v="21083.59"/>
    <n v="75.790000000000006"/>
    <n v="1293.17"/>
    <x v="1401"/>
    <x v="0"/>
  </r>
  <r>
    <x v="7"/>
    <x v="4"/>
    <x v="2"/>
    <n v="47627.360000000001"/>
    <n v="42337.22"/>
    <n v="92.55"/>
    <n v="131.9"/>
    <x v="1402"/>
    <x v="0"/>
  </r>
  <r>
    <x v="7"/>
    <x v="5"/>
    <x v="5"/>
    <n v="47689.02"/>
    <n v="56242.94"/>
    <n v="167.89"/>
    <n v="427.78"/>
    <x v="1403"/>
    <x v="0"/>
  </r>
  <r>
    <x v="17"/>
    <x v="2"/>
    <x v="1"/>
    <n v="1498.6"/>
    <n v="1441.45"/>
    <n v="179.65"/>
    <n v="79.16"/>
    <x v="1404"/>
    <x v="1"/>
  </r>
  <r>
    <x v="15"/>
    <x v="4"/>
    <x v="1"/>
    <n v="1658.5"/>
    <n v="1792.44"/>
    <n v="38.86"/>
    <n v="561.39"/>
    <x v="1405"/>
    <x v="0"/>
  </r>
  <r>
    <x v="11"/>
    <x v="6"/>
    <x v="4"/>
    <n v="28148"/>
    <n v="30663.05"/>
    <n v="167.89"/>
    <n v="961.56"/>
    <x v="1406"/>
    <x v="0"/>
  </r>
  <r>
    <x v="3"/>
    <x v="3"/>
    <x v="0"/>
    <n v="24659.88"/>
    <n v="23758.67"/>
    <n v="62.68"/>
    <n v="1397.01"/>
    <x v="1407"/>
    <x v="1"/>
  </r>
  <r>
    <x v="13"/>
    <x v="5"/>
    <x v="7"/>
    <n v="4299.29"/>
    <n v="3674.24"/>
    <n v="29.92"/>
    <n v="1201.1400000000001"/>
    <x v="1408"/>
    <x v="0"/>
  </r>
  <r>
    <x v="16"/>
    <x v="0"/>
    <x v="0"/>
    <n v="17578.48"/>
    <n v="17978.29"/>
    <n v="92.23"/>
    <n v="492.46"/>
    <x v="1409"/>
    <x v="0"/>
  </r>
  <r>
    <x v="1"/>
    <x v="1"/>
    <x v="0"/>
    <n v="19354.400000000001"/>
    <n v="20751.86"/>
    <n v="64.75"/>
    <n v="1049.56"/>
    <x v="1410"/>
    <x v="1"/>
  </r>
  <r>
    <x v="7"/>
    <x v="5"/>
    <x v="5"/>
    <n v="30790.19"/>
    <n v="29014.13"/>
    <n v="152.13999999999999"/>
    <n v="1212.42"/>
    <x v="1411"/>
    <x v="0"/>
  </r>
  <r>
    <x v="3"/>
    <x v="2"/>
    <x v="7"/>
    <n v="13901.18"/>
    <n v="11299.59"/>
    <n v="64.06"/>
    <n v="21.9"/>
    <x v="1412"/>
    <x v="1"/>
  </r>
  <r>
    <x v="8"/>
    <x v="6"/>
    <x v="7"/>
    <n v="11071.57"/>
    <n v="12338.73"/>
    <n v="142.21"/>
    <n v="52.39"/>
    <x v="1413"/>
    <x v="0"/>
  </r>
  <r>
    <x v="12"/>
    <x v="3"/>
    <x v="3"/>
    <n v="7032.21"/>
    <n v="8297.39"/>
    <n v="196.12"/>
    <n v="603.96"/>
    <x v="1414"/>
    <x v="1"/>
  </r>
  <r>
    <x v="12"/>
    <x v="3"/>
    <x v="0"/>
    <n v="8065.54"/>
    <n v="9121.86"/>
    <n v="33.119999999999997"/>
    <n v="292.33999999999997"/>
    <x v="1415"/>
    <x v="1"/>
  </r>
  <r>
    <x v="1"/>
    <x v="1"/>
    <x v="6"/>
    <n v="43637.05"/>
    <n v="38890.959999999999"/>
    <n v="79.13"/>
    <n v="524.46"/>
    <x v="1416"/>
    <x v="1"/>
  </r>
  <r>
    <x v="6"/>
    <x v="6"/>
    <x v="6"/>
    <n v="41058.239999999998"/>
    <n v="38421.440000000002"/>
    <n v="63.99"/>
    <n v="293.55"/>
    <x v="1417"/>
    <x v="0"/>
  </r>
  <r>
    <x v="4"/>
    <x v="4"/>
    <x v="5"/>
    <n v="22078.21"/>
    <n v="20545.650000000001"/>
    <n v="120.17"/>
    <n v="835.93"/>
    <x v="1418"/>
    <x v="0"/>
  </r>
  <r>
    <x v="18"/>
    <x v="2"/>
    <x v="0"/>
    <n v="28458.05"/>
    <n v="32053.14"/>
    <n v="111.9"/>
    <n v="1023.31"/>
    <x v="1419"/>
    <x v="1"/>
  </r>
  <r>
    <x v="11"/>
    <x v="0"/>
    <x v="5"/>
    <n v="41000.870000000003"/>
    <n v="47408.27"/>
    <n v="61.27"/>
    <n v="792.47"/>
    <x v="1420"/>
    <x v="0"/>
  </r>
  <r>
    <x v="8"/>
    <x v="3"/>
    <x v="1"/>
    <n v="7236.25"/>
    <n v="5985.85"/>
    <n v="112.63"/>
    <n v="41.66"/>
    <x v="1421"/>
    <x v="1"/>
  </r>
  <r>
    <x v="7"/>
    <x v="0"/>
    <x v="7"/>
    <n v="19679.23"/>
    <n v="23414.639999999999"/>
    <n v="152.57"/>
    <n v="771.08"/>
    <x v="1422"/>
    <x v="0"/>
  </r>
  <r>
    <x v="11"/>
    <x v="3"/>
    <x v="0"/>
    <n v="35483.410000000003"/>
    <n v="33462.870000000003"/>
    <n v="188.4"/>
    <n v="802.52"/>
    <x v="1423"/>
    <x v="1"/>
  </r>
  <r>
    <x v="7"/>
    <x v="3"/>
    <x v="7"/>
    <n v="34795.800000000003"/>
    <n v="36643.269999999997"/>
    <n v="90.7"/>
    <n v="922.21"/>
    <x v="1424"/>
    <x v="1"/>
  </r>
  <r>
    <x v="14"/>
    <x v="5"/>
    <x v="0"/>
    <n v="41413.4"/>
    <n v="46444.54"/>
    <n v="192.43"/>
    <n v="25.16"/>
    <x v="1425"/>
    <x v="0"/>
  </r>
  <r>
    <x v="17"/>
    <x v="4"/>
    <x v="7"/>
    <n v="29213.9"/>
    <n v="30961.95"/>
    <n v="118.87"/>
    <n v="26.11"/>
    <x v="1426"/>
    <x v="0"/>
  </r>
  <r>
    <x v="0"/>
    <x v="2"/>
    <x v="0"/>
    <n v="13010.89"/>
    <n v="13474.49"/>
    <n v="187.25"/>
    <n v="466.68"/>
    <x v="1427"/>
    <x v="1"/>
  </r>
  <r>
    <x v="0"/>
    <x v="5"/>
    <x v="5"/>
    <n v="4140.1099999999997"/>
    <n v="3741.73"/>
    <n v="170.14"/>
    <n v="1050.1199999999999"/>
    <x v="1428"/>
    <x v="0"/>
  </r>
  <r>
    <x v="17"/>
    <x v="3"/>
    <x v="2"/>
    <n v="17681.37"/>
    <n v="18549.68"/>
    <n v="141.22"/>
    <n v="402.52"/>
    <x v="1429"/>
    <x v="1"/>
  </r>
  <r>
    <x v="3"/>
    <x v="1"/>
    <x v="0"/>
    <n v="46668.91"/>
    <n v="47669.01"/>
    <n v="109.29"/>
    <n v="647"/>
    <x v="1430"/>
    <x v="1"/>
  </r>
  <r>
    <x v="9"/>
    <x v="1"/>
    <x v="6"/>
    <n v="35232.720000000001"/>
    <n v="40282.97"/>
    <n v="103.69"/>
    <n v="682.19"/>
    <x v="1431"/>
    <x v="1"/>
  </r>
  <r>
    <x v="5"/>
    <x v="2"/>
    <x v="4"/>
    <n v="32497.32"/>
    <n v="33166.68"/>
    <n v="155.52000000000001"/>
    <n v="99.24"/>
    <x v="1432"/>
    <x v="1"/>
  </r>
  <r>
    <x v="5"/>
    <x v="6"/>
    <x v="4"/>
    <n v="40408.04"/>
    <n v="46888.38"/>
    <n v="189.14"/>
    <n v="654.22"/>
    <x v="1433"/>
    <x v="0"/>
  </r>
  <r>
    <x v="18"/>
    <x v="2"/>
    <x v="4"/>
    <n v="22245.81"/>
    <n v="24544.51"/>
    <n v="153.27000000000001"/>
    <n v="1030.6400000000001"/>
    <x v="1434"/>
    <x v="1"/>
  </r>
  <r>
    <x v="13"/>
    <x v="1"/>
    <x v="2"/>
    <n v="34661.410000000003"/>
    <n v="41175.81"/>
    <n v="199.19"/>
    <n v="729.14"/>
    <x v="1435"/>
    <x v="1"/>
  </r>
  <r>
    <x v="19"/>
    <x v="2"/>
    <x v="3"/>
    <n v="4747.33"/>
    <n v="5287.71"/>
    <n v="117.05"/>
    <n v="264.62"/>
    <x v="1436"/>
    <x v="1"/>
  </r>
  <r>
    <x v="4"/>
    <x v="5"/>
    <x v="3"/>
    <n v="34123.97"/>
    <n v="35563.1"/>
    <n v="124.01"/>
    <n v="545.6"/>
    <x v="1437"/>
    <x v="0"/>
  </r>
  <r>
    <x v="9"/>
    <x v="5"/>
    <x v="2"/>
    <n v="26651.27"/>
    <n v="22800.42"/>
    <n v="195.03"/>
    <n v="1370.22"/>
    <x v="1438"/>
    <x v="0"/>
  </r>
  <r>
    <x v="15"/>
    <x v="4"/>
    <x v="5"/>
    <n v="35830.120000000003"/>
    <n v="33509.64"/>
    <n v="125.51"/>
    <n v="442.34"/>
    <x v="1439"/>
    <x v="0"/>
  </r>
  <r>
    <x v="12"/>
    <x v="6"/>
    <x v="6"/>
    <n v="43604.76"/>
    <n v="41061.79"/>
    <n v="118.91"/>
    <n v="221.35"/>
    <x v="1440"/>
    <x v="0"/>
  </r>
  <r>
    <x v="13"/>
    <x v="0"/>
    <x v="3"/>
    <n v="28426.63"/>
    <n v="25882.46"/>
    <n v="167.06"/>
    <n v="171.49"/>
    <x v="1441"/>
    <x v="0"/>
  </r>
  <r>
    <x v="12"/>
    <x v="1"/>
    <x v="2"/>
    <n v="23421.47"/>
    <n v="24931.67"/>
    <n v="158.37"/>
    <n v="560.84"/>
    <x v="1442"/>
    <x v="1"/>
  </r>
  <r>
    <x v="8"/>
    <x v="2"/>
    <x v="4"/>
    <n v="27099.72"/>
    <n v="28239.68"/>
    <n v="155.83000000000001"/>
    <n v="20.78"/>
    <x v="1443"/>
    <x v="1"/>
  </r>
  <r>
    <x v="11"/>
    <x v="3"/>
    <x v="7"/>
    <n v="39581.839999999997"/>
    <n v="41930.82"/>
    <n v="104.09"/>
    <n v="342.77"/>
    <x v="1444"/>
    <x v="1"/>
  </r>
  <r>
    <x v="10"/>
    <x v="4"/>
    <x v="0"/>
    <n v="26144.5"/>
    <n v="22131.69"/>
    <n v="171.23"/>
    <n v="644.98"/>
    <x v="1445"/>
    <x v="0"/>
  </r>
  <r>
    <x v="10"/>
    <x v="0"/>
    <x v="5"/>
    <n v="17126.740000000002"/>
    <n v="17098.43"/>
    <n v="40.51"/>
    <n v="1331.19"/>
    <x v="1446"/>
    <x v="0"/>
  </r>
  <r>
    <x v="9"/>
    <x v="2"/>
    <x v="6"/>
    <n v="41112.980000000003"/>
    <n v="38944.29"/>
    <n v="125.91"/>
    <n v="1118.7"/>
    <x v="1447"/>
    <x v="1"/>
  </r>
  <r>
    <x v="0"/>
    <x v="2"/>
    <x v="0"/>
    <n v="34771.879999999997"/>
    <n v="39746.31"/>
    <n v="108.15"/>
    <n v="531.36"/>
    <x v="1448"/>
    <x v="1"/>
  </r>
  <r>
    <x v="2"/>
    <x v="6"/>
    <x v="3"/>
    <n v="30532.53"/>
    <n v="35225.480000000003"/>
    <n v="101.96"/>
    <n v="1397.4"/>
    <x v="1449"/>
    <x v="0"/>
  </r>
  <r>
    <x v="10"/>
    <x v="4"/>
    <x v="7"/>
    <n v="33302.910000000003"/>
    <n v="34775.160000000003"/>
    <n v="96.53"/>
    <n v="319.81"/>
    <x v="1450"/>
    <x v="0"/>
  </r>
  <r>
    <x v="11"/>
    <x v="2"/>
    <x v="5"/>
    <n v="44376.959999999999"/>
    <n v="38365.99"/>
    <n v="126.78"/>
    <n v="1395.67"/>
    <x v="1451"/>
    <x v="1"/>
  </r>
  <r>
    <x v="6"/>
    <x v="0"/>
    <x v="7"/>
    <n v="19157.25"/>
    <n v="22447.11"/>
    <n v="26.79"/>
    <n v="732.64"/>
    <x v="1452"/>
    <x v="0"/>
  </r>
  <r>
    <x v="19"/>
    <x v="6"/>
    <x v="4"/>
    <n v="19420.740000000002"/>
    <n v="18180.97"/>
    <n v="164.89"/>
    <n v="553.1"/>
    <x v="1453"/>
    <x v="0"/>
  </r>
  <r>
    <x v="8"/>
    <x v="3"/>
    <x v="1"/>
    <n v="26996.77"/>
    <n v="22247.24"/>
    <n v="141.19999999999999"/>
    <n v="195.3"/>
    <x v="1454"/>
    <x v="1"/>
  </r>
  <r>
    <x v="10"/>
    <x v="5"/>
    <x v="6"/>
    <n v="23230.45"/>
    <n v="24063.57"/>
    <n v="103.26"/>
    <n v="13.57"/>
    <x v="1455"/>
    <x v="0"/>
  </r>
  <r>
    <x v="5"/>
    <x v="1"/>
    <x v="7"/>
    <n v="11941.14"/>
    <n v="10013.69"/>
    <n v="157.15"/>
    <n v="1387.28"/>
    <x v="1456"/>
    <x v="1"/>
  </r>
  <r>
    <x v="11"/>
    <x v="5"/>
    <x v="4"/>
    <n v="36620.6"/>
    <n v="33044.67"/>
    <n v="51.01"/>
    <n v="50.26"/>
    <x v="1457"/>
    <x v="0"/>
  </r>
  <r>
    <x v="18"/>
    <x v="6"/>
    <x v="1"/>
    <n v="39904.730000000003"/>
    <n v="42100.71"/>
    <n v="185.89"/>
    <n v="137.46"/>
    <x v="1458"/>
    <x v="0"/>
  </r>
  <r>
    <x v="12"/>
    <x v="5"/>
    <x v="6"/>
    <n v="18677.97"/>
    <n v="18778.259999999998"/>
    <n v="67.16"/>
    <n v="1317.71"/>
    <x v="1459"/>
    <x v="0"/>
  </r>
  <r>
    <x v="16"/>
    <x v="6"/>
    <x v="0"/>
    <n v="27775.14"/>
    <n v="27873.1"/>
    <n v="167.13"/>
    <n v="1285.73"/>
    <x v="1460"/>
    <x v="0"/>
  </r>
  <r>
    <x v="15"/>
    <x v="2"/>
    <x v="6"/>
    <n v="39575.31"/>
    <n v="33679.46"/>
    <n v="156.9"/>
    <n v="820.08"/>
    <x v="1461"/>
    <x v="1"/>
  </r>
  <r>
    <x v="17"/>
    <x v="3"/>
    <x v="6"/>
    <n v="44477.01"/>
    <n v="51554.51"/>
    <n v="135.69"/>
    <n v="634.66999999999996"/>
    <x v="1462"/>
    <x v="1"/>
  </r>
  <r>
    <x v="19"/>
    <x v="5"/>
    <x v="3"/>
    <n v="45531.69"/>
    <n v="53905.440000000002"/>
    <n v="168.79"/>
    <n v="408.45"/>
    <x v="1463"/>
    <x v="0"/>
  </r>
  <r>
    <x v="18"/>
    <x v="3"/>
    <x v="1"/>
    <n v="19136.57"/>
    <n v="15632.33"/>
    <n v="36.340000000000003"/>
    <n v="726.02"/>
    <x v="1464"/>
    <x v="1"/>
  </r>
  <r>
    <x v="6"/>
    <x v="0"/>
    <x v="3"/>
    <n v="39366.230000000003"/>
    <n v="31790.73"/>
    <n v="162.82"/>
    <n v="910.67"/>
    <x v="1465"/>
    <x v="0"/>
  </r>
  <r>
    <x v="15"/>
    <x v="0"/>
    <x v="0"/>
    <n v="42224.31"/>
    <n v="48288.33"/>
    <n v="29.15"/>
    <n v="989.16"/>
    <x v="1466"/>
    <x v="0"/>
  </r>
  <r>
    <x v="3"/>
    <x v="4"/>
    <x v="3"/>
    <n v="11747.58"/>
    <n v="11927.44"/>
    <n v="31.53"/>
    <n v="429.29"/>
    <x v="1467"/>
    <x v="0"/>
  </r>
  <r>
    <x v="10"/>
    <x v="1"/>
    <x v="1"/>
    <n v="32541.66"/>
    <n v="31769.86"/>
    <n v="181.61"/>
    <n v="958.99"/>
    <x v="1468"/>
    <x v="1"/>
  </r>
  <r>
    <x v="11"/>
    <x v="3"/>
    <x v="2"/>
    <n v="10346.33"/>
    <n v="8873.4599999999991"/>
    <n v="178.04"/>
    <n v="174.47"/>
    <x v="1469"/>
    <x v="1"/>
  </r>
  <r>
    <x v="14"/>
    <x v="3"/>
    <x v="0"/>
    <n v="11663.37"/>
    <n v="9373.5400000000009"/>
    <n v="27.2"/>
    <n v="1132.72"/>
    <x v="1470"/>
    <x v="1"/>
  </r>
  <r>
    <x v="5"/>
    <x v="0"/>
    <x v="1"/>
    <n v="36775.279999999999"/>
    <n v="42989.16"/>
    <n v="35.159999999999997"/>
    <n v="766.59"/>
    <x v="1471"/>
    <x v="0"/>
  </r>
  <r>
    <x v="18"/>
    <x v="2"/>
    <x v="5"/>
    <n v="47754.5"/>
    <n v="43538.98"/>
    <n v="84.26"/>
    <n v="724.99"/>
    <x v="1472"/>
    <x v="1"/>
  </r>
  <r>
    <x v="13"/>
    <x v="0"/>
    <x v="1"/>
    <n v="49597.08"/>
    <n v="51503.85"/>
    <n v="53.87"/>
    <n v="1203.6300000000001"/>
    <x v="1473"/>
    <x v="0"/>
  </r>
  <r>
    <x v="17"/>
    <x v="0"/>
    <x v="1"/>
    <n v="9854.36"/>
    <n v="9751.73"/>
    <n v="121.65"/>
    <n v="1333.26"/>
    <x v="1474"/>
    <x v="0"/>
  </r>
  <r>
    <x v="7"/>
    <x v="5"/>
    <x v="6"/>
    <n v="32026.66"/>
    <n v="37170.93"/>
    <n v="66.349999999999994"/>
    <n v="1253.9100000000001"/>
    <x v="1475"/>
    <x v="0"/>
  </r>
  <r>
    <x v="11"/>
    <x v="0"/>
    <x v="2"/>
    <n v="42268.39"/>
    <n v="47258.559999999998"/>
    <n v="22.83"/>
    <n v="1347.24"/>
    <x v="1476"/>
    <x v="0"/>
  </r>
  <r>
    <x v="8"/>
    <x v="4"/>
    <x v="1"/>
    <n v="4432.12"/>
    <n v="4843.8500000000004"/>
    <n v="48.24"/>
    <n v="979.69"/>
    <x v="1477"/>
    <x v="0"/>
  </r>
  <r>
    <x v="14"/>
    <x v="3"/>
    <x v="2"/>
    <n v="46335.1"/>
    <n v="44293.66"/>
    <n v="68.290000000000006"/>
    <n v="878.73"/>
    <x v="1478"/>
    <x v="1"/>
  </r>
  <r>
    <x v="0"/>
    <x v="2"/>
    <x v="0"/>
    <n v="32008.19"/>
    <n v="37944.81"/>
    <n v="96.91"/>
    <n v="293.20999999999998"/>
    <x v="1479"/>
    <x v="1"/>
  </r>
  <r>
    <x v="6"/>
    <x v="6"/>
    <x v="5"/>
    <n v="12158.17"/>
    <n v="12654.12"/>
    <n v="88.35"/>
    <n v="854.64"/>
    <x v="1480"/>
    <x v="0"/>
  </r>
  <r>
    <x v="17"/>
    <x v="2"/>
    <x v="3"/>
    <n v="26692.28"/>
    <n v="27029.96"/>
    <n v="35.130000000000003"/>
    <n v="830.67"/>
    <x v="1481"/>
    <x v="1"/>
  </r>
  <r>
    <x v="10"/>
    <x v="6"/>
    <x v="2"/>
    <n v="25611.51"/>
    <n v="27250.82"/>
    <n v="194.94"/>
    <n v="975.85"/>
    <x v="1482"/>
    <x v="0"/>
  </r>
  <r>
    <x v="11"/>
    <x v="3"/>
    <x v="3"/>
    <n v="38673.18"/>
    <n v="34473.089999999997"/>
    <n v="190.61"/>
    <n v="803.85"/>
    <x v="1483"/>
    <x v="1"/>
  </r>
  <r>
    <x v="8"/>
    <x v="1"/>
    <x v="5"/>
    <n v="38902.239999999998"/>
    <n v="41321.620000000003"/>
    <n v="183.52"/>
    <n v="155.41"/>
    <x v="1484"/>
    <x v="1"/>
  </r>
  <r>
    <x v="13"/>
    <x v="3"/>
    <x v="2"/>
    <n v="21328.53"/>
    <n v="21673.87"/>
    <n v="56.09"/>
    <n v="365.74"/>
    <x v="1485"/>
    <x v="1"/>
  </r>
  <r>
    <x v="9"/>
    <x v="3"/>
    <x v="7"/>
    <n v="37219.35"/>
    <n v="38057.65"/>
    <n v="186.06"/>
    <n v="904.55"/>
    <x v="1486"/>
    <x v="1"/>
  </r>
  <r>
    <x v="13"/>
    <x v="4"/>
    <x v="2"/>
    <n v="36730.78"/>
    <n v="31317.17"/>
    <n v="102.27"/>
    <n v="1099.95"/>
    <x v="1487"/>
    <x v="0"/>
  </r>
  <r>
    <x v="17"/>
    <x v="2"/>
    <x v="3"/>
    <n v="12317.88"/>
    <n v="10632.5"/>
    <n v="186.06"/>
    <n v="993.41"/>
    <x v="1488"/>
    <x v="1"/>
  </r>
  <r>
    <x v="10"/>
    <x v="6"/>
    <x v="7"/>
    <n v="34788.43"/>
    <n v="36710.86"/>
    <n v="175.07"/>
    <n v="1259.71"/>
    <x v="1489"/>
    <x v="0"/>
  </r>
  <r>
    <x v="10"/>
    <x v="0"/>
    <x v="3"/>
    <n v="38637.82"/>
    <n v="37387.449999999997"/>
    <n v="28.74"/>
    <n v="797.19"/>
    <x v="1490"/>
    <x v="0"/>
  </r>
  <r>
    <x v="3"/>
    <x v="4"/>
    <x v="1"/>
    <n v="23315.360000000001"/>
    <n v="25409.49"/>
    <n v="151.47"/>
    <n v="1158.29"/>
    <x v="1491"/>
    <x v="0"/>
  </r>
  <r>
    <x v="19"/>
    <x v="5"/>
    <x v="0"/>
    <n v="42720.3"/>
    <n v="43857.89"/>
    <n v="180.31"/>
    <n v="33.869999999999997"/>
    <x v="1492"/>
    <x v="0"/>
  </r>
  <r>
    <x v="10"/>
    <x v="2"/>
    <x v="0"/>
    <n v="19516.89"/>
    <n v="16728.23"/>
    <n v="118.66"/>
    <n v="299.23"/>
    <x v="1493"/>
    <x v="1"/>
  </r>
  <r>
    <x v="0"/>
    <x v="0"/>
    <x v="3"/>
    <n v="36675.14"/>
    <n v="33795.370000000003"/>
    <n v="69.14"/>
    <n v="190.32"/>
    <x v="1494"/>
    <x v="0"/>
  </r>
  <r>
    <x v="3"/>
    <x v="4"/>
    <x v="7"/>
    <n v="33455.5"/>
    <n v="35751.360000000001"/>
    <n v="111.54"/>
    <n v="767.8"/>
    <x v="1495"/>
    <x v="0"/>
  </r>
  <r>
    <x v="10"/>
    <x v="3"/>
    <x v="5"/>
    <n v="39730.33"/>
    <n v="32152.11"/>
    <n v="99.6"/>
    <n v="1232.9100000000001"/>
    <x v="1496"/>
    <x v="1"/>
  </r>
  <r>
    <x v="10"/>
    <x v="2"/>
    <x v="6"/>
    <n v="28256.65"/>
    <n v="26235.52"/>
    <n v="76.73"/>
    <n v="294.5"/>
    <x v="1497"/>
    <x v="1"/>
  </r>
  <r>
    <x v="8"/>
    <x v="4"/>
    <x v="4"/>
    <n v="10569.89"/>
    <n v="9254.9699999999993"/>
    <n v="82.36"/>
    <n v="1311.01"/>
    <x v="1498"/>
    <x v="0"/>
  </r>
  <r>
    <x v="13"/>
    <x v="6"/>
    <x v="1"/>
    <n v="7673.38"/>
    <n v="6152.46"/>
    <n v="144.15"/>
    <n v="537.14"/>
    <x v="1499"/>
    <x v="0"/>
  </r>
  <r>
    <x v="17"/>
    <x v="5"/>
    <x v="1"/>
    <n v="8921.7199999999993"/>
    <n v="8813.68"/>
    <n v="99.65"/>
    <n v="1088.04"/>
    <x v="1500"/>
    <x v="0"/>
  </r>
  <r>
    <x v="2"/>
    <x v="4"/>
    <x v="3"/>
    <n v="49821.95"/>
    <n v="47175.67"/>
    <n v="44.62"/>
    <n v="903.11"/>
    <x v="1501"/>
    <x v="0"/>
  </r>
  <r>
    <x v="12"/>
    <x v="3"/>
    <x v="0"/>
    <n v="40628.720000000001"/>
    <n v="32673.05"/>
    <n v="122.42"/>
    <n v="982.85"/>
    <x v="1502"/>
    <x v="1"/>
  </r>
  <r>
    <x v="16"/>
    <x v="5"/>
    <x v="0"/>
    <n v="33384.17"/>
    <n v="30304.240000000002"/>
    <n v="58.8"/>
    <n v="1246.1400000000001"/>
    <x v="1503"/>
    <x v="0"/>
  </r>
  <r>
    <x v="1"/>
    <x v="2"/>
    <x v="7"/>
    <n v="32291.89"/>
    <n v="28109.53"/>
    <n v="128.13"/>
    <n v="647.41999999999996"/>
    <x v="1504"/>
    <x v="1"/>
  </r>
  <r>
    <x v="5"/>
    <x v="4"/>
    <x v="5"/>
    <n v="30411.47"/>
    <n v="25760.76"/>
    <n v="94.73"/>
    <n v="548.01"/>
    <x v="1505"/>
    <x v="0"/>
  </r>
  <r>
    <x v="19"/>
    <x v="1"/>
    <x v="4"/>
    <n v="45621.2"/>
    <n v="44279.58"/>
    <n v="31.47"/>
    <n v="766.29"/>
    <x v="1506"/>
    <x v="1"/>
  </r>
  <r>
    <x v="7"/>
    <x v="2"/>
    <x v="5"/>
    <n v="18519.25"/>
    <n v="19892.46"/>
    <n v="69.69"/>
    <n v="800.92"/>
    <x v="1507"/>
    <x v="1"/>
  </r>
  <r>
    <x v="6"/>
    <x v="6"/>
    <x v="4"/>
    <n v="9274.18"/>
    <n v="9013.0499999999993"/>
    <n v="192.6"/>
    <n v="1071.6400000000001"/>
    <x v="1508"/>
    <x v="0"/>
  </r>
  <r>
    <x v="11"/>
    <x v="6"/>
    <x v="6"/>
    <n v="26717.58"/>
    <n v="26423.71"/>
    <n v="32.15"/>
    <n v="946.48"/>
    <x v="1509"/>
    <x v="0"/>
  </r>
  <r>
    <x v="12"/>
    <x v="3"/>
    <x v="0"/>
    <n v="11568.58"/>
    <n v="13468.51"/>
    <n v="137.79"/>
    <n v="417.49"/>
    <x v="1510"/>
    <x v="1"/>
  </r>
  <r>
    <x v="18"/>
    <x v="6"/>
    <x v="4"/>
    <n v="35478.35"/>
    <n v="32831.46"/>
    <n v="93.19"/>
    <n v="792.91"/>
    <x v="1511"/>
    <x v="0"/>
  </r>
  <r>
    <x v="0"/>
    <x v="3"/>
    <x v="3"/>
    <n v="47042.59"/>
    <n v="46315.24"/>
    <n v="170.85"/>
    <n v="273.42"/>
    <x v="1512"/>
    <x v="1"/>
  </r>
  <r>
    <x v="16"/>
    <x v="3"/>
    <x v="2"/>
    <n v="28578.74"/>
    <n v="30720.54"/>
    <n v="21.53"/>
    <n v="1288.55"/>
    <x v="1513"/>
    <x v="1"/>
  </r>
  <r>
    <x v="3"/>
    <x v="6"/>
    <x v="2"/>
    <n v="34539.589999999997"/>
    <n v="38087.67"/>
    <n v="147.33000000000001"/>
    <n v="426.08"/>
    <x v="1514"/>
    <x v="0"/>
  </r>
  <r>
    <x v="12"/>
    <x v="3"/>
    <x v="2"/>
    <n v="33143.480000000003"/>
    <n v="27390.55"/>
    <n v="198.88"/>
    <n v="1229.8800000000001"/>
    <x v="1515"/>
    <x v="1"/>
  </r>
  <r>
    <x v="18"/>
    <x v="3"/>
    <x v="4"/>
    <n v="3571.28"/>
    <n v="4051.43"/>
    <n v="197.55"/>
    <n v="220.99"/>
    <x v="1516"/>
    <x v="1"/>
  </r>
  <r>
    <x v="16"/>
    <x v="2"/>
    <x v="5"/>
    <n v="23410.02"/>
    <n v="20912.79"/>
    <n v="58.78"/>
    <n v="1350.89"/>
    <x v="1517"/>
    <x v="1"/>
  </r>
  <r>
    <x v="2"/>
    <x v="2"/>
    <x v="2"/>
    <n v="32805.49"/>
    <n v="27652.9"/>
    <n v="187.31"/>
    <n v="858.85"/>
    <x v="1518"/>
    <x v="1"/>
  </r>
  <r>
    <x v="0"/>
    <x v="0"/>
    <x v="2"/>
    <n v="35160.21"/>
    <n v="41400.400000000001"/>
    <n v="99.21"/>
    <n v="27.53"/>
    <x v="1519"/>
    <x v="0"/>
  </r>
  <r>
    <x v="15"/>
    <x v="1"/>
    <x v="6"/>
    <n v="8594.59"/>
    <n v="9752.7199999999993"/>
    <n v="77.760000000000005"/>
    <n v="718.5"/>
    <x v="1520"/>
    <x v="1"/>
  </r>
  <r>
    <x v="18"/>
    <x v="3"/>
    <x v="2"/>
    <n v="22720.68"/>
    <n v="21947.26"/>
    <n v="79.97"/>
    <n v="858.05"/>
    <x v="1521"/>
    <x v="1"/>
  </r>
  <r>
    <x v="12"/>
    <x v="2"/>
    <x v="1"/>
    <n v="45865.38"/>
    <n v="47164.59"/>
    <n v="42.96"/>
    <n v="194.31"/>
    <x v="1522"/>
    <x v="1"/>
  </r>
  <r>
    <x v="17"/>
    <x v="4"/>
    <x v="1"/>
    <n v="31016.42"/>
    <n v="28710.720000000001"/>
    <n v="185.7"/>
    <n v="1146.8900000000001"/>
    <x v="1523"/>
    <x v="0"/>
  </r>
  <r>
    <x v="10"/>
    <x v="3"/>
    <x v="4"/>
    <n v="16537.53"/>
    <n v="18897.13"/>
    <n v="168.59"/>
    <n v="866.61"/>
    <x v="1524"/>
    <x v="1"/>
  </r>
  <r>
    <x v="19"/>
    <x v="2"/>
    <x v="1"/>
    <n v="36370.28"/>
    <n v="42376.5"/>
    <n v="42.69"/>
    <n v="513.05999999999995"/>
    <x v="1525"/>
    <x v="1"/>
  </r>
  <r>
    <x v="16"/>
    <x v="2"/>
    <x v="0"/>
    <n v="3328.11"/>
    <n v="3896.18"/>
    <n v="103.8"/>
    <n v="1341.94"/>
    <x v="1526"/>
    <x v="1"/>
  </r>
  <r>
    <x v="0"/>
    <x v="5"/>
    <x v="5"/>
    <n v="35841.160000000003"/>
    <n v="37334.99"/>
    <n v="36.86"/>
    <n v="88.82"/>
    <x v="1527"/>
    <x v="0"/>
  </r>
  <r>
    <x v="6"/>
    <x v="4"/>
    <x v="1"/>
    <n v="34932.959999999999"/>
    <n v="31002.47"/>
    <n v="24.41"/>
    <n v="234.78"/>
    <x v="1528"/>
    <x v="0"/>
  </r>
  <r>
    <x v="15"/>
    <x v="0"/>
    <x v="1"/>
    <n v="6210.96"/>
    <n v="5625.31"/>
    <n v="183.28"/>
    <n v="1389.04"/>
    <x v="1529"/>
    <x v="0"/>
  </r>
  <r>
    <x v="17"/>
    <x v="5"/>
    <x v="0"/>
    <n v="16554.330000000002"/>
    <n v="18394.009999999998"/>
    <n v="180.81"/>
    <n v="1319.03"/>
    <x v="1530"/>
    <x v="0"/>
  </r>
  <r>
    <x v="13"/>
    <x v="4"/>
    <x v="7"/>
    <n v="17206.7"/>
    <n v="14672.27"/>
    <n v="55.56"/>
    <n v="977.52"/>
    <x v="1531"/>
    <x v="0"/>
  </r>
  <r>
    <x v="10"/>
    <x v="2"/>
    <x v="2"/>
    <n v="41514.19"/>
    <n v="37913.97"/>
    <n v="58.18"/>
    <n v="1182.06"/>
    <x v="1532"/>
    <x v="1"/>
  </r>
  <r>
    <x v="3"/>
    <x v="6"/>
    <x v="4"/>
    <n v="44973.35"/>
    <n v="37316.07"/>
    <n v="195.23"/>
    <n v="907.78"/>
    <x v="1533"/>
    <x v="0"/>
  </r>
  <r>
    <x v="18"/>
    <x v="2"/>
    <x v="7"/>
    <n v="44961.18"/>
    <n v="40280.46"/>
    <n v="56.72"/>
    <n v="593.33000000000004"/>
    <x v="1534"/>
    <x v="1"/>
  </r>
  <r>
    <x v="12"/>
    <x v="6"/>
    <x v="1"/>
    <n v="22334.46"/>
    <n v="23183.3"/>
    <n v="104.23"/>
    <n v="488.53"/>
    <x v="1535"/>
    <x v="0"/>
  </r>
  <r>
    <x v="9"/>
    <x v="6"/>
    <x v="2"/>
    <n v="20517.259999999998"/>
    <n v="22108.48"/>
    <n v="71.66"/>
    <n v="855.36"/>
    <x v="1536"/>
    <x v="0"/>
  </r>
  <r>
    <x v="8"/>
    <x v="0"/>
    <x v="1"/>
    <n v="49948.23"/>
    <n v="50637.51"/>
    <n v="108.11"/>
    <n v="1220.46"/>
    <x v="1537"/>
    <x v="0"/>
  </r>
  <r>
    <x v="1"/>
    <x v="0"/>
    <x v="0"/>
    <n v="20319.53"/>
    <n v="16766.939999999999"/>
    <n v="44.42"/>
    <n v="240.36"/>
    <x v="1538"/>
    <x v="0"/>
  </r>
  <r>
    <x v="2"/>
    <x v="1"/>
    <x v="1"/>
    <n v="5379.46"/>
    <n v="6107.14"/>
    <n v="48.99"/>
    <n v="1088.1199999999999"/>
    <x v="1539"/>
    <x v="1"/>
  </r>
  <r>
    <x v="4"/>
    <x v="4"/>
    <x v="3"/>
    <n v="41579.75"/>
    <n v="41344.17"/>
    <n v="75.88"/>
    <n v="1067.55"/>
    <x v="1540"/>
    <x v="0"/>
  </r>
  <r>
    <x v="17"/>
    <x v="4"/>
    <x v="3"/>
    <n v="30244.66"/>
    <n v="35752.15"/>
    <n v="93.55"/>
    <n v="797.24"/>
    <x v="1541"/>
    <x v="0"/>
  </r>
  <r>
    <x v="0"/>
    <x v="5"/>
    <x v="5"/>
    <n v="38968.29"/>
    <n v="31654.11"/>
    <n v="99.24"/>
    <n v="846.81"/>
    <x v="1542"/>
    <x v="0"/>
  </r>
  <r>
    <x v="1"/>
    <x v="1"/>
    <x v="4"/>
    <n v="47785.73"/>
    <n v="54367.08"/>
    <n v="193.43"/>
    <n v="46.42"/>
    <x v="1543"/>
    <x v="1"/>
  </r>
  <r>
    <x v="12"/>
    <x v="3"/>
    <x v="7"/>
    <n v="17376.060000000001"/>
    <n v="17601.38"/>
    <n v="91.5"/>
    <n v="1323.92"/>
    <x v="1544"/>
    <x v="1"/>
  </r>
  <r>
    <x v="17"/>
    <x v="1"/>
    <x v="6"/>
    <n v="44157.47"/>
    <n v="43402.559999999998"/>
    <n v="35.06"/>
    <n v="235.52"/>
    <x v="1545"/>
    <x v="1"/>
  </r>
  <r>
    <x v="15"/>
    <x v="1"/>
    <x v="5"/>
    <n v="23398.53"/>
    <n v="21432.11"/>
    <n v="150.91"/>
    <n v="780.7"/>
    <x v="1546"/>
    <x v="1"/>
  </r>
  <r>
    <x v="12"/>
    <x v="2"/>
    <x v="1"/>
    <n v="33813.660000000003"/>
    <n v="37518.620000000003"/>
    <n v="183.18"/>
    <n v="283.27"/>
    <x v="1547"/>
    <x v="1"/>
  </r>
  <r>
    <x v="15"/>
    <x v="6"/>
    <x v="4"/>
    <n v="19641.05"/>
    <n v="21899.7"/>
    <n v="83.58"/>
    <n v="1268.3599999999999"/>
    <x v="1548"/>
    <x v="0"/>
  </r>
  <r>
    <x v="5"/>
    <x v="5"/>
    <x v="1"/>
    <n v="28554.51"/>
    <n v="28238.46"/>
    <n v="191.61"/>
    <n v="676.67"/>
    <x v="1549"/>
    <x v="0"/>
  </r>
  <r>
    <x v="19"/>
    <x v="1"/>
    <x v="5"/>
    <n v="29640.04"/>
    <n v="24538.41"/>
    <n v="52.38"/>
    <n v="1038.17"/>
    <x v="1550"/>
    <x v="1"/>
  </r>
  <r>
    <x v="6"/>
    <x v="5"/>
    <x v="0"/>
    <n v="14631.16"/>
    <n v="17408.169999999998"/>
    <n v="62.08"/>
    <n v="1307.6400000000001"/>
    <x v="1551"/>
    <x v="0"/>
  </r>
  <r>
    <x v="16"/>
    <x v="4"/>
    <x v="4"/>
    <n v="44803.95"/>
    <n v="36580.07"/>
    <n v="195.86"/>
    <n v="264.95"/>
    <x v="1552"/>
    <x v="0"/>
  </r>
  <r>
    <x v="11"/>
    <x v="1"/>
    <x v="4"/>
    <n v="5153.47"/>
    <n v="5204.55"/>
    <n v="111.25"/>
    <n v="1055.8"/>
    <x v="1553"/>
    <x v="1"/>
  </r>
  <r>
    <x v="11"/>
    <x v="0"/>
    <x v="1"/>
    <n v="15340.42"/>
    <n v="13304.64"/>
    <n v="126.03"/>
    <n v="945.44"/>
    <x v="1554"/>
    <x v="0"/>
  </r>
  <r>
    <x v="9"/>
    <x v="4"/>
    <x v="5"/>
    <n v="43798.26"/>
    <n v="37179.4"/>
    <n v="197.41"/>
    <n v="646.19000000000005"/>
    <x v="1555"/>
    <x v="0"/>
  </r>
  <r>
    <x v="0"/>
    <x v="4"/>
    <x v="3"/>
    <n v="15809.24"/>
    <n v="16731.04"/>
    <n v="129.63999999999999"/>
    <n v="91.23"/>
    <x v="1556"/>
    <x v="0"/>
  </r>
  <r>
    <x v="6"/>
    <x v="4"/>
    <x v="1"/>
    <n v="28645.81"/>
    <n v="24791.78"/>
    <n v="57.39"/>
    <n v="1319.39"/>
    <x v="1557"/>
    <x v="0"/>
  </r>
  <r>
    <x v="12"/>
    <x v="5"/>
    <x v="3"/>
    <n v="17498.669999999998"/>
    <n v="15495.46"/>
    <n v="62.41"/>
    <n v="977.68"/>
    <x v="1558"/>
    <x v="0"/>
  </r>
  <r>
    <x v="6"/>
    <x v="3"/>
    <x v="5"/>
    <n v="5527.56"/>
    <n v="6587.05"/>
    <n v="33.26"/>
    <n v="1194.06"/>
    <x v="1559"/>
    <x v="1"/>
  </r>
  <r>
    <x v="2"/>
    <x v="4"/>
    <x v="1"/>
    <n v="36308.58"/>
    <n v="35569.19"/>
    <n v="42.28"/>
    <n v="1368.21"/>
    <x v="1560"/>
    <x v="0"/>
  </r>
  <r>
    <x v="3"/>
    <x v="4"/>
    <x v="3"/>
    <n v="20555.66"/>
    <n v="20002.41"/>
    <n v="86.77"/>
    <n v="446.58"/>
    <x v="1561"/>
    <x v="0"/>
  </r>
  <r>
    <x v="12"/>
    <x v="6"/>
    <x v="3"/>
    <n v="25833.45"/>
    <n v="23028.03"/>
    <n v="55.29"/>
    <n v="1048.51"/>
    <x v="1562"/>
    <x v="0"/>
  </r>
  <r>
    <x v="1"/>
    <x v="0"/>
    <x v="6"/>
    <n v="37879.97"/>
    <n v="37428.1"/>
    <n v="189.28"/>
    <n v="1323.33"/>
    <x v="1563"/>
    <x v="0"/>
  </r>
  <r>
    <x v="14"/>
    <x v="2"/>
    <x v="6"/>
    <n v="32919.760000000002"/>
    <n v="39313.15"/>
    <n v="124.41"/>
    <n v="379.92"/>
    <x v="1564"/>
    <x v="1"/>
  </r>
  <r>
    <x v="5"/>
    <x v="3"/>
    <x v="1"/>
    <n v="30618.560000000001"/>
    <n v="34281.61"/>
    <n v="21.66"/>
    <n v="1015.92"/>
    <x v="1565"/>
    <x v="1"/>
  </r>
  <r>
    <x v="18"/>
    <x v="2"/>
    <x v="5"/>
    <n v="9845.39"/>
    <n v="9764.39"/>
    <n v="59.4"/>
    <n v="876.16"/>
    <x v="1566"/>
    <x v="1"/>
  </r>
  <r>
    <x v="4"/>
    <x v="4"/>
    <x v="2"/>
    <n v="579.36"/>
    <n v="644.62"/>
    <n v="191.73"/>
    <n v="277.10000000000002"/>
    <x v="1567"/>
    <x v="0"/>
  </r>
  <r>
    <x v="1"/>
    <x v="3"/>
    <x v="0"/>
    <n v="32844.67"/>
    <n v="35654.28"/>
    <n v="114.02"/>
    <n v="762.99"/>
    <x v="1568"/>
    <x v="1"/>
  </r>
  <r>
    <x v="13"/>
    <x v="5"/>
    <x v="2"/>
    <n v="30246.080000000002"/>
    <n v="33555.870000000003"/>
    <n v="102.26"/>
    <n v="302.73"/>
    <x v="1569"/>
    <x v="0"/>
  </r>
  <r>
    <x v="10"/>
    <x v="5"/>
    <x v="4"/>
    <n v="33939.22"/>
    <n v="34884.769999999997"/>
    <n v="62.46"/>
    <n v="685.49"/>
    <x v="1570"/>
    <x v="0"/>
  </r>
  <r>
    <x v="9"/>
    <x v="4"/>
    <x v="7"/>
    <n v="25862.02"/>
    <n v="24104.65"/>
    <n v="67.58"/>
    <n v="776.7"/>
    <x v="1571"/>
    <x v="0"/>
  </r>
  <r>
    <x v="14"/>
    <x v="5"/>
    <x v="5"/>
    <n v="47836.63"/>
    <n v="38345.089999999997"/>
    <n v="22.78"/>
    <n v="974.06"/>
    <x v="1572"/>
    <x v="0"/>
  </r>
  <r>
    <x v="17"/>
    <x v="6"/>
    <x v="0"/>
    <n v="3657.3"/>
    <n v="3674.47"/>
    <n v="25.04"/>
    <n v="697.88"/>
    <x v="1573"/>
    <x v="0"/>
  </r>
  <r>
    <x v="12"/>
    <x v="0"/>
    <x v="2"/>
    <n v="10879.19"/>
    <n v="11396.98"/>
    <n v="127.31"/>
    <n v="982.16"/>
    <x v="1574"/>
    <x v="0"/>
  </r>
  <r>
    <x v="1"/>
    <x v="2"/>
    <x v="0"/>
    <n v="1518.82"/>
    <n v="1441.51"/>
    <n v="53.56"/>
    <n v="430.12"/>
    <x v="1575"/>
    <x v="1"/>
  </r>
  <r>
    <x v="1"/>
    <x v="6"/>
    <x v="3"/>
    <n v="35577.480000000003"/>
    <n v="38585.410000000003"/>
    <n v="119.54"/>
    <n v="426.7"/>
    <x v="1576"/>
    <x v="0"/>
  </r>
  <r>
    <x v="13"/>
    <x v="6"/>
    <x v="1"/>
    <n v="8675.35"/>
    <n v="9670.83"/>
    <n v="176.75"/>
    <n v="1253.3499999999999"/>
    <x v="1577"/>
    <x v="0"/>
  </r>
  <r>
    <x v="7"/>
    <x v="3"/>
    <x v="7"/>
    <n v="40131.85"/>
    <n v="40786.47"/>
    <n v="78.599999999999994"/>
    <n v="1385.86"/>
    <x v="1578"/>
    <x v="1"/>
  </r>
  <r>
    <x v="16"/>
    <x v="2"/>
    <x v="1"/>
    <n v="15799.66"/>
    <n v="15339"/>
    <n v="87.49"/>
    <n v="887.33"/>
    <x v="1579"/>
    <x v="1"/>
  </r>
  <r>
    <x v="8"/>
    <x v="4"/>
    <x v="7"/>
    <n v="40615.14"/>
    <n v="36728.65"/>
    <n v="148.9"/>
    <n v="1045.22"/>
    <x v="1580"/>
    <x v="0"/>
  </r>
  <r>
    <x v="7"/>
    <x v="4"/>
    <x v="7"/>
    <n v="33554.89"/>
    <n v="30227.41"/>
    <n v="125.82"/>
    <n v="1002.74"/>
    <x v="1581"/>
    <x v="0"/>
  </r>
  <r>
    <x v="12"/>
    <x v="5"/>
    <x v="1"/>
    <n v="39581.08"/>
    <n v="35472.800000000003"/>
    <n v="156.62"/>
    <n v="179.98"/>
    <x v="1582"/>
    <x v="0"/>
  </r>
  <r>
    <x v="10"/>
    <x v="6"/>
    <x v="6"/>
    <n v="24163.81"/>
    <n v="21675.81"/>
    <n v="136.38999999999999"/>
    <n v="708.31"/>
    <x v="1583"/>
    <x v="0"/>
  </r>
  <r>
    <x v="7"/>
    <x v="2"/>
    <x v="5"/>
    <n v="20766.05"/>
    <n v="22909.68"/>
    <n v="33.99"/>
    <n v="973.73"/>
    <x v="1584"/>
    <x v="1"/>
  </r>
  <r>
    <x v="7"/>
    <x v="2"/>
    <x v="5"/>
    <n v="22756.14"/>
    <n v="19733.919999999998"/>
    <n v="140.47999999999999"/>
    <n v="965.39"/>
    <x v="1585"/>
    <x v="1"/>
  </r>
  <r>
    <x v="0"/>
    <x v="0"/>
    <x v="4"/>
    <n v="2499.5"/>
    <n v="2890.07"/>
    <n v="69.73"/>
    <n v="1074.3900000000001"/>
    <x v="1586"/>
    <x v="0"/>
  </r>
  <r>
    <x v="2"/>
    <x v="4"/>
    <x v="7"/>
    <n v="28693.27"/>
    <n v="26756.34"/>
    <n v="149.88"/>
    <n v="474.98"/>
    <x v="1587"/>
    <x v="0"/>
  </r>
  <r>
    <x v="12"/>
    <x v="1"/>
    <x v="4"/>
    <n v="12120.39"/>
    <n v="12122.38"/>
    <n v="77.39"/>
    <n v="133.38"/>
    <x v="1588"/>
    <x v="1"/>
  </r>
  <r>
    <x v="0"/>
    <x v="4"/>
    <x v="1"/>
    <n v="35063.050000000003"/>
    <n v="29702.46"/>
    <n v="59.62"/>
    <n v="821.63"/>
    <x v="1589"/>
    <x v="0"/>
  </r>
  <r>
    <x v="13"/>
    <x v="6"/>
    <x v="1"/>
    <n v="17577.02"/>
    <n v="16452.169999999998"/>
    <n v="99.44"/>
    <n v="1205.53"/>
    <x v="1590"/>
    <x v="0"/>
  </r>
  <r>
    <x v="3"/>
    <x v="5"/>
    <x v="2"/>
    <n v="42883.75"/>
    <n v="43639.17"/>
    <n v="181.74"/>
    <n v="1361.01"/>
    <x v="1591"/>
    <x v="0"/>
  </r>
  <r>
    <x v="2"/>
    <x v="1"/>
    <x v="5"/>
    <n v="32734.18"/>
    <n v="37934.01"/>
    <n v="30.94"/>
    <n v="349.5"/>
    <x v="1592"/>
    <x v="1"/>
  </r>
  <r>
    <x v="10"/>
    <x v="0"/>
    <x v="0"/>
    <n v="23935.919999999998"/>
    <n v="24758.66"/>
    <n v="198.73"/>
    <n v="1224.73"/>
    <x v="1593"/>
    <x v="0"/>
  </r>
  <r>
    <x v="15"/>
    <x v="5"/>
    <x v="0"/>
    <n v="30419.82"/>
    <n v="29457.65"/>
    <n v="115.84"/>
    <n v="983.7"/>
    <x v="1594"/>
    <x v="0"/>
  </r>
  <r>
    <x v="18"/>
    <x v="4"/>
    <x v="7"/>
    <n v="15651.93"/>
    <n v="14003.78"/>
    <n v="62.88"/>
    <n v="863.8"/>
    <x v="1595"/>
    <x v="0"/>
  </r>
  <r>
    <x v="6"/>
    <x v="2"/>
    <x v="5"/>
    <n v="5717.85"/>
    <n v="5416.86"/>
    <n v="83.75"/>
    <n v="1334.57"/>
    <x v="1596"/>
    <x v="1"/>
  </r>
  <r>
    <x v="0"/>
    <x v="3"/>
    <x v="6"/>
    <n v="26748.080000000002"/>
    <n v="27086.57"/>
    <n v="67.2"/>
    <n v="598.69000000000005"/>
    <x v="1597"/>
    <x v="1"/>
  </r>
  <r>
    <x v="15"/>
    <x v="0"/>
    <x v="2"/>
    <n v="11932.47"/>
    <n v="12003.72"/>
    <n v="179.56"/>
    <n v="233"/>
    <x v="1598"/>
    <x v="0"/>
  </r>
  <r>
    <x v="17"/>
    <x v="2"/>
    <x v="3"/>
    <n v="37904.410000000003"/>
    <n v="42959"/>
    <n v="161.82"/>
    <n v="157.75"/>
    <x v="1599"/>
    <x v="1"/>
  </r>
  <r>
    <x v="1"/>
    <x v="2"/>
    <x v="5"/>
    <n v="33312.33"/>
    <n v="35144.44"/>
    <n v="96.49"/>
    <n v="1035.22"/>
    <x v="1600"/>
    <x v="1"/>
  </r>
  <r>
    <x v="17"/>
    <x v="6"/>
    <x v="5"/>
    <n v="15712.78"/>
    <n v="14495.91"/>
    <n v="135.30000000000001"/>
    <n v="772.57"/>
    <x v="1601"/>
    <x v="0"/>
  </r>
  <r>
    <x v="5"/>
    <x v="5"/>
    <x v="4"/>
    <n v="3248.71"/>
    <n v="3508.32"/>
    <n v="55.08"/>
    <n v="332.62"/>
    <x v="1602"/>
    <x v="0"/>
  </r>
  <r>
    <x v="2"/>
    <x v="2"/>
    <x v="1"/>
    <n v="35051.75"/>
    <n v="30279.11"/>
    <n v="117.21"/>
    <n v="37.35"/>
    <x v="1603"/>
    <x v="1"/>
  </r>
  <r>
    <x v="8"/>
    <x v="5"/>
    <x v="3"/>
    <n v="40111.61"/>
    <n v="40023.93"/>
    <n v="55.51"/>
    <n v="1151.53"/>
    <x v="1604"/>
    <x v="0"/>
  </r>
  <r>
    <x v="17"/>
    <x v="5"/>
    <x v="0"/>
    <n v="3295.94"/>
    <n v="3663.62"/>
    <n v="42.29"/>
    <n v="805.51"/>
    <x v="1605"/>
    <x v="0"/>
  </r>
  <r>
    <x v="7"/>
    <x v="0"/>
    <x v="5"/>
    <n v="12943.62"/>
    <n v="14989.25"/>
    <n v="41.38"/>
    <n v="646.84"/>
    <x v="1606"/>
    <x v="0"/>
  </r>
  <r>
    <x v="4"/>
    <x v="4"/>
    <x v="7"/>
    <n v="44914.720000000001"/>
    <n v="39769.919999999998"/>
    <n v="44.32"/>
    <n v="816.14"/>
    <x v="1607"/>
    <x v="0"/>
  </r>
  <r>
    <x v="7"/>
    <x v="3"/>
    <x v="5"/>
    <n v="1107.72"/>
    <n v="1306.42"/>
    <n v="120.16"/>
    <n v="282.2"/>
    <x v="1608"/>
    <x v="1"/>
  </r>
  <r>
    <x v="5"/>
    <x v="5"/>
    <x v="0"/>
    <n v="17158.57"/>
    <n v="16538.810000000001"/>
    <n v="131.46"/>
    <n v="1049.23"/>
    <x v="1609"/>
    <x v="0"/>
  </r>
  <r>
    <x v="19"/>
    <x v="6"/>
    <x v="5"/>
    <n v="7644.8"/>
    <n v="6541.69"/>
    <n v="96.79"/>
    <n v="304.37"/>
    <x v="1610"/>
    <x v="0"/>
  </r>
  <r>
    <x v="13"/>
    <x v="4"/>
    <x v="5"/>
    <n v="49939.3"/>
    <n v="56589.53"/>
    <n v="166.63"/>
    <n v="1325.57"/>
    <x v="1611"/>
    <x v="0"/>
  </r>
  <r>
    <x v="4"/>
    <x v="3"/>
    <x v="4"/>
    <n v="49234.79"/>
    <n v="57327.57"/>
    <n v="150.79"/>
    <n v="90.32"/>
    <x v="1612"/>
    <x v="1"/>
  </r>
  <r>
    <x v="19"/>
    <x v="6"/>
    <x v="3"/>
    <n v="34646.82"/>
    <n v="38811.94"/>
    <n v="56.26"/>
    <n v="1078.1400000000001"/>
    <x v="1613"/>
    <x v="0"/>
  </r>
  <r>
    <x v="19"/>
    <x v="6"/>
    <x v="6"/>
    <n v="3120.26"/>
    <n v="2798.83"/>
    <n v="141.9"/>
    <n v="682.44"/>
    <x v="1614"/>
    <x v="0"/>
  </r>
  <r>
    <x v="7"/>
    <x v="5"/>
    <x v="0"/>
    <n v="8621.34"/>
    <n v="9973.89"/>
    <n v="176.26"/>
    <n v="566.1"/>
    <x v="1615"/>
    <x v="0"/>
  </r>
  <r>
    <x v="6"/>
    <x v="0"/>
    <x v="5"/>
    <n v="35390.44"/>
    <n v="30453.31"/>
    <n v="25.72"/>
    <n v="1103.18"/>
    <x v="1616"/>
    <x v="0"/>
  </r>
  <r>
    <x v="13"/>
    <x v="2"/>
    <x v="7"/>
    <n v="3663.49"/>
    <n v="4005.62"/>
    <n v="179.17"/>
    <n v="799.08"/>
    <x v="1617"/>
    <x v="1"/>
  </r>
  <r>
    <x v="13"/>
    <x v="1"/>
    <x v="0"/>
    <n v="43162.29"/>
    <n v="46159.5"/>
    <n v="119.68"/>
    <n v="650.34"/>
    <x v="1618"/>
    <x v="1"/>
  </r>
  <r>
    <x v="16"/>
    <x v="0"/>
    <x v="5"/>
    <n v="45279.09"/>
    <n v="46202.71"/>
    <n v="112.32"/>
    <n v="1045.8599999999999"/>
    <x v="1619"/>
    <x v="0"/>
  </r>
  <r>
    <x v="14"/>
    <x v="4"/>
    <x v="0"/>
    <n v="19392.75"/>
    <n v="19073.59"/>
    <n v="177.2"/>
    <n v="1360.57"/>
    <x v="1620"/>
    <x v="0"/>
  </r>
  <r>
    <x v="2"/>
    <x v="0"/>
    <x v="1"/>
    <n v="29113.69"/>
    <n v="32478.81"/>
    <n v="49.46"/>
    <n v="1158.83"/>
    <x v="1621"/>
    <x v="0"/>
  </r>
  <r>
    <x v="8"/>
    <x v="5"/>
    <x v="5"/>
    <n v="17636.509999999998"/>
    <n v="19452.05"/>
    <n v="179.42"/>
    <n v="480.43"/>
    <x v="1622"/>
    <x v="0"/>
  </r>
  <r>
    <x v="5"/>
    <x v="3"/>
    <x v="5"/>
    <n v="8868.1"/>
    <n v="9640.64"/>
    <n v="107.74"/>
    <n v="668.52"/>
    <x v="1623"/>
    <x v="1"/>
  </r>
  <r>
    <x v="11"/>
    <x v="5"/>
    <x v="6"/>
    <n v="46198.11"/>
    <n v="52242.67"/>
    <n v="143.51"/>
    <n v="281.02999999999997"/>
    <x v="1624"/>
    <x v="0"/>
  </r>
  <r>
    <x v="19"/>
    <x v="4"/>
    <x v="3"/>
    <n v="48402.2"/>
    <n v="51344.81"/>
    <n v="118.82"/>
    <n v="321"/>
    <x v="1625"/>
    <x v="0"/>
  </r>
  <r>
    <x v="4"/>
    <x v="0"/>
    <x v="4"/>
    <n v="12301.35"/>
    <n v="12598.08"/>
    <n v="161.37"/>
    <n v="1068.31"/>
    <x v="1626"/>
    <x v="0"/>
  </r>
  <r>
    <x v="0"/>
    <x v="1"/>
    <x v="3"/>
    <n v="4103.34"/>
    <n v="3481.24"/>
    <n v="162.15"/>
    <n v="724.16"/>
    <x v="1627"/>
    <x v="1"/>
  </r>
  <r>
    <x v="11"/>
    <x v="3"/>
    <x v="6"/>
    <n v="33168.18"/>
    <n v="39427.5"/>
    <n v="160.47999999999999"/>
    <n v="749.4"/>
    <x v="1628"/>
    <x v="1"/>
  </r>
  <r>
    <x v="5"/>
    <x v="5"/>
    <x v="1"/>
    <n v="10357.84"/>
    <n v="11322.82"/>
    <n v="72.709999999999994"/>
    <n v="1229.44"/>
    <x v="1629"/>
    <x v="0"/>
  </r>
  <r>
    <x v="9"/>
    <x v="3"/>
    <x v="7"/>
    <n v="14150.56"/>
    <n v="13191.58"/>
    <n v="188.36"/>
    <n v="1066.05"/>
    <x v="1630"/>
    <x v="1"/>
  </r>
  <r>
    <x v="4"/>
    <x v="5"/>
    <x v="5"/>
    <n v="12408.78"/>
    <n v="12422.19"/>
    <n v="124.37"/>
    <n v="759.94"/>
    <x v="1631"/>
    <x v="0"/>
  </r>
  <r>
    <x v="5"/>
    <x v="6"/>
    <x v="2"/>
    <n v="12168.64"/>
    <n v="10111.49"/>
    <n v="143.16"/>
    <n v="1011.83"/>
    <x v="1632"/>
    <x v="0"/>
  </r>
  <r>
    <x v="0"/>
    <x v="1"/>
    <x v="5"/>
    <n v="23468.74"/>
    <n v="26836.79"/>
    <n v="74.17"/>
    <n v="1235.3399999999999"/>
    <x v="1633"/>
    <x v="1"/>
  </r>
  <r>
    <x v="7"/>
    <x v="5"/>
    <x v="5"/>
    <n v="8379.7000000000007"/>
    <n v="8101.9"/>
    <n v="158.53"/>
    <n v="1318.22"/>
    <x v="1634"/>
    <x v="0"/>
  </r>
  <r>
    <x v="14"/>
    <x v="5"/>
    <x v="4"/>
    <n v="42429.8"/>
    <n v="43314.09"/>
    <n v="94.42"/>
    <n v="540.22"/>
    <x v="1635"/>
    <x v="0"/>
  </r>
  <r>
    <x v="2"/>
    <x v="4"/>
    <x v="0"/>
    <n v="22888.43"/>
    <n v="19728.189999999999"/>
    <n v="198.41"/>
    <n v="286.95"/>
    <x v="1636"/>
    <x v="0"/>
  </r>
  <r>
    <x v="8"/>
    <x v="5"/>
    <x v="5"/>
    <n v="37536.14"/>
    <n v="35411.5"/>
    <n v="59.89"/>
    <n v="91.59"/>
    <x v="1637"/>
    <x v="0"/>
  </r>
  <r>
    <x v="15"/>
    <x v="3"/>
    <x v="1"/>
    <n v="33975.040000000001"/>
    <n v="38624.050000000003"/>
    <n v="165.13"/>
    <n v="124.39"/>
    <x v="1638"/>
    <x v="1"/>
  </r>
  <r>
    <x v="17"/>
    <x v="6"/>
    <x v="2"/>
    <n v="13374.2"/>
    <n v="13501.38"/>
    <n v="73.73"/>
    <n v="727.93"/>
    <x v="1639"/>
    <x v="0"/>
  </r>
  <r>
    <x v="3"/>
    <x v="0"/>
    <x v="2"/>
    <n v="47200.95"/>
    <n v="46392.34"/>
    <n v="21.83"/>
    <n v="672.59"/>
    <x v="1640"/>
    <x v="0"/>
  </r>
  <r>
    <x v="13"/>
    <x v="1"/>
    <x v="1"/>
    <n v="27453.18"/>
    <n v="32326.41"/>
    <n v="59.33"/>
    <n v="635.64"/>
    <x v="1641"/>
    <x v="1"/>
  </r>
  <r>
    <x v="8"/>
    <x v="3"/>
    <x v="7"/>
    <n v="35661.32"/>
    <n v="31712.14"/>
    <n v="168.58"/>
    <n v="1097.42"/>
    <x v="1642"/>
    <x v="1"/>
  </r>
  <r>
    <x v="12"/>
    <x v="4"/>
    <x v="3"/>
    <n v="15419.38"/>
    <n v="16642.939999999999"/>
    <n v="150.30000000000001"/>
    <n v="131.97"/>
    <x v="1643"/>
    <x v="0"/>
  </r>
  <r>
    <x v="10"/>
    <x v="4"/>
    <x v="6"/>
    <n v="48423.87"/>
    <n v="55225.94"/>
    <n v="38.880000000000003"/>
    <n v="473.42"/>
    <x v="1644"/>
    <x v="0"/>
  </r>
  <r>
    <x v="5"/>
    <x v="2"/>
    <x v="3"/>
    <n v="23310.77"/>
    <n v="27804.91"/>
    <n v="111.3"/>
    <n v="1075.49"/>
    <x v="1645"/>
    <x v="1"/>
  </r>
  <r>
    <x v="7"/>
    <x v="5"/>
    <x v="0"/>
    <n v="22799.99"/>
    <n v="21344.78"/>
    <n v="62.3"/>
    <n v="67.290000000000006"/>
    <x v="1646"/>
    <x v="0"/>
  </r>
  <r>
    <x v="17"/>
    <x v="1"/>
    <x v="6"/>
    <n v="34892.769999999997"/>
    <n v="30087.1"/>
    <n v="163.47"/>
    <n v="167.87"/>
    <x v="1647"/>
    <x v="1"/>
  </r>
  <r>
    <x v="19"/>
    <x v="2"/>
    <x v="3"/>
    <n v="26154.240000000002"/>
    <n v="23605.360000000001"/>
    <n v="97.74"/>
    <n v="952.86"/>
    <x v="1648"/>
    <x v="1"/>
  </r>
  <r>
    <x v="4"/>
    <x v="4"/>
    <x v="1"/>
    <n v="24709.69"/>
    <n v="21907.119999999999"/>
    <n v="175.85"/>
    <n v="233.03"/>
    <x v="1649"/>
    <x v="0"/>
  </r>
  <r>
    <x v="11"/>
    <x v="3"/>
    <x v="0"/>
    <n v="33000.57"/>
    <n v="27199.3"/>
    <n v="47.58"/>
    <n v="967.79"/>
    <x v="1650"/>
    <x v="1"/>
  </r>
  <r>
    <x v="0"/>
    <x v="5"/>
    <x v="6"/>
    <n v="32609.41"/>
    <n v="34514.42"/>
    <n v="49.93"/>
    <n v="579.9"/>
    <x v="1651"/>
    <x v="0"/>
  </r>
  <r>
    <x v="9"/>
    <x v="3"/>
    <x v="7"/>
    <n v="28585.83"/>
    <n v="31170.26"/>
    <n v="82.82"/>
    <n v="560.49"/>
    <x v="1652"/>
    <x v="1"/>
  </r>
  <r>
    <x v="15"/>
    <x v="2"/>
    <x v="5"/>
    <n v="25283.83"/>
    <n v="27769.57"/>
    <n v="164.1"/>
    <n v="174.2"/>
    <x v="1653"/>
    <x v="1"/>
  </r>
  <r>
    <x v="0"/>
    <x v="2"/>
    <x v="1"/>
    <n v="15560.43"/>
    <n v="17229.009999999998"/>
    <n v="33.94"/>
    <n v="135.85"/>
    <x v="1654"/>
    <x v="1"/>
  </r>
  <r>
    <x v="0"/>
    <x v="6"/>
    <x v="4"/>
    <n v="26050.19"/>
    <n v="30058.53"/>
    <n v="100.1"/>
    <n v="334.72"/>
    <x v="1655"/>
    <x v="0"/>
  </r>
  <r>
    <x v="7"/>
    <x v="1"/>
    <x v="6"/>
    <n v="6241.82"/>
    <n v="6550.61"/>
    <n v="151.63"/>
    <n v="155.33000000000001"/>
    <x v="1656"/>
    <x v="1"/>
  </r>
  <r>
    <x v="6"/>
    <x v="1"/>
    <x v="1"/>
    <n v="14507.24"/>
    <n v="15751.93"/>
    <n v="103.51"/>
    <n v="814.7"/>
    <x v="1657"/>
    <x v="1"/>
  </r>
  <r>
    <x v="9"/>
    <x v="6"/>
    <x v="0"/>
    <n v="49940.84"/>
    <n v="58118.91"/>
    <n v="68.650000000000006"/>
    <n v="1374.62"/>
    <x v="1658"/>
    <x v="0"/>
  </r>
  <r>
    <x v="10"/>
    <x v="4"/>
    <x v="4"/>
    <n v="42940.75"/>
    <n v="35290.620000000003"/>
    <n v="61.88"/>
    <n v="173.96"/>
    <x v="1659"/>
    <x v="0"/>
  </r>
  <r>
    <x v="11"/>
    <x v="3"/>
    <x v="1"/>
    <n v="27017.13"/>
    <n v="29962.85"/>
    <n v="128.51"/>
    <n v="444.85"/>
    <x v="1660"/>
    <x v="1"/>
  </r>
  <r>
    <x v="15"/>
    <x v="0"/>
    <x v="1"/>
    <n v="45454.42"/>
    <n v="46874.21"/>
    <n v="49.67"/>
    <n v="945.86"/>
    <x v="1661"/>
    <x v="0"/>
  </r>
  <r>
    <x v="2"/>
    <x v="3"/>
    <x v="4"/>
    <n v="10328.379999999999"/>
    <n v="9680.69"/>
    <n v="113.97"/>
    <n v="113.64"/>
    <x v="1662"/>
    <x v="1"/>
  </r>
  <r>
    <x v="4"/>
    <x v="0"/>
    <x v="5"/>
    <n v="2767.92"/>
    <n v="2468.91"/>
    <n v="38.770000000000003"/>
    <n v="97.52"/>
    <x v="1663"/>
    <x v="0"/>
  </r>
  <r>
    <x v="17"/>
    <x v="1"/>
    <x v="0"/>
    <n v="37034.74"/>
    <n v="31161.26"/>
    <n v="111.83"/>
    <n v="152.33000000000001"/>
    <x v="1664"/>
    <x v="1"/>
  </r>
  <r>
    <x v="14"/>
    <x v="4"/>
    <x v="1"/>
    <n v="44970.63"/>
    <n v="42041.63"/>
    <n v="86.21"/>
    <n v="456.5"/>
    <x v="1665"/>
    <x v="0"/>
  </r>
  <r>
    <x v="8"/>
    <x v="6"/>
    <x v="3"/>
    <n v="45853.83"/>
    <n v="40973.980000000003"/>
    <n v="150.07"/>
    <n v="52.02"/>
    <x v="1666"/>
    <x v="0"/>
  </r>
  <r>
    <x v="10"/>
    <x v="0"/>
    <x v="2"/>
    <n v="25297.9"/>
    <n v="23278.03"/>
    <n v="30.4"/>
    <n v="1296.0899999999999"/>
    <x v="1667"/>
    <x v="0"/>
  </r>
  <r>
    <x v="17"/>
    <x v="2"/>
    <x v="4"/>
    <n v="1381.98"/>
    <n v="1215.77"/>
    <n v="183.86"/>
    <n v="1064.29"/>
    <x v="1668"/>
    <x v="1"/>
  </r>
  <r>
    <x v="0"/>
    <x v="5"/>
    <x v="3"/>
    <n v="2967.07"/>
    <n v="2889.8"/>
    <n v="144.41"/>
    <n v="109.74"/>
    <x v="1669"/>
    <x v="0"/>
  </r>
  <r>
    <x v="8"/>
    <x v="2"/>
    <x v="7"/>
    <n v="31658.12"/>
    <n v="25907.78"/>
    <n v="182.21"/>
    <n v="466.22"/>
    <x v="1670"/>
    <x v="1"/>
  </r>
  <r>
    <x v="0"/>
    <x v="5"/>
    <x v="3"/>
    <n v="18521"/>
    <n v="19976.55"/>
    <n v="176.33"/>
    <n v="77.97"/>
    <x v="1671"/>
    <x v="0"/>
  </r>
  <r>
    <x v="14"/>
    <x v="4"/>
    <x v="6"/>
    <n v="44856.7"/>
    <n v="39973.440000000002"/>
    <n v="83.43"/>
    <n v="689.41"/>
    <x v="1672"/>
    <x v="0"/>
  </r>
  <r>
    <x v="13"/>
    <x v="1"/>
    <x v="7"/>
    <n v="12957.08"/>
    <n v="13583.24"/>
    <n v="26.58"/>
    <n v="1015.98"/>
    <x v="1673"/>
    <x v="1"/>
  </r>
  <r>
    <x v="4"/>
    <x v="5"/>
    <x v="2"/>
    <n v="10419.01"/>
    <n v="10759.03"/>
    <n v="57.4"/>
    <n v="477.07"/>
    <x v="1674"/>
    <x v="0"/>
  </r>
  <r>
    <x v="4"/>
    <x v="2"/>
    <x v="7"/>
    <n v="32311.01"/>
    <n v="26850.99"/>
    <n v="22.03"/>
    <n v="245.47"/>
    <x v="1675"/>
    <x v="1"/>
  </r>
  <r>
    <x v="10"/>
    <x v="4"/>
    <x v="3"/>
    <n v="17951.7"/>
    <n v="14804.88"/>
    <n v="143.61000000000001"/>
    <n v="1236.3"/>
    <x v="1676"/>
    <x v="0"/>
  </r>
  <r>
    <x v="19"/>
    <x v="1"/>
    <x v="3"/>
    <n v="39228.94"/>
    <n v="42712.73"/>
    <n v="164.94"/>
    <n v="1094.1400000000001"/>
    <x v="1677"/>
    <x v="1"/>
  </r>
  <r>
    <x v="0"/>
    <x v="0"/>
    <x v="0"/>
    <n v="15842.1"/>
    <n v="17709.71"/>
    <n v="101.11"/>
    <n v="1128.1500000000001"/>
    <x v="1678"/>
    <x v="0"/>
  </r>
  <r>
    <x v="9"/>
    <x v="6"/>
    <x v="4"/>
    <n v="40534.99"/>
    <n v="47743.89"/>
    <n v="30.1"/>
    <n v="480.95"/>
    <x v="1679"/>
    <x v="0"/>
  </r>
  <r>
    <x v="5"/>
    <x v="3"/>
    <x v="6"/>
    <n v="36041.71"/>
    <n v="41442.239999999998"/>
    <n v="172.55"/>
    <n v="309.39999999999998"/>
    <x v="1680"/>
    <x v="1"/>
  </r>
  <r>
    <x v="12"/>
    <x v="3"/>
    <x v="4"/>
    <n v="34178.230000000003"/>
    <n v="27478.34"/>
    <n v="105.28"/>
    <n v="993.67"/>
    <x v="1681"/>
    <x v="1"/>
  </r>
  <r>
    <x v="0"/>
    <x v="6"/>
    <x v="0"/>
    <n v="3721.72"/>
    <n v="3310.86"/>
    <n v="76.37"/>
    <n v="830.16"/>
    <x v="1682"/>
    <x v="0"/>
  </r>
  <r>
    <x v="9"/>
    <x v="2"/>
    <x v="2"/>
    <n v="44920.38"/>
    <n v="36015.96"/>
    <n v="58.26"/>
    <n v="320.81"/>
    <x v="1683"/>
    <x v="1"/>
  </r>
  <r>
    <x v="9"/>
    <x v="4"/>
    <x v="5"/>
    <n v="42505.33"/>
    <n v="35453.57"/>
    <n v="48.91"/>
    <n v="228.91"/>
    <x v="1684"/>
    <x v="0"/>
  </r>
  <r>
    <x v="9"/>
    <x v="5"/>
    <x v="7"/>
    <n v="33519.629999999997"/>
    <n v="36564.9"/>
    <n v="108.5"/>
    <n v="55.54"/>
    <x v="1685"/>
    <x v="0"/>
  </r>
  <r>
    <x v="19"/>
    <x v="3"/>
    <x v="1"/>
    <n v="34201.89"/>
    <n v="39119.800000000003"/>
    <n v="24.43"/>
    <n v="888.89"/>
    <x v="1686"/>
    <x v="1"/>
  </r>
  <r>
    <x v="0"/>
    <x v="0"/>
    <x v="4"/>
    <n v="31221.57"/>
    <n v="32289.599999999999"/>
    <n v="23.32"/>
    <n v="1300.9100000000001"/>
    <x v="1687"/>
    <x v="0"/>
  </r>
  <r>
    <x v="19"/>
    <x v="4"/>
    <x v="6"/>
    <n v="30291.51"/>
    <n v="35776.6"/>
    <n v="113.2"/>
    <n v="1209.8800000000001"/>
    <x v="1688"/>
    <x v="0"/>
  </r>
  <r>
    <x v="14"/>
    <x v="4"/>
    <x v="5"/>
    <n v="11796.42"/>
    <n v="13723.48"/>
    <n v="52.99"/>
    <n v="1266.3699999999999"/>
    <x v="1689"/>
    <x v="0"/>
  </r>
  <r>
    <x v="3"/>
    <x v="6"/>
    <x v="3"/>
    <n v="27579.78"/>
    <n v="32251.29"/>
    <n v="131.22999999999999"/>
    <n v="1034.96"/>
    <x v="1690"/>
    <x v="0"/>
  </r>
  <r>
    <x v="16"/>
    <x v="6"/>
    <x v="5"/>
    <n v="19800.419999999998"/>
    <n v="22212.63"/>
    <n v="50.24"/>
    <n v="41.4"/>
    <x v="1691"/>
    <x v="0"/>
  </r>
  <r>
    <x v="4"/>
    <x v="0"/>
    <x v="6"/>
    <n v="42079.37"/>
    <n v="44757.73"/>
    <n v="102.14"/>
    <n v="208.11"/>
    <x v="1692"/>
    <x v="0"/>
  </r>
  <r>
    <x v="4"/>
    <x v="6"/>
    <x v="2"/>
    <n v="15487.71"/>
    <n v="16640.68"/>
    <n v="182.23"/>
    <n v="364.41"/>
    <x v="1693"/>
    <x v="0"/>
  </r>
  <r>
    <x v="8"/>
    <x v="0"/>
    <x v="1"/>
    <n v="1838.52"/>
    <n v="2179.56"/>
    <n v="87.52"/>
    <n v="380.11"/>
    <x v="1694"/>
    <x v="0"/>
  </r>
  <r>
    <x v="1"/>
    <x v="2"/>
    <x v="7"/>
    <n v="1712.49"/>
    <n v="2031.46"/>
    <n v="101.2"/>
    <n v="878.61"/>
    <x v="1695"/>
    <x v="1"/>
  </r>
  <r>
    <x v="19"/>
    <x v="2"/>
    <x v="3"/>
    <n v="47671.19"/>
    <n v="44285.41"/>
    <n v="34.270000000000003"/>
    <n v="333.53"/>
    <x v="1696"/>
    <x v="1"/>
  </r>
  <r>
    <x v="3"/>
    <x v="3"/>
    <x v="3"/>
    <n v="7967.52"/>
    <n v="9053.5499999999993"/>
    <n v="78.260000000000005"/>
    <n v="1089.8499999999999"/>
    <x v="1697"/>
    <x v="1"/>
  </r>
  <r>
    <x v="5"/>
    <x v="2"/>
    <x v="5"/>
    <n v="41850.06"/>
    <n v="43474.2"/>
    <n v="66.45"/>
    <n v="216.97"/>
    <x v="1698"/>
    <x v="1"/>
  </r>
  <r>
    <x v="17"/>
    <x v="1"/>
    <x v="2"/>
    <n v="19720.77"/>
    <n v="22541.93"/>
    <n v="161.86000000000001"/>
    <n v="327.56"/>
    <x v="1699"/>
    <x v="1"/>
  </r>
  <r>
    <x v="16"/>
    <x v="1"/>
    <x v="2"/>
    <n v="31653.3"/>
    <n v="35258.379999999997"/>
    <n v="136.29"/>
    <n v="98.77"/>
    <x v="1700"/>
    <x v="1"/>
  </r>
  <r>
    <x v="0"/>
    <x v="3"/>
    <x v="1"/>
    <n v="37434.92"/>
    <n v="42099.74"/>
    <n v="41.77"/>
    <n v="620.77"/>
    <x v="1701"/>
    <x v="1"/>
  </r>
  <r>
    <x v="2"/>
    <x v="6"/>
    <x v="0"/>
    <n v="15888.42"/>
    <n v="15135.89"/>
    <n v="162.68"/>
    <n v="786.51"/>
    <x v="1702"/>
    <x v="0"/>
  </r>
  <r>
    <x v="6"/>
    <x v="6"/>
    <x v="6"/>
    <n v="19198.98"/>
    <n v="19713.53"/>
    <n v="78.709999999999994"/>
    <n v="1313.9"/>
    <x v="1703"/>
    <x v="0"/>
  </r>
  <r>
    <x v="9"/>
    <x v="0"/>
    <x v="1"/>
    <n v="31339.63"/>
    <n v="25846.28"/>
    <n v="92.33"/>
    <n v="934.34"/>
    <x v="1704"/>
    <x v="0"/>
  </r>
  <r>
    <x v="7"/>
    <x v="3"/>
    <x v="4"/>
    <n v="13361.44"/>
    <n v="12970.16"/>
    <n v="27.01"/>
    <n v="609.6"/>
    <x v="1705"/>
    <x v="1"/>
  </r>
  <r>
    <x v="10"/>
    <x v="6"/>
    <x v="4"/>
    <n v="26268.6"/>
    <n v="29249.71"/>
    <n v="23.25"/>
    <n v="1047.3699999999999"/>
    <x v="1706"/>
    <x v="0"/>
  </r>
  <r>
    <x v="13"/>
    <x v="5"/>
    <x v="7"/>
    <n v="19136.84"/>
    <n v="19596.66"/>
    <n v="99.03"/>
    <n v="926.63"/>
    <x v="1707"/>
    <x v="0"/>
  </r>
  <r>
    <x v="5"/>
    <x v="2"/>
    <x v="7"/>
    <n v="842.5"/>
    <n v="947.94"/>
    <n v="123.55"/>
    <n v="1097"/>
    <x v="1708"/>
    <x v="1"/>
  </r>
  <r>
    <x v="12"/>
    <x v="4"/>
    <x v="3"/>
    <n v="14796.26"/>
    <n v="15199.69"/>
    <n v="51.6"/>
    <n v="335.12"/>
    <x v="1709"/>
    <x v="0"/>
  </r>
  <r>
    <x v="6"/>
    <x v="3"/>
    <x v="2"/>
    <n v="38171.54"/>
    <n v="38081.43"/>
    <n v="140.05000000000001"/>
    <n v="340.75"/>
    <x v="1710"/>
    <x v="1"/>
  </r>
  <r>
    <x v="8"/>
    <x v="4"/>
    <x v="4"/>
    <n v="35651.410000000003"/>
    <n v="42058.68"/>
    <n v="107.05"/>
    <n v="1138.1199999999999"/>
    <x v="1711"/>
    <x v="0"/>
  </r>
  <r>
    <x v="19"/>
    <x v="5"/>
    <x v="0"/>
    <n v="8387.3799999999992"/>
    <n v="7124.6"/>
    <n v="48.27"/>
    <n v="416.51"/>
    <x v="1712"/>
    <x v="0"/>
  </r>
  <r>
    <x v="12"/>
    <x v="3"/>
    <x v="6"/>
    <n v="43166.14"/>
    <n v="42762.22"/>
    <n v="90.23"/>
    <n v="721.96"/>
    <x v="1713"/>
    <x v="1"/>
  </r>
  <r>
    <x v="0"/>
    <x v="6"/>
    <x v="2"/>
    <n v="25602.25"/>
    <n v="22353.88"/>
    <n v="118.49"/>
    <n v="749.89"/>
    <x v="1714"/>
    <x v="0"/>
  </r>
  <r>
    <x v="14"/>
    <x v="1"/>
    <x v="6"/>
    <n v="40757.120000000003"/>
    <n v="39501.14"/>
    <n v="123.04"/>
    <n v="668.61"/>
    <x v="1715"/>
    <x v="1"/>
  </r>
  <r>
    <x v="2"/>
    <x v="2"/>
    <x v="2"/>
    <n v="12295.52"/>
    <n v="12498.26"/>
    <n v="158.68"/>
    <n v="1210.98"/>
    <x v="1716"/>
    <x v="1"/>
  </r>
  <r>
    <x v="14"/>
    <x v="3"/>
    <x v="5"/>
    <n v="32745.8"/>
    <n v="29929.73"/>
    <n v="113.34"/>
    <n v="222.23"/>
    <x v="1717"/>
    <x v="1"/>
  </r>
  <r>
    <x v="19"/>
    <x v="3"/>
    <x v="4"/>
    <n v="45030.47"/>
    <n v="41196.589999999997"/>
    <n v="92.94"/>
    <n v="1119.04"/>
    <x v="1718"/>
    <x v="1"/>
  </r>
  <r>
    <x v="8"/>
    <x v="1"/>
    <x v="0"/>
    <n v="16373.89"/>
    <n v="14440.85"/>
    <n v="118.1"/>
    <n v="1242.49"/>
    <x v="1719"/>
    <x v="1"/>
  </r>
  <r>
    <x v="8"/>
    <x v="5"/>
    <x v="1"/>
    <n v="9209.33"/>
    <n v="10673.4"/>
    <n v="130.27000000000001"/>
    <n v="493.96"/>
    <x v="1720"/>
    <x v="0"/>
  </r>
  <r>
    <x v="12"/>
    <x v="2"/>
    <x v="5"/>
    <n v="49737.09"/>
    <n v="57141.36"/>
    <n v="48.65"/>
    <n v="291.33"/>
    <x v="1721"/>
    <x v="1"/>
  </r>
  <r>
    <x v="6"/>
    <x v="3"/>
    <x v="1"/>
    <n v="44233.62"/>
    <n v="48960.11"/>
    <n v="41.35"/>
    <n v="454.89"/>
    <x v="1722"/>
    <x v="1"/>
  </r>
  <r>
    <x v="19"/>
    <x v="1"/>
    <x v="7"/>
    <n v="6263.58"/>
    <n v="7038.29"/>
    <n v="183.38"/>
    <n v="1030.1400000000001"/>
    <x v="1723"/>
    <x v="1"/>
  </r>
  <r>
    <x v="19"/>
    <x v="1"/>
    <x v="1"/>
    <n v="46070.81"/>
    <n v="46684.82"/>
    <n v="58.47"/>
    <n v="674.67"/>
    <x v="1724"/>
    <x v="1"/>
  </r>
  <r>
    <x v="12"/>
    <x v="0"/>
    <x v="4"/>
    <n v="4238.6899999999996"/>
    <n v="4890.25"/>
    <n v="165.2"/>
    <n v="239.82"/>
    <x v="1725"/>
    <x v="0"/>
  </r>
  <r>
    <x v="11"/>
    <x v="5"/>
    <x v="2"/>
    <n v="27690.42"/>
    <n v="32462.18"/>
    <n v="94.21"/>
    <n v="1210"/>
    <x v="1726"/>
    <x v="0"/>
  </r>
  <r>
    <x v="2"/>
    <x v="6"/>
    <x v="7"/>
    <n v="43866.239999999998"/>
    <n v="38226.46"/>
    <n v="86.05"/>
    <n v="273.33"/>
    <x v="1727"/>
    <x v="0"/>
  </r>
  <r>
    <x v="8"/>
    <x v="2"/>
    <x v="1"/>
    <n v="29950.37"/>
    <n v="29371.74"/>
    <n v="80.39"/>
    <n v="1337.46"/>
    <x v="1728"/>
    <x v="1"/>
  </r>
  <r>
    <x v="4"/>
    <x v="4"/>
    <x v="3"/>
    <n v="47812.52"/>
    <n v="56261.23"/>
    <n v="86.12"/>
    <n v="719.57"/>
    <x v="1729"/>
    <x v="0"/>
  </r>
  <r>
    <x v="16"/>
    <x v="0"/>
    <x v="1"/>
    <n v="15618.75"/>
    <n v="17114.68"/>
    <n v="188.62"/>
    <n v="707.74"/>
    <x v="1730"/>
    <x v="0"/>
  </r>
  <r>
    <x v="14"/>
    <x v="1"/>
    <x v="7"/>
    <n v="6358.72"/>
    <n v="6242.26"/>
    <n v="85.89"/>
    <n v="220.23"/>
    <x v="1731"/>
    <x v="1"/>
  </r>
  <r>
    <x v="2"/>
    <x v="0"/>
    <x v="0"/>
    <n v="45407.23"/>
    <n v="41091.54"/>
    <n v="121.71"/>
    <n v="1285.6300000000001"/>
    <x v="1732"/>
    <x v="0"/>
  </r>
  <r>
    <x v="3"/>
    <x v="1"/>
    <x v="1"/>
    <n v="29885.99"/>
    <n v="28704.65"/>
    <n v="187.19"/>
    <n v="411.09"/>
    <x v="1733"/>
    <x v="1"/>
  </r>
  <r>
    <x v="8"/>
    <x v="0"/>
    <x v="3"/>
    <n v="45475.46"/>
    <n v="47403.78"/>
    <n v="172.04"/>
    <n v="326.18"/>
    <x v="1734"/>
    <x v="0"/>
  </r>
  <r>
    <x v="3"/>
    <x v="1"/>
    <x v="7"/>
    <n v="31197.91"/>
    <n v="28484.77"/>
    <n v="174.88"/>
    <n v="445.65"/>
    <x v="1735"/>
    <x v="1"/>
  </r>
  <r>
    <x v="9"/>
    <x v="1"/>
    <x v="7"/>
    <n v="48136.959999999999"/>
    <n v="43590.5"/>
    <n v="199.41"/>
    <n v="766.17"/>
    <x v="1736"/>
    <x v="1"/>
  </r>
  <r>
    <x v="4"/>
    <x v="1"/>
    <x v="0"/>
    <n v="42863.19"/>
    <n v="45929.85"/>
    <n v="115.61"/>
    <n v="143.68"/>
    <x v="1737"/>
    <x v="1"/>
  </r>
  <r>
    <x v="18"/>
    <x v="5"/>
    <x v="2"/>
    <n v="46417.62"/>
    <n v="37255.81"/>
    <n v="138.6"/>
    <n v="380.54"/>
    <x v="1738"/>
    <x v="0"/>
  </r>
  <r>
    <x v="17"/>
    <x v="0"/>
    <x v="6"/>
    <n v="32616.89"/>
    <n v="35818.75"/>
    <n v="105.35"/>
    <n v="39.85"/>
    <x v="1739"/>
    <x v="0"/>
  </r>
  <r>
    <x v="0"/>
    <x v="2"/>
    <x v="7"/>
    <n v="13151.02"/>
    <n v="12029.98"/>
    <n v="192.59"/>
    <n v="682.76"/>
    <x v="1740"/>
    <x v="1"/>
  </r>
  <r>
    <x v="1"/>
    <x v="5"/>
    <x v="1"/>
    <n v="8407.16"/>
    <n v="9735.68"/>
    <n v="45.43"/>
    <n v="1090.18"/>
    <x v="1741"/>
    <x v="0"/>
  </r>
  <r>
    <x v="16"/>
    <x v="2"/>
    <x v="5"/>
    <n v="48793.72"/>
    <n v="49727.43"/>
    <n v="83.06"/>
    <n v="557.59"/>
    <x v="1742"/>
    <x v="1"/>
  </r>
  <r>
    <x v="12"/>
    <x v="6"/>
    <x v="4"/>
    <n v="24587.1"/>
    <n v="22971.14"/>
    <n v="154.22"/>
    <n v="931.39"/>
    <x v="1743"/>
    <x v="0"/>
  </r>
  <r>
    <x v="13"/>
    <x v="5"/>
    <x v="5"/>
    <n v="36997.75"/>
    <n v="32085.61"/>
    <n v="132.83000000000001"/>
    <n v="328.22"/>
    <x v="1744"/>
    <x v="0"/>
  </r>
  <r>
    <x v="6"/>
    <x v="6"/>
    <x v="3"/>
    <n v="32872.5"/>
    <n v="33542.22"/>
    <n v="68"/>
    <n v="577.39"/>
    <x v="1745"/>
    <x v="0"/>
  </r>
  <r>
    <x v="8"/>
    <x v="4"/>
    <x v="1"/>
    <n v="46211.12"/>
    <n v="50732.08"/>
    <n v="34.520000000000003"/>
    <n v="272.31"/>
    <x v="1746"/>
    <x v="0"/>
  </r>
  <r>
    <x v="16"/>
    <x v="5"/>
    <x v="3"/>
    <n v="32319.53"/>
    <n v="26371.64"/>
    <n v="150.85"/>
    <n v="1200.42"/>
    <x v="1747"/>
    <x v="0"/>
  </r>
  <r>
    <x v="19"/>
    <x v="0"/>
    <x v="6"/>
    <n v="42721.72"/>
    <n v="50891.26"/>
    <n v="88.01"/>
    <n v="1245.72"/>
    <x v="1748"/>
    <x v="0"/>
  </r>
  <r>
    <x v="1"/>
    <x v="6"/>
    <x v="2"/>
    <n v="29330.49"/>
    <n v="33250.36"/>
    <n v="66.989999999999995"/>
    <n v="1316.42"/>
    <x v="1749"/>
    <x v="0"/>
  </r>
  <r>
    <x v="17"/>
    <x v="4"/>
    <x v="6"/>
    <n v="1004.76"/>
    <n v="1073.82"/>
    <n v="114.15"/>
    <n v="136.91999999999999"/>
    <x v="1750"/>
    <x v="0"/>
  </r>
  <r>
    <x v="18"/>
    <x v="2"/>
    <x v="7"/>
    <n v="42578.559999999998"/>
    <n v="47128.22"/>
    <n v="110.62"/>
    <n v="343.53"/>
    <x v="1751"/>
    <x v="1"/>
  </r>
  <r>
    <x v="12"/>
    <x v="0"/>
    <x v="2"/>
    <n v="2333.9299999999998"/>
    <n v="2756.35"/>
    <n v="87.33"/>
    <n v="487.62"/>
    <x v="1752"/>
    <x v="0"/>
  </r>
  <r>
    <x v="10"/>
    <x v="1"/>
    <x v="4"/>
    <n v="6583.48"/>
    <n v="7133.03"/>
    <n v="53.19"/>
    <n v="1238.58"/>
    <x v="1753"/>
    <x v="1"/>
  </r>
  <r>
    <x v="7"/>
    <x v="2"/>
    <x v="1"/>
    <n v="32124.53"/>
    <n v="30188.52"/>
    <n v="27.19"/>
    <n v="1275.71"/>
    <x v="1754"/>
    <x v="1"/>
  </r>
  <r>
    <x v="8"/>
    <x v="1"/>
    <x v="7"/>
    <n v="9672.11"/>
    <n v="11579.58"/>
    <n v="139.34"/>
    <n v="899.64"/>
    <x v="1755"/>
    <x v="1"/>
  </r>
  <r>
    <x v="8"/>
    <x v="6"/>
    <x v="6"/>
    <n v="3055.17"/>
    <n v="2893.18"/>
    <n v="171.78"/>
    <n v="91.83"/>
    <x v="1756"/>
    <x v="0"/>
  </r>
  <r>
    <x v="15"/>
    <x v="4"/>
    <x v="4"/>
    <n v="37577.43"/>
    <n v="40347.57"/>
    <n v="198.46"/>
    <n v="662.1"/>
    <x v="1757"/>
    <x v="0"/>
  </r>
  <r>
    <x v="2"/>
    <x v="2"/>
    <x v="6"/>
    <n v="40808.559999999998"/>
    <n v="36086.339999999997"/>
    <n v="52.59"/>
    <n v="833.59"/>
    <x v="1758"/>
    <x v="1"/>
  </r>
  <r>
    <x v="14"/>
    <x v="3"/>
    <x v="1"/>
    <n v="47536.2"/>
    <n v="46886.22"/>
    <n v="84.49"/>
    <n v="376.19"/>
    <x v="1759"/>
    <x v="1"/>
  </r>
  <r>
    <x v="16"/>
    <x v="5"/>
    <x v="6"/>
    <n v="3917.88"/>
    <n v="3911.94"/>
    <n v="197.97"/>
    <n v="1016.55"/>
    <x v="1760"/>
    <x v="0"/>
  </r>
  <r>
    <x v="16"/>
    <x v="5"/>
    <x v="1"/>
    <n v="43527.28"/>
    <n v="49663.05"/>
    <n v="65.95"/>
    <n v="682.47"/>
    <x v="1761"/>
    <x v="0"/>
  </r>
  <r>
    <x v="0"/>
    <x v="5"/>
    <x v="6"/>
    <n v="7946.8"/>
    <n v="8273.06"/>
    <n v="163.25"/>
    <n v="586.75"/>
    <x v="1762"/>
    <x v="0"/>
  </r>
  <r>
    <x v="0"/>
    <x v="1"/>
    <x v="6"/>
    <n v="49145.2"/>
    <n v="52483.15"/>
    <n v="198.37"/>
    <n v="430.64"/>
    <x v="1763"/>
    <x v="1"/>
  </r>
  <r>
    <x v="3"/>
    <x v="0"/>
    <x v="4"/>
    <n v="23747.67"/>
    <n v="28401.18"/>
    <n v="96.21"/>
    <n v="1197.29"/>
    <x v="1764"/>
    <x v="0"/>
  </r>
  <r>
    <x v="12"/>
    <x v="5"/>
    <x v="0"/>
    <n v="34048.36"/>
    <n v="32944.379999999997"/>
    <n v="124.93"/>
    <n v="652.76"/>
    <x v="1765"/>
    <x v="0"/>
  </r>
  <r>
    <x v="5"/>
    <x v="3"/>
    <x v="4"/>
    <n v="12728.31"/>
    <n v="12115.94"/>
    <n v="55.08"/>
    <n v="760.37"/>
    <x v="1766"/>
    <x v="1"/>
  </r>
  <r>
    <x v="18"/>
    <x v="1"/>
    <x v="0"/>
    <n v="15263.75"/>
    <n v="14975.08"/>
    <n v="87.9"/>
    <n v="111.01"/>
    <x v="1767"/>
    <x v="1"/>
  </r>
  <r>
    <x v="5"/>
    <x v="0"/>
    <x v="0"/>
    <n v="25980.61"/>
    <n v="26860.13"/>
    <n v="96.51"/>
    <n v="1285.32"/>
    <x v="1768"/>
    <x v="0"/>
  </r>
  <r>
    <x v="19"/>
    <x v="2"/>
    <x v="0"/>
    <n v="23351.45"/>
    <n v="19223.95"/>
    <n v="94.34"/>
    <n v="771.32"/>
    <x v="1769"/>
    <x v="1"/>
  </r>
  <r>
    <x v="2"/>
    <x v="0"/>
    <x v="6"/>
    <n v="25607.91"/>
    <n v="29545.06"/>
    <n v="198.37"/>
    <n v="1391.05"/>
    <x v="1770"/>
    <x v="0"/>
  </r>
  <r>
    <x v="15"/>
    <x v="3"/>
    <x v="2"/>
    <n v="31029.16"/>
    <n v="29166.87"/>
    <n v="146.09"/>
    <n v="184.15"/>
    <x v="1771"/>
    <x v="1"/>
  </r>
  <r>
    <x v="2"/>
    <x v="0"/>
    <x v="4"/>
    <n v="35661.980000000003"/>
    <n v="39208.050000000003"/>
    <n v="146.85"/>
    <n v="789.28"/>
    <x v="1772"/>
    <x v="0"/>
  </r>
  <r>
    <x v="5"/>
    <x v="3"/>
    <x v="3"/>
    <n v="43886.44"/>
    <n v="39205.980000000003"/>
    <n v="51.59"/>
    <n v="1135.3"/>
    <x v="1773"/>
    <x v="1"/>
  </r>
  <r>
    <x v="6"/>
    <x v="0"/>
    <x v="5"/>
    <n v="3525.68"/>
    <n v="2933.31"/>
    <n v="34.54"/>
    <n v="1208.58"/>
    <x v="1774"/>
    <x v="0"/>
  </r>
  <r>
    <x v="13"/>
    <x v="5"/>
    <x v="5"/>
    <n v="31664.31"/>
    <n v="37376.19"/>
    <n v="133.71"/>
    <n v="112.87"/>
    <x v="1775"/>
    <x v="0"/>
  </r>
  <r>
    <x v="11"/>
    <x v="2"/>
    <x v="6"/>
    <n v="13448.93"/>
    <n v="11774.96"/>
    <n v="99.43"/>
    <n v="250.36"/>
    <x v="1776"/>
    <x v="1"/>
  </r>
  <r>
    <x v="0"/>
    <x v="0"/>
    <x v="2"/>
    <n v="43769.49"/>
    <n v="41760.1"/>
    <n v="84.39"/>
    <n v="608.12"/>
    <x v="1777"/>
    <x v="0"/>
  </r>
  <r>
    <x v="12"/>
    <x v="1"/>
    <x v="1"/>
    <n v="46237.24"/>
    <n v="45419.13"/>
    <n v="117.46"/>
    <n v="303.70999999999998"/>
    <x v="1778"/>
    <x v="1"/>
  </r>
  <r>
    <x v="6"/>
    <x v="2"/>
    <x v="1"/>
    <n v="40338.019999999997"/>
    <n v="32405.22"/>
    <n v="42.45"/>
    <n v="153.05000000000001"/>
    <x v="1779"/>
    <x v="1"/>
  </r>
  <r>
    <x v="2"/>
    <x v="2"/>
    <x v="3"/>
    <n v="10440.31"/>
    <n v="9644.16"/>
    <n v="84.2"/>
    <n v="1143.5899999999999"/>
    <x v="1780"/>
    <x v="1"/>
  </r>
  <r>
    <x v="16"/>
    <x v="3"/>
    <x v="5"/>
    <n v="39155.040000000001"/>
    <n v="32634.58"/>
    <n v="151.69"/>
    <n v="610.65"/>
    <x v="1781"/>
    <x v="1"/>
  </r>
  <r>
    <x v="19"/>
    <x v="5"/>
    <x v="3"/>
    <n v="30834.13"/>
    <n v="26750.37"/>
    <n v="86.68"/>
    <n v="160.97"/>
    <x v="1782"/>
    <x v="0"/>
  </r>
  <r>
    <x v="15"/>
    <x v="5"/>
    <x v="6"/>
    <n v="6285.01"/>
    <n v="6861.76"/>
    <n v="175.93"/>
    <n v="862.5"/>
    <x v="1783"/>
    <x v="0"/>
  </r>
  <r>
    <x v="4"/>
    <x v="4"/>
    <x v="4"/>
    <n v="1573.89"/>
    <n v="1575.94"/>
    <n v="33.53"/>
    <n v="11.46"/>
    <x v="1784"/>
    <x v="0"/>
  </r>
  <r>
    <x v="5"/>
    <x v="4"/>
    <x v="5"/>
    <n v="47358.45"/>
    <n v="55900.26"/>
    <n v="39.08"/>
    <n v="847.2"/>
    <x v="1785"/>
    <x v="0"/>
  </r>
  <r>
    <x v="7"/>
    <x v="4"/>
    <x v="4"/>
    <n v="32406.6"/>
    <n v="32328.11"/>
    <n v="91.75"/>
    <n v="177.99"/>
    <x v="1786"/>
    <x v="0"/>
  </r>
  <r>
    <x v="8"/>
    <x v="6"/>
    <x v="2"/>
    <n v="9051.5499999999993"/>
    <n v="7530.28"/>
    <n v="122.73"/>
    <n v="228.58"/>
    <x v="1787"/>
    <x v="0"/>
  </r>
  <r>
    <x v="3"/>
    <x v="3"/>
    <x v="2"/>
    <n v="45066.06"/>
    <n v="49348.46"/>
    <n v="145.63"/>
    <n v="1298.8399999999999"/>
    <x v="1788"/>
    <x v="1"/>
  </r>
  <r>
    <x v="9"/>
    <x v="6"/>
    <x v="2"/>
    <n v="47081.61"/>
    <n v="45557.24"/>
    <n v="136.57"/>
    <n v="288.76"/>
    <x v="1789"/>
    <x v="0"/>
  </r>
  <r>
    <x v="17"/>
    <x v="2"/>
    <x v="7"/>
    <n v="7353.5"/>
    <n v="6107.4"/>
    <n v="166.22"/>
    <n v="123.76"/>
    <x v="1790"/>
    <x v="1"/>
  </r>
  <r>
    <x v="11"/>
    <x v="5"/>
    <x v="7"/>
    <n v="45408.01"/>
    <n v="51287.28"/>
    <n v="94.93"/>
    <n v="436.99"/>
    <x v="1791"/>
    <x v="0"/>
  </r>
  <r>
    <x v="6"/>
    <x v="4"/>
    <x v="5"/>
    <n v="39429.65"/>
    <n v="37256.49"/>
    <n v="26.06"/>
    <n v="584.29999999999995"/>
    <x v="1792"/>
    <x v="0"/>
  </r>
  <r>
    <x v="2"/>
    <x v="6"/>
    <x v="2"/>
    <n v="32712.11"/>
    <n v="30451.14"/>
    <n v="140.59"/>
    <n v="359.67"/>
    <x v="1793"/>
    <x v="0"/>
  </r>
  <r>
    <x v="5"/>
    <x v="2"/>
    <x v="6"/>
    <n v="31398.560000000001"/>
    <n v="35945.1"/>
    <n v="29.25"/>
    <n v="627.03"/>
    <x v="1794"/>
    <x v="1"/>
  </r>
  <r>
    <x v="5"/>
    <x v="6"/>
    <x v="3"/>
    <n v="8367.92"/>
    <n v="8949.16"/>
    <n v="168.54"/>
    <n v="1387.92"/>
    <x v="1795"/>
    <x v="0"/>
  </r>
  <r>
    <x v="13"/>
    <x v="1"/>
    <x v="0"/>
    <n v="15003.92"/>
    <n v="13428.76"/>
    <n v="70.34"/>
    <n v="1150.31"/>
    <x v="1796"/>
    <x v="1"/>
  </r>
  <r>
    <x v="11"/>
    <x v="0"/>
    <x v="2"/>
    <n v="49131.040000000001"/>
    <n v="49173.08"/>
    <n v="150.52000000000001"/>
    <n v="148.4"/>
    <x v="1797"/>
    <x v="0"/>
  </r>
  <r>
    <x v="1"/>
    <x v="1"/>
    <x v="0"/>
    <n v="4892.76"/>
    <n v="5052.8599999999997"/>
    <n v="28.46"/>
    <n v="981.08"/>
    <x v="1798"/>
    <x v="1"/>
  </r>
  <r>
    <x v="17"/>
    <x v="5"/>
    <x v="0"/>
    <n v="30764.52"/>
    <n v="28671.75"/>
    <n v="47.98"/>
    <n v="1127.76"/>
    <x v="1799"/>
    <x v="0"/>
  </r>
  <r>
    <x v="12"/>
    <x v="1"/>
    <x v="5"/>
    <n v="517.61"/>
    <n v="576.78"/>
    <n v="60.93"/>
    <n v="245.82"/>
    <x v="1800"/>
    <x v="1"/>
  </r>
  <r>
    <x v="13"/>
    <x v="4"/>
    <x v="4"/>
    <n v="19970.490000000002"/>
    <n v="22580.080000000002"/>
    <n v="65.239999999999995"/>
    <n v="1239.8900000000001"/>
    <x v="1801"/>
    <x v="0"/>
  </r>
  <r>
    <x v="7"/>
    <x v="3"/>
    <x v="7"/>
    <n v="33519.800000000003"/>
    <n v="36757.81"/>
    <n v="161.69"/>
    <n v="276.08"/>
    <x v="1802"/>
    <x v="1"/>
  </r>
  <r>
    <x v="3"/>
    <x v="6"/>
    <x v="3"/>
    <n v="46643.08"/>
    <n v="49785.97"/>
    <n v="34.1"/>
    <n v="1310.7"/>
    <x v="1803"/>
    <x v="0"/>
  </r>
  <r>
    <x v="1"/>
    <x v="3"/>
    <x v="2"/>
    <n v="26014.74"/>
    <n v="22046.11"/>
    <n v="139.72"/>
    <n v="30.95"/>
    <x v="1804"/>
    <x v="1"/>
  </r>
  <r>
    <x v="7"/>
    <x v="5"/>
    <x v="7"/>
    <n v="3799.48"/>
    <n v="3099.82"/>
    <n v="156.94"/>
    <n v="1337.82"/>
    <x v="1805"/>
    <x v="0"/>
  </r>
  <r>
    <x v="13"/>
    <x v="4"/>
    <x v="0"/>
    <n v="14126.29"/>
    <n v="16893.560000000001"/>
    <n v="175.41"/>
    <n v="875.65"/>
    <x v="1806"/>
    <x v="0"/>
  </r>
  <r>
    <x v="17"/>
    <x v="4"/>
    <x v="4"/>
    <n v="45602.44"/>
    <n v="40879.26"/>
    <n v="149.76"/>
    <n v="951.58"/>
    <x v="1807"/>
    <x v="0"/>
  </r>
  <r>
    <x v="8"/>
    <x v="5"/>
    <x v="7"/>
    <n v="41470.400000000001"/>
    <n v="45018.64"/>
    <n v="105.89"/>
    <n v="873"/>
    <x v="1808"/>
    <x v="0"/>
  </r>
  <r>
    <x v="0"/>
    <x v="1"/>
    <x v="6"/>
    <n v="27743.51"/>
    <n v="25956.39"/>
    <n v="91.64"/>
    <n v="163.76"/>
    <x v="1809"/>
    <x v="1"/>
  </r>
  <r>
    <x v="9"/>
    <x v="2"/>
    <x v="2"/>
    <n v="38649.18"/>
    <n v="31579.18"/>
    <n v="56.11"/>
    <n v="814.16"/>
    <x v="1810"/>
    <x v="1"/>
  </r>
  <r>
    <x v="0"/>
    <x v="5"/>
    <x v="5"/>
    <n v="36479.51"/>
    <n v="40488.370000000003"/>
    <n v="167.63"/>
    <n v="146.37"/>
    <x v="1811"/>
    <x v="0"/>
  </r>
  <r>
    <x v="2"/>
    <x v="4"/>
    <x v="3"/>
    <n v="17394.53"/>
    <n v="18757.29"/>
    <n v="154.52000000000001"/>
    <n v="359.36"/>
    <x v="1812"/>
    <x v="0"/>
  </r>
  <r>
    <x v="4"/>
    <x v="0"/>
    <x v="1"/>
    <n v="30287.13"/>
    <n v="28878.12"/>
    <n v="54.33"/>
    <n v="596.44000000000005"/>
    <x v="1813"/>
    <x v="0"/>
  </r>
  <r>
    <x v="13"/>
    <x v="1"/>
    <x v="0"/>
    <n v="26025.35"/>
    <n v="26034.02"/>
    <n v="75.12"/>
    <n v="256.32"/>
    <x v="1814"/>
    <x v="1"/>
  </r>
  <r>
    <x v="6"/>
    <x v="4"/>
    <x v="6"/>
    <n v="23048.799999999999"/>
    <n v="27491.11"/>
    <n v="142.76"/>
    <n v="1006.54"/>
    <x v="1815"/>
    <x v="0"/>
  </r>
  <r>
    <x v="18"/>
    <x v="2"/>
    <x v="1"/>
    <n v="19438.29"/>
    <n v="22652.07"/>
    <n v="86.85"/>
    <n v="865.23"/>
    <x v="1816"/>
    <x v="1"/>
  </r>
  <r>
    <x v="17"/>
    <x v="0"/>
    <x v="1"/>
    <n v="40107.69"/>
    <n v="32976.720000000001"/>
    <n v="95.88"/>
    <n v="40.19"/>
    <x v="1817"/>
    <x v="0"/>
  </r>
  <r>
    <x v="19"/>
    <x v="1"/>
    <x v="6"/>
    <n v="19155.88"/>
    <n v="17069.740000000002"/>
    <n v="33.68"/>
    <n v="12.54"/>
    <x v="1818"/>
    <x v="1"/>
  </r>
  <r>
    <x v="16"/>
    <x v="3"/>
    <x v="5"/>
    <n v="21004.82"/>
    <n v="16927.09"/>
    <n v="109.2"/>
    <n v="840.09"/>
    <x v="1819"/>
    <x v="1"/>
  </r>
  <r>
    <x v="4"/>
    <x v="2"/>
    <x v="2"/>
    <n v="47035.68"/>
    <n v="52552.41"/>
    <n v="43.53"/>
    <n v="187.69"/>
    <x v="1820"/>
    <x v="1"/>
  </r>
  <r>
    <x v="7"/>
    <x v="0"/>
    <x v="3"/>
    <n v="17002.3"/>
    <n v="18242.84"/>
    <n v="150.77000000000001"/>
    <n v="112.79"/>
    <x v="1821"/>
    <x v="0"/>
  </r>
  <r>
    <x v="0"/>
    <x v="3"/>
    <x v="5"/>
    <n v="30731.56"/>
    <n v="35981.040000000001"/>
    <n v="185.96"/>
    <n v="986.66"/>
    <x v="1822"/>
    <x v="1"/>
  </r>
  <r>
    <x v="17"/>
    <x v="6"/>
    <x v="7"/>
    <n v="13499.98"/>
    <n v="13593.82"/>
    <n v="136.44999999999999"/>
    <n v="778.31"/>
    <x v="1823"/>
    <x v="0"/>
  </r>
  <r>
    <x v="13"/>
    <x v="3"/>
    <x v="2"/>
    <n v="14592.73"/>
    <n v="14443.07"/>
    <n v="76.33"/>
    <n v="752.73"/>
    <x v="1824"/>
    <x v="1"/>
  </r>
  <r>
    <x v="10"/>
    <x v="3"/>
    <x v="2"/>
    <n v="28942.01"/>
    <n v="26738.86"/>
    <n v="47.05"/>
    <n v="879.48"/>
    <x v="1825"/>
    <x v="1"/>
  </r>
  <r>
    <x v="9"/>
    <x v="2"/>
    <x v="6"/>
    <n v="8312.01"/>
    <n v="7442.82"/>
    <n v="106.56"/>
    <n v="929.78"/>
    <x v="1826"/>
    <x v="1"/>
  </r>
  <r>
    <x v="13"/>
    <x v="6"/>
    <x v="1"/>
    <n v="16770.54"/>
    <n v="14492.63"/>
    <n v="131.47999999999999"/>
    <n v="380.8"/>
    <x v="1827"/>
    <x v="0"/>
  </r>
  <r>
    <x v="11"/>
    <x v="4"/>
    <x v="1"/>
    <n v="46680.480000000003"/>
    <n v="40190.28"/>
    <n v="28.28"/>
    <n v="24.19"/>
    <x v="1828"/>
    <x v="0"/>
  </r>
  <r>
    <x v="10"/>
    <x v="4"/>
    <x v="1"/>
    <n v="18248.77"/>
    <n v="16599.39"/>
    <n v="152.43"/>
    <n v="417.82"/>
    <x v="1829"/>
    <x v="0"/>
  </r>
  <r>
    <x v="4"/>
    <x v="3"/>
    <x v="0"/>
    <n v="12090.15"/>
    <n v="10281.780000000001"/>
    <n v="193.08"/>
    <n v="1288.6500000000001"/>
    <x v="1830"/>
    <x v="1"/>
  </r>
  <r>
    <x v="19"/>
    <x v="5"/>
    <x v="4"/>
    <n v="47227.73"/>
    <n v="40158.85"/>
    <n v="28.15"/>
    <n v="909.21"/>
    <x v="1831"/>
    <x v="0"/>
  </r>
  <r>
    <x v="14"/>
    <x v="5"/>
    <x v="3"/>
    <n v="21466.799999999999"/>
    <n v="20122.080000000002"/>
    <n v="128.44"/>
    <n v="1146.07"/>
    <x v="1832"/>
    <x v="0"/>
  </r>
  <r>
    <x v="15"/>
    <x v="4"/>
    <x v="4"/>
    <n v="26569.77"/>
    <n v="27208.17"/>
    <n v="102.15"/>
    <n v="291.69"/>
    <x v="1833"/>
    <x v="0"/>
  </r>
  <r>
    <x v="3"/>
    <x v="5"/>
    <x v="7"/>
    <n v="37429.54"/>
    <n v="39656.050000000003"/>
    <n v="55.44"/>
    <n v="384.5"/>
    <x v="1834"/>
    <x v="0"/>
  </r>
  <r>
    <x v="1"/>
    <x v="3"/>
    <x v="3"/>
    <n v="41578.83"/>
    <n v="37298.89"/>
    <n v="136.07"/>
    <n v="901.48"/>
    <x v="1835"/>
    <x v="1"/>
  </r>
  <r>
    <x v="17"/>
    <x v="6"/>
    <x v="5"/>
    <n v="45191.43"/>
    <n v="45956.79"/>
    <n v="57.02"/>
    <n v="1271.31"/>
    <x v="1836"/>
    <x v="0"/>
  </r>
  <r>
    <x v="19"/>
    <x v="1"/>
    <x v="5"/>
    <n v="34891.839999999997"/>
    <n v="31559.15"/>
    <n v="141.44999999999999"/>
    <n v="434.77"/>
    <x v="1837"/>
    <x v="1"/>
  </r>
  <r>
    <x v="16"/>
    <x v="4"/>
    <x v="6"/>
    <n v="26035.57"/>
    <n v="24115.43"/>
    <n v="39.01"/>
    <n v="1082.3399999999999"/>
    <x v="1838"/>
    <x v="0"/>
  </r>
  <r>
    <x v="13"/>
    <x v="0"/>
    <x v="5"/>
    <n v="12016.56"/>
    <n v="10628.92"/>
    <n v="110.62"/>
    <n v="331.49"/>
    <x v="1839"/>
    <x v="0"/>
  </r>
  <r>
    <x v="9"/>
    <x v="1"/>
    <x v="5"/>
    <n v="5391.43"/>
    <n v="6068.79"/>
    <n v="138.09"/>
    <n v="122.74"/>
    <x v="1840"/>
    <x v="1"/>
  </r>
  <r>
    <x v="11"/>
    <x v="4"/>
    <x v="2"/>
    <n v="27923.07"/>
    <n v="29009.89"/>
    <n v="111.9"/>
    <n v="1185.6500000000001"/>
    <x v="1841"/>
    <x v="0"/>
  </r>
  <r>
    <x v="10"/>
    <x v="6"/>
    <x v="3"/>
    <n v="38838.74"/>
    <n v="32123.22"/>
    <n v="136.85"/>
    <n v="1160.6500000000001"/>
    <x v="1842"/>
    <x v="0"/>
  </r>
  <r>
    <x v="18"/>
    <x v="4"/>
    <x v="6"/>
    <n v="21937.45"/>
    <n v="23241.1"/>
    <n v="87.89"/>
    <n v="831.96"/>
    <x v="1843"/>
    <x v="0"/>
  </r>
  <r>
    <x v="15"/>
    <x v="0"/>
    <x v="6"/>
    <n v="4023.38"/>
    <n v="3768.31"/>
    <n v="110.69"/>
    <n v="1141.3"/>
    <x v="1844"/>
    <x v="0"/>
  </r>
  <r>
    <x v="10"/>
    <x v="0"/>
    <x v="5"/>
    <n v="39724.75"/>
    <n v="34944.07"/>
    <n v="83.38"/>
    <n v="77.92"/>
    <x v="1845"/>
    <x v="0"/>
  </r>
  <r>
    <x v="16"/>
    <x v="4"/>
    <x v="1"/>
    <n v="26122.94"/>
    <n v="29785.58"/>
    <n v="95.83"/>
    <n v="1076.6300000000001"/>
    <x v="1846"/>
    <x v="0"/>
  </r>
  <r>
    <x v="2"/>
    <x v="6"/>
    <x v="5"/>
    <n v="48970.79"/>
    <n v="41489.980000000003"/>
    <n v="73.84"/>
    <n v="27.3"/>
    <x v="1847"/>
    <x v="0"/>
  </r>
  <r>
    <x v="19"/>
    <x v="3"/>
    <x v="0"/>
    <n v="36283.83"/>
    <n v="41217.279999999999"/>
    <n v="56.31"/>
    <n v="729"/>
    <x v="1848"/>
    <x v="1"/>
  </r>
  <r>
    <x v="9"/>
    <x v="3"/>
    <x v="4"/>
    <n v="15071.26"/>
    <n v="16957.71"/>
    <n v="146.47"/>
    <n v="254.85"/>
    <x v="1849"/>
    <x v="1"/>
  </r>
  <r>
    <x v="10"/>
    <x v="0"/>
    <x v="2"/>
    <n v="38345.980000000003"/>
    <n v="44353.29"/>
    <n v="101.99"/>
    <n v="1019.78"/>
    <x v="1850"/>
    <x v="0"/>
  </r>
  <r>
    <x v="18"/>
    <x v="2"/>
    <x v="7"/>
    <n v="28659.64"/>
    <n v="33469.89"/>
    <n v="43.48"/>
    <n v="448.9"/>
    <x v="1851"/>
    <x v="1"/>
  </r>
  <r>
    <x v="19"/>
    <x v="2"/>
    <x v="6"/>
    <n v="22853.53"/>
    <n v="19743.52"/>
    <n v="118.02"/>
    <n v="1219.8399999999999"/>
    <x v="1852"/>
    <x v="1"/>
  </r>
  <r>
    <x v="18"/>
    <x v="3"/>
    <x v="4"/>
    <n v="42576.12"/>
    <n v="36608.89"/>
    <n v="122.1"/>
    <n v="232.32"/>
    <x v="1853"/>
    <x v="1"/>
  </r>
  <r>
    <x v="2"/>
    <x v="6"/>
    <x v="1"/>
    <n v="8655.9699999999993"/>
    <n v="8339.86"/>
    <n v="63.27"/>
    <n v="844.44"/>
    <x v="1854"/>
    <x v="0"/>
  </r>
  <r>
    <x v="5"/>
    <x v="6"/>
    <x v="7"/>
    <n v="37735.89"/>
    <n v="40260.269999999997"/>
    <n v="196.73"/>
    <n v="810.25"/>
    <x v="1855"/>
    <x v="0"/>
  </r>
  <r>
    <x v="2"/>
    <x v="3"/>
    <x v="5"/>
    <n v="9932.43"/>
    <n v="8383.34"/>
    <n v="120.27"/>
    <n v="908.01"/>
    <x v="1856"/>
    <x v="1"/>
  </r>
  <r>
    <x v="11"/>
    <x v="3"/>
    <x v="0"/>
    <n v="6032.18"/>
    <n v="6151.26"/>
    <n v="112.3"/>
    <n v="1332.45"/>
    <x v="1857"/>
    <x v="1"/>
  </r>
  <r>
    <x v="12"/>
    <x v="4"/>
    <x v="3"/>
    <n v="26056.17"/>
    <n v="24413.84"/>
    <n v="117.2"/>
    <n v="57.76"/>
    <x v="1858"/>
    <x v="0"/>
  </r>
  <r>
    <x v="9"/>
    <x v="4"/>
    <x v="7"/>
    <n v="14604.16"/>
    <n v="15194.73"/>
    <n v="36.29"/>
    <n v="339.27"/>
    <x v="1859"/>
    <x v="0"/>
  </r>
  <r>
    <x v="9"/>
    <x v="0"/>
    <x v="4"/>
    <n v="16844.8"/>
    <n v="17224.3"/>
    <n v="75.56"/>
    <n v="775.03"/>
    <x v="1860"/>
    <x v="0"/>
  </r>
  <r>
    <x v="17"/>
    <x v="2"/>
    <x v="6"/>
    <n v="39730.81"/>
    <n v="44325.47"/>
    <n v="163.16"/>
    <n v="61.71"/>
    <x v="1861"/>
    <x v="1"/>
  </r>
  <r>
    <x v="2"/>
    <x v="4"/>
    <x v="1"/>
    <n v="20966.82"/>
    <n v="19596.060000000001"/>
    <n v="193.47"/>
    <n v="415.21"/>
    <x v="1862"/>
    <x v="0"/>
  </r>
  <r>
    <x v="13"/>
    <x v="0"/>
    <x v="3"/>
    <n v="29516.12"/>
    <n v="35036.839999999997"/>
    <n v="56.48"/>
    <n v="155.84"/>
    <x v="1863"/>
    <x v="0"/>
  </r>
  <r>
    <x v="4"/>
    <x v="2"/>
    <x v="0"/>
    <n v="20208.419999999998"/>
    <n v="19286.57"/>
    <n v="182.45"/>
    <n v="1016.39"/>
    <x v="1864"/>
    <x v="1"/>
  </r>
  <r>
    <x v="8"/>
    <x v="6"/>
    <x v="7"/>
    <n v="26406.09"/>
    <n v="23352.92"/>
    <n v="101.98"/>
    <n v="386.6"/>
    <x v="1865"/>
    <x v="0"/>
  </r>
  <r>
    <x v="0"/>
    <x v="6"/>
    <x v="6"/>
    <n v="21547.95"/>
    <n v="21574.32"/>
    <n v="167.36"/>
    <n v="362.97"/>
    <x v="1866"/>
    <x v="0"/>
  </r>
  <r>
    <x v="13"/>
    <x v="1"/>
    <x v="2"/>
    <n v="25959.21"/>
    <n v="25386.49"/>
    <n v="92.56"/>
    <n v="304.05"/>
    <x v="1867"/>
    <x v="1"/>
  </r>
  <r>
    <x v="15"/>
    <x v="0"/>
    <x v="3"/>
    <n v="31050.98"/>
    <n v="24975.82"/>
    <n v="132.83000000000001"/>
    <n v="906.59"/>
    <x v="1868"/>
    <x v="0"/>
  </r>
  <r>
    <x v="7"/>
    <x v="2"/>
    <x v="6"/>
    <n v="22382.54"/>
    <n v="23012.5"/>
    <n v="57.26"/>
    <n v="1333.93"/>
    <x v="1869"/>
    <x v="1"/>
  </r>
  <r>
    <x v="19"/>
    <x v="2"/>
    <x v="4"/>
    <n v="23202.62"/>
    <n v="25711.18"/>
    <n v="108.2"/>
    <n v="58.44"/>
    <x v="1870"/>
    <x v="1"/>
  </r>
  <r>
    <x v="0"/>
    <x v="1"/>
    <x v="5"/>
    <n v="46452.95"/>
    <n v="49081.57"/>
    <n v="176.89"/>
    <n v="476.77"/>
    <x v="1871"/>
    <x v="1"/>
  </r>
  <r>
    <x v="4"/>
    <x v="1"/>
    <x v="6"/>
    <n v="16327.38"/>
    <n v="18419.43"/>
    <n v="133.81"/>
    <n v="823.27"/>
    <x v="1872"/>
    <x v="1"/>
  </r>
  <r>
    <x v="4"/>
    <x v="4"/>
    <x v="7"/>
    <n v="37938.86"/>
    <n v="34421.72"/>
    <n v="141.38999999999999"/>
    <n v="1149.53"/>
    <x v="1873"/>
    <x v="0"/>
  </r>
  <r>
    <x v="11"/>
    <x v="3"/>
    <x v="6"/>
    <n v="41603.870000000003"/>
    <n v="33990.35"/>
    <n v="192.64"/>
    <n v="744.29"/>
    <x v="1874"/>
    <x v="1"/>
  </r>
  <r>
    <x v="17"/>
    <x v="5"/>
    <x v="0"/>
    <n v="24857.97"/>
    <n v="22075.919999999998"/>
    <n v="130.26"/>
    <n v="261.89"/>
    <x v="1875"/>
    <x v="0"/>
  </r>
  <r>
    <x v="8"/>
    <x v="4"/>
    <x v="5"/>
    <n v="4550.45"/>
    <n v="4515.6000000000004"/>
    <n v="93.54"/>
    <n v="116.32"/>
    <x v="1876"/>
    <x v="0"/>
  </r>
  <r>
    <x v="9"/>
    <x v="6"/>
    <x v="1"/>
    <n v="48750.62"/>
    <n v="50109.79"/>
    <n v="179.28"/>
    <n v="1174.82"/>
    <x v="1877"/>
    <x v="0"/>
  </r>
  <r>
    <x v="16"/>
    <x v="1"/>
    <x v="0"/>
    <n v="26416.84"/>
    <n v="28843.62"/>
    <n v="54.22"/>
    <n v="1122.68"/>
    <x v="1878"/>
    <x v="1"/>
  </r>
  <r>
    <x v="12"/>
    <x v="5"/>
    <x v="3"/>
    <n v="43059.88"/>
    <n v="46226.9"/>
    <n v="172.24"/>
    <n v="512.01"/>
    <x v="1879"/>
    <x v="0"/>
  </r>
  <r>
    <x v="16"/>
    <x v="6"/>
    <x v="4"/>
    <n v="18079.560000000001"/>
    <n v="18341.080000000002"/>
    <n v="170.68"/>
    <n v="137.21"/>
    <x v="1880"/>
    <x v="0"/>
  </r>
  <r>
    <x v="9"/>
    <x v="3"/>
    <x v="2"/>
    <n v="32272.29"/>
    <n v="26747.69"/>
    <n v="159.76"/>
    <n v="1197.26"/>
    <x v="1881"/>
    <x v="1"/>
  </r>
  <r>
    <x v="2"/>
    <x v="3"/>
    <x v="7"/>
    <n v="34146.15"/>
    <n v="38664.019999999997"/>
    <n v="72.19"/>
    <n v="504.22"/>
    <x v="1882"/>
    <x v="1"/>
  </r>
  <r>
    <x v="12"/>
    <x v="5"/>
    <x v="4"/>
    <n v="13201.57"/>
    <n v="15333.62"/>
    <n v="52.68"/>
    <n v="115.08"/>
    <x v="1883"/>
    <x v="0"/>
  </r>
  <r>
    <x v="10"/>
    <x v="5"/>
    <x v="6"/>
    <n v="14150.18"/>
    <n v="14226.65"/>
    <n v="178.93"/>
    <n v="61.29"/>
    <x v="1884"/>
    <x v="0"/>
  </r>
  <r>
    <x v="6"/>
    <x v="2"/>
    <x v="1"/>
    <n v="6901.13"/>
    <n v="7359.68"/>
    <n v="135.47999999999999"/>
    <n v="229.89"/>
    <x v="1885"/>
    <x v="1"/>
  </r>
  <r>
    <x v="9"/>
    <x v="0"/>
    <x v="7"/>
    <n v="5611.35"/>
    <n v="5955.37"/>
    <n v="83.59"/>
    <n v="599.73"/>
    <x v="1886"/>
    <x v="0"/>
  </r>
  <r>
    <x v="16"/>
    <x v="2"/>
    <x v="7"/>
    <n v="37560.080000000002"/>
    <n v="30645.7"/>
    <n v="120.84"/>
    <n v="516.13"/>
    <x v="1887"/>
    <x v="1"/>
  </r>
  <r>
    <x v="3"/>
    <x v="1"/>
    <x v="6"/>
    <n v="10751.44"/>
    <n v="8987.4"/>
    <n v="131.56"/>
    <n v="1296.98"/>
    <x v="1888"/>
    <x v="1"/>
  </r>
  <r>
    <x v="8"/>
    <x v="4"/>
    <x v="3"/>
    <n v="29385.94"/>
    <n v="27250.31"/>
    <n v="61.36"/>
    <n v="535.20000000000005"/>
    <x v="1889"/>
    <x v="0"/>
  </r>
  <r>
    <x v="11"/>
    <x v="2"/>
    <x v="2"/>
    <n v="2544.13"/>
    <n v="2929.07"/>
    <n v="117.33"/>
    <n v="302.85000000000002"/>
    <x v="1890"/>
    <x v="1"/>
  </r>
  <r>
    <x v="2"/>
    <x v="2"/>
    <x v="4"/>
    <n v="5914.08"/>
    <n v="5072.79"/>
    <n v="113.07"/>
    <n v="899.36"/>
    <x v="1891"/>
    <x v="1"/>
  </r>
  <r>
    <x v="15"/>
    <x v="0"/>
    <x v="3"/>
    <n v="11573.09"/>
    <n v="11212.17"/>
    <n v="52.81"/>
    <n v="190.27"/>
    <x v="1892"/>
    <x v="0"/>
  </r>
  <r>
    <x v="11"/>
    <x v="2"/>
    <x v="3"/>
    <n v="4282.13"/>
    <n v="4826.13"/>
    <n v="35.54"/>
    <n v="749.21"/>
    <x v="1893"/>
    <x v="1"/>
  </r>
  <r>
    <x v="19"/>
    <x v="2"/>
    <x v="2"/>
    <n v="45027.58"/>
    <n v="46548.39"/>
    <n v="174.97"/>
    <n v="383.44"/>
    <x v="1894"/>
    <x v="1"/>
  </r>
  <r>
    <x v="10"/>
    <x v="2"/>
    <x v="2"/>
    <n v="9633.2800000000007"/>
    <n v="8830.2199999999993"/>
    <n v="68.34"/>
    <n v="834.84"/>
    <x v="1895"/>
    <x v="1"/>
  </r>
  <r>
    <x v="14"/>
    <x v="5"/>
    <x v="5"/>
    <n v="45162.51"/>
    <n v="44880.05"/>
    <n v="41.79"/>
    <n v="954.89"/>
    <x v="1896"/>
    <x v="0"/>
  </r>
  <r>
    <x v="10"/>
    <x v="3"/>
    <x v="3"/>
    <n v="46556.75"/>
    <n v="42942.59"/>
    <n v="135.63"/>
    <n v="263.77"/>
    <x v="1897"/>
    <x v="1"/>
  </r>
  <r>
    <x v="19"/>
    <x v="2"/>
    <x v="4"/>
    <n v="46136"/>
    <n v="45904.35"/>
    <n v="160.68"/>
    <n v="974.32"/>
    <x v="1898"/>
    <x v="1"/>
  </r>
  <r>
    <x v="13"/>
    <x v="6"/>
    <x v="5"/>
    <n v="4893.99"/>
    <n v="4034.88"/>
    <n v="105.19"/>
    <n v="510.24"/>
    <x v="1899"/>
    <x v="0"/>
  </r>
  <r>
    <x v="8"/>
    <x v="0"/>
    <x v="3"/>
    <n v="30598.5"/>
    <n v="34392.32"/>
    <n v="159.09"/>
    <n v="738.91"/>
    <x v="1900"/>
    <x v="0"/>
  </r>
  <r>
    <x v="5"/>
    <x v="3"/>
    <x v="0"/>
    <n v="10124.299999999999"/>
    <n v="8979.4699999999993"/>
    <n v="181.05"/>
    <n v="613.92999999999995"/>
    <x v="1901"/>
    <x v="1"/>
  </r>
  <r>
    <x v="0"/>
    <x v="1"/>
    <x v="3"/>
    <n v="38371.75"/>
    <n v="37851.620000000003"/>
    <n v="67"/>
    <n v="1198"/>
    <x v="1902"/>
    <x v="1"/>
  </r>
  <r>
    <x v="16"/>
    <x v="3"/>
    <x v="7"/>
    <n v="10290.86"/>
    <n v="11048.84"/>
    <n v="81.459999999999994"/>
    <n v="1276.02"/>
    <x v="1903"/>
    <x v="1"/>
  </r>
  <r>
    <x v="10"/>
    <x v="3"/>
    <x v="4"/>
    <n v="15462.15"/>
    <n v="15203.97"/>
    <n v="79.319999999999993"/>
    <n v="349.84"/>
    <x v="1904"/>
    <x v="1"/>
  </r>
  <r>
    <x v="13"/>
    <x v="2"/>
    <x v="6"/>
    <n v="5575.76"/>
    <n v="5997.71"/>
    <n v="168.26"/>
    <n v="920.7"/>
    <x v="1905"/>
    <x v="1"/>
  </r>
  <r>
    <x v="6"/>
    <x v="5"/>
    <x v="2"/>
    <n v="24766.12"/>
    <n v="29199.89"/>
    <n v="39.840000000000003"/>
    <n v="1060.44"/>
    <x v="1906"/>
    <x v="0"/>
  </r>
  <r>
    <x v="12"/>
    <x v="1"/>
    <x v="1"/>
    <n v="44346.35"/>
    <n v="45835.32"/>
    <n v="68.84"/>
    <n v="246.61"/>
    <x v="1907"/>
    <x v="1"/>
  </r>
  <r>
    <x v="19"/>
    <x v="0"/>
    <x v="3"/>
    <n v="43867.53"/>
    <n v="43424.76"/>
    <n v="125.38"/>
    <n v="506.33"/>
    <x v="1908"/>
    <x v="0"/>
  </r>
  <r>
    <x v="2"/>
    <x v="3"/>
    <x v="0"/>
    <n v="16313.98"/>
    <n v="13151.48"/>
    <n v="117.37"/>
    <n v="857.42"/>
    <x v="1909"/>
    <x v="1"/>
  </r>
  <r>
    <x v="16"/>
    <x v="0"/>
    <x v="6"/>
    <n v="27947.56"/>
    <n v="23836.43"/>
    <n v="47.48"/>
    <n v="600.14"/>
    <x v="1910"/>
    <x v="0"/>
  </r>
  <r>
    <x v="12"/>
    <x v="5"/>
    <x v="2"/>
    <n v="10675.42"/>
    <n v="10732.23"/>
    <n v="88"/>
    <n v="20.34"/>
    <x v="1911"/>
    <x v="0"/>
  </r>
  <r>
    <x v="5"/>
    <x v="2"/>
    <x v="3"/>
    <n v="6962.05"/>
    <n v="7390.53"/>
    <n v="113.45"/>
    <n v="453.29"/>
    <x v="1912"/>
    <x v="1"/>
  </r>
  <r>
    <x v="1"/>
    <x v="0"/>
    <x v="4"/>
    <n v="4668.8900000000003"/>
    <n v="4069.92"/>
    <n v="156.86000000000001"/>
    <n v="409.87"/>
    <x v="1913"/>
    <x v="0"/>
  </r>
  <r>
    <x v="7"/>
    <x v="3"/>
    <x v="1"/>
    <n v="34323.78"/>
    <n v="29914.05"/>
    <n v="90.8"/>
    <n v="802.77"/>
    <x v="1914"/>
    <x v="1"/>
  </r>
  <r>
    <x v="11"/>
    <x v="0"/>
    <x v="4"/>
    <n v="46425.97"/>
    <n v="42039.23"/>
    <n v="97.38"/>
    <n v="604.79999999999995"/>
    <x v="1915"/>
    <x v="0"/>
  </r>
  <r>
    <x v="5"/>
    <x v="6"/>
    <x v="3"/>
    <n v="33869.08"/>
    <n v="39393.64"/>
    <n v="47.94"/>
    <n v="478.88"/>
    <x v="1916"/>
    <x v="0"/>
  </r>
  <r>
    <x v="10"/>
    <x v="5"/>
    <x v="1"/>
    <n v="15792.82"/>
    <n v="13928.46"/>
    <n v="190.83"/>
    <n v="777.44"/>
    <x v="1917"/>
    <x v="0"/>
  </r>
  <r>
    <x v="5"/>
    <x v="6"/>
    <x v="1"/>
    <n v="24702.5"/>
    <n v="24507.47"/>
    <n v="29.51"/>
    <n v="509.75"/>
    <x v="1918"/>
    <x v="0"/>
  </r>
  <r>
    <x v="17"/>
    <x v="2"/>
    <x v="3"/>
    <n v="7317"/>
    <n v="6147.99"/>
    <n v="37.85"/>
    <n v="285.31"/>
    <x v="1919"/>
    <x v="1"/>
  </r>
  <r>
    <x v="9"/>
    <x v="1"/>
    <x v="3"/>
    <n v="22160.77"/>
    <n v="18453.23"/>
    <n v="144.19"/>
    <n v="814.77"/>
    <x v="1920"/>
    <x v="1"/>
  </r>
  <r>
    <x v="17"/>
    <x v="2"/>
    <x v="7"/>
    <n v="36457.699999999997"/>
    <n v="35507.75"/>
    <n v="156.06"/>
    <n v="822.5"/>
    <x v="1921"/>
    <x v="1"/>
  </r>
  <r>
    <x v="15"/>
    <x v="5"/>
    <x v="7"/>
    <n v="13177.03"/>
    <n v="11186.44"/>
    <n v="96.41"/>
    <n v="866.97"/>
    <x v="1922"/>
    <x v="0"/>
  </r>
  <r>
    <x v="10"/>
    <x v="6"/>
    <x v="3"/>
    <n v="16549.13"/>
    <n v="18798.009999999998"/>
    <n v="176.06"/>
    <n v="1330.66"/>
    <x v="1923"/>
    <x v="0"/>
  </r>
  <r>
    <x v="2"/>
    <x v="4"/>
    <x v="4"/>
    <n v="27457.99"/>
    <n v="26842.11"/>
    <n v="44.11"/>
    <n v="323.12"/>
    <x v="1924"/>
    <x v="0"/>
  </r>
  <r>
    <x v="0"/>
    <x v="5"/>
    <x v="1"/>
    <n v="37483.599999999999"/>
    <n v="30340.62"/>
    <n v="35.06"/>
    <n v="43.3"/>
    <x v="1925"/>
    <x v="0"/>
  </r>
  <r>
    <x v="15"/>
    <x v="2"/>
    <x v="6"/>
    <n v="1401.65"/>
    <n v="1589.87"/>
    <n v="100.81"/>
    <n v="715.88"/>
    <x v="1926"/>
    <x v="1"/>
  </r>
  <r>
    <x v="17"/>
    <x v="0"/>
    <x v="1"/>
    <n v="19155.37"/>
    <n v="18836.419999999998"/>
    <n v="76.63"/>
    <n v="920.98"/>
    <x v="1927"/>
    <x v="0"/>
  </r>
  <r>
    <x v="7"/>
    <x v="0"/>
    <x v="7"/>
    <n v="29637"/>
    <n v="29402.46"/>
    <n v="88.7"/>
    <n v="676.5"/>
    <x v="1928"/>
    <x v="0"/>
  </r>
  <r>
    <x v="4"/>
    <x v="4"/>
    <x v="2"/>
    <n v="15230.15"/>
    <n v="17122.259999999998"/>
    <n v="50.72"/>
    <n v="1105.7"/>
    <x v="1929"/>
    <x v="0"/>
  </r>
  <r>
    <x v="2"/>
    <x v="2"/>
    <x v="2"/>
    <n v="9224.5499999999993"/>
    <n v="10662.32"/>
    <n v="194.63"/>
    <n v="1325.1"/>
    <x v="1930"/>
    <x v="1"/>
  </r>
  <r>
    <x v="9"/>
    <x v="1"/>
    <x v="6"/>
    <n v="31304.33"/>
    <n v="28928.51"/>
    <n v="176.79"/>
    <n v="1013.41"/>
    <x v="1931"/>
    <x v="1"/>
  </r>
  <r>
    <x v="7"/>
    <x v="0"/>
    <x v="4"/>
    <n v="8507.36"/>
    <n v="8265.5300000000007"/>
    <n v="105.52"/>
    <n v="1268.68"/>
    <x v="1932"/>
    <x v="0"/>
  </r>
  <r>
    <x v="11"/>
    <x v="2"/>
    <x v="6"/>
    <n v="28636.48"/>
    <n v="28091.86"/>
    <n v="46.01"/>
    <n v="287.33999999999997"/>
    <x v="1933"/>
    <x v="1"/>
  </r>
  <r>
    <x v="14"/>
    <x v="6"/>
    <x v="0"/>
    <n v="49739.79"/>
    <n v="50312.88"/>
    <n v="153.38999999999999"/>
    <n v="1312.21"/>
    <x v="1934"/>
    <x v="0"/>
  </r>
  <r>
    <x v="6"/>
    <x v="3"/>
    <x v="6"/>
    <n v="30576.71"/>
    <n v="28635.98"/>
    <n v="130.77000000000001"/>
    <n v="606.20000000000005"/>
    <x v="1935"/>
    <x v="1"/>
  </r>
  <r>
    <x v="5"/>
    <x v="0"/>
    <x v="5"/>
    <n v="34065.160000000003"/>
    <n v="36053.300000000003"/>
    <n v="171.25"/>
    <n v="786.38"/>
    <x v="1936"/>
    <x v="0"/>
  </r>
  <r>
    <x v="13"/>
    <x v="2"/>
    <x v="0"/>
    <n v="9824.6299999999992"/>
    <n v="10166.379999999999"/>
    <n v="170.95"/>
    <n v="95.48"/>
    <x v="1937"/>
    <x v="1"/>
  </r>
  <r>
    <x v="8"/>
    <x v="1"/>
    <x v="6"/>
    <n v="9697.91"/>
    <n v="9427.6200000000008"/>
    <n v="44.7"/>
    <n v="56.85"/>
    <x v="1938"/>
    <x v="1"/>
  </r>
  <r>
    <x v="7"/>
    <x v="2"/>
    <x v="7"/>
    <n v="37209.839999999997"/>
    <n v="40772.120000000003"/>
    <n v="113.06"/>
    <n v="270.27"/>
    <x v="1939"/>
    <x v="1"/>
  </r>
  <r>
    <x v="10"/>
    <x v="5"/>
    <x v="3"/>
    <n v="21101.21"/>
    <n v="23285.83"/>
    <n v="108.62"/>
    <n v="670.49"/>
    <x v="1940"/>
    <x v="0"/>
  </r>
  <r>
    <x v="7"/>
    <x v="5"/>
    <x v="2"/>
    <n v="1979.87"/>
    <n v="1973.37"/>
    <n v="26.58"/>
    <n v="128.16"/>
    <x v="1941"/>
    <x v="0"/>
  </r>
  <r>
    <x v="17"/>
    <x v="4"/>
    <x v="0"/>
    <n v="30550.86"/>
    <n v="35584.199999999997"/>
    <n v="154.75"/>
    <n v="269.19"/>
    <x v="1942"/>
    <x v="0"/>
  </r>
  <r>
    <x v="7"/>
    <x v="1"/>
    <x v="1"/>
    <n v="11836.21"/>
    <n v="10700.73"/>
    <n v="78.14"/>
    <n v="520.91"/>
    <x v="1943"/>
    <x v="1"/>
  </r>
  <r>
    <x v="8"/>
    <x v="6"/>
    <x v="1"/>
    <n v="8331.83"/>
    <n v="9535.8799999999992"/>
    <n v="130.53"/>
    <n v="89.66"/>
    <x v="1944"/>
    <x v="0"/>
  </r>
  <r>
    <x v="14"/>
    <x v="6"/>
    <x v="6"/>
    <n v="45143.4"/>
    <n v="37351.730000000003"/>
    <n v="86.96"/>
    <n v="1345.9"/>
    <x v="1945"/>
    <x v="0"/>
  </r>
  <r>
    <x v="19"/>
    <x v="1"/>
    <x v="6"/>
    <n v="49364.51"/>
    <n v="49360.9"/>
    <n v="128.31"/>
    <n v="114.22"/>
    <x v="1946"/>
    <x v="1"/>
  </r>
  <r>
    <x v="11"/>
    <x v="1"/>
    <x v="6"/>
    <n v="3940.06"/>
    <n v="4568.88"/>
    <n v="164.76"/>
    <n v="268.85000000000002"/>
    <x v="1947"/>
    <x v="1"/>
  </r>
  <r>
    <x v="8"/>
    <x v="2"/>
    <x v="0"/>
    <n v="44872.35"/>
    <n v="47160.34"/>
    <n v="181.13"/>
    <n v="472.4"/>
    <x v="1948"/>
    <x v="1"/>
  </r>
  <r>
    <x v="12"/>
    <x v="2"/>
    <x v="2"/>
    <n v="33351.71"/>
    <n v="31582.14"/>
    <n v="115.37"/>
    <n v="1235.1600000000001"/>
    <x v="1949"/>
    <x v="1"/>
  </r>
  <r>
    <x v="6"/>
    <x v="6"/>
    <x v="0"/>
    <n v="33917.589999999997"/>
    <n v="28289.62"/>
    <n v="192.53"/>
    <n v="132.80000000000001"/>
    <x v="1950"/>
    <x v="0"/>
  </r>
  <r>
    <x v="5"/>
    <x v="0"/>
    <x v="6"/>
    <n v="14409.27"/>
    <n v="16560.3"/>
    <n v="173.99"/>
    <n v="627.6"/>
    <x v="1951"/>
    <x v="0"/>
  </r>
  <r>
    <x v="4"/>
    <x v="1"/>
    <x v="0"/>
    <n v="49620.52"/>
    <n v="59228.93"/>
    <n v="65.58"/>
    <n v="1269.49"/>
    <x v="1952"/>
    <x v="1"/>
  </r>
  <r>
    <x v="15"/>
    <x v="0"/>
    <x v="6"/>
    <n v="27266.55"/>
    <n v="22977.41"/>
    <n v="127.52"/>
    <n v="1024.1500000000001"/>
    <x v="1953"/>
    <x v="0"/>
  </r>
  <r>
    <x v="11"/>
    <x v="6"/>
    <x v="5"/>
    <n v="44350.27"/>
    <n v="39802.94"/>
    <n v="44.29"/>
    <n v="18.61"/>
    <x v="1954"/>
    <x v="0"/>
  </r>
  <r>
    <x v="6"/>
    <x v="0"/>
    <x v="0"/>
    <n v="38940.44"/>
    <n v="42229.31"/>
    <n v="112.46"/>
    <n v="542.13"/>
    <x v="1955"/>
    <x v="0"/>
  </r>
  <r>
    <x v="16"/>
    <x v="4"/>
    <x v="1"/>
    <n v="13833.83"/>
    <n v="14582.37"/>
    <n v="159.59"/>
    <n v="550.71"/>
    <x v="1956"/>
    <x v="0"/>
  </r>
  <r>
    <x v="7"/>
    <x v="4"/>
    <x v="3"/>
    <n v="17944.439999999999"/>
    <n v="17048.14"/>
    <n v="86.5"/>
    <n v="1326.59"/>
    <x v="1957"/>
    <x v="0"/>
  </r>
  <r>
    <x v="6"/>
    <x v="2"/>
    <x v="5"/>
    <n v="1265.5999999999999"/>
    <n v="1137.4100000000001"/>
    <n v="153.28"/>
    <n v="1143.3399999999999"/>
    <x v="1958"/>
    <x v="1"/>
  </r>
  <r>
    <x v="9"/>
    <x v="6"/>
    <x v="6"/>
    <n v="9642.5300000000007"/>
    <n v="10482.68"/>
    <n v="129.63999999999999"/>
    <n v="993.27"/>
    <x v="1959"/>
    <x v="0"/>
  </r>
  <r>
    <x v="12"/>
    <x v="2"/>
    <x v="5"/>
    <n v="42611.76"/>
    <n v="38701.72"/>
    <n v="125.01"/>
    <n v="215.56"/>
    <x v="1960"/>
    <x v="1"/>
  </r>
  <r>
    <x v="8"/>
    <x v="3"/>
    <x v="6"/>
    <n v="12384.55"/>
    <n v="14688.14"/>
    <n v="89.78"/>
    <n v="1211.3699999999999"/>
    <x v="1961"/>
    <x v="1"/>
  </r>
  <r>
    <x v="10"/>
    <x v="2"/>
    <x v="4"/>
    <n v="37229.300000000003"/>
    <n v="40593.279999999999"/>
    <n v="99.41"/>
    <n v="720.92"/>
    <x v="1962"/>
    <x v="1"/>
  </r>
  <r>
    <x v="6"/>
    <x v="2"/>
    <x v="1"/>
    <n v="49712.54"/>
    <n v="56999.64"/>
    <n v="96.74"/>
    <n v="257.64999999999998"/>
    <x v="1963"/>
    <x v="1"/>
  </r>
  <r>
    <x v="0"/>
    <x v="3"/>
    <x v="1"/>
    <n v="25740.38"/>
    <n v="23155.14"/>
    <n v="20.8"/>
    <n v="563.67999999999995"/>
    <x v="1964"/>
    <x v="1"/>
  </r>
  <r>
    <x v="2"/>
    <x v="2"/>
    <x v="0"/>
    <n v="24960.18"/>
    <n v="29567.69"/>
    <n v="63.59"/>
    <n v="113.95"/>
    <x v="1965"/>
    <x v="1"/>
  </r>
  <r>
    <x v="1"/>
    <x v="3"/>
    <x v="2"/>
    <n v="25986.240000000002"/>
    <n v="26731.26"/>
    <n v="88.34"/>
    <n v="893.18"/>
    <x v="1966"/>
    <x v="1"/>
  </r>
  <r>
    <x v="5"/>
    <x v="1"/>
    <x v="2"/>
    <n v="12292.07"/>
    <n v="12281.97"/>
    <n v="86.92"/>
    <n v="692.13"/>
    <x v="1967"/>
    <x v="1"/>
  </r>
  <r>
    <x v="0"/>
    <x v="2"/>
    <x v="2"/>
    <n v="26547.08"/>
    <n v="23261.13"/>
    <n v="174.71"/>
    <n v="1142.0999999999999"/>
    <x v="1968"/>
    <x v="1"/>
  </r>
  <r>
    <x v="6"/>
    <x v="4"/>
    <x v="7"/>
    <n v="3229.45"/>
    <n v="3030.27"/>
    <n v="132.4"/>
    <n v="449.91"/>
    <x v="1969"/>
    <x v="0"/>
  </r>
  <r>
    <x v="11"/>
    <x v="4"/>
    <x v="7"/>
    <n v="46564.14"/>
    <n v="48471.76"/>
    <n v="176.4"/>
    <n v="545.07000000000005"/>
    <x v="1970"/>
    <x v="0"/>
  </r>
  <r>
    <x v="4"/>
    <x v="6"/>
    <x v="4"/>
    <n v="18825.349999999999"/>
    <n v="20577.13"/>
    <n v="139.74"/>
    <n v="250.95"/>
    <x v="1971"/>
    <x v="0"/>
  </r>
  <r>
    <x v="17"/>
    <x v="5"/>
    <x v="3"/>
    <n v="39582.230000000003"/>
    <n v="38818.839999999997"/>
    <n v="171.17"/>
    <n v="442.23"/>
    <x v="1972"/>
    <x v="0"/>
  </r>
  <r>
    <x v="10"/>
    <x v="6"/>
    <x v="4"/>
    <n v="11425.17"/>
    <n v="9578.34"/>
    <n v="174.44"/>
    <n v="1116.21"/>
    <x v="1973"/>
    <x v="0"/>
  </r>
  <r>
    <x v="11"/>
    <x v="5"/>
    <x v="4"/>
    <n v="20214.240000000002"/>
    <n v="18360.72"/>
    <n v="184.36"/>
    <n v="462.66"/>
    <x v="1974"/>
    <x v="0"/>
  </r>
  <r>
    <x v="1"/>
    <x v="1"/>
    <x v="5"/>
    <n v="30749.52"/>
    <n v="35421.32"/>
    <n v="188.62"/>
    <n v="1048.7"/>
    <x v="1975"/>
    <x v="1"/>
  </r>
  <r>
    <x v="8"/>
    <x v="4"/>
    <x v="4"/>
    <n v="43133.23"/>
    <n v="46717.87"/>
    <n v="156.77000000000001"/>
    <n v="423.67"/>
    <x v="1976"/>
    <x v="0"/>
  </r>
  <r>
    <x v="11"/>
    <x v="4"/>
    <x v="2"/>
    <n v="34765.86"/>
    <n v="29694.46"/>
    <n v="39"/>
    <n v="187.97"/>
    <x v="1977"/>
    <x v="0"/>
  </r>
  <r>
    <x v="17"/>
    <x v="5"/>
    <x v="0"/>
    <n v="10012.17"/>
    <n v="10943.56"/>
    <n v="96.01"/>
    <n v="12.12"/>
    <x v="1978"/>
    <x v="0"/>
  </r>
  <r>
    <x v="13"/>
    <x v="5"/>
    <x v="1"/>
    <n v="26761.1"/>
    <n v="29114.639999999999"/>
    <n v="75.180000000000007"/>
    <n v="670.5"/>
    <x v="1979"/>
    <x v="0"/>
  </r>
  <r>
    <x v="4"/>
    <x v="5"/>
    <x v="6"/>
    <n v="17069.29"/>
    <n v="14686.11"/>
    <n v="32.4"/>
    <n v="713.98"/>
    <x v="1980"/>
    <x v="0"/>
  </r>
  <r>
    <x v="0"/>
    <x v="5"/>
    <x v="6"/>
    <n v="26880.38"/>
    <n v="32218.3"/>
    <n v="61.32"/>
    <n v="775"/>
    <x v="1981"/>
    <x v="0"/>
  </r>
  <r>
    <x v="12"/>
    <x v="2"/>
    <x v="4"/>
    <n v="43906.35"/>
    <n v="45589.86"/>
    <n v="43.27"/>
    <n v="339.69"/>
    <x v="1982"/>
    <x v="1"/>
  </r>
  <r>
    <x v="7"/>
    <x v="0"/>
    <x v="2"/>
    <n v="20134.939999999999"/>
    <n v="23506.68"/>
    <n v="188.66"/>
    <n v="928.77"/>
    <x v="1983"/>
    <x v="0"/>
  </r>
  <r>
    <x v="14"/>
    <x v="1"/>
    <x v="3"/>
    <n v="28203.03"/>
    <n v="33832.699999999997"/>
    <n v="154.59"/>
    <n v="789.8"/>
    <x v="1984"/>
    <x v="1"/>
  </r>
  <r>
    <x v="12"/>
    <x v="1"/>
    <x v="7"/>
    <n v="41651.4"/>
    <n v="46007.13"/>
    <n v="59.15"/>
    <n v="18.29"/>
    <x v="1985"/>
    <x v="1"/>
  </r>
  <r>
    <x v="5"/>
    <x v="4"/>
    <x v="2"/>
    <n v="39389.65"/>
    <n v="33323.449999999997"/>
    <n v="44.41"/>
    <n v="1047.6300000000001"/>
    <x v="1986"/>
    <x v="0"/>
  </r>
  <r>
    <x v="7"/>
    <x v="3"/>
    <x v="4"/>
    <n v="515.22"/>
    <n v="585.58000000000004"/>
    <n v="57.61"/>
    <n v="217.64"/>
    <x v="1987"/>
    <x v="1"/>
  </r>
  <r>
    <x v="18"/>
    <x v="1"/>
    <x v="4"/>
    <n v="42794.25"/>
    <n v="44156.2"/>
    <n v="48.79"/>
    <n v="844.28"/>
    <x v="1988"/>
    <x v="1"/>
  </r>
  <r>
    <x v="14"/>
    <x v="5"/>
    <x v="4"/>
    <n v="20202.849999999999"/>
    <n v="21210.76"/>
    <n v="129.07"/>
    <n v="1218.27"/>
    <x v="1989"/>
    <x v="0"/>
  </r>
  <r>
    <x v="1"/>
    <x v="2"/>
    <x v="1"/>
    <n v="44160.14"/>
    <n v="36660.14"/>
    <n v="66.5"/>
    <n v="455.52"/>
    <x v="1990"/>
    <x v="1"/>
  </r>
  <r>
    <x v="4"/>
    <x v="0"/>
    <x v="6"/>
    <n v="22399.22"/>
    <n v="18780.12"/>
    <n v="114.47"/>
    <n v="481.57"/>
    <x v="1991"/>
    <x v="0"/>
  </r>
  <r>
    <x v="11"/>
    <x v="4"/>
    <x v="2"/>
    <n v="536.73"/>
    <n v="640"/>
    <n v="92.23"/>
    <n v="771.38"/>
    <x v="1992"/>
    <x v="0"/>
  </r>
  <r>
    <x v="4"/>
    <x v="1"/>
    <x v="0"/>
    <n v="39155.97"/>
    <n v="44076.29"/>
    <n v="135.54"/>
    <n v="434.9"/>
    <x v="1993"/>
    <x v="1"/>
  </r>
  <r>
    <x v="3"/>
    <x v="2"/>
    <x v="6"/>
    <n v="44567.040000000001"/>
    <n v="40658.54"/>
    <n v="79.75"/>
    <n v="1131.8599999999999"/>
    <x v="1994"/>
    <x v="1"/>
  </r>
  <r>
    <x v="13"/>
    <x v="3"/>
    <x v="7"/>
    <n v="21022.29"/>
    <n v="23137.14"/>
    <n v="97.09"/>
    <n v="374.62"/>
    <x v="1995"/>
    <x v="1"/>
  </r>
  <r>
    <x v="4"/>
    <x v="2"/>
    <x v="0"/>
    <n v="39158.17"/>
    <n v="31840.85"/>
    <n v="31.95"/>
    <n v="457.26"/>
    <x v="1996"/>
    <x v="1"/>
  </r>
  <r>
    <x v="9"/>
    <x v="4"/>
    <x v="0"/>
    <n v="49808.78"/>
    <n v="45858.94"/>
    <n v="167.38"/>
    <n v="545.79"/>
    <x v="1997"/>
    <x v="0"/>
  </r>
  <r>
    <x v="15"/>
    <x v="1"/>
    <x v="0"/>
    <n v="33269.480000000003"/>
    <n v="32891.5"/>
    <n v="75.599999999999994"/>
    <n v="936.04"/>
    <x v="1998"/>
    <x v="1"/>
  </r>
  <r>
    <x v="19"/>
    <x v="6"/>
    <x v="5"/>
    <n v="34493.019999999997"/>
    <n v="28190.42"/>
    <n v="179.95"/>
    <n v="192.09"/>
    <x v="1999"/>
    <x v="0"/>
  </r>
  <r>
    <x v="13"/>
    <x v="2"/>
    <x v="5"/>
    <n v="10239.450000000001"/>
    <n v="9673.7800000000007"/>
    <n v="176.18"/>
    <n v="1042.8800000000001"/>
    <x v="2000"/>
    <x v="1"/>
  </r>
  <r>
    <x v="14"/>
    <x v="2"/>
    <x v="0"/>
    <n v="38729.379999999997"/>
    <n v="35954.47"/>
    <n v="174.94"/>
    <n v="565.14"/>
    <x v="2001"/>
    <x v="1"/>
  </r>
  <r>
    <x v="0"/>
    <x v="2"/>
    <x v="7"/>
    <n v="47579.06"/>
    <n v="45990.76"/>
    <n v="140.13999999999999"/>
    <n v="892.05"/>
    <x v="2002"/>
    <x v="1"/>
  </r>
  <r>
    <x v="11"/>
    <x v="6"/>
    <x v="4"/>
    <n v="2758.33"/>
    <n v="2791.66"/>
    <n v="21.95"/>
    <n v="56.71"/>
    <x v="2003"/>
    <x v="0"/>
  </r>
  <r>
    <x v="12"/>
    <x v="1"/>
    <x v="7"/>
    <n v="2961.25"/>
    <n v="2885.45"/>
    <n v="118.25"/>
    <n v="1338.62"/>
    <x v="2004"/>
    <x v="1"/>
  </r>
  <r>
    <x v="10"/>
    <x v="5"/>
    <x v="4"/>
    <n v="25925.67"/>
    <n v="26485.25"/>
    <n v="161.72"/>
    <n v="390.86"/>
    <x v="2005"/>
    <x v="0"/>
  </r>
  <r>
    <x v="5"/>
    <x v="4"/>
    <x v="7"/>
    <n v="42039.58"/>
    <n v="40819.21"/>
    <n v="165.37"/>
    <n v="1285.93"/>
    <x v="2006"/>
    <x v="0"/>
  </r>
  <r>
    <x v="1"/>
    <x v="1"/>
    <x v="2"/>
    <n v="1484.47"/>
    <n v="1234.04"/>
    <n v="48.37"/>
    <n v="477.14"/>
    <x v="2007"/>
    <x v="1"/>
  </r>
  <r>
    <x v="9"/>
    <x v="0"/>
    <x v="1"/>
    <n v="4317.3599999999997"/>
    <n v="4668.72"/>
    <n v="33.33"/>
    <n v="978.97"/>
    <x v="2008"/>
    <x v="0"/>
  </r>
  <r>
    <x v="8"/>
    <x v="4"/>
    <x v="4"/>
    <n v="26928.02"/>
    <n v="22625.18"/>
    <n v="171.49"/>
    <n v="235.4"/>
    <x v="2009"/>
    <x v="0"/>
  </r>
  <r>
    <x v="1"/>
    <x v="6"/>
    <x v="2"/>
    <n v="42112.4"/>
    <n v="49050.1"/>
    <n v="103.84"/>
    <n v="1240.3900000000001"/>
    <x v="2010"/>
    <x v="0"/>
  </r>
  <r>
    <x v="10"/>
    <x v="0"/>
    <x v="3"/>
    <n v="22043.4"/>
    <n v="20428.03"/>
    <n v="138.38999999999999"/>
    <n v="1246.3499999999999"/>
    <x v="2011"/>
    <x v="0"/>
  </r>
  <r>
    <x v="5"/>
    <x v="4"/>
    <x v="0"/>
    <n v="8591.3700000000008"/>
    <n v="8898.91"/>
    <n v="115.26"/>
    <n v="1362.76"/>
    <x v="2012"/>
    <x v="0"/>
  </r>
  <r>
    <x v="19"/>
    <x v="3"/>
    <x v="5"/>
    <n v="19593.47"/>
    <n v="18976.55"/>
    <n v="89.08"/>
    <n v="334.55"/>
    <x v="2013"/>
    <x v="1"/>
  </r>
  <r>
    <x v="3"/>
    <x v="2"/>
    <x v="2"/>
    <n v="46175.25"/>
    <n v="44497.24"/>
    <n v="106.95"/>
    <n v="1298.51"/>
    <x v="2014"/>
    <x v="1"/>
  </r>
  <r>
    <x v="8"/>
    <x v="4"/>
    <x v="3"/>
    <n v="2785.42"/>
    <n v="3045.34"/>
    <n v="93.69"/>
    <n v="782.44"/>
    <x v="2015"/>
    <x v="0"/>
  </r>
  <r>
    <x v="14"/>
    <x v="2"/>
    <x v="1"/>
    <n v="42915.38"/>
    <n v="37429.730000000003"/>
    <n v="26.55"/>
    <n v="1202.98"/>
    <x v="2016"/>
    <x v="1"/>
  </r>
  <r>
    <x v="8"/>
    <x v="1"/>
    <x v="4"/>
    <n v="45348.53"/>
    <n v="40814.97"/>
    <n v="79.58"/>
    <n v="405.35"/>
    <x v="2017"/>
    <x v="1"/>
  </r>
  <r>
    <x v="12"/>
    <x v="3"/>
    <x v="4"/>
    <n v="47405.16"/>
    <n v="51124.55"/>
    <n v="107.4"/>
    <n v="882.89"/>
    <x v="2018"/>
    <x v="1"/>
  </r>
  <r>
    <x v="3"/>
    <x v="4"/>
    <x v="6"/>
    <n v="20204.47"/>
    <n v="20851.21"/>
    <n v="76.319999999999993"/>
    <n v="466.49"/>
    <x v="2019"/>
    <x v="0"/>
  </r>
  <r>
    <x v="19"/>
    <x v="3"/>
    <x v="5"/>
    <n v="30900.63"/>
    <n v="28588.22"/>
    <n v="136.07"/>
    <n v="1387.48"/>
    <x v="2020"/>
    <x v="1"/>
  </r>
  <r>
    <x v="15"/>
    <x v="4"/>
    <x v="6"/>
    <n v="7039.96"/>
    <n v="6390.6"/>
    <n v="69.37"/>
    <n v="1302.58"/>
    <x v="2021"/>
    <x v="0"/>
  </r>
  <r>
    <x v="2"/>
    <x v="1"/>
    <x v="6"/>
    <n v="5817.52"/>
    <n v="6103.72"/>
    <n v="31.06"/>
    <n v="1102.26"/>
    <x v="2022"/>
    <x v="1"/>
  </r>
  <r>
    <x v="3"/>
    <x v="1"/>
    <x v="4"/>
    <n v="45264.66"/>
    <n v="39253.919999999998"/>
    <n v="62.04"/>
    <n v="1094.28"/>
    <x v="2023"/>
    <x v="1"/>
  </r>
  <r>
    <x v="5"/>
    <x v="5"/>
    <x v="0"/>
    <n v="44295.09"/>
    <n v="52658.25"/>
    <n v="140.78"/>
    <n v="448.34"/>
    <x v="2024"/>
    <x v="0"/>
  </r>
  <r>
    <x v="16"/>
    <x v="3"/>
    <x v="0"/>
    <n v="20440.62"/>
    <n v="20123.5"/>
    <n v="195.15"/>
    <n v="139.24"/>
    <x v="2025"/>
    <x v="1"/>
  </r>
  <r>
    <x v="1"/>
    <x v="6"/>
    <x v="3"/>
    <n v="44315.15"/>
    <n v="46367.85"/>
    <n v="25.98"/>
    <n v="1213.6199999999999"/>
    <x v="2026"/>
    <x v="0"/>
  </r>
  <r>
    <x v="14"/>
    <x v="4"/>
    <x v="5"/>
    <n v="46470.45"/>
    <n v="38334.959999999999"/>
    <n v="179.68"/>
    <n v="852.93"/>
    <x v="2027"/>
    <x v="0"/>
  </r>
  <r>
    <x v="1"/>
    <x v="2"/>
    <x v="2"/>
    <n v="31465.08"/>
    <n v="36586.910000000003"/>
    <n v="124.43"/>
    <n v="295.86"/>
    <x v="2028"/>
    <x v="1"/>
  </r>
  <r>
    <x v="10"/>
    <x v="1"/>
    <x v="4"/>
    <n v="43415.16"/>
    <n v="35330.620000000003"/>
    <n v="123.32"/>
    <n v="366.42"/>
    <x v="2029"/>
    <x v="1"/>
  </r>
  <r>
    <x v="13"/>
    <x v="4"/>
    <x v="2"/>
    <n v="11181.13"/>
    <n v="11697.69"/>
    <n v="77.5"/>
    <n v="434.53"/>
    <x v="2030"/>
    <x v="0"/>
  </r>
  <r>
    <x v="0"/>
    <x v="2"/>
    <x v="2"/>
    <n v="22957.97"/>
    <n v="22260.35"/>
    <n v="151.78"/>
    <n v="1177.05"/>
    <x v="2031"/>
    <x v="1"/>
  </r>
  <r>
    <x v="11"/>
    <x v="2"/>
    <x v="7"/>
    <n v="19071.25"/>
    <n v="16117.06"/>
    <n v="101.98"/>
    <n v="627.98"/>
    <x v="2032"/>
    <x v="1"/>
  </r>
  <r>
    <x v="4"/>
    <x v="2"/>
    <x v="2"/>
    <n v="19935.2"/>
    <n v="16517.490000000002"/>
    <n v="65.709999999999994"/>
    <n v="422.08"/>
    <x v="2033"/>
    <x v="1"/>
  </r>
  <r>
    <x v="13"/>
    <x v="5"/>
    <x v="0"/>
    <n v="9506.7999999999993"/>
    <n v="9257.8700000000008"/>
    <n v="54.59"/>
    <n v="630.70000000000005"/>
    <x v="2034"/>
    <x v="0"/>
  </r>
  <r>
    <x v="2"/>
    <x v="5"/>
    <x v="1"/>
    <n v="23242.97"/>
    <n v="18838.27"/>
    <n v="194.98"/>
    <n v="659.49"/>
    <x v="2035"/>
    <x v="0"/>
  </r>
  <r>
    <x v="9"/>
    <x v="3"/>
    <x v="1"/>
    <n v="9805.6200000000008"/>
    <n v="10171.56"/>
    <n v="28.74"/>
    <n v="204.11"/>
    <x v="2036"/>
    <x v="1"/>
  </r>
  <r>
    <x v="8"/>
    <x v="3"/>
    <x v="3"/>
    <n v="28349.59"/>
    <n v="30062.85"/>
    <n v="38.75"/>
    <n v="498.19"/>
    <x v="2037"/>
    <x v="1"/>
  </r>
  <r>
    <x v="17"/>
    <x v="5"/>
    <x v="0"/>
    <n v="39033.050000000003"/>
    <n v="36466.14"/>
    <n v="116.51"/>
    <n v="443.58"/>
    <x v="2038"/>
    <x v="0"/>
  </r>
  <r>
    <x v="11"/>
    <x v="2"/>
    <x v="3"/>
    <n v="20022.07"/>
    <n v="18355.89"/>
    <n v="174.56"/>
    <n v="607.70000000000005"/>
    <x v="2039"/>
    <x v="1"/>
  </r>
  <r>
    <x v="11"/>
    <x v="2"/>
    <x v="6"/>
    <n v="1410.3"/>
    <n v="1386.31"/>
    <n v="129.18"/>
    <n v="1199.8800000000001"/>
    <x v="2040"/>
    <x v="1"/>
  </r>
  <r>
    <x v="6"/>
    <x v="0"/>
    <x v="2"/>
    <n v="11236.21"/>
    <n v="9736.7999999999993"/>
    <n v="32.81"/>
    <n v="588.89"/>
    <x v="2041"/>
    <x v="0"/>
  </r>
  <r>
    <x v="10"/>
    <x v="5"/>
    <x v="1"/>
    <n v="22052.67"/>
    <n v="20047.21"/>
    <n v="36.17"/>
    <n v="817.37"/>
    <x v="2042"/>
    <x v="0"/>
  </r>
  <r>
    <x v="15"/>
    <x v="5"/>
    <x v="7"/>
    <n v="39718.36"/>
    <n v="31941.599999999999"/>
    <n v="164.78"/>
    <n v="1031.8499999999999"/>
    <x v="2043"/>
    <x v="0"/>
  </r>
  <r>
    <x v="16"/>
    <x v="5"/>
    <x v="2"/>
    <n v="33514.85"/>
    <n v="33542.050000000003"/>
    <n v="44.2"/>
    <n v="1363.09"/>
    <x v="2044"/>
    <x v="0"/>
  </r>
  <r>
    <x v="8"/>
    <x v="6"/>
    <x v="7"/>
    <n v="15083.81"/>
    <n v="12505.53"/>
    <n v="105.61"/>
    <n v="350.85"/>
    <x v="2045"/>
    <x v="0"/>
  </r>
  <r>
    <x v="1"/>
    <x v="6"/>
    <x v="5"/>
    <n v="46093.77"/>
    <n v="41803"/>
    <n v="152.16999999999999"/>
    <n v="924.65"/>
    <x v="2046"/>
    <x v="0"/>
  </r>
  <r>
    <x v="1"/>
    <x v="3"/>
    <x v="3"/>
    <n v="34860.29"/>
    <n v="30988.400000000001"/>
    <n v="32.18"/>
    <n v="935.91"/>
    <x v="2047"/>
    <x v="1"/>
  </r>
  <r>
    <x v="9"/>
    <x v="0"/>
    <x v="0"/>
    <n v="42001.01"/>
    <n v="46107.26"/>
    <n v="120.5"/>
    <n v="1294.8399999999999"/>
    <x v="2048"/>
    <x v="0"/>
  </r>
  <r>
    <x v="7"/>
    <x v="6"/>
    <x v="5"/>
    <n v="32640.66"/>
    <n v="38875.42"/>
    <n v="77.17"/>
    <n v="1151.29"/>
    <x v="2049"/>
    <x v="0"/>
  </r>
  <r>
    <x v="13"/>
    <x v="2"/>
    <x v="1"/>
    <n v="23587.98"/>
    <n v="23027.08"/>
    <n v="53.12"/>
    <n v="562.52"/>
    <x v="2050"/>
    <x v="1"/>
  </r>
  <r>
    <x v="16"/>
    <x v="3"/>
    <x v="7"/>
    <n v="11448.82"/>
    <n v="13665.84"/>
    <n v="176.83"/>
    <n v="287.98"/>
    <x v="2051"/>
    <x v="1"/>
  </r>
  <r>
    <x v="16"/>
    <x v="4"/>
    <x v="7"/>
    <n v="6094.82"/>
    <n v="4942.92"/>
    <n v="47.4"/>
    <n v="660.79"/>
    <x v="2052"/>
    <x v="0"/>
  </r>
  <r>
    <x v="1"/>
    <x v="0"/>
    <x v="1"/>
    <n v="9381.9599999999991"/>
    <n v="10765.37"/>
    <n v="74.22"/>
    <n v="37.83"/>
    <x v="2053"/>
    <x v="0"/>
  </r>
  <r>
    <x v="15"/>
    <x v="4"/>
    <x v="4"/>
    <n v="16814.89"/>
    <n v="16164.55"/>
    <n v="69.290000000000006"/>
    <n v="53.51"/>
    <x v="2054"/>
    <x v="0"/>
  </r>
  <r>
    <x v="7"/>
    <x v="4"/>
    <x v="4"/>
    <n v="30396.27"/>
    <n v="34370.86"/>
    <n v="85.75"/>
    <n v="1386.09"/>
    <x v="2055"/>
    <x v="0"/>
  </r>
  <r>
    <x v="16"/>
    <x v="5"/>
    <x v="7"/>
    <n v="40166.15"/>
    <n v="37579.82"/>
    <n v="64.069999999999993"/>
    <n v="619.9"/>
    <x v="2056"/>
    <x v="0"/>
  </r>
  <r>
    <x v="2"/>
    <x v="5"/>
    <x v="4"/>
    <n v="28667.96"/>
    <n v="27435.03"/>
    <n v="47.25"/>
    <n v="1226.5"/>
    <x v="2057"/>
    <x v="0"/>
  </r>
  <r>
    <x v="2"/>
    <x v="3"/>
    <x v="4"/>
    <n v="1025.25"/>
    <n v="841.87"/>
    <n v="64.02"/>
    <n v="871.3"/>
    <x v="2058"/>
    <x v="1"/>
  </r>
  <r>
    <x v="1"/>
    <x v="3"/>
    <x v="7"/>
    <n v="15180.87"/>
    <n v="17081.77"/>
    <n v="27.43"/>
    <n v="805.85"/>
    <x v="2059"/>
    <x v="1"/>
  </r>
  <r>
    <x v="14"/>
    <x v="0"/>
    <x v="7"/>
    <n v="28282.29"/>
    <n v="26046.63"/>
    <n v="168.35"/>
    <n v="939.47"/>
    <x v="2060"/>
    <x v="0"/>
  </r>
  <r>
    <x v="14"/>
    <x v="6"/>
    <x v="0"/>
    <n v="1694"/>
    <n v="1970.55"/>
    <n v="184.8"/>
    <n v="431.35"/>
    <x v="2061"/>
    <x v="0"/>
  </r>
  <r>
    <x v="6"/>
    <x v="6"/>
    <x v="3"/>
    <n v="12814.27"/>
    <n v="13621.54"/>
    <n v="120.21"/>
    <n v="629.98"/>
    <x v="2062"/>
    <x v="0"/>
  </r>
  <r>
    <x v="17"/>
    <x v="0"/>
    <x v="1"/>
    <n v="16087.46"/>
    <n v="17856.919999999998"/>
    <n v="141.68"/>
    <n v="533.12"/>
    <x v="2063"/>
    <x v="0"/>
  </r>
  <r>
    <x v="5"/>
    <x v="5"/>
    <x v="6"/>
    <n v="30671.53"/>
    <n v="34475.33"/>
    <n v="161.57"/>
    <n v="1379.07"/>
    <x v="2064"/>
    <x v="0"/>
  </r>
  <r>
    <x v="13"/>
    <x v="2"/>
    <x v="3"/>
    <n v="19181.75"/>
    <n v="22185.26"/>
    <n v="93.97"/>
    <n v="568.08000000000004"/>
    <x v="2065"/>
    <x v="1"/>
  </r>
  <r>
    <x v="4"/>
    <x v="5"/>
    <x v="6"/>
    <n v="1618.43"/>
    <n v="1551.59"/>
    <n v="74.94"/>
    <n v="340.12"/>
    <x v="2066"/>
    <x v="0"/>
  </r>
  <r>
    <x v="0"/>
    <x v="6"/>
    <x v="0"/>
    <n v="44836.9"/>
    <n v="41938.44"/>
    <n v="116.16"/>
    <n v="180.39"/>
    <x v="2067"/>
    <x v="0"/>
  </r>
  <r>
    <x v="2"/>
    <x v="5"/>
    <x v="6"/>
    <n v="38026.43"/>
    <n v="30744.28"/>
    <n v="167.61"/>
    <n v="1033.19"/>
    <x v="2068"/>
    <x v="0"/>
  </r>
  <r>
    <x v="11"/>
    <x v="2"/>
    <x v="6"/>
    <n v="17410.79"/>
    <n v="15757.23"/>
    <n v="132.34"/>
    <n v="830.5"/>
    <x v="2069"/>
    <x v="1"/>
  </r>
  <r>
    <x v="2"/>
    <x v="1"/>
    <x v="6"/>
    <n v="5772.53"/>
    <n v="6403.4"/>
    <n v="163.62"/>
    <n v="1252.55"/>
    <x v="2070"/>
    <x v="1"/>
  </r>
  <r>
    <x v="9"/>
    <x v="2"/>
    <x v="5"/>
    <n v="6399.7"/>
    <n v="7049.6"/>
    <n v="61.54"/>
    <n v="850.42"/>
    <x v="2071"/>
    <x v="1"/>
  </r>
  <r>
    <x v="15"/>
    <x v="2"/>
    <x v="6"/>
    <n v="24214.07"/>
    <n v="23528.51"/>
    <n v="90.26"/>
    <n v="1083.4100000000001"/>
    <x v="2072"/>
    <x v="1"/>
  </r>
  <r>
    <x v="11"/>
    <x v="4"/>
    <x v="2"/>
    <n v="19708.259999999998"/>
    <n v="23587.81"/>
    <n v="133.24"/>
    <n v="1181.0899999999999"/>
    <x v="2073"/>
    <x v="0"/>
  </r>
  <r>
    <x v="7"/>
    <x v="3"/>
    <x v="1"/>
    <n v="48708.21"/>
    <n v="56324.24"/>
    <n v="142.47"/>
    <n v="386.81"/>
    <x v="2074"/>
    <x v="1"/>
  </r>
  <r>
    <x v="8"/>
    <x v="0"/>
    <x v="4"/>
    <n v="24154.63"/>
    <n v="19637.18"/>
    <n v="112.3"/>
    <n v="384.76"/>
    <x v="2075"/>
    <x v="0"/>
  </r>
  <r>
    <x v="1"/>
    <x v="0"/>
    <x v="5"/>
    <n v="18103.47"/>
    <n v="21231.26"/>
    <n v="143.44999999999999"/>
    <n v="942.23"/>
    <x v="2076"/>
    <x v="0"/>
  </r>
  <r>
    <x v="15"/>
    <x v="5"/>
    <x v="7"/>
    <n v="48059.11"/>
    <n v="40071.599999999999"/>
    <n v="80.36"/>
    <n v="50.5"/>
    <x v="2077"/>
    <x v="0"/>
  </r>
  <r>
    <x v="17"/>
    <x v="2"/>
    <x v="6"/>
    <n v="15533.74"/>
    <n v="16349.63"/>
    <n v="127.92"/>
    <n v="892.76"/>
    <x v="2078"/>
    <x v="1"/>
  </r>
  <r>
    <x v="16"/>
    <x v="0"/>
    <x v="4"/>
    <n v="35217.449999999997"/>
    <n v="30190.959999999999"/>
    <n v="84.34"/>
    <n v="901.88"/>
    <x v="2079"/>
    <x v="0"/>
  </r>
  <r>
    <x v="19"/>
    <x v="3"/>
    <x v="1"/>
    <n v="48558.23"/>
    <n v="52809.09"/>
    <n v="139.97"/>
    <n v="486.72"/>
    <x v="2080"/>
    <x v="1"/>
  </r>
  <r>
    <x v="11"/>
    <x v="0"/>
    <x v="3"/>
    <n v="46203.14"/>
    <n v="41490.22"/>
    <n v="186.62"/>
    <n v="21.1"/>
    <x v="2081"/>
    <x v="0"/>
  </r>
  <r>
    <x v="13"/>
    <x v="5"/>
    <x v="1"/>
    <n v="4551.47"/>
    <n v="5409.94"/>
    <n v="42.14"/>
    <n v="368.51"/>
    <x v="2082"/>
    <x v="0"/>
  </r>
  <r>
    <x v="13"/>
    <x v="5"/>
    <x v="2"/>
    <n v="29565.599999999999"/>
    <n v="24296.799999999999"/>
    <n v="25.13"/>
    <n v="812.98"/>
    <x v="2083"/>
    <x v="0"/>
  </r>
  <r>
    <x v="4"/>
    <x v="1"/>
    <x v="3"/>
    <n v="46679.66"/>
    <n v="50458.52"/>
    <n v="97.62"/>
    <n v="1104.6199999999999"/>
    <x v="2084"/>
    <x v="1"/>
  </r>
  <r>
    <x v="6"/>
    <x v="2"/>
    <x v="5"/>
    <n v="3294.79"/>
    <n v="3145.7"/>
    <n v="36.53"/>
    <n v="1157.07"/>
    <x v="2085"/>
    <x v="1"/>
  </r>
  <r>
    <x v="4"/>
    <x v="5"/>
    <x v="3"/>
    <n v="20187.86"/>
    <n v="20160.75"/>
    <n v="65.91"/>
    <n v="436.72"/>
    <x v="2086"/>
    <x v="0"/>
  </r>
  <r>
    <x v="13"/>
    <x v="4"/>
    <x v="4"/>
    <n v="48742.06"/>
    <n v="54592.480000000003"/>
    <n v="146.71"/>
    <n v="1312.09"/>
    <x v="2087"/>
    <x v="0"/>
  </r>
  <r>
    <x v="15"/>
    <x v="1"/>
    <x v="4"/>
    <n v="14768.04"/>
    <n v="14570.61"/>
    <n v="90.3"/>
    <n v="181.41"/>
    <x v="2088"/>
    <x v="1"/>
  </r>
  <r>
    <x v="17"/>
    <x v="1"/>
    <x v="7"/>
    <n v="45786.18"/>
    <n v="40409.74"/>
    <n v="187.79"/>
    <n v="833.26"/>
    <x v="2089"/>
    <x v="1"/>
  </r>
  <r>
    <x v="7"/>
    <x v="6"/>
    <x v="0"/>
    <n v="13888.93"/>
    <n v="13847.95"/>
    <n v="182.12"/>
    <n v="121.4"/>
    <x v="2090"/>
    <x v="0"/>
  </r>
  <r>
    <x v="9"/>
    <x v="6"/>
    <x v="2"/>
    <n v="14176.85"/>
    <n v="11752.96"/>
    <n v="20.2"/>
    <n v="1152.6199999999999"/>
    <x v="2091"/>
    <x v="0"/>
  </r>
  <r>
    <x v="15"/>
    <x v="2"/>
    <x v="0"/>
    <n v="31350.95"/>
    <n v="34430.629999999997"/>
    <n v="167.05"/>
    <n v="15.95"/>
    <x v="2092"/>
    <x v="1"/>
  </r>
  <r>
    <x v="12"/>
    <x v="4"/>
    <x v="2"/>
    <n v="38491.57"/>
    <n v="45538.559999999998"/>
    <n v="95.85"/>
    <n v="173.91"/>
    <x v="2093"/>
    <x v="0"/>
  </r>
  <r>
    <x v="3"/>
    <x v="1"/>
    <x v="7"/>
    <n v="45520.34"/>
    <n v="50610.21"/>
    <n v="119.5"/>
    <n v="218.64"/>
    <x v="2094"/>
    <x v="1"/>
  </r>
  <r>
    <x v="10"/>
    <x v="4"/>
    <x v="7"/>
    <n v="17678.099999999999"/>
    <n v="19199.900000000001"/>
    <n v="132.38999999999999"/>
    <n v="210.48"/>
    <x v="2095"/>
    <x v="0"/>
  </r>
  <r>
    <x v="19"/>
    <x v="3"/>
    <x v="5"/>
    <n v="31836.59"/>
    <n v="32047.25"/>
    <n v="123.61"/>
    <n v="734.36"/>
    <x v="2096"/>
    <x v="1"/>
  </r>
  <r>
    <x v="12"/>
    <x v="4"/>
    <x v="4"/>
    <n v="26638.83"/>
    <n v="23003.29"/>
    <n v="74.900000000000006"/>
    <n v="866.62"/>
    <x v="2097"/>
    <x v="0"/>
  </r>
  <r>
    <x v="6"/>
    <x v="3"/>
    <x v="5"/>
    <n v="38818.58"/>
    <n v="42081.85"/>
    <n v="66.88"/>
    <n v="1355.79"/>
    <x v="2098"/>
    <x v="1"/>
  </r>
  <r>
    <x v="16"/>
    <x v="5"/>
    <x v="4"/>
    <n v="44918.63"/>
    <n v="53620.37"/>
    <n v="28.35"/>
    <n v="501.21"/>
    <x v="2099"/>
    <x v="0"/>
  </r>
  <r>
    <x v="5"/>
    <x v="3"/>
    <x v="1"/>
    <n v="5529.26"/>
    <n v="5661.64"/>
    <n v="190.12"/>
    <n v="372.58"/>
    <x v="2100"/>
    <x v="1"/>
  </r>
  <r>
    <x v="9"/>
    <x v="3"/>
    <x v="0"/>
    <n v="22790.85"/>
    <n v="18513.509999999998"/>
    <n v="104.57"/>
    <n v="382.3"/>
    <x v="2101"/>
    <x v="1"/>
  </r>
  <r>
    <x v="6"/>
    <x v="0"/>
    <x v="3"/>
    <n v="35852.53"/>
    <n v="29367.55"/>
    <n v="175.99"/>
    <n v="969.63"/>
    <x v="2102"/>
    <x v="0"/>
  </r>
  <r>
    <x v="17"/>
    <x v="0"/>
    <x v="6"/>
    <n v="25765.07"/>
    <n v="24024.36"/>
    <n v="49.22"/>
    <n v="479.43"/>
    <x v="2103"/>
    <x v="0"/>
  </r>
  <r>
    <x v="11"/>
    <x v="4"/>
    <x v="1"/>
    <n v="40976.71"/>
    <n v="35950.120000000003"/>
    <n v="150.22999999999999"/>
    <n v="613.04999999999995"/>
    <x v="2104"/>
    <x v="0"/>
  </r>
  <r>
    <x v="17"/>
    <x v="3"/>
    <x v="4"/>
    <n v="18935.150000000001"/>
    <n v="21548.3"/>
    <n v="168.02"/>
    <n v="212.16"/>
    <x v="2105"/>
    <x v="1"/>
  </r>
  <r>
    <x v="13"/>
    <x v="0"/>
    <x v="5"/>
    <n v="42395.76"/>
    <n v="38646.36"/>
    <n v="34.090000000000003"/>
    <n v="364.5"/>
    <x v="2106"/>
    <x v="0"/>
  </r>
  <r>
    <x v="16"/>
    <x v="2"/>
    <x v="5"/>
    <n v="24204.54"/>
    <n v="20642.66"/>
    <n v="23.09"/>
    <n v="990.67"/>
    <x v="2107"/>
    <x v="1"/>
  </r>
  <r>
    <x v="3"/>
    <x v="1"/>
    <x v="2"/>
    <n v="45069.58"/>
    <n v="40138.57"/>
    <n v="131.13999999999999"/>
    <n v="1165.8699999999999"/>
    <x v="2108"/>
    <x v="1"/>
  </r>
  <r>
    <x v="14"/>
    <x v="3"/>
    <x v="6"/>
    <n v="9773.83"/>
    <n v="10242.02"/>
    <n v="99.76"/>
    <n v="844.89"/>
    <x v="2109"/>
    <x v="1"/>
  </r>
  <r>
    <x v="19"/>
    <x v="3"/>
    <x v="7"/>
    <n v="5740.99"/>
    <n v="5175.08"/>
    <n v="26.29"/>
    <n v="466.57"/>
    <x v="2110"/>
    <x v="1"/>
  </r>
  <r>
    <x v="4"/>
    <x v="5"/>
    <x v="2"/>
    <n v="43995.32"/>
    <n v="42065.42"/>
    <n v="196.01"/>
    <n v="549.16"/>
    <x v="2111"/>
    <x v="0"/>
  </r>
  <r>
    <x v="2"/>
    <x v="1"/>
    <x v="1"/>
    <n v="18104.97"/>
    <n v="19402.95"/>
    <n v="118.84"/>
    <n v="239.4"/>
    <x v="2112"/>
    <x v="1"/>
  </r>
  <r>
    <x v="18"/>
    <x v="4"/>
    <x v="7"/>
    <n v="19047.060000000001"/>
    <n v="17664.740000000002"/>
    <n v="33.39"/>
    <n v="1229.68"/>
    <x v="2113"/>
    <x v="0"/>
  </r>
  <r>
    <x v="12"/>
    <x v="3"/>
    <x v="0"/>
    <n v="39012.379999999997"/>
    <n v="39009.82"/>
    <n v="97.73"/>
    <n v="150.37"/>
    <x v="2114"/>
    <x v="1"/>
  </r>
  <r>
    <x v="2"/>
    <x v="2"/>
    <x v="3"/>
    <n v="39163.83"/>
    <n v="36725.5"/>
    <n v="96.93"/>
    <n v="1354.12"/>
    <x v="2115"/>
    <x v="1"/>
  </r>
  <r>
    <x v="6"/>
    <x v="4"/>
    <x v="1"/>
    <n v="23303.86"/>
    <n v="22250.07"/>
    <n v="152.59"/>
    <n v="277.45"/>
    <x v="2116"/>
    <x v="0"/>
  </r>
  <r>
    <x v="17"/>
    <x v="1"/>
    <x v="1"/>
    <n v="35237.47"/>
    <n v="35622.629999999997"/>
    <n v="116.27"/>
    <n v="1369.87"/>
    <x v="2117"/>
    <x v="1"/>
  </r>
  <r>
    <x v="12"/>
    <x v="6"/>
    <x v="3"/>
    <n v="2825.5"/>
    <n v="2953.1"/>
    <n v="121.89"/>
    <n v="707.47"/>
    <x v="2118"/>
    <x v="0"/>
  </r>
  <r>
    <x v="4"/>
    <x v="3"/>
    <x v="0"/>
    <n v="27293.62"/>
    <n v="22003.31"/>
    <n v="61.47"/>
    <n v="264.66000000000003"/>
    <x v="2119"/>
    <x v="1"/>
  </r>
  <r>
    <x v="19"/>
    <x v="4"/>
    <x v="6"/>
    <n v="39820.97"/>
    <n v="33844.29"/>
    <n v="176.03"/>
    <n v="287.47000000000003"/>
    <x v="2120"/>
    <x v="0"/>
  </r>
  <r>
    <x v="17"/>
    <x v="6"/>
    <x v="0"/>
    <n v="43384.58"/>
    <n v="35806.129999999997"/>
    <n v="30.81"/>
    <n v="1190.1099999999999"/>
    <x v="2121"/>
    <x v="0"/>
  </r>
  <r>
    <x v="17"/>
    <x v="0"/>
    <x v="3"/>
    <n v="21214.86"/>
    <n v="24592.880000000001"/>
    <n v="95.32"/>
    <n v="1050.8"/>
    <x v="2122"/>
    <x v="0"/>
  </r>
  <r>
    <x v="13"/>
    <x v="5"/>
    <x v="1"/>
    <n v="33055.94"/>
    <n v="38140.550000000003"/>
    <n v="153.69999999999999"/>
    <n v="940.08"/>
    <x v="2123"/>
    <x v="0"/>
  </r>
  <r>
    <x v="18"/>
    <x v="3"/>
    <x v="3"/>
    <n v="12148.55"/>
    <n v="10214.129999999999"/>
    <n v="68.7"/>
    <n v="1209.48"/>
    <x v="2124"/>
    <x v="1"/>
  </r>
  <r>
    <x v="10"/>
    <x v="3"/>
    <x v="7"/>
    <n v="27987.95"/>
    <n v="24427.79"/>
    <n v="66.28"/>
    <n v="91.78"/>
    <x v="2125"/>
    <x v="1"/>
  </r>
  <r>
    <x v="13"/>
    <x v="2"/>
    <x v="4"/>
    <n v="5117.51"/>
    <n v="5392.38"/>
    <n v="44.55"/>
    <n v="521.32000000000005"/>
    <x v="2126"/>
    <x v="1"/>
  </r>
  <r>
    <x v="9"/>
    <x v="1"/>
    <x v="4"/>
    <n v="26712.79"/>
    <n v="26848.34"/>
    <n v="66.14"/>
    <n v="761.93"/>
    <x v="2127"/>
    <x v="1"/>
  </r>
  <r>
    <x v="9"/>
    <x v="0"/>
    <x v="3"/>
    <n v="4136.84"/>
    <n v="4577.87"/>
    <n v="185.34"/>
    <n v="412.77"/>
    <x v="2128"/>
    <x v="0"/>
  </r>
  <r>
    <x v="7"/>
    <x v="6"/>
    <x v="3"/>
    <n v="46052.18"/>
    <n v="43337.13"/>
    <n v="159.18"/>
    <n v="1174.6400000000001"/>
    <x v="2129"/>
    <x v="0"/>
  </r>
  <r>
    <x v="9"/>
    <x v="3"/>
    <x v="6"/>
    <n v="14821.69"/>
    <n v="15577.51"/>
    <n v="141.58000000000001"/>
    <n v="541.52"/>
    <x v="2130"/>
    <x v="1"/>
  </r>
  <r>
    <x v="4"/>
    <x v="3"/>
    <x v="6"/>
    <n v="40414.19"/>
    <n v="42394.85"/>
    <n v="188.16"/>
    <n v="327.10000000000002"/>
    <x v="2131"/>
    <x v="1"/>
  </r>
  <r>
    <x v="8"/>
    <x v="2"/>
    <x v="2"/>
    <n v="21409.3"/>
    <n v="24661.22"/>
    <n v="159.22"/>
    <n v="1252.33"/>
    <x v="2132"/>
    <x v="1"/>
  </r>
  <r>
    <x v="11"/>
    <x v="2"/>
    <x v="0"/>
    <n v="41572.870000000003"/>
    <n v="49079.89"/>
    <n v="146.02000000000001"/>
    <n v="190.57"/>
    <x v="2133"/>
    <x v="1"/>
  </r>
  <r>
    <x v="17"/>
    <x v="6"/>
    <x v="5"/>
    <n v="30679.1"/>
    <n v="26443.919999999998"/>
    <n v="172.8"/>
    <n v="1196.67"/>
    <x v="2134"/>
    <x v="0"/>
  </r>
  <r>
    <x v="19"/>
    <x v="5"/>
    <x v="3"/>
    <n v="41606.089999999997"/>
    <n v="46877.29"/>
    <n v="187.42"/>
    <n v="213.05"/>
    <x v="2135"/>
    <x v="0"/>
  </r>
  <r>
    <x v="5"/>
    <x v="6"/>
    <x v="2"/>
    <n v="21039.47"/>
    <n v="19017.97"/>
    <n v="160.55000000000001"/>
    <n v="74.05"/>
    <x v="2136"/>
    <x v="0"/>
  </r>
  <r>
    <x v="12"/>
    <x v="5"/>
    <x v="5"/>
    <n v="25425.119999999999"/>
    <n v="24747.72"/>
    <n v="36.17"/>
    <n v="753.99"/>
    <x v="2137"/>
    <x v="0"/>
  </r>
  <r>
    <x v="10"/>
    <x v="0"/>
    <x v="4"/>
    <n v="23334.880000000001"/>
    <n v="19766.990000000002"/>
    <n v="129.91999999999999"/>
    <n v="17.13"/>
    <x v="2138"/>
    <x v="0"/>
  </r>
  <r>
    <x v="13"/>
    <x v="2"/>
    <x v="3"/>
    <n v="35263.78"/>
    <n v="32027.17"/>
    <n v="114.62"/>
    <n v="772.03"/>
    <x v="2139"/>
    <x v="1"/>
  </r>
  <r>
    <x v="12"/>
    <x v="6"/>
    <x v="1"/>
    <n v="7513.39"/>
    <n v="7177.18"/>
    <n v="55.46"/>
    <n v="166.15"/>
    <x v="2140"/>
    <x v="0"/>
  </r>
  <r>
    <x v="0"/>
    <x v="4"/>
    <x v="2"/>
    <n v="2080.02"/>
    <n v="1859.92"/>
    <n v="31.43"/>
    <n v="57.28"/>
    <x v="2141"/>
    <x v="0"/>
  </r>
  <r>
    <x v="11"/>
    <x v="3"/>
    <x v="2"/>
    <n v="13535.23"/>
    <n v="15210.86"/>
    <n v="185.76"/>
    <n v="490.98"/>
    <x v="2142"/>
    <x v="1"/>
  </r>
  <r>
    <x v="19"/>
    <x v="3"/>
    <x v="1"/>
    <n v="36016.89"/>
    <n v="37081.949999999997"/>
    <n v="86.78"/>
    <n v="774.29"/>
    <x v="2143"/>
    <x v="1"/>
  </r>
  <r>
    <x v="6"/>
    <x v="1"/>
    <x v="1"/>
    <n v="32439.13"/>
    <n v="37580.81"/>
    <n v="164.52"/>
    <n v="696.56"/>
    <x v="2144"/>
    <x v="1"/>
  </r>
  <r>
    <x v="12"/>
    <x v="0"/>
    <x v="2"/>
    <n v="43405.29"/>
    <n v="39288.870000000003"/>
    <n v="140.93"/>
    <n v="17.010000000000002"/>
    <x v="2145"/>
    <x v="0"/>
  </r>
  <r>
    <x v="3"/>
    <x v="4"/>
    <x v="2"/>
    <n v="37398.57"/>
    <n v="30512.12"/>
    <n v="74.16"/>
    <n v="976.51"/>
    <x v="2146"/>
    <x v="0"/>
  </r>
  <r>
    <x v="1"/>
    <x v="1"/>
    <x v="1"/>
    <n v="25172.33"/>
    <n v="22498.63"/>
    <n v="111.99"/>
    <n v="958.92"/>
    <x v="2147"/>
    <x v="1"/>
  </r>
  <r>
    <x v="7"/>
    <x v="1"/>
    <x v="6"/>
    <n v="20091.78"/>
    <n v="17367.8"/>
    <n v="156.4"/>
    <n v="1355.95"/>
    <x v="2148"/>
    <x v="1"/>
  </r>
  <r>
    <x v="9"/>
    <x v="1"/>
    <x v="4"/>
    <n v="36926.85"/>
    <n v="29718.74"/>
    <n v="49.29"/>
    <n v="552.76"/>
    <x v="2149"/>
    <x v="1"/>
  </r>
  <r>
    <x v="8"/>
    <x v="2"/>
    <x v="0"/>
    <n v="9837.02"/>
    <n v="11627.82"/>
    <n v="115.82"/>
    <n v="877.07"/>
    <x v="2150"/>
    <x v="1"/>
  </r>
  <r>
    <x v="17"/>
    <x v="1"/>
    <x v="2"/>
    <n v="28930.73"/>
    <n v="26402.82"/>
    <n v="65.69"/>
    <n v="754.75"/>
    <x v="2151"/>
    <x v="1"/>
  </r>
  <r>
    <x v="7"/>
    <x v="1"/>
    <x v="0"/>
    <n v="39712.35"/>
    <n v="41529.26"/>
    <n v="99.07"/>
    <n v="1092.9000000000001"/>
    <x v="2152"/>
    <x v="1"/>
  </r>
  <r>
    <x v="19"/>
    <x v="6"/>
    <x v="3"/>
    <n v="33684.83"/>
    <n v="29132.81"/>
    <n v="166.19"/>
    <n v="1188.78"/>
    <x v="2153"/>
    <x v="0"/>
  </r>
  <r>
    <x v="8"/>
    <x v="6"/>
    <x v="1"/>
    <n v="34893.019999999997"/>
    <n v="29030.35"/>
    <n v="86.77"/>
    <n v="1185.57"/>
    <x v="2154"/>
    <x v="0"/>
  </r>
  <r>
    <x v="6"/>
    <x v="3"/>
    <x v="6"/>
    <n v="39780.81"/>
    <n v="36194.44"/>
    <n v="136.25"/>
    <n v="1372.46"/>
    <x v="2155"/>
    <x v="1"/>
  </r>
  <r>
    <x v="7"/>
    <x v="3"/>
    <x v="3"/>
    <n v="24694.29"/>
    <n v="21980.41"/>
    <n v="123.96"/>
    <n v="292.27"/>
    <x v="2156"/>
    <x v="1"/>
  </r>
  <r>
    <x v="2"/>
    <x v="4"/>
    <x v="7"/>
    <n v="26312.21"/>
    <n v="26865.16"/>
    <n v="32.4"/>
    <n v="726.21"/>
    <x v="2157"/>
    <x v="0"/>
  </r>
  <r>
    <x v="1"/>
    <x v="3"/>
    <x v="2"/>
    <n v="1618.65"/>
    <n v="1579.4"/>
    <n v="31.44"/>
    <n v="707.74"/>
    <x v="2158"/>
    <x v="1"/>
  </r>
  <r>
    <x v="17"/>
    <x v="3"/>
    <x v="5"/>
    <n v="33870.28"/>
    <n v="33802.04"/>
    <n v="46.63"/>
    <n v="1124.04"/>
    <x v="2159"/>
    <x v="1"/>
  </r>
  <r>
    <x v="14"/>
    <x v="2"/>
    <x v="4"/>
    <n v="13878.66"/>
    <n v="13795.11"/>
    <n v="165.73"/>
    <n v="355.82"/>
    <x v="2160"/>
    <x v="1"/>
  </r>
  <r>
    <x v="6"/>
    <x v="1"/>
    <x v="1"/>
    <n v="23928.44"/>
    <n v="21243.15"/>
    <n v="163.29"/>
    <n v="396.86"/>
    <x v="2161"/>
    <x v="1"/>
  </r>
  <r>
    <x v="15"/>
    <x v="1"/>
    <x v="2"/>
    <n v="31658.66"/>
    <n v="32503.18"/>
    <n v="113.37"/>
    <n v="51.5"/>
    <x v="2162"/>
    <x v="1"/>
  </r>
  <r>
    <x v="3"/>
    <x v="6"/>
    <x v="4"/>
    <n v="17602.599999999999"/>
    <n v="16737.12"/>
    <n v="90.47"/>
    <n v="260.81"/>
    <x v="2163"/>
    <x v="0"/>
  </r>
  <r>
    <x v="7"/>
    <x v="5"/>
    <x v="4"/>
    <n v="33891.550000000003"/>
    <n v="31648.5"/>
    <n v="132.38"/>
    <n v="306.42"/>
    <x v="2164"/>
    <x v="0"/>
  </r>
  <r>
    <x v="9"/>
    <x v="4"/>
    <x v="0"/>
    <n v="4928.74"/>
    <n v="4001.21"/>
    <n v="107.14"/>
    <n v="604.48"/>
    <x v="2165"/>
    <x v="0"/>
  </r>
  <r>
    <x v="2"/>
    <x v="3"/>
    <x v="3"/>
    <n v="43681.35"/>
    <n v="39417.42"/>
    <n v="30.52"/>
    <n v="17.13"/>
    <x v="2166"/>
    <x v="1"/>
  </r>
  <r>
    <x v="9"/>
    <x v="4"/>
    <x v="2"/>
    <n v="36440.49"/>
    <n v="35379.589999999997"/>
    <n v="88.45"/>
    <n v="964.19"/>
    <x v="2167"/>
    <x v="0"/>
  </r>
  <r>
    <x v="9"/>
    <x v="2"/>
    <x v="6"/>
    <n v="16518.259999999998"/>
    <n v="18623.18"/>
    <n v="142.12"/>
    <n v="1266.48"/>
    <x v="2168"/>
    <x v="1"/>
  </r>
  <r>
    <x v="6"/>
    <x v="1"/>
    <x v="4"/>
    <n v="13519.64"/>
    <n v="14221.21"/>
    <n v="40.119999999999997"/>
    <n v="860.01"/>
    <x v="2169"/>
    <x v="1"/>
  </r>
  <r>
    <x v="18"/>
    <x v="6"/>
    <x v="0"/>
    <n v="19517.830000000002"/>
    <n v="20014.560000000001"/>
    <n v="108.51"/>
    <n v="699.38"/>
    <x v="2170"/>
    <x v="0"/>
  </r>
  <r>
    <x v="5"/>
    <x v="3"/>
    <x v="2"/>
    <n v="18058.32"/>
    <n v="19654.95"/>
    <n v="178.49"/>
    <n v="180.81"/>
    <x v="2171"/>
    <x v="1"/>
  </r>
  <r>
    <x v="9"/>
    <x v="1"/>
    <x v="7"/>
    <n v="31220.86"/>
    <n v="36959.440000000002"/>
    <n v="184.7"/>
    <n v="1372.14"/>
    <x v="2172"/>
    <x v="1"/>
  </r>
  <r>
    <x v="16"/>
    <x v="5"/>
    <x v="3"/>
    <n v="9060.27"/>
    <n v="8555.6"/>
    <n v="24.08"/>
    <n v="878.48"/>
    <x v="2173"/>
    <x v="0"/>
  </r>
  <r>
    <x v="16"/>
    <x v="0"/>
    <x v="7"/>
    <n v="26692.45"/>
    <n v="28318.78"/>
    <n v="92.95"/>
    <n v="633.39"/>
    <x v="2174"/>
    <x v="0"/>
  </r>
  <r>
    <x v="18"/>
    <x v="1"/>
    <x v="3"/>
    <n v="41474.480000000003"/>
    <n v="39921.339999999997"/>
    <n v="48.86"/>
    <n v="852.42"/>
    <x v="2175"/>
    <x v="1"/>
  </r>
  <r>
    <x v="4"/>
    <x v="5"/>
    <x v="3"/>
    <n v="26564.19"/>
    <n v="27462.76"/>
    <n v="143.15"/>
    <n v="968.29"/>
    <x v="2176"/>
    <x v="0"/>
  </r>
  <r>
    <x v="0"/>
    <x v="4"/>
    <x v="0"/>
    <n v="6384.32"/>
    <n v="6500.24"/>
    <n v="131.96"/>
    <n v="1347.41"/>
    <x v="2177"/>
    <x v="0"/>
  </r>
  <r>
    <x v="2"/>
    <x v="2"/>
    <x v="0"/>
    <n v="47934.04"/>
    <n v="50098.02"/>
    <n v="34.450000000000003"/>
    <n v="164.08"/>
    <x v="2178"/>
    <x v="1"/>
  </r>
  <r>
    <x v="10"/>
    <x v="5"/>
    <x v="3"/>
    <n v="10524.21"/>
    <n v="10525.8"/>
    <n v="92.7"/>
    <n v="516.42999999999995"/>
    <x v="2179"/>
    <x v="0"/>
  </r>
  <r>
    <x v="15"/>
    <x v="6"/>
    <x v="6"/>
    <n v="9867.2000000000007"/>
    <n v="10190.91"/>
    <n v="35.53"/>
    <n v="933.36"/>
    <x v="2180"/>
    <x v="0"/>
  </r>
  <r>
    <x v="16"/>
    <x v="1"/>
    <x v="3"/>
    <n v="10556.1"/>
    <n v="8660.98"/>
    <n v="132.6"/>
    <n v="1304.55"/>
    <x v="2181"/>
    <x v="1"/>
  </r>
  <r>
    <x v="15"/>
    <x v="4"/>
    <x v="3"/>
    <n v="38787.71"/>
    <n v="40830.199999999997"/>
    <n v="109.43"/>
    <n v="257.67"/>
    <x v="2182"/>
    <x v="0"/>
  </r>
  <r>
    <x v="6"/>
    <x v="5"/>
    <x v="1"/>
    <n v="19973.259999999998"/>
    <n v="16207.35"/>
    <n v="33.340000000000003"/>
    <n v="1323.42"/>
    <x v="2183"/>
    <x v="0"/>
  </r>
  <r>
    <x v="9"/>
    <x v="6"/>
    <x v="4"/>
    <n v="5586.67"/>
    <n v="6335.73"/>
    <n v="128.71"/>
    <n v="123.91"/>
    <x v="2184"/>
    <x v="0"/>
  </r>
  <r>
    <x v="16"/>
    <x v="0"/>
    <x v="6"/>
    <n v="19895.86"/>
    <n v="16559.2"/>
    <n v="117.48"/>
    <n v="676.2"/>
    <x v="2185"/>
    <x v="0"/>
  </r>
  <r>
    <x v="14"/>
    <x v="5"/>
    <x v="0"/>
    <n v="25078.26"/>
    <n v="26956.34"/>
    <n v="73.8"/>
    <n v="26.82"/>
    <x v="2186"/>
    <x v="0"/>
  </r>
  <r>
    <x v="7"/>
    <x v="5"/>
    <x v="5"/>
    <n v="17683.849999999999"/>
    <n v="19953.54"/>
    <n v="142.88999999999999"/>
    <n v="27.76"/>
    <x v="2187"/>
    <x v="0"/>
  </r>
  <r>
    <x v="5"/>
    <x v="4"/>
    <x v="6"/>
    <n v="46992.34"/>
    <n v="43440.35"/>
    <n v="34.97"/>
    <n v="1108.78"/>
    <x v="2188"/>
    <x v="0"/>
  </r>
  <r>
    <x v="5"/>
    <x v="0"/>
    <x v="1"/>
    <n v="35773.589999999997"/>
    <n v="30260.75"/>
    <n v="176.57"/>
    <n v="752.16"/>
    <x v="2189"/>
    <x v="0"/>
  </r>
  <r>
    <x v="3"/>
    <x v="4"/>
    <x v="2"/>
    <n v="18461.93"/>
    <n v="18682.59"/>
    <n v="192.66"/>
    <n v="596.51"/>
    <x v="2190"/>
    <x v="0"/>
  </r>
  <r>
    <x v="7"/>
    <x v="1"/>
    <x v="7"/>
    <n v="9084.81"/>
    <n v="9106.69"/>
    <n v="114.47"/>
    <n v="640.84"/>
    <x v="2191"/>
    <x v="1"/>
  </r>
  <r>
    <x v="14"/>
    <x v="1"/>
    <x v="2"/>
    <n v="36705.17"/>
    <n v="33000.480000000003"/>
    <n v="151.22999999999999"/>
    <n v="1135.49"/>
    <x v="2192"/>
    <x v="1"/>
  </r>
  <r>
    <x v="8"/>
    <x v="6"/>
    <x v="1"/>
    <n v="47608.92"/>
    <n v="55268.5"/>
    <n v="52.68"/>
    <n v="618.59"/>
    <x v="2193"/>
    <x v="0"/>
  </r>
  <r>
    <x v="9"/>
    <x v="2"/>
    <x v="6"/>
    <n v="21314.1"/>
    <n v="23935.46"/>
    <n v="163.08000000000001"/>
    <n v="482.21"/>
    <x v="2194"/>
    <x v="1"/>
  </r>
  <r>
    <x v="18"/>
    <x v="1"/>
    <x v="3"/>
    <n v="40109.93"/>
    <n v="42459.75"/>
    <n v="195.77"/>
    <n v="928.28"/>
    <x v="2195"/>
    <x v="1"/>
  </r>
  <r>
    <x v="19"/>
    <x v="4"/>
    <x v="3"/>
    <n v="21358"/>
    <n v="19292.78"/>
    <n v="49.13"/>
    <n v="1271.1500000000001"/>
    <x v="2196"/>
    <x v="0"/>
  </r>
  <r>
    <x v="16"/>
    <x v="1"/>
    <x v="2"/>
    <n v="17139.36"/>
    <n v="17798.580000000002"/>
    <n v="79.47"/>
    <n v="296.25"/>
    <x v="2197"/>
    <x v="1"/>
  </r>
  <r>
    <x v="13"/>
    <x v="0"/>
    <x v="6"/>
    <n v="17056.7"/>
    <n v="18974.150000000001"/>
    <n v="40.33"/>
    <n v="1288.3900000000001"/>
    <x v="2198"/>
    <x v="0"/>
  </r>
  <r>
    <x v="7"/>
    <x v="1"/>
    <x v="0"/>
    <n v="44413.09"/>
    <n v="50839.16"/>
    <n v="101.44"/>
    <n v="731.38"/>
    <x v="2199"/>
    <x v="1"/>
  </r>
  <r>
    <x v="10"/>
    <x v="3"/>
    <x v="2"/>
    <n v="4539.78"/>
    <n v="4398.12"/>
    <n v="153.06"/>
    <n v="729.47"/>
    <x v="2200"/>
    <x v="1"/>
  </r>
  <r>
    <x v="7"/>
    <x v="1"/>
    <x v="7"/>
    <n v="40533.78"/>
    <n v="42367.39"/>
    <n v="197.89"/>
    <n v="425.81"/>
    <x v="2201"/>
    <x v="1"/>
  </r>
  <r>
    <x v="15"/>
    <x v="5"/>
    <x v="0"/>
    <n v="47961.64"/>
    <n v="51338.33"/>
    <n v="198.04"/>
    <n v="1359.81"/>
    <x v="2202"/>
    <x v="0"/>
  </r>
  <r>
    <x v="17"/>
    <x v="1"/>
    <x v="0"/>
    <n v="36243.19"/>
    <n v="32173.439999999999"/>
    <n v="22.91"/>
    <n v="1359.27"/>
    <x v="2203"/>
    <x v="1"/>
  </r>
  <r>
    <x v="17"/>
    <x v="3"/>
    <x v="7"/>
    <n v="935.82"/>
    <n v="926.19"/>
    <n v="149.58000000000001"/>
    <n v="848.45"/>
    <x v="2204"/>
    <x v="1"/>
  </r>
  <r>
    <x v="16"/>
    <x v="5"/>
    <x v="0"/>
    <n v="12275.04"/>
    <n v="10684.7"/>
    <n v="161.59"/>
    <n v="398.1"/>
    <x v="2205"/>
    <x v="0"/>
  </r>
  <r>
    <x v="7"/>
    <x v="3"/>
    <x v="6"/>
    <n v="2950.2"/>
    <n v="3293.61"/>
    <n v="53.62"/>
    <n v="221.09"/>
    <x v="2206"/>
    <x v="1"/>
  </r>
  <r>
    <x v="5"/>
    <x v="2"/>
    <x v="4"/>
    <n v="15959.71"/>
    <n v="14776.27"/>
    <n v="120.64"/>
    <n v="1363.66"/>
    <x v="2207"/>
    <x v="1"/>
  </r>
  <r>
    <x v="12"/>
    <x v="3"/>
    <x v="6"/>
    <n v="41621.75"/>
    <n v="42568.89"/>
    <n v="187.12"/>
    <n v="571.30999999999995"/>
    <x v="2208"/>
    <x v="1"/>
  </r>
  <r>
    <x v="17"/>
    <x v="0"/>
    <x v="0"/>
    <n v="32587.94"/>
    <n v="27049.03"/>
    <n v="62.45"/>
    <n v="1106.79"/>
    <x v="2209"/>
    <x v="0"/>
  </r>
  <r>
    <x v="15"/>
    <x v="1"/>
    <x v="7"/>
    <n v="40689.919999999998"/>
    <n v="32794.75"/>
    <n v="52.19"/>
    <n v="884.34"/>
    <x v="2210"/>
    <x v="1"/>
  </r>
  <r>
    <x v="14"/>
    <x v="2"/>
    <x v="4"/>
    <n v="5096.32"/>
    <n v="6100.3"/>
    <n v="102.1"/>
    <n v="789.88"/>
    <x v="2211"/>
    <x v="1"/>
  </r>
  <r>
    <x v="0"/>
    <x v="2"/>
    <x v="3"/>
    <n v="30967.14"/>
    <n v="35080.79"/>
    <n v="25.27"/>
    <n v="1108.8399999999999"/>
    <x v="2212"/>
    <x v="1"/>
  </r>
  <r>
    <x v="19"/>
    <x v="4"/>
    <x v="2"/>
    <n v="44408.2"/>
    <n v="42230.09"/>
    <n v="181.63"/>
    <n v="1087.96"/>
    <x v="2213"/>
    <x v="0"/>
  </r>
  <r>
    <x v="13"/>
    <x v="6"/>
    <x v="2"/>
    <n v="6479.12"/>
    <n v="5684.01"/>
    <n v="128.5"/>
    <n v="1227.8800000000001"/>
    <x v="2214"/>
    <x v="0"/>
  </r>
  <r>
    <x v="15"/>
    <x v="6"/>
    <x v="4"/>
    <n v="40388.03"/>
    <n v="42433.51"/>
    <n v="25.64"/>
    <n v="1142.48"/>
    <x v="2215"/>
    <x v="0"/>
  </r>
  <r>
    <x v="2"/>
    <x v="0"/>
    <x v="0"/>
    <n v="17074.89"/>
    <n v="15502.26"/>
    <n v="199.14"/>
    <n v="380.9"/>
    <x v="2216"/>
    <x v="0"/>
  </r>
  <r>
    <x v="0"/>
    <x v="0"/>
    <x v="1"/>
    <n v="33214.400000000001"/>
    <n v="33722.370000000003"/>
    <n v="26.48"/>
    <n v="478.94"/>
    <x v="2217"/>
    <x v="0"/>
  </r>
  <r>
    <x v="19"/>
    <x v="6"/>
    <x v="0"/>
    <n v="37498.559999999998"/>
    <n v="37175.4"/>
    <n v="140.93"/>
    <n v="1370.54"/>
    <x v="2218"/>
    <x v="0"/>
  </r>
  <r>
    <x v="8"/>
    <x v="0"/>
    <x v="3"/>
    <n v="46617.87"/>
    <n v="55386"/>
    <n v="187.18"/>
    <n v="276.94"/>
    <x v="2219"/>
    <x v="0"/>
  </r>
  <r>
    <x v="9"/>
    <x v="2"/>
    <x v="2"/>
    <n v="1350.66"/>
    <n v="1486.33"/>
    <n v="126.25"/>
    <n v="916.87"/>
    <x v="2220"/>
    <x v="1"/>
  </r>
  <r>
    <x v="1"/>
    <x v="6"/>
    <x v="0"/>
    <n v="16895.669999999998"/>
    <n v="19414.990000000002"/>
    <n v="27.4"/>
    <n v="756.92"/>
    <x v="2221"/>
    <x v="0"/>
  </r>
  <r>
    <x v="4"/>
    <x v="2"/>
    <x v="5"/>
    <n v="2196.0700000000002"/>
    <n v="1810.24"/>
    <n v="25.67"/>
    <n v="169.53"/>
    <x v="2222"/>
    <x v="1"/>
  </r>
  <r>
    <x v="3"/>
    <x v="6"/>
    <x v="2"/>
    <n v="15377.13"/>
    <n v="14750.52"/>
    <n v="194.07"/>
    <n v="133.19999999999999"/>
    <x v="2223"/>
    <x v="0"/>
  </r>
  <r>
    <x v="12"/>
    <x v="2"/>
    <x v="3"/>
    <n v="10984.97"/>
    <n v="13178.29"/>
    <n v="78.5"/>
    <n v="320.86"/>
    <x v="2224"/>
    <x v="1"/>
  </r>
  <r>
    <x v="0"/>
    <x v="1"/>
    <x v="3"/>
    <n v="43272.07"/>
    <n v="44745.57"/>
    <n v="127.93"/>
    <n v="1079.8599999999999"/>
    <x v="2225"/>
    <x v="1"/>
  </r>
  <r>
    <x v="4"/>
    <x v="0"/>
    <x v="5"/>
    <n v="4349.1000000000004"/>
    <n v="5041.08"/>
    <n v="27.44"/>
    <n v="694.98"/>
    <x v="2226"/>
    <x v="0"/>
  </r>
  <r>
    <x v="8"/>
    <x v="6"/>
    <x v="6"/>
    <n v="3590.1"/>
    <n v="3913.05"/>
    <n v="105.44"/>
    <n v="591.58000000000004"/>
    <x v="2227"/>
    <x v="0"/>
  </r>
  <r>
    <x v="19"/>
    <x v="1"/>
    <x v="0"/>
    <n v="39587.56"/>
    <n v="38946.61"/>
    <n v="184.85"/>
    <n v="1328.83"/>
    <x v="2228"/>
    <x v="1"/>
  </r>
  <r>
    <x v="6"/>
    <x v="1"/>
    <x v="1"/>
    <n v="44113"/>
    <n v="47014.28"/>
    <n v="192.98"/>
    <n v="967.44"/>
    <x v="2229"/>
    <x v="1"/>
  </r>
  <r>
    <x v="4"/>
    <x v="6"/>
    <x v="5"/>
    <n v="30731.43"/>
    <n v="33663.230000000003"/>
    <n v="99.01"/>
    <n v="1181.06"/>
    <x v="2230"/>
    <x v="0"/>
  </r>
  <r>
    <x v="9"/>
    <x v="3"/>
    <x v="3"/>
    <n v="32046.76"/>
    <n v="37019.97"/>
    <n v="102.53"/>
    <n v="1308.1600000000001"/>
    <x v="2231"/>
    <x v="1"/>
  </r>
  <r>
    <x v="5"/>
    <x v="0"/>
    <x v="2"/>
    <n v="24714.37"/>
    <n v="20754.62"/>
    <n v="173.49"/>
    <n v="1279.1500000000001"/>
    <x v="2232"/>
    <x v="0"/>
  </r>
  <r>
    <x v="9"/>
    <x v="4"/>
    <x v="1"/>
    <n v="18484.48"/>
    <n v="17390.509999999998"/>
    <n v="101.13"/>
    <n v="337.5"/>
    <x v="2233"/>
    <x v="0"/>
  </r>
  <r>
    <x v="7"/>
    <x v="1"/>
    <x v="4"/>
    <n v="1474.04"/>
    <n v="1208.28"/>
    <n v="104.39"/>
    <n v="828.2"/>
    <x v="2234"/>
    <x v="1"/>
  </r>
  <r>
    <x v="6"/>
    <x v="4"/>
    <x v="3"/>
    <n v="6534.01"/>
    <n v="5653.64"/>
    <n v="140.44"/>
    <n v="628.4"/>
    <x v="2235"/>
    <x v="0"/>
  </r>
  <r>
    <x v="8"/>
    <x v="5"/>
    <x v="0"/>
    <n v="11616.43"/>
    <n v="13501.93"/>
    <n v="162.66999999999999"/>
    <n v="1013.24"/>
    <x v="2236"/>
    <x v="0"/>
  </r>
  <r>
    <x v="3"/>
    <x v="6"/>
    <x v="5"/>
    <n v="16326.39"/>
    <n v="17607.060000000001"/>
    <n v="70.39"/>
    <n v="1357.48"/>
    <x v="2237"/>
    <x v="0"/>
  </r>
  <r>
    <x v="4"/>
    <x v="4"/>
    <x v="6"/>
    <n v="47617.94"/>
    <n v="39530.959999999999"/>
    <n v="197.97"/>
    <n v="157.1"/>
    <x v="2238"/>
    <x v="0"/>
  </r>
  <r>
    <x v="8"/>
    <x v="2"/>
    <x v="2"/>
    <n v="43696.87"/>
    <n v="35154.769999999997"/>
    <n v="189.95"/>
    <n v="907.73"/>
    <x v="2239"/>
    <x v="1"/>
  </r>
  <r>
    <x v="17"/>
    <x v="6"/>
    <x v="7"/>
    <n v="6408"/>
    <n v="6276.8"/>
    <n v="187.43"/>
    <n v="731.31"/>
    <x v="2240"/>
    <x v="0"/>
  </r>
  <r>
    <x v="18"/>
    <x v="5"/>
    <x v="6"/>
    <n v="15288.73"/>
    <n v="16576.419999999998"/>
    <n v="197.71"/>
    <n v="826.58"/>
    <x v="2241"/>
    <x v="0"/>
  </r>
  <r>
    <x v="16"/>
    <x v="2"/>
    <x v="1"/>
    <n v="30183.19"/>
    <n v="24591.72"/>
    <n v="115.97"/>
    <n v="695.44"/>
    <x v="2242"/>
    <x v="1"/>
  </r>
  <r>
    <x v="2"/>
    <x v="1"/>
    <x v="3"/>
    <n v="49956.72"/>
    <n v="54284.18"/>
    <n v="115.03"/>
    <n v="327.45999999999998"/>
    <x v="2243"/>
    <x v="1"/>
  </r>
  <r>
    <x v="1"/>
    <x v="1"/>
    <x v="4"/>
    <n v="15785.95"/>
    <n v="14969.94"/>
    <n v="89.02"/>
    <n v="1219.19"/>
    <x v="2244"/>
    <x v="1"/>
  </r>
  <r>
    <x v="7"/>
    <x v="4"/>
    <x v="1"/>
    <n v="27911.93"/>
    <n v="29353.37"/>
    <n v="35.89"/>
    <n v="728.14"/>
    <x v="2245"/>
    <x v="0"/>
  </r>
  <r>
    <x v="10"/>
    <x v="0"/>
    <x v="4"/>
    <n v="30939.1"/>
    <n v="26174.28"/>
    <n v="121.45"/>
    <n v="623.17999999999995"/>
    <x v="2246"/>
    <x v="0"/>
  </r>
  <r>
    <x v="19"/>
    <x v="3"/>
    <x v="1"/>
    <n v="21645.26"/>
    <n v="18587.599999999999"/>
    <n v="57.84"/>
    <n v="1101.8699999999999"/>
    <x v="2247"/>
    <x v="1"/>
  </r>
  <r>
    <x v="0"/>
    <x v="0"/>
    <x v="2"/>
    <n v="43235.32"/>
    <n v="44975.6"/>
    <n v="109.83"/>
    <n v="1188.29"/>
    <x v="2248"/>
    <x v="0"/>
  </r>
  <r>
    <x v="13"/>
    <x v="0"/>
    <x v="5"/>
    <n v="41849.81"/>
    <n v="42853.46"/>
    <n v="90.87"/>
    <n v="1170.4000000000001"/>
    <x v="2249"/>
    <x v="0"/>
  </r>
  <r>
    <x v="9"/>
    <x v="5"/>
    <x v="5"/>
    <n v="42161.02"/>
    <n v="49890.82"/>
    <n v="182.21"/>
    <n v="118.35"/>
    <x v="2250"/>
    <x v="0"/>
  </r>
  <r>
    <x v="16"/>
    <x v="5"/>
    <x v="2"/>
    <n v="44529.34"/>
    <n v="44569.81"/>
    <n v="39"/>
    <n v="888.96"/>
    <x v="2251"/>
    <x v="0"/>
  </r>
  <r>
    <x v="16"/>
    <x v="2"/>
    <x v="4"/>
    <n v="24769.11"/>
    <n v="21827.22"/>
    <n v="114.9"/>
    <n v="1098.97"/>
    <x v="2252"/>
    <x v="1"/>
  </r>
  <r>
    <x v="4"/>
    <x v="1"/>
    <x v="0"/>
    <n v="25330.28"/>
    <n v="23617.35"/>
    <n v="149.22"/>
    <n v="484.02"/>
    <x v="2253"/>
    <x v="1"/>
  </r>
  <r>
    <x v="12"/>
    <x v="3"/>
    <x v="1"/>
    <n v="8760.69"/>
    <n v="8508.18"/>
    <n v="58.15"/>
    <n v="1316.45"/>
    <x v="2254"/>
    <x v="1"/>
  </r>
  <r>
    <x v="14"/>
    <x v="4"/>
    <x v="2"/>
    <n v="32326.04"/>
    <n v="30437.47"/>
    <n v="166.36"/>
    <n v="1334.68"/>
    <x v="2255"/>
    <x v="0"/>
  </r>
  <r>
    <x v="12"/>
    <x v="0"/>
    <x v="7"/>
    <n v="7637.99"/>
    <n v="9063.1"/>
    <n v="157.21"/>
    <n v="121.4"/>
    <x v="2256"/>
    <x v="0"/>
  </r>
  <r>
    <x v="10"/>
    <x v="2"/>
    <x v="6"/>
    <n v="32324.65"/>
    <n v="34652.36"/>
    <n v="159.72"/>
    <n v="387.42"/>
    <x v="2257"/>
    <x v="1"/>
  </r>
  <r>
    <x v="14"/>
    <x v="2"/>
    <x v="3"/>
    <n v="25781.279999999999"/>
    <n v="22716.09"/>
    <n v="107.49"/>
    <n v="47.45"/>
    <x v="2258"/>
    <x v="1"/>
  </r>
  <r>
    <x v="10"/>
    <x v="0"/>
    <x v="1"/>
    <n v="35813.64"/>
    <n v="35555.01"/>
    <n v="112.34"/>
    <n v="973.72"/>
    <x v="2259"/>
    <x v="0"/>
  </r>
  <r>
    <x v="9"/>
    <x v="6"/>
    <x v="7"/>
    <n v="41306.47"/>
    <n v="46542.54"/>
    <n v="162.13999999999999"/>
    <n v="1002.59"/>
    <x v="2260"/>
    <x v="0"/>
  </r>
  <r>
    <x v="13"/>
    <x v="3"/>
    <x v="0"/>
    <n v="8893.76"/>
    <n v="8935.25"/>
    <n v="178.61"/>
    <n v="345.33"/>
    <x v="2261"/>
    <x v="1"/>
  </r>
  <r>
    <x v="6"/>
    <x v="0"/>
    <x v="2"/>
    <n v="16078.18"/>
    <n v="13225.2"/>
    <n v="144.19999999999999"/>
    <n v="84"/>
    <x v="2262"/>
    <x v="0"/>
  </r>
  <r>
    <x v="14"/>
    <x v="3"/>
    <x v="3"/>
    <n v="5706.66"/>
    <n v="4808.6000000000004"/>
    <n v="56.84"/>
    <n v="1042.76"/>
    <x v="2263"/>
    <x v="1"/>
  </r>
  <r>
    <x v="11"/>
    <x v="6"/>
    <x v="1"/>
    <n v="37669.360000000001"/>
    <n v="39917.08"/>
    <n v="184.25"/>
    <n v="730.86"/>
    <x v="2264"/>
    <x v="0"/>
  </r>
  <r>
    <x v="16"/>
    <x v="1"/>
    <x v="3"/>
    <n v="34547.54"/>
    <n v="27917.66"/>
    <n v="176.46"/>
    <n v="1143.81"/>
    <x v="2265"/>
    <x v="1"/>
  </r>
  <r>
    <x v="14"/>
    <x v="3"/>
    <x v="0"/>
    <n v="48049.54"/>
    <n v="43047.97"/>
    <n v="87"/>
    <n v="826.01"/>
    <x v="2266"/>
    <x v="1"/>
  </r>
  <r>
    <x v="19"/>
    <x v="5"/>
    <x v="6"/>
    <n v="9699.2099999999991"/>
    <n v="9979.66"/>
    <n v="121.47"/>
    <n v="1188.82"/>
    <x v="2267"/>
    <x v="0"/>
  </r>
  <r>
    <x v="11"/>
    <x v="1"/>
    <x v="5"/>
    <n v="47226.15"/>
    <n v="41252.03"/>
    <n v="192.94"/>
    <n v="1385.29"/>
    <x v="2268"/>
    <x v="1"/>
  </r>
  <r>
    <x v="17"/>
    <x v="6"/>
    <x v="6"/>
    <n v="24092.9"/>
    <n v="23745.33"/>
    <n v="105.75"/>
    <n v="149.96"/>
    <x v="2269"/>
    <x v="0"/>
  </r>
  <r>
    <x v="5"/>
    <x v="0"/>
    <x v="1"/>
    <n v="38762.839999999997"/>
    <n v="37350.949999999997"/>
    <n v="147.43"/>
    <n v="1137.49"/>
    <x v="2270"/>
    <x v="0"/>
  </r>
  <r>
    <x v="18"/>
    <x v="3"/>
    <x v="7"/>
    <n v="32596.97"/>
    <n v="30241.119999999999"/>
    <n v="146.22999999999999"/>
    <n v="1260.58"/>
    <x v="2271"/>
    <x v="1"/>
  </r>
  <r>
    <x v="9"/>
    <x v="6"/>
    <x v="0"/>
    <n v="9373.69"/>
    <n v="7789.61"/>
    <n v="21.09"/>
    <n v="145.69"/>
    <x v="2272"/>
    <x v="0"/>
  </r>
  <r>
    <x v="17"/>
    <x v="5"/>
    <x v="0"/>
    <n v="23807.62"/>
    <n v="27875.66"/>
    <n v="144.51"/>
    <n v="1300.1099999999999"/>
    <x v="2273"/>
    <x v="0"/>
  </r>
  <r>
    <x v="18"/>
    <x v="0"/>
    <x v="3"/>
    <n v="34253.699999999997"/>
    <n v="38503.82"/>
    <n v="63.77"/>
    <n v="374.1"/>
    <x v="2274"/>
    <x v="0"/>
  </r>
  <r>
    <x v="11"/>
    <x v="2"/>
    <x v="7"/>
    <n v="18948.39"/>
    <n v="17147.310000000001"/>
    <n v="24.01"/>
    <n v="891.92"/>
    <x v="2275"/>
    <x v="1"/>
  </r>
  <r>
    <x v="5"/>
    <x v="2"/>
    <x v="7"/>
    <n v="42853.919999999998"/>
    <n v="49497.73"/>
    <n v="130.66999999999999"/>
    <n v="1040.8599999999999"/>
    <x v="2276"/>
    <x v="1"/>
  </r>
  <r>
    <x v="18"/>
    <x v="0"/>
    <x v="5"/>
    <n v="33663.519999999997"/>
    <n v="26981"/>
    <n v="195.78"/>
    <n v="1042.9100000000001"/>
    <x v="2277"/>
    <x v="0"/>
  </r>
  <r>
    <x v="1"/>
    <x v="3"/>
    <x v="5"/>
    <n v="26409.46"/>
    <n v="26058.98"/>
    <n v="169.86"/>
    <n v="895.54"/>
    <x v="2278"/>
    <x v="1"/>
  </r>
  <r>
    <x v="10"/>
    <x v="4"/>
    <x v="6"/>
    <n v="33671.339999999997"/>
    <n v="36398.89"/>
    <n v="183.53"/>
    <n v="636.54999999999995"/>
    <x v="2279"/>
    <x v="0"/>
  </r>
  <r>
    <x v="0"/>
    <x v="0"/>
    <x v="7"/>
    <n v="47078.22"/>
    <n v="52025.3"/>
    <n v="176.51"/>
    <n v="773.05"/>
    <x v="2280"/>
    <x v="0"/>
  </r>
  <r>
    <x v="17"/>
    <x v="4"/>
    <x v="7"/>
    <n v="14013.21"/>
    <n v="14906.11"/>
    <n v="84.92"/>
    <n v="1044.29"/>
    <x v="2281"/>
    <x v="0"/>
  </r>
  <r>
    <x v="10"/>
    <x v="6"/>
    <x v="0"/>
    <n v="7711.38"/>
    <n v="9222.89"/>
    <n v="47.53"/>
    <n v="272.77"/>
    <x v="2282"/>
    <x v="0"/>
  </r>
  <r>
    <x v="18"/>
    <x v="2"/>
    <x v="2"/>
    <n v="49908.97"/>
    <n v="54435.3"/>
    <n v="51.24"/>
    <n v="832.2"/>
    <x v="2283"/>
    <x v="1"/>
  </r>
  <r>
    <x v="1"/>
    <x v="6"/>
    <x v="7"/>
    <n v="28737.94"/>
    <n v="26128.39"/>
    <n v="158.97999999999999"/>
    <n v="683.66"/>
    <x v="2284"/>
    <x v="0"/>
  </r>
  <r>
    <x v="18"/>
    <x v="6"/>
    <x v="6"/>
    <n v="35066.400000000001"/>
    <n v="33371.660000000003"/>
    <n v="68.930000000000007"/>
    <n v="963.01"/>
    <x v="2285"/>
    <x v="0"/>
  </r>
  <r>
    <x v="13"/>
    <x v="2"/>
    <x v="3"/>
    <n v="24355.91"/>
    <n v="20283.73"/>
    <n v="108.7"/>
    <n v="37.42"/>
    <x v="2286"/>
    <x v="1"/>
  </r>
  <r>
    <x v="11"/>
    <x v="4"/>
    <x v="5"/>
    <n v="3314.83"/>
    <n v="3956.84"/>
    <n v="71.599999999999994"/>
    <n v="774.14"/>
    <x v="2287"/>
    <x v="0"/>
  </r>
  <r>
    <x v="9"/>
    <x v="5"/>
    <x v="7"/>
    <n v="22114.86"/>
    <n v="18136.48"/>
    <n v="82.21"/>
    <n v="280.94"/>
    <x v="2288"/>
    <x v="0"/>
  </r>
  <r>
    <x v="12"/>
    <x v="6"/>
    <x v="2"/>
    <n v="25311.77"/>
    <n v="28790.9"/>
    <n v="156"/>
    <n v="1294.8699999999999"/>
    <x v="2289"/>
    <x v="0"/>
  </r>
  <r>
    <x v="10"/>
    <x v="4"/>
    <x v="5"/>
    <n v="17950.72"/>
    <n v="17621.32"/>
    <n v="64.459999999999994"/>
    <n v="118.95"/>
    <x v="2290"/>
    <x v="0"/>
  </r>
  <r>
    <x v="4"/>
    <x v="3"/>
    <x v="1"/>
    <n v="26860.61"/>
    <n v="23558.94"/>
    <n v="110.56"/>
    <n v="1277.08"/>
    <x v="2291"/>
    <x v="1"/>
  </r>
  <r>
    <x v="14"/>
    <x v="3"/>
    <x v="5"/>
    <n v="2223.06"/>
    <n v="2636.22"/>
    <n v="22.35"/>
    <n v="128.99"/>
    <x v="2292"/>
    <x v="1"/>
  </r>
  <r>
    <x v="9"/>
    <x v="3"/>
    <x v="2"/>
    <n v="30531.9"/>
    <n v="27222.3"/>
    <n v="66.790000000000006"/>
    <n v="18.09"/>
    <x v="2293"/>
    <x v="1"/>
  </r>
  <r>
    <x v="4"/>
    <x v="4"/>
    <x v="0"/>
    <n v="49983.05"/>
    <n v="45828.38"/>
    <n v="20.8"/>
    <n v="1005.94"/>
    <x v="2294"/>
    <x v="0"/>
  </r>
  <r>
    <x v="5"/>
    <x v="4"/>
    <x v="2"/>
    <n v="32641.22"/>
    <n v="33649.480000000003"/>
    <n v="29.05"/>
    <n v="800.67"/>
    <x v="2295"/>
    <x v="0"/>
  </r>
  <r>
    <x v="8"/>
    <x v="0"/>
    <x v="2"/>
    <n v="28972.22"/>
    <n v="24334.05"/>
    <n v="87.14"/>
    <n v="557.41999999999996"/>
    <x v="2296"/>
    <x v="0"/>
  </r>
  <r>
    <x v="10"/>
    <x v="0"/>
    <x v="5"/>
    <n v="42849.14"/>
    <n v="37496.68"/>
    <n v="103.3"/>
    <n v="239.31"/>
    <x v="2297"/>
    <x v="0"/>
  </r>
  <r>
    <x v="13"/>
    <x v="6"/>
    <x v="2"/>
    <n v="20115.27"/>
    <n v="18091.98"/>
    <n v="69.709999999999994"/>
    <n v="198.42"/>
    <x v="2298"/>
    <x v="0"/>
  </r>
  <r>
    <x v="14"/>
    <x v="0"/>
    <x v="2"/>
    <n v="34834.99"/>
    <n v="33285.120000000003"/>
    <n v="81.900000000000006"/>
    <n v="1148.45"/>
    <x v="2299"/>
    <x v="0"/>
  </r>
  <r>
    <x v="2"/>
    <x v="2"/>
    <x v="1"/>
    <n v="13477.56"/>
    <n v="14833.4"/>
    <n v="132.43"/>
    <n v="719.6"/>
    <x v="2300"/>
    <x v="1"/>
  </r>
  <r>
    <x v="17"/>
    <x v="5"/>
    <x v="7"/>
    <n v="1127.8800000000001"/>
    <n v="1005.91"/>
    <n v="94.53"/>
    <n v="440.22"/>
    <x v="2301"/>
    <x v="0"/>
  </r>
  <r>
    <x v="12"/>
    <x v="1"/>
    <x v="7"/>
    <n v="26687"/>
    <n v="26492.81"/>
    <n v="99.71"/>
    <n v="396.82"/>
    <x v="2302"/>
    <x v="1"/>
  </r>
  <r>
    <x v="10"/>
    <x v="4"/>
    <x v="7"/>
    <n v="24847.8"/>
    <n v="26455.31"/>
    <n v="39.69"/>
    <n v="692.48"/>
    <x v="2303"/>
    <x v="0"/>
  </r>
  <r>
    <x v="16"/>
    <x v="5"/>
    <x v="2"/>
    <n v="24418.400000000001"/>
    <n v="21610.34"/>
    <n v="176.84"/>
    <n v="987.24"/>
    <x v="2304"/>
    <x v="0"/>
  </r>
  <r>
    <x v="14"/>
    <x v="1"/>
    <x v="0"/>
    <n v="26877.119999999999"/>
    <n v="26874.74"/>
    <n v="74.08"/>
    <n v="1219.56"/>
    <x v="2305"/>
    <x v="1"/>
  </r>
  <r>
    <x v="18"/>
    <x v="3"/>
    <x v="7"/>
    <n v="43678.73"/>
    <n v="40983.769999999997"/>
    <n v="176.71"/>
    <n v="326.24"/>
    <x v="2306"/>
    <x v="1"/>
  </r>
  <r>
    <x v="18"/>
    <x v="0"/>
    <x v="0"/>
    <n v="21146.3"/>
    <n v="17578.46"/>
    <n v="115.34"/>
    <n v="812.77"/>
    <x v="2307"/>
    <x v="0"/>
  </r>
  <r>
    <x v="6"/>
    <x v="6"/>
    <x v="7"/>
    <n v="20876.509999999998"/>
    <n v="21824.19"/>
    <n v="168.68"/>
    <n v="119.59"/>
    <x v="2308"/>
    <x v="0"/>
  </r>
  <r>
    <x v="18"/>
    <x v="0"/>
    <x v="0"/>
    <n v="45688.79"/>
    <n v="44285.07"/>
    <n v="116.59"/>
    <n v="1177.26"/>
    <x v="2309"/>
    <x v="0"/>
  </r>
  <r>
    <x v="12"/>
    <x v="0"/>
    <x v="1"/>
    <n v="48422.76"/>
    <n v="49050.7"/>
    <n v="36.49"/>
    <n v="159.74"/>
    <x v="2310"/>
    <x v="0"/>
  </r>
  <r>
    <x v="19"/>
    <x v="5"/>
    <x v="5"/>
    <n v="11214.43"/>
    <n v="9089.2999999999993"/>
    <n v="123.53"/>
    <n v="455.21"/>
    <x v="2311"/>
    <x v="0"/>
  </r>
  <r>
    <x v="12"/>
    <x v="5"/>
    <x v="0"/>
    <n v="9424.16"/>
    <n v="8884.31"/>
    <n v="163.74"/>
    <n v="81.34"/>
    <x v="2312"/>
    <x v="0"/>
  </r>
  <r>
    <x v="13"/>
    <x v="3"/>
    <x v="6"/>
    <n v="30509.11"/>
    <n v="31009.16"/>
    <n v="125.06"/>
    <n v="1285.8800000000001"/>
    <x v="2313"/>
    <x v="1"/>
  </r>
  <r>
    <x v="10"/>
    <x v="6"/>
    <x v="6"/>
    <n v="13813.99"/>
    <n v="16464.36"/>
    <n v="61.12"/>
    <n v="432.9"/>
    <x v="2314"/>
    <x v="0"/>
  </r>
  <r>
    <x v="15"/>
    <x v="4"/>
    <x v="7"/>
    <n v="14956.55"/>
    <n v="15630.11"/>
    <n v="50.43"/>
    <n v="385.5"/>
    <x v="2315"/>
    <x v="0"/>
  </r>
  <r>
    <x v="4"/>
    <x v="6"/>
    <x v="3"/>
    <n v="41798.120000000003"/>
    <n v="48640.24"/>
    <n v="82.44"/>
    <n v="1173.58"/>
    <x v="2316"/>
    <x v="0"/>
  </r>
  <r>
    <x v="4"/>
    <x v="4"/>
    <x v="6"/>
    <n v="40479.279999999999"/>
    <n v="33378.699999999997"/>
    <n v="185.39"/>
    <n v="1239.73"/>
    <x v="2317"/>
    <x v="0"/>
  </r>
  <r>
    <x v="12"/>
    <x v="2"/>
    <x v="1"/>
    <n v="15981.86"/>
    <n v="19043.849999999999"/>
    <n v="191.24"/>
    <n v="1338.38"/>
    <x v="2318"/>
    <x v="1"/>
  </r>
  <r>
    <x v="2"/>
    <x v="2"/>
    <x v="6"/>
    <n v="11184.15"/>
    <n v="12986.34"/>
    <n v="180.49"/>
    <n v="1154.18"/>
    <x v="2319"/>
    <x v="1"/>
  </r>
  <r>
    <x v="8"/>
    <x v="2"/>
    <x v="2"/>
    <n v="23379.09"/>
    <n v="20570.080000000002"/>
    <n v="141.41999999999999"/>
    <n v="579.53"/>
    <x v="2320"/>
    <x v="1"/>
  </r>
  <r>
    <x v="18"/>
    <x v="6"/>
    <x v="3"/>
    <n v="40775.15"/>
    <n v="34379.379999999997"/>
    <n v="82.52"/>
    <n v="587.4"/>
    <x v="2321"/>
    <x v="0"/>
  </r>
  <r>
    <x v="13"/>
    <x v="5"/>
    <x v="0"/>
    <n v="47976.21"/>
    <n v="45894.33"/>
    <n v="104.26"/>
    <n v="1073.68"/>
    <x v="2322"/>
    <x v="0"/>
  </r>
  <r>
    <x v="13"/>
    <x v="5"/>
    <x v="5"/>
    <n v="2734.8"/>
    <n v="2579.4699999999998"/>
    <n v="139.24"/>
    <n v="440.36"/>
    <x v="2323"/>
    <x v="0"/>
  </r>
  <r>
    <x v="13"/>
    <x v="0"/>
    <x v="3"/>
    <n v="37901.730000000003"/>
    <n v="35252.74"/>
    <n v="180.1"/>
    <n v="131.02000000000001"/>
    <x v="2324"/>
    <x v="0"/>
  </r>
  <r>
    <x v="9"/>
    <x v="5"/>
    <x v="0"/>
    <n v="27982.15"/>
    <n v="25008.04"/>
    <n v="87.15"/>
    <n v="979.1"/>
    <x v="2325"/>
    <x v="0"/>
  </r>
  <r>
    <x v="17"/>
    <x v="4"/>
    <x v="5"/>
    <n v="19073.34"/>
    <n v="20965.73"/>
    <n v="77.95"/>
    <n v="1328.52"/>
    <x v="2326"/>
    <x v="0"/>
  </r>
  <r>
    <x v="0"/>
    <x v="1"/>
    <x v="5"/>
    <n v="42604.34"/>
    <n v="42108.82"/>
    <n v="182.62"/>
    <n v="685.22"/>
    <x v="2327"/>
    <x v="1"/>
  </r>
  <r>
    <x v="12"/>
    <x v="0"/>
    <x v="5"/>
    <n v="15857.62"/>
    <n v="15350.46"/>
    <n v="113.55"/>
    <n v="454.66"/>
    <x v="2328"/>
    <x v="0"/>
  </r>
  <r>
    <x v="14"/>
    <x v="3"/>
    <x v="2"/>
    <n v="40124.910000000003"/>
    <n v="33316.74"/>
    <n v="111.39"/>
    <n v="917.67"/>
    <x v="2329"/>
    <x v="1"/>
  </r>
  <r>
    <x v="1"/>
    <x v="5"/>
    <x v="6"/>
    <n v="8342.58"/>
    <n v="6932.62"/>
    <n v="122.26"/>
    <n v="882.7"/>
    <x v="2330"/>
    <x v="0"/>
  </r>
  <r>
    <x v="8"/>
    <x v="0"/>
    <x v="3"/>
    <n v="32753.94"/>
    <n v="36813.620000000003"/>
    <n v="79.78"/>
    <n v="702.17"/>
    <x v="2331"/>
    <x v="0"/>
  </r>
  <r>
    <x v="7"/>
    <x v="5"/>
    <x v="4"/>
    <n v="32082.1"/>
    <n v="34030.370000000003"/>
    <n v="32.369999999999997"/>
    <n v="231.73"/>
    <x v="2332"/>
    <x v="0"/>
  </r>
  <r>
    <x v="13"/>
    <x v="3"/>
    <x v="1"/>
    <n v="33758.230000000003"/>
    <n v="37398.9"/>
    <n v="81.66"/>
    <n v="115.74"/>
    <x v="2333"/>
    <x v="1"/>
  </r>
  <r>
    <x v="12"/>
    <x v="0"/>
    <x v="7"/>
    <n v="13881.37"/>
    <n v="14466.86"/>
    <n v="96.04"/>
    <n v="1225.54"/>
    <x v="2334"/>
    <x v="0"/>
  </r>
  <r>
    <x v="14"/>
    <x v="6"/>
    <x v="2"/>
    <n v="33048.31"/>
    <n v="35895.81"/>
    <n v="119.43"/>
    <n v="359.12"/>
    <x v="2335"/>
    <x v="0"/>
  </r>
  <r>
    <x v="12"/>
    <x v="1"/>
    <x v="1"/>
    <n v="37308.080000000002"/>
    <n v="36947.35"/>
    <n v="118.13"/>
    <n v="873.64"/>
    <x v="2336"/>
    <x v="1"/>
  </r>
  <r>
    <x v="15"/>
    <x v="2"/>
    <x v="1"/>
    <n v="42635.97"/>
    <n v="48447.86"/>
    <n v="33.33"/>
    <n v="339.7"/>
    <x v="2337"/>
    <x v="1"/>
  </r>
  <r>
    <x v="0"/>
    <x v="6"/>
    <x v="1"/>
    <n v="3265.99"/>
    <n v="3537.61"/>
    <n v="45.48"/>
    <n v="522.46"/>
    <x v="2338"/>
    <x v="0"/>
  </r>
  <r>
    <x v="13"/>
    <x v="2"/>
    <x v="2"/>
    <n v="10056.39"/>
    <n v="10564.4"/>
    <n v="45.67"/>
    <n v="1079.49"/>
    <x v="2339"/>
    <x v="1"/>
  </r>
  <r>
    <x v="12"/>
    <x v="1"/>
    <x v="1"/>
    <n v="28613.26"/>
    <n v="33929.54"/>
    <n v="172.13"/>
    <n v="477.67"/>
    <x v="2340"/>
    <x v="1"/>
  </r>
  <r>
    <x v="19"/>
    <x v="3"/>
    <x v="3"/>
    <n v="4702.0200000000004"/>
    <n v="4546.38"/>
    <n v="199.36"/>
    <n v="373.62"/>
    <x v="2341"/>
    <x v="1"/>
  </r>
  <r>
    <x v="8"/>
    <x v="3"/>
    <x v="7"/>
    <n v="43213.81"/>
    <n v="35272.67"/>
    <n v="127.87"/>
    <n v="57.24"/>
    <x v="2342"/>
    <x v="1"/>
  </r>
  <r>
    <x v="10"/>
    <x v="5"/>
    <x v="4"/>
    <n v="17279.53"/>
    <n v="19486.080000000002"/>
    <n v="24.48"/>
    <n v="467.55"/>
    <x v="2343"/>
    <x v="0"/>
  </r>
  <r>
    <x v="17"/>
    <x v="0"/>
    <x v="0"/>
    <n v="7439.96"/>
    <n v="6975.64"/>
    <n v="65.91"/>
    <n v="924.32"/>
    <x v="2344"/>
    <x v="0"/>
  </r>
  <r>
    <x v="3"/>
    <x v="3"/>
    <x v="2"/>
    <n v="36879.910000000003"/>
    <n v="39028.57"/>
    <n v="32.11"/>
    <n v="425.66"/>
    <x v="2345"/>
    <x v="1"/>
  </r>
  <r>
    <x v="2"/>
    <x v="4"/>
    <x v="7"/>
    <n v="10122.02"/>
    <n v="8555.14"/>
    <n v="183.65"/>
    <n v="637.96"/>
    <x v="2346"/>
    <x v="0"/>
  </r>
  <r>
    <x v="8"/>
    <x v="1"/>
    <x v="3"/>
    <n v="44882.71"/>
    <n v="51488.54"/>
    <n v="83.65"/>
    <n v="1024.3900000000001"/>
    <x v="2347"/>
    <x v="1"/>
  </r>
  <r>
    <x v="9"/>
    <x v="5"/>
    <x v="4"/>
    <n v="29313.17"/>
    <n v="28556.57"/>
    <n v="151.53"/>
    <n v="295.93"/>
    <x v="2348"/>
    <x v="0"/>
  </r>
  <r>
    <x v="12"/>
    <x v="0"/>
    <x v="2"/>
    <n v="49769.7"/>
    <n v="55384.98"/>
    <n v="192.45"/>
    <n v="410.13"/>
    <x v="2349"/>
    <x v="0"/>
  </r>
  <r>
    <x v="13"/>
    <x v="2"/>
    <x v="5"/>
    <n v="39658.68"/>
    <n v="38532.97"/>
    <n v="106.97"/>
    <n v="653.25"/>
    <x v="2350"/>
    <x v="1"/>
  </r>
  <r>
    <x v="16"/>
    <x v="3"/>
    <x v="1"/>
    <n v="48831.48"/>
    <n v="45814.1"/>
    <n v="184.3"/>
    <n v="240.7"/>
    <x v="2351"/>
    <x v="1"/>
  </r>
  <r>
    <x v="12"/>
    <x v="4"/>
    <x v="2"/>
    <n v="14875.15"/>
    <n v="13836.81"/>
    <n v="92.03"/>
    <n v="1043.68"/>
    <x v="2352"/>
    <x v="0"/>
  </r>
  <r>
    <x v="6"/>
    <x v="6"/>
    <x v="3"/>
    <n v="808.24"/>
    <n v="945.46"/>
    <n v="92.01"/>
    <n v="615.89"/>
    <x v="2353"/>
    <x v="0"/>
  </r>
  <r>
    <x v="10"/>
    <x v="3"/>
    <x v="5"/>
    <n v="12092.46"/>
    <n v="10878.27"/>
    <n v="74.150000000000006"/>
    <n v="359.17"/>
    <x v="2354"/>
    <x v="1"/>
  </r>
  <r>
    <x v="17"/>
    <x v="4"/>
    <x v="7"/>
    <n v="813.66"/>
    <n v="862.67"/>
    <n v="41.04"/>
    <n v="1303.26"/>
    <x v="2355"/>
    <x v="0"/>
  </r>
  <r>
    <x v="0"/>
    <x v="4"/>
    <x v="7"/>
    <n v="38680.89"/>
    <n v="42893.42"/>
    <n v="77.349999999999994"/>
    <n v="94.19"/>
    <x v="2356"/>
    <x v="0"/>
  </r>
  <r>
    <x v="9"/>
    <x v="4"/>
    <x v="1"/>
    <n v="11298.52"/>
    <n v="9437.01"/>
    <n v="27.92"/>
    <n v="1153.6500000000001"/>
    <x v="2357"/>
    <x v="0"/>
  </r>
  <r>
    <x v="2"/>
    <x v="1"/>
    <x v="1"/>
    <n v="47978.53"/>
    <n v="48842.03"/>
    <n v="114.25"/>
    <n v="111.77"/>
    <x v="2358"/>
    <x v="1"/>
  </r>
  <r>
    <x v="19"/>
    <x v="3"/>
    <x v="0"/>
    <n v="30040.55"/>
    <n v="35060.51"/>
    <n v="70.12"/>
    <n v="851.52"/>
    <x v="2359"/>
    <x v="1"/>
  </r>
  <r>
    <x v="13"/>
    <x v="6"/>
    <x v="1"/>
    <n v="30736.639999999999"/>
    <n v="33989.300000000003"/>
    <n v="109.74"/>
    <n v="408.2"/>
    <x v="2360"/>
    <x v="0"/>
  </r>
  <r>
    <x v="1"/>
    <x v="3"/>
    <x v="6"/>
    <n v="43684.35"/>
    <n v="50495.65"/>
    <n v="88.83"/>
    <n v="250.71"/>
    <x v="2361"/>
    <x v="1"/>
  </r>
  <r>
    <x v="9"/>
    <x v="3"/>
    <x v="0"/>
    <n v="43881.4"/>
    <n v="35413.78"/>
    <n v="108.2"/>
    <n v="1097.25"/>
    <x v="2362"/>
    <x v="1"/>
  </r>
  <r>
    <x v="19"/>
    <x v="3"/>
    <x v="7"/>
    <n v="32356.46"/>
    <n v="32169.71"/>
    <n v="153.32"/>
    <n v="743.25"/>
    <x v="2363"/>
    <x v="1"/>
  </r>
  <r>
    <x v="7"/>
    <x v="2"/>
    <x v="0"/>
    <n v="27944.44"/>
    <n v="23988.32"/>
    <n v="188.25"/>
    <n v="620.77"/>
    <x v="2364"/>
    <x v="1"/>
  </r>
  <r>
    <x v="3"/>
    <x v="5"/>
    <x v="1"/>
    <n v="10977.89"/>
    <n v="11812.26"/>
    <n v="88.06"/>
    <n v="156.63"/>
    <x v="2365"/>
    <x v="0"/>
  </r>
  <r>
    <x v="14"/>
    <x v="1"/>
    <x v="3"/>
    <n v="38332.25"/>
    <n v="35162.410000000003"/>
    <n v="33.43"/>
    <n v="1343.89"/>
    <x v="2366"/>
    <x v="1"/>
  </r>
  <r>
    <x v="10"/>
    <x v="0"/>
    <x v="7"/>
    <n v="10931.38"/>
    <n v="10444.620000000001"/>
    <n v="136.91999999999999"/>
    <n v="1078.1500000000001"/>
    <x v="2367"/>
    <x v="0"/>
  </r>
  <r>
    <x v="18"/>
    <x v="6"/>
    <x v="1"/>
    <n v="48264.24"/>
    <n v="43540.42"/>
    <n v="142.31"/>
    <n v="242.78"/>
    <x v="2368"/>
    <x v="0"/>
  </r>
  <r>
    <x v="16"/>
    <x v="2"/>
    <x v="0"/>
    <n v="44552.68"/>
    <n v="51187.91"/>
    <n v="45.36"/>
    <n v="281.25"/>
    <x v="2369"/>
    <x v="1"/>
  </r>
  <r>
    <x v="13"/>
    <x v="6"/>
    <x v="0"/>
    <n v="34268.14"/>
    <n v="29301.39"/>
    <n v="108.74"/>
    <n v="63.14"/>
    <x v="2370"/>
    <x v="0"/>
  </r>
  <r>
    <x v="12"/>
    <x v="4"/>
    <x v="7"/>
    <n v="43714.42"/>
    <n v="49967.62"/>
    <n v="153.43"/>
    <n v="486.73"/>
    <x v="2371"/>
    <x v="0"/>
  </r>
  <r>
    <x v="17"/>
    <x v="4"/>
    <x v="1"/>
    <n v="23125.88"/>
    <n v="22324.7"/>
    <n v="96.26"/>
    <n v="1353.44"/>
    <x v="2372"/>
    <x v="0"/>
  </r>
  <r>
    <x v="8"/>
    <x v="4"/>
    <x v="4"/>
    <n v="19376.12"/>
    <n v="20946.419999999998"/>
    <n v="29.3"/>
    <n v="771.35"/>
    <x v="2373"/>
    <x v="0"/>
  </r>
  <r>
    <x v="9"/>
    <x v="1"/>
    <x v="5"/>
    <n v="4429.76"/>
    <n v="5034.96"/>
    <n v="100.2"/>
    <n v="977.93"/>
    <x v="2374"/>
    <x v="1"/>
  </r>
  <r>
    <x v="0"/>
    <x v="3"/>
    <x v="3"/>
    <n v="15627.62"/>
    <n v="13532.11"/>
    <n v="56.23"/>
    <n v="1002.43"/>
    <x v="2375"/>
    <x v="1"/>
  </r>
  <r>
    <x v="0"/>
    <x v="5"/>
    <x v="4"/>
    <n v="23064.21"/>
    <n v="23466.58"/>
    <n v="108.85"/>
    <n v="1007.91"/>
    <x v="2376"/>
    <x v="0"/>
  </r>
  <r>
    <x v="1"/>
    <x v="6"/>
    <x v="5"/>
    <n v="20249.23"/>
    <n v="18434.599999999999"/>
    <n v="105.22"/>
    <n v="329.35"/>
    <x v="2377"/>
    <x v="0"/>
  </r>
  <r>
    <x v="16"/>
    <x v="5"/>
    <x v="3"/>
    <n v="29725.21"/>
    <n v="25214.94"/>
    <n v="193.35"/>
    <n v="704.82"/>
    <x v="2378"/>
    <x v="0"/>
  </r>
  <r>
    <x v="3"/>
    <x v="6"/>
    <x v="0"/>
    <n v="18663.02"/>
    <n v="18865.79"/>
    <n v="182.52"/>
    <n v="904"/>
    <x v="2379"/>
    <x v="0"/>
  </r>
  <r>
    <x v="7"/>
    <x v="2"/>
    <x v="0"/>
    <n v="23761.59"/>
    <n v="22926.52"/>
    <n v="90.49"/>
    <n v="726.35"/>
    <x v="2380"/>
    <x v="1"/>
  </r>
  <r>
    <x v="18"/>
    <x v="3"/>
    <x v="7"/>
    <n v="49583.39"/>
    <n v="41007.19"/>
    <n v="160.65"/>
    <n v="411.06"/>
    <x v="2381"/>
    <x v="1"/>
  </r>
  <r>
    <x v="9"/>
    <x v="6"/>
    <x v="2"/>
    <n v="48894.02"/>
    <n v="41176.49"/>
    <n v="187.16"/>
    <n v="46.51"/>
    <x v="2382"/>
    <x v="0"/>
  </r>
  <r>
    <x v="10"/>
    <x v="6"/>
    <x v="3"/>
    <n v="31926.79"/>
    <n v="26501.35"/>
    <n v="37.619999999999997"/>
    <n v="1058.74"/>
    <x v="2383"/>
    <x v="0"/>
  </r>
  <r>
    <x v="16"/>
    <x v="1"/>
    <x v="2"/>
    <n v="48968.97"/>
    <n v="47044.66"/>
    <n v="174.05"/>
    <n v="766.53"/>
    <x v="2384"/>
    <x v="1"/>
  </r>
  <r>
    <x v="17"/>
    <x v="5"/>
    <x v="7"/>
    <n v="22213.58"/>
    <n v="21456.53"/>
    <n v="99.8"/>
    <n v="161.44"/>
    <x v="2385"/>
    <x v="0"/>
  </r>
  <r>
    <x v="5"/>
    <x v="3"/>
    <x v="2"/>
    <n v="38492.620000000003"/>
    <n v="35957.74"/>
    <n v="140.84"/>
    <n v="562.97"/>
    <x v="2386"/>
    <x v="1"/>
  </r>
  <r>
    <x v="5"/>
    <x v="0"/>
    <x v="7"/>
    <n v="23737.15"/>
    <n v="28424.05"/>
    <n v="72.28"/>
    <n v="890.56"/>
    <x v="2387"/>
    <x v="0"/>
  </r>
  <r>
    <x v="3"/>
    <x v="0"/>
    <x v="4"/>
    <n v="25102.89"/>
    <n v="20756.5"/>
    <n v="71.75"/>
    <n v="876.64"/>
    <x v="2388"/>
    <x v="0"/>
  </r>
  <r>
    <x v="7"/>
    <x v="5"/>
    <x v="4"/>
    <n v="39326.74"/>
    <n v="37769.879999999997"/>
    <n v="119.13"/>
    <n v="61.81"/>
    <x v="2389"/>
    <x v="0"/>
  </r>
  <r>
    <x v="17"/>
    <x v="1"/>
    <x v="4"/>
    <n v="19778.66"/>
    <n v="17597.46"/>
    <n v="157.66"/>
    <n v="251.85"/>
    <x v="2390"/>
    <x v="1"/>
  </r>
  <r>
    <x v="18"/>
    <x v="1"/>
    <x v="4"/>
    <n v="42078.64"/>
    <n v="35469.58"/>
    <n v="22.55"/>
    <n v="1352.61"/>
    <x v="2391"/>
    <x v="1"/>
  </r>
  <r>
    <x v="4"/>
    <x v="2"/>
    <x v="7"/>
    <n v="16867.169999999998"/>
    <n v="15111.95"/>
    <n v="47.19"/>
    <n v="1024.52"/>
    <x v="2392"/>
    <x v="1"/>
  </r>
  <r>
    <x v="11"/>
    <x v="4"/>
    <x v="4"/>
    <n v="43902.22"/>
    <n v="50029.1"/>
    <n v="130.72"/>
    <n v="1028.56"/>
    <x v="2393"/>
    <x v="0"/>
  </r>
  <r>
    <x v="8"/>
    <x v="5"/>
    <x v="3"/>
    <n v="49873.3"/>
    <n v="41839.46"/>
    <n v="110.31"/>
    <n v="69.09"/>
    <x v="2394"/>
    <x v="0"/>
  </r>
  <r>
    <x v="15"/>
    <x v="1"/>
    <x v="3"/>
    <n v="2481.87"/>
    <n v="2326.77"/>
    <n v="155.84"/>
    <n v="128.11000000000001"/>
    <x v="2395"/>
    <x v="1"/>
  </r>
  <r>
    <x v="8"/>
    <x v="5"/>
    <x v="3"/>
    <n v="38958.82"/>
    <n v="35391.19"/>
    <n v="177.7"/>
    <n v="512.36"/>
    <x v="2396"/>
    <x v="0"/>
  </r>
  <r>
    <x v="11"/>
    <x v="6"/>
    <x v="3"/>
    <n v="15226.56"/>
    <n v="12197.03"/>
    <n v="60.73"/>
    <n v="1207.1199999999999"/>
    <x v="2397"/>
    <x v="0"/>
  </r>
  <r>
    <x v="15"/>
    <x v="3"/>
    <x v="6"/>
    <n v="18555.14"/>
    <n v="19320.52"/>
    <n v="170.77"/>
    <n v="609.14"/>
    <x v="2398"/>
    <x v="1"/>
  </r>
  <r>
    <x v="1"/>
    <x v="2"/>
    <x v="1"/>
    <n v="13408.63"/>
    <n v="13556.12"/>
    <n v="127.34"/>
    <n v="556.13"/>
    <x v="2399"/>
    <x v="1"/>
  </r>
  <r>
    <x v="9"/>
    <x v="1"/>
    <x v="7"/>
    <n v="34495.83"/>
    <n v="33564.300000000003"/>
    <n v="114.58"/>
    <n v="197.76"/>
    <x v="2400"/>
    <x v="1"/>
  </r>
  <r>
    <x v="0"/>
    <x v="6"/>
    <x v="0"/>
    <n v="23928.49"/>
    <n v="26048.11"/>
    <n v="37.299999999999997"/>
    <n v="208.87"/>
    <x v="2401"/>
    <x v="0"/>
  </r>
  <r>
    <x v="4"/>
    <x v="1"/>
    <x v="1"/>
    <n v="755.35"/>
    <n v="856.23"/>
    <n v="176.64"/>
    <n v="98.7"/>
    <x v="2402"/>
    <x v="1"/>
  </r>
  <r>
    <x v="18"/>
    <x v="1"/>
    <x v="6"/>
    <n v="7876.24"/>
    <n v="7870.43"/>
    <n v="198.28"/>
    <n v="1112.6099999999999"/>
    <x v="2403"/>
    <x v="1"/>
  </r>
  <r>
    <x v="5"/>
    <x v="3"/>
    <x v="3"/>
    <n v="39979.18"/>
    <n v="45547.1"/>
    <n v="57.75"/>
    <n v="615.36"/>
    <x v="2404"/>
    <x v="1"/>
  </r>
  <r>
    <x v="5"/>
    <x v="0"/>
    <x v="6"/>
    <n v="27301.63"/>
    <n v="26592.29"/>
    <n v="121.57"/>
    <n v="1136.17"/>
    <x v="2405"/>
    <x v="0"/>
  </r>
  <r>
    <x v="19"/>
    <x v="3"/>
    <x v="1"/>
    <n v="25805.54"/>
    <n v="20723.45"/>
    <n v="116.33"/>
    <n v="230.13"/>
    <x v="2406"/>
    <x v="1"/>
  </r>
  <r>
    <x v="0"/>
    <x v="4"/>
    <x v="1"/>
    <n v="29187.200000000001"/>
    <n v="29544.19"/>
    <n v="129.84"/>
    <n v="1291.92"/>
    <x v="2407"/>
    <x v="0"/>
  </r>
  <r>
    <x v="6"/>
    <x v="0"/>
    <x v="4"/>
    <n v="36139.919999999998"/>
    <n v="39445.089999999997"/>
    <n v="138.12"/>
    <n v="284.87"/>
    <x v="2408"/>
    <x v="0"/>
  </r>
  <r>
    <x v="1"/>
    <x v="5"/>
    <x v="0"/>
    <n v="29254.41"/>
    <n v="32371.66"/>
    <n v="166.33"/>
    <n v="476.27"/>
    <x v="2409"/>
    <x v="0"/>
  </r>
  <r>
    <x v="17"/>
    <x v="6"/>
    <x v="7"/>
    <n v="5358.44"/>
    <n v="4466.13"/>
    <n v="86.06"/>
    <n v="1058.57"/>
    <x v="2410"/>
    <x v="0"/>
  </r>
  <r>
    <x v="16"/>
    <x v="1"/>
    <x v="3"/>
    <n v="26200.53"/>
    <n v="29637.18"/>
    <n v="46.49"/>
    <n v="1237.8900000000001"/>
    <x v="2411"/>
    <x v="1"/>
  </r>
  <r>
    <x v="19"/>
    <x v="3"/>
    <x v="5"/>
    <n v="4939.41"/>
    <n v="4710.95"/>
    <n v="44.83"/>
    <n v="943.5"/>
    <x v="2412"/>
    <x v="1"/>
  </r>
  <r>
    <x v="18"/>
    <x v="6"/>
    <x v="4"/>
    <n v="43861.1"/>
    <n v="39486.639999999999"/>
    <n v="43.42"/>
    <n v="751.11"/>
    <x v="2413"/>
    <x v="0"/>
  </r>
  <r>
    <x v="12"/>
    <x v="2"/>
    <x v="6"/>
    <n v="1833.6"/>
    <n v="2054.64"/>
    <n v="64.53"/>
    <n v="1210.24"/>
    <x v="2414"/>
    <x v="1"/>
  </r>
  <r>
    <x v="17"/>
    <x v="5"/>
    <x v="2"/>
    <n v="5378.49"/>
    <n v="5466.76"/>
    <n v="168"/>
    <n v="674.89"/>
    <x v="2415"/>
    <x v="0"/>
  </r>
  <r>
    <x v="17"/>
    <x v="3"/>
    <x v="3"/>
    <n v="6142.25"/>
    <n v="6736.91"/>
    <n v="191.9"/>
    <n v="598.62"/>
    <x v="2416"/>
    <x v="1"/>
  </r>
  <r>
    <x v="10"/>
    <x v="0"/>
    <x v="6"/>
    <n v="46779.21"/>
    <n v="45308.93"/>
    <n v="122.27"/>
    <n v="1251.0999999999999"/>
    <x v="2417"/>
    <x v="0"/>
  </r>
  <r>
    <x v="9"/>
    <x v="4"/>
    <x v="4"/>
    <n v="6739.26"/>
    <n v="6362.37"/>
    <n v="38.08"/>
    <n v="362.85"/>
    <x v="2418"/>
    <x v="0"/>
  </r>
  <r>
    <x v="12"/>
    <x v="2"/>
    <x v="5"/>
    <n v="4160.38"/>
    <n v="4534.82"/>
    <n v="35.85"/>
    <n v="1361.06"/>
    <x v="2419"/>
    <x v="1"/>
  </r>
  <r>
    <x v="12"/>
    <x v="3"/>
    <x v="1"/>
    <n v="18217.73"/>
    <n v="16015.02"/>
    <n v="155.47999999999999"/>
    <n v="105.41"/>
    <x v="2420"/>
    <x v="1"/>
  </r>
  <r>
    <x v="19"/>
    <x v="5"/>
    <x v="7"/>
    <n v="8595.7999999999993"/>
    <n v="9306.2800000000007"/>
    <n v="135.63999999999999"/>
    <n v="45.73"/>
    <x v="2421"/>
    <x v="0"/>
  </r>
  <r>
    <x v="8"/>
    <x v="0"/>
    <x v="7"/>
    <n v="12460.3"/>
    <n v="11210.97"/>
    <n v="63.36"/>
    <n v="475.77"/>
    <x v="2422"/>
    <x v="0"/>
  </r>
  <r>
    <x v="10"/>
    <x v="2"/>
    <x v="4"/>
    <n v="2797.59"/>
    <n v="2471.7399999999998"/>
    <n v="59.14"/>
    <n v="786.59"/>
    <x v="2423"/>
    <x v="1"/>
  </r>
  <r>
    <x v="9"/>
    <x v="4"/>
    <x v="5"/>
    <n v="47907.54"/>
    <n v="40900.14"/>
    <n v="82.34"/>
    <n v="1101.75"/>
    <x v="2424"/>
    <x v="0"/>
  </r>
  <r>
    <x v="12"/>
    <x v="3"/>
    <x v="4"/>
    <n v="30966.7"/>
    <n v="26421"/>
    <n v="84.97"/>
    <n v="333.78"/>
    <x v="2425"/>
    <x v="1"/>
  </r>
  <r>
    <x v="10"/>
    <x v="3"/>
    <x v="2"/>
    <n v="11294.47"/>
    <n v="12771.33"/>
    <n v="96.39"/>
    <n v="1131.71"/>
    <x v="2426"/>
    <x v="1"/>
  </r>
  <r>
    <x v="14"/>
    <x v="1"/>
    <x v="6"/>
    <n v="47286.8"/>
    <n v="41615.040000000001"/>
    <n v="31.9"/>
    <n v="1333.97"/>
    <x v="2427"/>
    <x v="1"/>
  </r>
  <r>
    <x v="17"/>
    <x v="6"/>
    <x v="5"/>
    <n v="14868.54"/>
    <n v="16315.6"/>
    <n v="106.98"/>
    <n v="1122.5999999999999"/>
    <x v="2428"/>
    <x v="0"/>
  </r>
  <r>
    <x v="7"/>
    <x v="5"/>
    <x v="6"/>
    <n v="26108.71"/>
    <n v="24989.03"/>
    <n v="174.38"/>
    <n v="989.12"/>
    <x v="2429"/>
    <x v="0"/>
  </r>
  <r>
    <x v="2"/>
    <x v="6"/>
    <x v="7"/>
    <n v="37792.370000000003"/>
    <n v="32403.200000000001"/>
    <n v="20.3"/>
    <n v="984.9"/>
    <x v="2430"/>
    <x v="0"/>
  </r>
  <r>
    <x v="11"/>
    <x v="6"/>
    <x v="1"/>
    <n v="29776.58"/>
    <n v="25132.16"/>
    <n v="120.54"/>
    <n v="251.55"/>
    <x v="2431"/>
    <x v="0"/>
  </r>
  <r>
    <x v="5"/>
    <x v="5"/>
    <x v="5"/>
    <n v="33847.53"/>
    <n v="27732.49"/>
    <n v="128.69999999999999"/>
    <n v="752.68"/>
    <x v="2432"/>
    <x v="0"/>
  </r>
  <r>
    <x v="13"/>
    <x v="6"/>
    <x v="5"/>
    <n v="35478.26"/>
    <n v="32051.74"/>
    <n v="62.91"/>
    <n v="1342.27"/>
    <x v="2433"/>
    <x v="0"/>
  </r>
  <r>
    <x v="3"/>
    <x v="6"/>
    <x v="5"/>
    <n v="35114.25"/>
    <n v="33799.51"/>
    <n v="121.65"/>
    <n v="524.52"/>
    <x v="2434"/>
    <x v="0"/>
  </r>
  <r>
    <x v="11"/>
    <x v="3"/>
    <x v="2"/>
    <n v="10844.82"/>
    <n v="11493.09"/>
    <n v="136.83000000000001"/>
    <n v="253.35"/>
    <x v="2435"/>
    <x v="1"/>
  </r>
  <r>
    <x v="13"/>
    <x v="3"/>
    <x v="5"/>
    <n v="39590.67"/>
    <n v="40289.660000000003"/>
    <n v="91.65"/>
    <n v="211.41"/>
    <x v="2436"/>
    <x v="1"/>
  </r>
  <r>
    <x v="13"/>
    <x v="5"/>
    <x v="1"/>
    <n v="33519.550000000003"/>
    <n v="37140.03"/>
    <n v="78.84"/>
    <n v="577.28"/>
    <x v="2437"/>
    <x v="0"/>
  </r>
  <r>
    <x v="9"/>
    <x v="0"/>
    <x v="0"/>
    <n v="31286.33"/>
    <n v="30230.48"/>
    <n v="176.42"/>
    <n v="745.68"/>
    <x v="2438"/>
    <x v="0"/>
  </r>
  <r>
    <x v="5"/>
    <x v="4"/>
    <x v="4"/>
    <n v="34407.699999999997"/>
    <n v="32250.86"/>
    <n v="130.36000000000001"/>
    <n v="1092.23"/>
    <x v="2439"/>
    <x v="0"/>
  </r>
  <r>
    <x v="6"/>
    <x v="5"/>
    <x v="7"/>
    <n v="15441.34"/>
    <n v="15527.29"/>
    <n v="162.4"/>
    <n v="316.61"/>
    <x v="2440"/>
    <x v="0"/>
  </r>
  <r>
    <x v="8"/>
    <x v="4"/>
    <x v="3"/>
    <n v="10770.99"/>
    <n v="11922.17"/>
    <n v="130.51"/>
    <n v="204.07"/>
    <x v="2441"/>
    <x v="0"/>
  </r>
  <r>
    <x v="16"/>
    <x v="4"/>
    <x v="3"/>
    <n v="4273.51"/>
    <n v="4600.9799999999996"/>
    <n v="161.32"/>
    <n v="125.45"/>
    <x v="2442"/>
    <x v="0"/>
  </r>
  <r>
    <x v="8"/>
    <x v="4"/>
    <x v="3"/>
    <n v="14960.97"/>
    <n v="16460.240000000002"/>
    <n v="94.82"/>
    <n v="1185.45"/>
    <x v="2443"/>
    <x v="0"/>
  </r>
  <r>
    <x v="3"/>
    <x v="5"/>
    <x v="3"/>
    <n v="1313.25"/>
    <n v="1494.88"/>
    <n v="89.91"/>
    <n v="497.13"/>
    <x v="2444"/>
    <x v="0"/>
  </r>
  <r>
    <x v="6"/>
    <x v="3"/>
    <x v="0"/>
    <n v="25000.06"/>
    <n v="24375.61"/>
    <n v="63.9"/>
    <n v="1311.95"/>
    <x v="2445"/>
    <x v="1"/>
  </r>
  <r>
    <x v="3"/>
    <x v="2"/>
    <x v="7"/>
    <n v="19860.939999999999"/>
    <n v="18002.13"/>
    <n v="197.47"/>
    <n v="1281.77"/>
    <x v="2446"/>
    <x v="1"/>
  </r>
  <r>
    <x v="4"/>
    <x v="4"/>
    <x v="5"/>
    <n v="10529.83"/>
    <n v="10207.94"/>
    <n v="123.53"/>
    <n v="1289.5899999999999"/>
    <x v="2447"/>
    <x v="0"/>
  </r>
  <r>
    <x v="3"/>
    <x v="3"/>
    <x v="0"/>
    <n v="10476.49"/>
    <n v="11197.17"/>
    <n v="129.51"/>
    <n v="543.04999999999995"/>
    <x v="2448"/>
    <x v="1"/>
  </r>
  <r>
    <x v="7"/>
    <x v="0"/>
    <x v="7"/>
    <n v="13316.16"/>
    <n v="11647.55"/>
    <n v="144.88999999999999"/>
    <n v="898.32"/>
    <x v="2449"/>
    <x v="0"/>
  </r>
  <r>
    <x v="0"/>
    <x v="2"/>
    <x v="0"/>
    <n v="45663.39"/>
    <n v="52305.81"/>
    <n v="26.76"/>
    <n v="521.62"/>
    <x v="2450"/>
    <x v="1"/>
  </r>
  <r>
    <x v="12"/>
    <x v="6"/>
    <x v="1"/>
    <n v="4142.66"/>
    <n v="4272.1099999999997"/>
    <n v="110.01"/>
    <n v="340.95"/>
    <x v="2451"/>
    <x v="0"/>
  </r>
  <r>
    <x v="9"/>
    <x v="6"/>
    <x v="6"/>
    <n v="5599.71"/>
    <n v="6451.73"/>
    <n v="32.56"/>
    <n v="633.39"/>
    <x v="2452"/>
    <x v="0"/>
  </r>
  <r>
    <x v="9"/>
    <x v="4"/>
    <x v="4"/>
    <n v="36810.089999999997"/>
    <n v="38564.99"/>
    <n v="54.73"/>
    <n v="1261.33"/>
    <x v="2453"/>
    <x v="0"/>
  </r>
  <r>
    <x v="15"/>
    <x v="2"/>
    <x v="5"/>
    <n v="8411.76"/>
    <n v="8059.49"/>
    <n v="73.430000000000007"/>
    <n v="475.88"/>
    <x v="2454"/>
    <x v="1"/>
  </r>
  <r>
    <x v="11"/>
    <x v="3"/>
    <x v="5"/>
    <n v="23330.7"/>
    <n v="24990.560000000001"/>
    <n v="104.52"/>
    <n v="135.38999999999999"/>
    <x v="2455"/>
    <x v="1"/>
  </r>
  <r>
    <x v="11"/>
    <x v="0"/>
    <x v="3"/>
    <n v="15867.24"/>
    <n v="16358.67"/>
    <n v="160.22"/>
    <n v="604.54999999999995"/>
    <x v="2456"/>
    <x v="0"/>
  </r>
  <r>
    <x v="2"/>
    <x v="3"/>
    <x v="6"/>
    <n v="33824.82"/>
    <n v="37275.06"/>
    <n v="151.76"/>
    <n v="608.36"/>
    <x v="2457"/>
    <x v="1"/>
  </r>
  <r>
    <x v="18"/>
    <x v="5"/>
    <x v="7"/>
    <n v="31018.44"/>
    <n v="31061.98"/>
    <n v="70.3"/>
    <n v="1223.5"/>
    <x v="2458"/>
    <x v="0"/>
  </r>
  <r>
    <x v="1"/>
    <x v="3"/>
    <x v="4"/>
    <n v="33443.550000000003"/>
    <n v="26894.7"/>
    <n v="118.46"/>
    <n v="170.33"/>
    <x v="2459"/>
    <x v="1"/>
  </r>
  <r>
    <x v="18"/>
    <x v="2"/>
    <x v="1"/>
    <n v="40030.58"/>
    <n v="42681.97"/>
    <n v="62.25"/>
    <n v="1202.78"/>
    <x v="2460"/>
    <x v="1"/>
  </r>
  <r>
    <x v="15"/>
    <x v="3"/>
    <x v="3"/>
    <n v="25338.81"/>
    <n v="28773.74"/>
    <n v="61.82"/>
    <n v="697.92"/>
    <x v="2461"/>
    <x v="1"/>
  </r>
  <r>
    <x v="6"/>
    <x v="1"/>
    <x v="1"/>
    <n v="4738.62"/>
    <n v="5043.42"/>
    <n v="99.09"/>
    <n v="629.72"/>
    <x v="2462"/>
    <x v="1"/>
  </r>
  <r>
    <x v="0"/>
    <x v="5"/>
    <x v="7"/>
    <n v="41477.870000000003"/>
    <n v="37213.440000000002"/>
    <n v="138.22999999999999"/>
    <n v="1235.8499999999999"/>
    <x v="2463"/>
    <x v="0"/>
  </r>
  <r>
    <x v="16"/>
    <x v="1"/>
    <x v="0"/>
    <n v="20168.3"/>
    <n v="23300.52"/>
    <n v="150.91"/>
    <n v="941.01"/>
    <x v="2464"/>
    <x v="1"/>
  </r>
  <r>
    <x v="9"/>
    <x v="2"/>
    <x v="3"/>
    <n v="35957.360000000001"/>
    <n v="41729.4"/>
    <n v="198.7"/>
    <n v="224.1"/>
    <x v="2465"/>
    <x v="1"/>
  </r>
  <r>
    <x v="5"/>
    <x v="2"/>
    <x v="6"/>
    <n v="34737.440000000002"/>
    <n v="36898.57"/>
    <n v="156.25"/>
    <n v="347.41"/>
    <x v="2466"/>
    <x v="1"/>
  </r>
  <r>
    <x v="10"/>
    <x v="2"/>
    <x v="4"/>
    <n v="832.45"/>
    <n v="735.25"/>
    <n v="98.17"/>
    <n v="718.86"/>
    <x v="2467"/>
    <x v="1"/>
  </r>
  <r>
    <x v="13"/>
    <x v="6"/>
    <x v="2"/>
    <n v="8577.52"/>
    <n v="6977.24"/>
    <n v="43.44"/>
    <n v="1170.83"/>
    <x v="2468"/>
    <x v="0"/>
  </r>
  <r>
    <x v="19"/>
    <x v="4"/>
    <x v="5"/>
    <n v="19266.63"/>
    <n v="17842.48"/>
    <n v="193.14"/>
    <n v="178.92"/>
    <x v="2469"/>
    <x v="0"/>
  </r>
  <r>
    <x v="0"/>
    <x v="3"/>
    <x v="5"/>
    <n v="7890.78"/>
    <n v="9058.16"/>
    <n v="115.83"/>
    <n v="812.29"/>
    <x v="2470"/>
    <x v="1"/>
  </r>
  <r>
    <x v="15"/>
    <x v="5"/>
    <x v="1"/>
    <n v="30048.240000000002"/>
    <n v="25327.89"/>
    <n v="138.25"/>
    <n v="750.29"/>
    <x v="2471"/>
    <x v="0"/>
  </r>
  <r>
    <x v="4"/>
    <x v="1"/>
    <x v="7"/>
    <n v="14091.09"/>
    <n v="13971.36"/>
    <n v="167.9"/>
    <n v="899.81"/>
    <x v="2472"/>
    <x v="1"/>
  </r>
  <r>
    <x v="10"/>
    <x v="3"/>
    <x v="1"/>
    <n v="8845.75"/>
    <n v="8869.07"/>
    <n v="130.81"/>
    <n v="1133.9100000000001"/>
    <x v="2473"/>
    <x v="1"/>
  </r>
  <r>
    <x v="4"/>
    <x v="4"/>
    <x v="7"/>
    <n v="37248.639999999999"/>
    <n v="38981.4"/>
    <n v="144.28"/>
    <n v="534.54"/>
    <x v="2474"/>
    <x v="0"/>
  </r>
  <r>
    <x v="19"/>
    <x v="6"/>
    <x v="4"/>
    <n v="25693.360000000001"/>
    <n v="29526.58"/>
    <n v="171.41"/>
    <n v="161.61000000000001"/>
    <x v="2475"/>
    <x v="0"/>
  </r>
  <r>
    <x v="11"/>
    <x v="2"/>
    <x v="7"/>
    <n v="46536.4"/>
    <n v="48535.68"/>
    <n v="153.28"/>
    <n v="820.64"/>
    <x v="2476"/>
    <x v="1"/>
  </r>
  <r>
    <x v="6"/>
    <x v="6"/>
    <x v="3"/>
    <n v="39918.47"/>
    <n v="37023.660000000003"/>
    <n v="108.37"/>
    <n v="1066.3900000000001"/>
    <x v="2477"/>
    <x v="0"/>
  </r>
  <r>
    <x v="16"/>
    <x v="6"/>
    <x v="6"/>
    <n v="49885.5"/>
    <n v="43032.44"/>
    <n v="38.74"/>
    <n v="81.819999999999993"/>
    <x v="2478"/>
    <x v="0"/>
  </r>
  <r>
    <x v="9"/>
    <x v="3"/>
    <x v="5"/>
    <n v="17934.080000000002"/>
    <n v="14468.9"/>
    <n v="165.23"/>
    <n v="743.25"/>
    <x v="2479"/>
    <x v="1"/>
  </r>
  <r>
    <x v="13"/>
    <x v="5"/>
    <x v="6"/>
    <n v="32179.38"/>
    <n v="36712.400000000001"/>
    <n v="35.159999999999997"/>
    <n v="504.6"/>
    <x v="2480"/>
    <x v="0"/>
  </r>
  <r>
    <x v="9"/>
    <x v="5"/>
    <x v="1"/>
    <n v="20962.66"/>
    <n v="17783.72"/>
    <n v="108.66"/>
    <n v="1107.48"/>
    <x v="2481"/>
    <x v="0"/>
  </r>
  <r>
    <x v="13"/>
    <x v="1"/>
    <x v="1"/>
    <n v="38549.89"/>
    <n v="39132.69"/>
    <n v="92.88"/>
    <n v="850.27"/>
    <x v="2482"/>
    <x v="1"/>
  </r>
  <r>
    <x v="5"/>
    <x v="1"/>
    <x v="0"/>
    <n v="43181.63"/>
    <n v="46396.12"/>
    <n v="55.05"/>
    <n v="998.51"/>
    <x v="2483"/>
    <x v="1"/>
  </r>
  <r>
    <x v="7"/>
    <x v="2"/>
    <x v="0"/>
    <n v="47213.86"/>
    <n v="55320.76"/>
    <n v="20.09"/>
    <n v="996.68"/>
    <x v="2484"/>
    <x v="1"/>
  </r>
  <r>
    <x v="1"/>
    <x v="1"/>
    <x v="3"/>
    <n v="47089.75"/>
    <n v="51628.68"/>
    <n v="120.49"/>
    <n v="422.46"/>
    <x v="2485"/>
    <x v="1"/>
  </r>
  <r>
    <x v="4"/>
    <x v="3"/>
    <x v="6"/>
    <n v="17773.96"/>
    <n v="14458.37"/>
    <n v="167.97"/>
    <n v="197.41"/>
    <x v="2486"/>
    <x v="1"/>
  </r>
  <r>
    <x v="2"/>
    <x v="6"/>
    <x v="0"/>
    <n v="45649.02"/>
    <n v="48828.17"/>
    <n v="57.92"/>
    <n v="626.28"/>
    <x v="2487"/>
    <x v="0"/>
  </r>
  <r>
    <x v="2"/>
    <x v="2"/>
    <x v="1"/>
    <n v="9619.08"/>
    <n v="7756.08"/>
    <n v="34.24"/>
    <n v="76.2"/>
    <x v="2488"/>
    <x v="1"/>
  </r>
  <r>
    <x v="2"/>
    <x v="6"/>
    <x v="4"/>
    <n v="28072.58"/>
    <n v="27108.89"/>
    <n v="145.77000000000001"/>
    <n v="118.76"/>
    <x v="2489"/>
    <x v="0"/>
  </r>
  <r>
    <x v="2"/>
    <x v="1"/>
    <x v="7"/>
    <n v="23179.55"/>
    <n v="25727.14"/>
    <n v="172.19"/>
    <n v="1384.77"/>
    <x v="2490"/>
    <x v="1"/>
  </r>
  <r>
    <x v="5"/>
    <x v="0"/>
    <x v="6"/>
    <n v="35645.74"/>
    <n v="40439.78"/>
    <n v="52.81"/>
    <n v="1070.18"/>
    <x v="2491"/>
    <x v="0"/>
  </r>
  <r>
    <x v="6"/>
    <x v="0"/>
    <x v="3"/>
    <n v="696.06"/>
    <n v="558.64"/>
    <n v="141.66999999999999"/>
    <n v="221.5"/>
    <x v="2492"/>
    <x v="0"/>
  </r>
  <r>
    <x v="12"/>
    <x v="0"/>
    <x v="7"/>
    <n v="7678.1"/>
    <n v="6435.76"/>
    <n v="119.16"/>
    <n v="1179.95"/>
    <x v="2493"/>
    <x v="0"/>
  </r>
  <r>
    <x v="14"/>
    <x v="0"/>
    <x v="1"/>
    <n v="28703.66"/>
    <n v="31558.080000000002"/>
    <n v="164.79"/>
    <n v="1063.8599999999999"/>
    <x v="2494"/>
    <x v="0"/>
  </r>
  <r>
    <x v="5"/>
    <x v="2"/>
    <x v="7"/>
    <n v="2853.19"/>
    <n v="2648.01"/>
    <n v="47.4"/>
    <n v="930.43"/>
    <x v="2495"/>
    <x v="1"/>
  </r>
  <r>
    <x v="17"/>
    <x v="4"/>
    <x v="3"/>
    <n v="48048.09"/>
    <n v="56577.4"/>
    <n v="51.76"/>
    <n v="1377.2"/>
    <x v="2496"/>
    <x v="0"/>
  </r>
  <r>
    <x v="18"/>
    <x v="2"/>
    <x v="3"/>
    <n v="1697.55"/>
    <n v="1700.03"/>
    <n v="159.52000000000001"/>
    <n v="66.77"/>
    <x v="2497"/>
    <x v="1"/>
  </r>
  <r>
    <x v="4"/>
    <x v="3"/>
    <x v="6"/>
    <n v="10539.7"/>
    <n v="9456.77"/>
    <n v="135.35"/>
    <n v="1013.08"/>
    <x v="2498"/>
    <x v="1"/>
  </r>
  <r>
    <x v="8"/>
    <x v="0"/>
    <x v="6"/>
    <n v="22476.79"/>
    <n v="23403.279999999999"/>
    <n v="132.16999999999999"/>
    <n v="582.77"/>
    <x v="2499"/>
    <x v="0"/>
  </r>
  <r>
    <x v="2"/>
    <x v="5"/>
    <x v="0"/>
    <n v="39109.040000000001"/>
    <n v="34426.29"/>
    <n v="51.96"/>
    <n v="395.43"/>
    <x v="2500"/>
    <x v="0"/>
  </r>
  <r>
    <x v="11"/>
    <x v="6"/>
    <x v="7"/>
    <n v="16861.57"/>
    <n v="13640.07"/>
    <n v="58.37"/>
    <n v="673.13"/>
    <x v="2501"/>
    <x v="0"/>
  </r>
  <r>
    <x v="15"/>
    <x v="5"/>
    <x v="1"/>
    <n v="24650.97"/>
    <n v="25457.31"/>
    <n v="29.97"/>
    <n v="490.95"/>
    <x v="2502"/>
    <x v="0"/>
  </r>
  <r>
    <x v="16"/>
    <x v="5"/>
    <x v="2"/>
    <n v="7749.46"/>
    <n v="8267.02"/>
    <n v="176.74"/>
    <n v="1070.98"/>
    <x v="2503"/>
    <x v="0"/>
  </r>
  <r>
    <x v="1"/>
    <x v="1"/>
    <x v="3"/>
    <n v="13677.6"/>
    <n v="11904.54"/>
    <n v="26.95"/>
    <n v="236.04"/>
    <x v="2504"/>
    <x v="1"/>
  </r>
  <r>
    <x v="10"/>
    <x v="4"/>
    <x v="1"/>
    <n v="16389.169999999998"/>
    <n v="14527.18"/>
    <n v="164.29"/>
    <n v="265.5"/>
    <x v="2505"/>
    <x v="0"/>
  </r>
  <r>
    <x v="18"/>
    <x v="5"/>
    <x v="1"/>
    <n v="25316.54"/>
    <n v="25586.17"/>
    <n v="35.159999999999997"/>
    <n v="219.4"/>
    <x v="2506"/>
    <x v="0"/>
  </r>
  <r>
    <x v="5"/>
    <x v="5"/>
    <x v="4"/>
    <n v="9401.08"/>
    <n v="10406.23"/>
    <n v="72.06"/>
    <n v="483.18"/>
    <x v="2507"/>
    <x v="0"/>
  </r>
  <r>
    <x v="9"/>
    <x v="0"/>
    <x v="2"/>
    <n v="43100.17"/>
    <n v="43888.639999999999"/>
    <n v="188.15"/>
    <n v="791.26"/>
    <x v="2508"/>
    <x v="0"/>
  </r>
  <r>
    <x v="3"/>
    <x v="0"/>
    <x v="3"/>
    <n v="23278.080000000002"/>
    <n v="18634.849999999999"/>
    <n v="29.46"/>
    <n v="279.01"/>
    <x v="2509"/>
    <x v="0"/>
  </r>
  <r>
    <x v="7"/>
    <x v="3"/>
    <x v="3"/>
    <n v="35210.400000000001"/>
    <n v="33667.68"/>
    <n v="125.58"/>
    <n v="487.37"/>
    <x v="2510"/>
    <x v="1"/>
  </r>
  <r>
    <x v="2"/>
    <x v="6"/>
    <x v="5"/>
    <n v="32182.02"/>
    <n v="31669.51"/>
    <n v="59.56"/>
    <n v="134.96"/>
    <x v="2511"/>
    <x v="0"/>
  </r>
  <r>
    <x v="4"/>
    <x v="4"/>
    <x v="5"/>
    <n v="39229.589999999997"/>
    <n v="43918.48"/>
    <n v="108.31"/>
    <n v="308.27999999999997"/>
    <x v="2512"/>
    <x v="0"/>
  </r>
  <r>
    <x v="12"/>
    <x v="6"/>
    <x v="0"/>
    <n v="22188.400000000001"/>
    <n v="19991.37"/>
    <n v="56.97"/>
    <n v="49.43"/>
    <x v="2513"/>
    <x v="0"/>
  </r>
  <r>
    <x v="4"/>
    <x v="3"/>
    <x v="0"/>
    <n v="32340.21"/>
    <n v="31002.78"/>
    <n v="171.31"/>
    <n v="394.82"/>
    <x v="2514"/>
    <x v="1"/>
  </r>
  <r>
    <x v="19"/>
    <x v="0"/>
    <x v="2"/>
    <n v="10277.58"/>
    <n v="10227.700000000001"/>
    <n v="123.39"/>
    <n v="1394.07"/>
    <x v="2515"/>
    <x v="0"/>
  </r>
  <r>
    <x v="5"/>
    <x v="5"/>
    <x v="2"/>
    <n v="23923.65"/>
    <n v="25296.74"/>
    <n v="128.47999999999999"/>
    <n v="1001.48"/>
    <x v="2516"/>
    <x v="0"/>
  </r>
  <r>
    <x v="0"/>
    <x v="2"/>
    <x v="7"/>
    <n v="45157"/>
    <n v="53564.49"/>
    <n v="115.23"/>
    <n v="812.87"/>
    <x v="2517"/>
    <x v="1"/>
  </r>
  <r>
    <x v="13"/>
    <x v="0"/>
    <x v="5"/>
    <n v="11183.22"/>
    <n v="13039.17"/>
    <n v="85.35"/>
    <n v="689.37"/>
    <x v="2518"/>
    <x v="0"/>
  </r>
  <r>
    <x v="3"/>
    <x v="1"/>
    <x v="6"/>
    <n v="15594.99"/>
    <n v="14825.92"/>
    <n v="78.92"/>
    <n v="202.99"/>
    <x v="2519"/>
    <x v="1"/>
  </r>
  <r>
    <x v="8"/>
    <x v="0"/>
    <x v="7"/>
    <n v="26313.17"/>
    <n v="21587.83"/>
    <n v="102.04"/>
    <n v="154.1"/>
    <x v="2520"/>
    <x v="0"/>
  </r>
  <r>
    <x v="4"/>
    <x v="3"/>
    <x v="1"/>
    <n v="917.16"/>
    <n v="983.12"/>
    <n v="151.18"/>
    <n v="241.65"/>
    <x v="2521"/>
    <x v="1"/>
  </r>
  <r>
    <x v="13"/>
    <x v="0"/>
    <x v="4"/>
    <n v="27755.59"/>
    <n v="30296.11"/>
    <n v="77.78"/>
    <n v="942.96"/>
    <x v="2522"/>
    <x v="0"/>
  </r>
  <r>
    <x v="14"/>
    <x v="3"/>
    <x v="3"/>
    <n v="37067.86"/>
    <n v="41505.39"/>
    <n v="100.67"/>
    <n v="978.64"/>
    <x v="2523"/>
    <x v="1"/>
  </r>
  <r>
    <x v="14"/>
    <x v="5"/>
    <x v="6"/>
    <n v="42752.86"/>
    <n v="44995.09"/>
    <n v="131.88"/>
    <n v="521.78"/>
    <x v="2524"/>
    <x v="0"/>
  </r>
  <r>
    <x v="16"/>
    <x v="5"/>
    <x v="3"/>
    <n v="47607.95"/>
    <n v="43821.9"/>
    <n v="130.47999999999999"/>
    <n v="53.93"/>
    <x v="2525"/>
    <x v="0"/>
  </r>
  <r>
    <x v="17"/>
    <x v="1"/>
    <x v="5"/>
    <n v="22942.38"/>
    <n v="19277.509999999998"/>
    <n v="113.71"/>
    <n v="522.25"/>
    <x v="2526"/>
    <x v="1"/>
  </r>
  <r>
    <x v="6"/>
    <x v="5"/>
    <x v="1"/>
    <n v="31516.720000000001"/>
    <n v="37095.599999999999"/>
    <n v="174.72"/>
    <n v="928.38"/>
    <x v="2527"/>
    <x v="0"/>
  </r>
  <r>
    <x v="10"/>
    <x v="6"/>
    <x v="4"/>
    <n v="2173.71"/>
    <n v="2153.3000000000002"/>
    <n v="189.77"/>
    <n v="1191.1300000000001"/>
    <x v="2528"/>
    <x v="0"/>
  </r>
  <r>
    <x v="7"/>
    <x v="2"/>
    <x v="7"/>
    <n v="19958"/>
    <n v="17988.28"/>
    <n v="191.19"/>
    <n v="1167.48"/>
    <x v="2529"/>
    <x v="1"/>
  </r>
  <r>
    <x v="6"/>
    <x v="5"/>
    <x v="6"/>
    <n v="33407.800000000003"/>
    <n v="37966.92"/>
    <n v="169.23"/>
    <n v="368.13"/>
    <x v="2530"/>
    <x v="0"/>
  </r>
  <r>
    <x v="3"/>
    <x v="2"/>
    <x v="1"/>
    <n v="1329.78"/>
    <n v="1241.1300000000001"/>
    <n v="197.64"/>
    <n v="1122.05"/>
    <x v="2531"/>
    <x v="1"/>
  </r>
  <r>
    <x v="12"/>
    <x v="2"/>
    <x v="4"/>
    <n v="40075.57"/>
    <n v="42113.39"/>
    <n v="86.45"/>
    <n v="1316.48"/>
    <x v="2532"/>
    <x v="1"/>
  </r>
  <r>
    <x v="19"/>
    <x v="6"/>
    <x v="4"/>
    <n v="14300.86"/>
    <n v="16682.72"/>
    <n v="138.84"/>
    <n v="1394.7"/>
    <x v="2533"/>
    <x v="0"/>
  </r>
  <r>
    <x v="5"/>
    <x v="4"/>
    <x v="0"/>
    <n v="34565.339999999997"/>
    <n v="39768.46"/>
    <n v="117.99"/>
    <n v="1266.0999999999999"/>
    <x v="2534"/>
    <x v="0"/>
  </r>
  <r>
    <x v="9"/>
    <x v="1"/>
    <x v="5"/>
    <n v="19540.97"/>
    <n v="17882.5"/>
    <n v="183.25"/>
    <n v="214.17"/>
    <x v="2535"/>
    <x v="1"/>
  </r>
  <r>
    <x v="11"/>
    <x v="2"/>
    <x v="0"/>
    <n v="7865.27"/>
    <n v="7212.47"/>
    <n v="41.79"/>
    <n v="1300.76"/>
    <x v="2536"/>
    <x v="1"/>
  </r>
  <r>
    <x v="16"/>
    <x v="5"/>
    <x v="7"/>
    <n v="25685.9"/>
    <n v="22671.47"/>
    <n v="141.24"/>
    <n v="1272.07"/>
    <x v="2537"/>
    <x v="0"/>
  </r>
  <r>
    <x v="7"/>
    <x v="4"/>
    <x v="6"/>
    <n v="11519.01"/>
    <n v="11225.03"/>
    <n v="175.83"/>
    <n v="783.23"/>
    <x v="2538"/>
    <x v="0"/>
  </r>
  <r>
    <x v="0"/>
    <x v="4"/>
    <x v="1"/>
    <n v="28963.8"/>
    <n v="28028.78"/>
    <n v="51.95"/>
    <n v="1207.99"/>
    <x v="2539"/>
    <x v="0"/>
  </r>
  <r>
    <x v="13"/>
    <x v="5"/>
    <x v="2"/>
    <n v="6591.96"/>
    <n v="5430.54"/>
    <n v="47.72"/>
    <n v="917.23"/>
    <x v="2540"/>
    <x v="0"/>
  </r>
  <r>
    <x v="5"/>
    <x v="6"/>
    <x v="4"/>
    <n v="5400.45"/>
    <n v="5284.17"/>
    <n v="138.18"/>
    <n v="70.25"/>
    <x v="2541"/>
    <x v="0"/>
  </r>
  <r>
    <x v="16"/>
    <x v="3"/>
    <x v="4"/>
    <n v="30861.439999999999"/>
    <n v="33051.89"/>
    <n v="51.45"/>
    <n v="1081.1300000000001"/>
    <x v="2542"/>
    <x v="1"/>
  </r>
  <r>
    <x v="15"/>
    <x v="5"/>
    <x v="1"/>
    <n v="26637.65"/>
    <n v="26863.99"/>
    <n v="76.790000000000006"/>
    <n v="396.8"/>
    <x v="2543"/>
    <x v="0"/>
  </r>
  <r>
    <x v="10"/>
    <x v="6"/>
    <x v="2"/>
    <n v="39942.639999999999"/>
    <n v="38567.82"/>
    <n v="89.26"/>
    <n v="95.85"/>
    <x v="2544"/>
    <x v="0"/>
  </r>
  <r>
    <x v="1"/>
    <x v="0"/>
    <x v="2"/>
    <n v="20608.88"/>
    <n v="22193.89"/>
    <n v="33.9"/>
    <n v="1241.78"/>
    <x v="2545"/>
    <x v="0"/>
  </r>
  <r>
    <x v="15"/>
    <x v="0"/>
    <x v="1"/>
    <n v="3212.13"/>
    <n v="3440.46"/>
    <n v="21.95"/>
    <n v="1152.71"/>
    <x v="2546"/>
    <x v="0"/>
  </r>
  <r>
    <x v="6"/>
    <x v="0"/>
    <x v="5"/>
    <n v="15409.64"/>
    <n v="12563.66"/>
    <n v="40.58"/>
    <n v="203.57"/>
    <x v="2547"/>
    <x v="0"/>
  </r>
  <r>
    <x v="19"/>
    <x v="5"/>
    <x v="0"/>
    <n v="41860.94"/>
    <n v="39019.300000000003"/>
    <n v="53.66"/>
    <n v="706.4"/>
    <x v="2548"/>
    <x v="0"/>
  </r>
  <r>
    <x v="15"/>
    <x v="5"/>
    <x v="6"/>
    <n v="4571.25"/>
    <n v="4641.71"/>
    <n v="29.11"/>
    <n v="585.23"/>
    <x v="2549"/>
    <x v="0"/>
  </r>
  <r>
    <x v="7"/>
    <x v="5"/>
    <x v="4"/>
    <n v="31789.17"/>
    <n v="32620.18"/>
    <n v="103.68"/>
    <n v="898.11"/>
    <x v="2550"/>
    <x v="0"/>
  </r>
  <r>
    <x v="16"/>
    <x v="5"/>
    <x v="1"/>
    <n v="34210.269999999997"/>
    <n v="38932.639999999999"/>
    <n v="34.049999999999997"/>
    <n v="699.58"/>
    <x v="2551"/>
    <x v="0"/>
  </r>
  <r>
    <x v="6"/>
    <x v="1"/>
    <x v="0"/>
    <n v="24194.55"/>
    <n v="24007"/>
    <n v="72.430000000000007"/>
    <n v="703.37"/>
    <x v="2552"/>
    <x v="1"/>
  </r>
  <r>
    <x v="12"/>
    <x v="6"/>
    <x v="5"/>
    <n v="1507.01"/>
    <n v="1665.67"/>
    <n v="23.29"/>
    <n v="884.81"/>
    <x v="2553"/>
    <x v="0"/>
  </r>
  <r>
    <x v="14"/>
    <x v="3"/>
    <x v="1"/>
    <n v="17666.7"/>
    <n v="18290.14"/>
    <n v="179.48"/>
    <n v="609.34"/>
    <x v="2554"/>
    <x v="1"/>
  </r>
  <r>
    <x v="18"/>
    <x v="1"/>
    <x v="2"/>
    <n v="28166.03"/>
    <n v="32064.33"/>
    <n v="135.33000000000001"/>
    <n v="73.53"/>
    <x v="2555"/>
    <x v="1"/>
  </r>
  <r>
    <x v="8"/>
    <x v="2"/>
    <x v="4"/>
    <n v="22068.06"/>
    <n v="25370.79"/>
    <n v="125.75"/>
    <n v="1204.48"/>
    <x v="2556"/>
    <x v="1"/>
  </r>
  <r>
    <x v="8"/>
    <x v="4"/>
    <x v="4"/>
    <n v="14117.67"/>
    <n v="15947.33"/>
    <n v="58.77"/>
    <n v="450.71"/>
    <x v="2557"/>
    <x v="0"/>
  </r>
  <r>
    <x v="7"/>
    <x v="6"/>
    <x v="4"/>
    <n v="35550.5"/>
    <n v="28691.26"/>
    <n v="75.11"/>
    <n v="652.95000000000005"/>
    <x v="2558"/>
    <x v="0"/>
  </r>
  <r>
    <x v="11"/>
    <x v="4"/>
    <x v="2"/>
    <n v="18397.259999999998"/>
    <n v="18345.47"/>
    <n v="196.15"/>
    <n v="1350.54"/>
    <x v="2559"/>
    <x v="0"/>
  </r>
  <r>
    <x v="17"/>
    <x v="3"/>
    <x v="5"/>
    <n v="18182.490000000002"/>
    <n v="17421.64"/>
    <n v="120.88"/>
    <n v="459.86"/>
    <x v="2560"/>
    <x v="1"/>
  </r>
  <r>
    <x v="3"/>
    <x v="3"/>
    <x v="7"/>
    <n v="33678.99"/>
    <n v="37845.96"/>
    <n v="182.7"/>
    <n v="1010.87"/>
    <x v="2561"/>
    <x v="1"/>
  </r>
  <r>
    <x v="12"/>
    <x v="4"/>
    <x v="4"/>
    <n v="49725.48"/>
    <n v="39791.279999999999"/>
    <n v="179.25"/>
    <n v="825.15"/>
    <x v="2562"/>
    <x v="0"/>
  </r>
  <r>
    <x v="14"/>
    <x v="4"/>
    <x v="7"/>
    <n v="43718.87"/>
    <n v="46546.15"/>
    <n v="63.86"/>
    <n v="302.83"/>
    <x v="2563"/>
    <x v="0"/>
  </r>
  <r>
    <x v="8"/>
    <x v="4"/>
    <x v="1"/>
    <n v="18178.169999999998"/>
    <n v="20882.560000000001"/>
    <n v="103.45"/>
    <n v="1087.47"/>
    <x v="2564"/>
    <x v="0"/>
  </r>
  <r>
    <x v="19"/>
    <x v="0"/>
    <x v="1"/>
    <n v="2361.7800000000002"/>
    <n v="2447.6799999999998"/>
    <n v="114.16"/>
    <n v="304.01"/>
    <x v="2565"/>
    <x v="0"/>
  </r>
  <r>
    <x v="7"/>
    <x v="5"/>
    <x v="6"/>
    <n v="22518.1"/>
    <n v="22926.93"/>
    <n v="132.46"/>
    <n v="794.3"/>
    <x v="2566"/>
    <x v="0"/>
  </r>
  <r>
    <x v="1"/>
    <x v="0"/>
    <x v="0"/>
    <n v="6573.61"/>
    <n v="7409.16"/>
    <n v="139.21"/>
    <n v="205.93"/>
    <x v="2567"/>
    <x v="0"/>
  </r>
  <r>
    <x v="19"/>
    <x v="2"/>
    <x v="0"/>
    <n v="7728.67"/>
    <n v="6610.72"/>
    <n v="77.94"/>
    <n v="1000.73"/>
    <x v="2568"/>
    <x v="1"/>
  </r>
  <r>
    <x v="1"/>
    <x v="3"/>
    <x v="2"/>
    <n v="16939.91"/>
    <n v="16626.25"/>
    <n v="173.64"/>
    <n v="222.19"/>
    <x v="2569"/>
    <x v="1"/>
  </r>
  <r>
    <x v="12"/>
    <x v="2"/>
    <x v="3"/>
    <n v="44859.73"/>
    <n v="53743.68"/>
    <n v="126.17"/>
    <n v="611.76"/>
    <x v="2570"/>
    <x v="1"/>
  </r>
  <r>
    <x v="11"/>
    <x v="0"/>
    <x v="6"/>
    <n v="45282.57"/>
    <n v="39853.279999999999"/>
    <n v="151.43"/>
    <n v="828.24"/>
    <x v="2571"/>
    <x v="0"/>
  </r>
  <r>
    <x v="17"/>
    <x v="2"/>
    <x v="4"/>
    <n v="39542.720000000001"/>
    <n v="41554.81"/>
    <n v="30.7"/>
    <n v="1155.3800000000001"/>
    <x v="2572"/>
    <x v="1"/>
  </r>
  <r>
    <x v="18"/>
    <x v="3"/>
    <x v="6"/>
    <n v="2136.04"/>
    <n v="2213.5700000000002"/>
    <n v="24.64"/>
    <n v="1299.3"/>
    <x v="2573"/>
    <x v="1"/>
  </r>
  <r>
    <x v="5"/>
    <x v="6"/>
    <x v="0"/>
    <n v="15558.69"/>
    <n v="18531.009999999998"/>
    <n v="140.22999999999999"/>
    <n v="205.45"/>
    <x v="2574"/>
    <x v="0"/>
  </r>
  <r>
    <x v="4"/>
    <x v="0"/>
    <x v="1"/>
    <n v="30862.47"/>
    <n v="26345.71"/>
    <n v="52.53"/>
    <n v="440.76"/>
    <x v="2575"/>
    <x v="0"/>
  </r>
  <r>
    <x v="14"/>
    <x v="3"/>
    <x v="4"/>
    <n v="30474.95"/>
    <n v="34692.400000000001"/>
    <n v="21.06"/>
    <n v="1315.27"/>
    <x v="2576"/>
    <x v="1"/>
  </r>
  <r>
    <x v="17"/>
    <x v="6"/>
    <x v="6"/>
    <n v="27722.41"/>
    <n v="29609.5"/>
    <n v="55.95"/>
    <n v="368.49"/>
    <x v="2577"/>
    <x v="0"/>
  </r>
  <r>
    <x v="8"/>
    <x v="5"/>
    <x v="5"/>
    <n v="1269.0899999999999"/>
    <n v="1405.35"/>
    <n v="178.23"/>
    <n v="192.26"/>
    <x v="2578"/>
    <x v="0"/>
  </r>
  <r>
    <x v="9"/>
    <x v="3"/>
    <x v="7"/>
    <n v="28800.97"/>
    <n v="25638.14"/>
    <n v="116.79"/>
    <n v="574.23"/>
    <x v="2579"/>
    <x v="1"/>
  </r>
  <r>
    <x v="11"/>
    <x v="5"/>
    <x v="1"/>
    <n v="23699.25"/>
    <n v="23056.02"/>
    <n v="80.209999999999994"/>
    <n v="221.33"/>
    <x v="2580"/>
    <x v="0"/>
  </r>
  <r>
    <x v="10"/>
    <x v="1"/>
    <x v="7"/>
    <n v="49442.91"/>
    <n v="42866.87"/>
    <n v="69.150000000000006"/>
    <n v="144.79"/>
    <x v="2581"/>
    <x v="1"/>
  </r>
  <r>
    <x v="15"/>
    <x v="2"/>
    <x v="3"/>
    <n v="17577.599999999999"/>
    <n v="21040.48"/>
    <n v="173.11"/>
    <n v="258.5"/>
    <x v="2582"/>
    <x v="1"/>
  </r>
  <r>
    <x v="14"/>
    <x v="3"/>
    <x v="1"/>
    <n v="44829.03"/>
    <n v="51182.3"/>
    <n v="105.46"/>
    <n v="188.33"/>
    <x v="2583"/>
    <x v="1"/>
  </r>
  <r>
    <x v="5"/>
    <x v="6"/>
    <x v="6"/>
    <n v="47767.96"/>
    <n v="46986.38"/>
    <n v="53.5"/>
    <n v="448.82"/>
    <x v="2584"/>
    <x v="0"/>
  </r>
  <r>
    <x v="18"/>
    <x v="2"/>
    <x v="7"/>
    <n v="38587.949999999997"/>
    <n v="36062.720000000001"/>
    <n v="27.36"/>
    <n v="346.48"/>
    <x v="2585"/>
    <x v="1"/>
  </r>
  <r>
    <x v="1"/>
    <x v="1"/>
    <x v="5"/>
    <n v="48773.09"/>
    <n v="49979.19"/>
    <n v="110.86"/>
    <n v="885.95"/>
    <x v="2586"/>
    <x v="1"/>
  </r>
  <r>
    <x v="16"/>
    <x v="0"/>
    <x v="0"/>
    <n v="35769.230000000003"/>
    <n v="42188.36"/>
    <n v="44.51"/>
    <n v="75"/>
    <x v="2587"/>
    <x v="0"/>
  </r>
  <r>
    <x v="9"/>
    <x v="2"/>
    <x v="3"/>
    <n v="4411.22"/>
    <n v="4831.53"/>
    <n v="94.76"/>
    <n v="1142.3699999999999"/>
    <x v="2588"/>
    <x v="1"/>
  </r>
  <r>
    <x v="5"/>
    <x v="2"/>
    <x v="6"/>
    <n v="2117.79"/>
    <n v="2145.5500000000002"/>
    <n v="127.54"/>
    <n v="1034.96"/>
    <x v="2589"/>
    <x v="1"/>
  </r>
  <r>
    <x v="9"/>
    <x v="6"/>
    <x v="3"/>
    <n v="31203.21"/>
    <n v="35795.47"/>
    <n v="151.41"/>
    <n v="29.97"/>
    <x v="2590"/>
    <x v="0"/>
  </r>
  <r>
    <x v="12"/>
    <x v="4"/>
    <x v="5"/>
    <n v="2750.6"/>
    <n v="2443.2399999999998"/>
    <n v="95.25"/>
    <n v="655.47"/>
    <x v="2591"/>
    <x v="0"/>
  </r>
  <r>
    <x v="5"/>
    <x v="1"/>
    <x v="4"/>
    <n v="7481.55"/>
    <n v="7570.6"/>
    <n v="100.16"/>
    <n v="148.58000000000001"/>
    <x v="2592"/>
    <x v="1"/>
  </r>
  <r>
    <x v="9"/>
    <x v="6"/>
    <x v="4"/>
    <n v="40196.660000000003"/>
    <n v="44387.040000000001"/>
    <n v="132.11000000000001"/>
    <n v="871.82"/>
    <x v="2593"/>
    <x v="0"/>
  </r>
  <r>
    <x v="2"/>
    <x v="2"/>
    <x v="6"/>
    <n v="35756.15"/>
    <n v="38283.129999999997"/>
    <n v="30.97"/>
    <n v="230.68"/>
    <x v="2594"/>
    <x v="1"/>
  </r>
  <r>
    <x v="2"/>
    <x v="2"/>
    <x v="1"/>
    <n v="20786.5"/>
    <n v="17814.84"/>
    <n v="142.72"/>
    <n v="106.31"/>
    <x v="2595"/>
    <x v="1"/>
  </r>
  <r>
    <x v="3"/>
    <x v="5"/>
    <x v="5"/>
    <n v="33531.230000000003"/>
    <n v="26864.95"/>
    <n v="132.44"/>
    <n v="542.48"/>
    <x v="2596"/>
    <x v="0"/>
  </r>
  <r>
    <x v="17"/>
    <x v="6"/>
    <x v="1"/>
    <n v="11862.8"/>
    <n v="12059.54"/>
    <n v="167.53"/>
    <n v="64.819999999999993"/>
    <x v="2597"/>
    <x v="0"/>
  </r>
  <r>
    <x v="10"/>
    <x v="0"/>
    <x v="0"/>
    <n v="44841.19"/>
    <n v="40377.25"/>
    <n v="160.5"/>
    <n v="379.61"/>
    <x v="2598"/>
    <x v="0"/>
  </r>
  <r>
    <x v="4"/>
    <x v="1"/>
    <x v="6"/>
    <n v="46634.87"/>
    <n v="45070.38"/>
    <n v="26.42"/>
    <n v="1124.1300000000001"/>
    <x v="2599"/>
    <x v="1"/>
  </r>
  <r>
    <x v="4"/>
    <x v="2"/>
    <x v="3"/>
    <n v="14758.58"/>
    <n v="13338.75"/>
    <n v="33.56"/>
    <n v="160.52000000000001"/>
    <x v="2600"/>
    <x v="1"/>
  </r>
  <r>
    <x v="10"/>
    <x v="5"/>
    <x v="5"/>
    <n v="3687.31"/>
    <n v="4089.97"/>
    <n v="135.36000000000001"/>
    <n v="253.6"/>
    <x v="2601"/>
    <x v="0"/>
  </r>
  <r>
    <x v="8"/>
    <x v="3"/>
    <x v="5"/>
    <n v="19189.669999999998"/>
    <n v="20150.25"/>
    <n v="156.62"/>
    <n v="1231.21"/>
    <x v="2602"/>
    <x v="1"/>
  </r>
  <r>
    <x v="14"/>
    <x v="5"/>
    <x v="3"/>
    <n v="21845.55"/>
    <n v="25175.78"/>
    <n v="155.54"/>
    <n v="550.23"/>
    <x v="2603"/>
    <x v="0"/>
  </r>
  <r>
    <x v="4"/>
    <x v="1"/>
    <x v="2"/>
    <n v="40407.94"/>
    <n v="46063.83"/>
    <n v="141.29"/>
    <n v="716.07"/>
    <x v="2604"/>
    <x v="1"/>
  </r>
  <r>
    <x v="12"/>
    <x v="2"/>
    <x v="5"/>
    <n v="2487.2199999999998"/>
    <n v="2017.79"/>
    <n v="112.9"/>
    <n v="1227.1199999999999"/>
    <x v="2605"/>
    <x v="1"/>
  </r>
  <r>
    <x v="8"/>
    <x v="4"/>
    <x v="6"/>
    <n v="30403.05"/>
    <n v="35788.550000000003"/>
    <n v="90.2"/>
    <n v="453.71"/>
    <x v="2606"/>
    <x v="0"/>
  </r>
  <r>
    <x v="15"/>
    <x v="0"/>
    <x v="3"/>
    <n v="12515.84"/>
    <n v="10747.91"/>
    <n v="104.54"/>
    <n v="62.57"/>
    <x v="2607"/>
    <x v="0"/>
  </r>
  <r>
    <x v="17"/>
    <x v="5"/>
    <x v="5"/>
    <n v="31577.08"/>
    <n v="25907.34"/>
    <n v="148.49"/>
    <n v="928.27"/>
    <x v="2608"/>
    <x v="0"/>
  </r>
  <r>
    <x v="8"/>
    <x v="6"/>
    <x v="2"/>
    <n v="33087.68"/>
    <n v="36448.18"/>
    <n v="136.76"/>
    <n v="1078.22"/>
    <x v="2609"/>
    <x v="0"/>
  </r>
  <r>
    <x v="12"/>
    <x v="5"/>
    <x v="1"/>
    <n v="6845.89"/>
    <n v="7445.35"/>
    <n v="64.099999999999994"/>
    <n v="186.61"/>
    <x v="2610"/>
    <x v="0"/>
  </r>
  <r>
    <x v="7"/>
    <x v="5"/>
    <x v="5"/>
    <n v="15473.61"/>
    <n v="17069.63"/>
    <n v="174.09"/>
    <n v="467.09"/>
    <x v="2611"/>
    <x v="0"/>
  </r>
  <r>
    <x v="10"/>
    <x v="4"/>
    <x v="1"/>
    <n v="40785.480000000003"/>
    <n v="40152.980000000003"/>
    <n v="165.14"/>
    <n v="557.22"/>
    <x v="2612"/>
    <x v="0"/>
  </r>
  <r>
    <x v="15"/>
    <x v="0"/>
    <x v="6"/>
    <n v="32130.75"/>
    <n v="28091.89"/>
    <n v="126.23"/>
    <n v="1309.47"/>
    <x v="2613"/>
    <x v="0"/>
  </r>
  <r>
    <x v="19"/>
    <x v="4"/>
    <x v="3"/>
    <n v="30732.39"/>
    <n v="30844.46"/>
    <n v="176.13"/>
    <n v="1153.5999999999999"/>
    <x v="2614"/>
    <x v="0"/>
  </r>
  <r>
    <x v="3"/>
    <x v="0"/>
    <x v="3"/>
    <n v="25686.02"/>
    <n v="20759.04"/>
    <n v="183.3"/>
    <n v="397.36"/>
    <x v="2615"/>
    <x v="0"/>
  </r>
  <r>
    <x v="11"/>
    <x v="0"/>
    <x v="3"/>
    <n v="29673.25"/>
    <n v="35097.54"/>
    <n v="50.37"/>
    <n v="1360.51"/>
    <x v="2616"/>
    <x v="0"/>
  </r>
  <r>
    <x v="14"/>
    <x v="2"/>
    <x v="7"/>
    <n v="3960.36"/>
    <n v="4234.4399999999996"/>
    <n v="167.1"/>
    <n v="1089.6400000000001"/>
    <x v="2617"/>
    <x v="1"/>
  </r>
  <r>
    <x v="19"/>
    <x v="3"/>
    <x v="1"/>
    <n v="8866.9"/>
    <n v="9119.73"/>
    <n v="128.34"/>
    <n v="352.17"/>
    <x v="2618"/>
    <x v="1"/>
  </r>
  <r>
    <x v="10"/>
    <x v="5"/>
    <x v="2"/>
    <n v="2503.54"/>
    <n v="2471.67"/>
    <n v="166.63"/>
    <n v="884.15"/>
    <x v="2619"/>
    <x v="0"/>
  </r>
  <r>
    <x v="2"/>
    <x v="5"/>
    <x v="7"/>
    <n v="2865.9"/>
    <n v="2577.98"/>
    <n v="94.54"/>
    <n v="1170.48"/>
    <x v="2620"/>
    <x v="0"/>
  </r>
  <r>
    <x v="19"/>
    <x v="6"/>
    <x v="6"/>
    <n v="49093.39"/>
    <n v="57505.79"/>
    <n v="182.36"/>
    <n v="46.14"/>
    <x v="2621"/>
    <x v="0"/>
  </r>
  <r>
    <x v="10"/>
    <x v="4"/>
    <x v="7"/>
    <n v="20022.849999999999"/>
    <n v="17449.05"/>
    <n v="172.55"/>
    <n v="806.04"/>
    <x v="2622"/>
    <x v="0"/>
  </r>
  <r>
    <x v="14"/>
    <x v="0"/>
    <x v="2"/>
    <n v="30608.17"/>
    <n v="28246.27"/>
    <n v="64.27"/>
    <n v="1103.49"/>
    <x v="2623"/>
    <x v="0"/>
  </r>
  <r>
    <x v="15"/>
    <x v="0"/>
    <x v="7"/>
    <n v="29368.59"/>
    <n v="24513.39"/>
    <n v="68.42"/>
    <n v="639.29999999999995"/>
    <x v="2624"/>
    <x v="0"/>
  </r>
  <r>
    <x v="6"/>
    <x v="3"/>
    <x v="2"/>
    <n v="36564.400000000001"/>
    <n v="33677.47"/>
    <n v="64.34"/>
    <n v="992.44"/>
    <x v="2625"/>
    <x v="1"/>
  </r>
  <r>
    <x v="19"/>
    <x v="5"/>
    <x v="4"/>
    <n v="18697.88"/>
    <n v="14961.35"/>
    <n v="196.27"/>
    <n v="735.46"/>
    <x v="2626"/>
    <x v="0"/>
  </r>
  <r>
    <x v="7"/>
    <x v="5"/>
    <x v="3"/>
    <n v="22881.09"/>
    <n v="20935.23"/>
    <n v="184.63"/>
    <n v="657.99"/>
    <x v="2627"/>
    <x v="0"/>
  </r>
  <r>
    <x v="6"/>
    <x v="1"/>
    <x v="1"/>
    <n v="21406.41"/>
    <n v="22080.12"/>
    <n v="179.61"/>
    <n v="100.57"/>
    <x v="2628"/>
    <x v="1"/>
  </r>
  <r>
    <x v="18"/>
    <x v="2"/>
    <x v="2"/>
    <n v="43481.64"/>
    <n v="40283.379999999997"/>
    <n v="144.86000000000001"/>
    <n v="651.66999999999996"/>
    <x v="2629"/>
    <x v="1"/>
  </r>
  <r>
    <x v="7"/>
    <x v="3"/>
    <x v="3"/>
    <n v="33624.81"/>
    <n v="30426.47"/>
    <n v="35.770000000000003"/>
    <n v="1198.18"/>
    <x v="2630"/>
    <x v="1"/>
  </r>
  <r>
    <x v="6"/>
    <x v="1"/>
    <x v="4"/>
    <n v="20915.43"/>
    <n v="16804.55"/>
    <n v="63.75"/>
    <n v="1254.72"/>
    <x v="2631"/>
    <x v="1"/>
  </r>
  <r>
    <x v="2"/>
    <x v="0"/>
    <x v="6"/>
    <n v="9078.11"/>
    <n v="8062.12"/>
    <n v="27.28"/>
    <n v="719.55"/>
    <x v="2632"/>
    <x v="0"/>
  </r>
  <r>
    <x v="9"/>
    <x v="6"/>
    <x v="2"/>
    <n v="9156.2199999999993"/>
    <n v="10680.97"/>
    <n v="93.56"/>
    <n v="939.57"/>
    <x v="2633"/>
    <x v="0"/>
  </r>
  <r>
    <x v="1"/>
    <x v="2"/>
    <x v="6"/>
    <n v="8867.9"/>
    <n v="7222.47"/>
    <n v="137.47999999999999"/>
    <n v="857.62"/>
    <x v="2634"/>
    <x v="1"/>
  </r>
  <r>
    <x v="7"/>
    <x v="4"/>
    <x v="7"/>
    <n v="2376.86"/>
    <n v="2333.8200000000002"/>
    <n v="37.21"/>
    <n v="419.81"/>
    <x v="2635"/>
    <x v="0"/>
  </r>
  <r>
    <x v="2"/>
    <x v="1"/>
    <x v="3"/>
    <n v="16954.84"/>
    <n v="15739.66"/>
    <n v="72.94"/>
    <n v="61.59"/>
    <x v="2636"/>
    <x v="1"/>
  </r>
  <r>
    <x v="1"/>
    <x v="6"/>
    <x v="5"/>
    <n v="26099.26"/>
    <n v="29912.39"/>
    <n v="176.21"/>
    <n v="508.27"/>
    <x v="2637"/>
    <x v="0"/>
  </r>
  <r>
    <x v="4"/>
    <x v="0"/>
    <x v="0"/>
    <n v="49306.78"/>
    <n v="57631.72"/>
    <n v="198.34"/>
    <n v="167.76"/>
    <x v="2638"/>
    <x v="0"/>
  </r>
  <r>
    <x v="3"/>
    <x v="5"/>
    <x v="2"/>
    <n v="28394.92"/>
    <n v="24645.17"/>
    <n v="94.05"/>
    <n v="346.78"/>
    <x v="2639"/>
    <x v="0"/>
  </r>
  <r>
    <x v="15"/>
    <x v="4"/>
    <x v="7"/>
    <n v="992.15"/>
    <n v="870.66"/>
    <n v="125.51"/>
    <n v="103.62"/>
    <x v="2640"/>
    <x v="0"/>
  </r>
  <r>
    <x v="13"/>
    <x v="5"/>
    <x v="2"/>
    <n v="14904.88"/>
    <n v="13074.99"/>
    <n v="175.52"/>
    <n v="511.82"/>
    <x v="2641"/>
    <x v="0"/>
  </r>
  <r>
    <x v="1"/>
    <x v="2"/>
    <x v="7"/>
    <n v="18588.87"/>
    <n v="18061.900000000001"/>
    <n v="25.23"/>
    <n v="1249.78"/>
    <x v="2642"/>
    <x v="1"/>
  </r>
  <r>
    <x v="11"/>
    <x v="6"/>
    <x v="5"/>
    <n v="26900.81"/>
    <n v="30135.75"/>
    <n v="117.2"/>
    <n v="84.83"/>
    <x v="2643"/>
    <x v="0"/>
  </r>
  <r>
    <x v="10"/>
    <x v="2"/>
    <x v="2"/>
    <n v="15200.39"/>
    <n v="16119.67"/>
    <n v="132.72"/>
    <n v="125.67"/>
    <x v="2644"/>
    <x v="1"/>
  </r>
  <r>
    <x v="11"/>
    <x v="4"/>
    <x v="0"/>
    <n v="2855.39"/>
    <n v="2686.43"/>
    <n v="108.58"/>
    <n v="232.71"/>
    <x v="2645"/>
    <x v="0"/>
  </r>
  <r>
    <x v="10"/>
    <x v="3"/>
    <x v="0"/>
    <n v="18787.07"/>
    <n v="15252.67"/>
    <n v="89.87"/>
    <n v="855.05"/>
    <x v="2646"/>
    <x v="1"/>
  </r>
  <r>
    <x v="19"/>
    <x v="2"/>
    <x v="5"/>
    <n v="34994.120000000003"/>
    <n v="40971.97"/>
    <n v="35.19"/>
    <n v="984.94"/>
    <x v="2647"/>
    <x v="1"/>
  </r>
  <r>
    <x v="16"/>
    <x v="1"/>
    <x v="1"/>
    <n v="16761.78"/>
    <n v="15154.43"/>
    <n v="124.14"/>
    <n v="580.61"/>
    <x v="2648"/>
    <x v="1"/>
  </r>
  <r>
    <x v="19"/>
    <x v="5"/>
    <x v="6"/>
    <n v="5205.71"/>
    <n v="4364.1099999999997"/>
    <n v="23.18"/>
    <n v="839.59"/>
    <x v="2649"/>
    <x v="0"/>
  </r>
  <r>
    <x v="2"/>
    <x v="0"/>
    <x v="4"/>
    <n v="33806.14"/>
    <n v="37805.910000000003"/>
    <n v="177.13"/>
    <n v="1097.83"/>
    <x v="2650"/>
    <x v="0"/>
  </r>
  <r>
    <x v="8"/>
    <x v="1"/>
    <x v="3"/>
    <n v="4353.59"/>
    <n v="4874.66"/>
    <n v="28.05"/>
    <n v="1152.48"/>
    <x v="2651"/>
    <x v="1"/>
  </r>
  <r>
    <x v="19"/>
    <x v="6"/>
    <x v="1"/>
    <n v="37147.39"/>
    <n v="38758.089999999997"/>
    <n v="155.65"/>
    <n v="1099.6500000000001"/>
    <x v="2652"/>
    <x v="0"/>
  </r>
  <r>
    <x v="14"/>
    <x v="1"/>
    <x v="0"/>
    <n v="13381.14"/>
    <n v="15056.57"/>
    <n v="131.13"/>
    <n v="603.48"/>
    <x v="2653"/>
    <x v="1"/>
  </r>
  <r>
    <x v="14"/>
    <x v="1"/>
    <x v="6"/>
    <n v="12188.72"/>
    <n v="14306.6"/>
    <n v="74.88"/>
    <n v="241.25"/>
    <x v="2654"/>
    <x v="1"/>
  </r>
  <r>
    <x v="15"/>
    <x v="1"/>
    <x v="1"/>
    <n v="8753.69"/>
    <n v="7156.15"/>
    <n v="194.2"/>
    <n v="1126.43"/>
    <x v="2655"/>
    <x v="1"/>
  </r>
  <r>
    <x v="0"/>
    <x v="4"/>
    <x v="0"/>
    <n v="21092.23"/>
    <n v="24887.11"/>
    <n v="41.43"/>
    <n v="802.8"/>
    <x v="2656"/>
    <x v="0"/>
  </r>
  <r>
    <x v="5"/>
    <x v="4"/>
    <x v="5"/>
    <n v="26016.86"/>
    <n v="21902.49"/>
    <n v="71.099999999999994"/>
    <n v="1020.32"/>
    <x v="2657"/>
    <x v="0"/>
  </r>
  <r>
    <x v="19"/>
    <x v="3"/>
    <x v="5"/>
    <n v="30355.8"/>
    <n v="35915.629999999997"/>
    <n v="174.13"/>
    <n v="426.38"/>
    <x v="2658"/>
    <x v="1"/>
  </r>
  <r>
    <x v="16"/>
    <x v="3"/>
    <x v="6"/>
    <n v="20610.38"/>
    <n v="21082.9"/>
    <n v="109.55"/>
    <n v="668.71"/>
    <x v="2659"/>
    <x v="1"/>
  </r>
  <r>
    <x v="6"/>
    <x v="2"/>
    <x v="6"/>
    <n v="2165.59"/>
    <n v="2074.38"/>
    <n v="111.62"/>
    <n v="1101.04"/>
    <x v="2660"/>
    <x v="1"/>
  </r>
  <r>
    <x v="15"/>
    <x v="4"/>
    <x v="1"/>
    <n v="9658.59"/>
    <n v="10369.92"/>
    <n v="175.19"/>
    <n v="1212.49"/>
    <x v="2661"/>
    <x v="0"/>
  </r>
  <r>
    <x v="8"/>
    <x v="5"/>
    <x v="5"/>
    <n v="6656.46"/>
    <n v="6301.28"/>
    <n v="82.29"/>
    <n v="745.83"/>
    <x v="2662"/>
    <x v="0"/>
  </r>
  <r>
    <x v="16"/>
    <x v="3"/>
    <x v="2"/>
    <n v="44495.54"/>
    <n v="46433.4"/>
    <n v="146.32"/>
    <n v="306.97000000000003"/>
    <x v="2663"/>
    <x v="1"/>
  </r>
  <r>
    <x v="11"/>
    <x v="4"/>
    <x v="6"/>
    <n v="24514.17"/>
    <n v="26788.2"/>
    <n v="189.01"/>
    <n v="132.19"/>
    <x v="2664"/>
    <x v="0"/>
  </r>
  <r>
    <x v="13"/>
    <x v="1"/>
    <x v="7"/>
    <n v="28903.66"/>
    <n v="33001.599999999999"/>
    <n v="183.31"/>
    <n v="1034.21"/>
    <x v="2665"/>
    <x v="1"/>
  </r>
  <r>
    <x v="6"/>
    <x v="6"/>
    <x v="1"/>
    <n v="49772.69"/>
    <n v="43644.69"/>
    <n v="39.99"/>
    <n v="925.5"/>
    <x v="2666"/>
    <x v="0"/>
  </r>
  <r>
    <x v="6"/>
    <x v="1"/>
    <x v="7"/>
    <n v="5065.24"/>
    <n v="5905.3"/>
    <n v="149.57"/>
    <n v="325.33"/>
    <x v="2667"/>
    <x v="1"/>
  </r>
  <r>
    <x v="15"/>
    <x v="0"/>
    <x v="7"/>
    <n v="29064.6"/>
    <n v="24414.34"/>
    <n v="101.95"/>
    <n v="804.05"/>
    <x v="2668"/>
    <x v="0"/>
  </r>
  <r>
    <x v="10"/>
    <x v="5"/>
    <x v="2"/>
    <n v="37567.629999999997"/>
    <n v="39621.97"/>
    <n v="79.91"/>
    <n v="221.84"/>
    <x v="2669"/>
    <x v="0"/>
  </r>
  <r>
    <x v="7"/>
    <x v="0"/>
    <x v="0"/>
    <n v="4369.8100000000004"/>
    <n v="4887.32"/>
    <n v="191.88"/>
    <n v="1194.71"/>
    <x v="2670"/>
    <x v="0"/>
  </r>
  <r>
    <x v="7"/>
    <x v="4"/>
    <x v="0"/>
    <n v="19031.830000000002"/>
    <n v="16496.509999999998"/>
    <n v="156.91"/>
    <n v="863.02"/>
    <x v="2671"/>
    <x v="0"/>
  </r>
  <r>
    <x v="2"/>
    <x v="0"/>
    <x v="5"/>
    <n v="21434.17"/>
    <n v="19875.64"/>
    <n v="47.91"/>
    <n v="794.82"/>
    <x v="2672"/>
    <x v="0"/>
  </r>
  <r>
    <x v="18"/>
    <x v="0"/>
    <x v="7"/>
    <n v="10385.07"/>
    <n v="8502.9699999999993"/>
    <n v="169.18"/>
    <n v="224.54"/>
    <x v="2673"/>
    <x v="0"/>
  </r>
  <r>
    <x v="4"/>
    <x v="6"/>
    <x v="6"/>
    <n v="11057.55"/>
    <n v="9620.6200000000008"/>
    <n v="169.66"/>
    <n v="612.27"/>
    <x v="2674"/>
    <x v="0"/>
  </r>
  <r>
    <x v="13"/>
    <x v="4"/>
    <x v="6"/>
    <n v="39049.01"/>
    <n v="44033.69"/>
    <n v="33.04"/>
    <n v="860.43"/>
    <x v="2675"/>
    <x v="0"/>
  </r>
  <r>
    <x v="8"/>
    <x v="2"/>
    <x v="2"/>
    <n v="2180.5300000000002"/>
    <n v="1824.97"/>
    <n v="97.89"/>
    <n v="1396.11"/>
    <x v="2676"/>
    <x v="1"/>
  </r>
  <r>
    <x v="12"/>
    <x v="5"/>
    <x v="3"/>
    <n v="42257.7"/>
    <n v="41696.28"/>
    <n v="112.7"/>
    <n v="136.47"/>
    <x v="2677"/>
    <x v="0"/>
  </r>
  <r>
    <x v="2"/>
    <x v="6"/>
    <x v="5"/>
    <n v="6459.79"/>
    <n v="6193"/>
    <n v="124.61"/>
    <n v="339.03"/>
    <x v="2678"/>
    <x v="0"/>
  </r>
  <r>
    <x v="12"/>
    <x v="1"/>
    <x v="1"/>
    <n v="30444.720000000001"/>
    <n v="33319.75"/>
    <n v="174.02"/>
    <n v="1072.82"/>
    <x v="2679"/>
    <x v="1"/>
  </r>
  <r>
    <x v="13"/>
    <x v="5"/>
    <x v="6"/>
    <n v="47465.65"/>
    <n v="53579.11"/>
    <n v="22.03"/>
    <n v="352.61"/>
    <x v="2680"/>
    <x v="0"/>
  </r>
  <r>
    <x v="0"/>
    <x v="0"/>
    <x v="7"/>
    <n v="49823.94"/>
    <n v="45973.69"/>
    <n v="83.03"/>
    <n v="475.43"/>
    <x v="2681"/>
    <x v="0"/>
  </r>
  <r>
    <x v="18"/>
    <x v="5"/>
    <x v="5"/>
    <n v="29167.74"/>
    <n v="25258.69"/>
    <n v="160.65"/>
    <n v="1278.95"/>
    <x v="2682"/>
    <x v="0"/>
  </r>
  <r>
    <x v="4"/>
    <x v="5"/>
    <x v="7"/>
    <n v="42115.49"/>
    <n v="46090.93"/>
    <n v="38.700000000000003"/>
    <n v="1398.61"/>
    <x v="2683"/>
    <x v="0"/>
  </r>
  <r>
    <x v="15"/>
    <x v="5"/>
    <x v="6"/>
    <n v="21371.86"/>
    <n v="17695.34"/>
    <n v="100.37"/>
    <n v="1344.34"/>
    <x v="2684"/>
    <x v="0"/>
  </r>
  <r>
    <x v="4"/>
    <x v="6"/>
    <x v="1"/>
    <n v="19900.990000000002"/>
    <n v="17348.64"/>
    <n v="22.72"/>
    <n v="740.68"/>
    <x v="2685"/>
    <x v="0"/>
  </r>
  <r>
    <x v="0"/>
    <x v="6"/>
    <x v="3"/>
    <n v="19245.53"/>
    <n v="19528.32"/>
    <n v="126.38"/>
    <n v="1005.98"/>
    <x v="2686"/>
    <x v="0"/>
  </r>
  <r>
    <x v="11"/>
    <x v="2"/>
    <x v="2"/>
    <n v="42773.98"/>
    <n v="38199.699999999997"/>
    <n v="165.69"/>
    <n v="435.98"/>
    <x v="2687"/>
    <x v="1"/>
  </r>
  <r>
    <x v="13"/>
    <x v="3"/>
    <x v="3"/>
    <n v="46527"/>
    <n v="54495.22"/>
    <n v="178.06"/>
    <n v="73.3"/>
    <x v="2688"/>
    <x v="1"/>
  </r>
  <r>
    <x v="6"/>
    <x v="2"/>
    <x v="5"/>
    <n v="11067.52"/>
    <n v="12301.52"/>
    <n v="65.72"/>
    <n v="564.42999999999995"/>
    <x v="2689"/>
    <x v="1"/>
  </r>
  <r>
    <x v="16"/>
    <x v="5"/>
    <x v="4"/>
    <n v="37877.089999999997"/>
    <n v="33740.239999999998"/>
    <n v="56.63"/>
    <n v="845.02"/>
    <x v="2690"/>
    <x v="0"/>
  </r>
  <r>
    <x v="3"/>
    <x v="1"/>
    <x v="4"/>
    <n v="27795.89"/>
    <n v="27809.32"/>
    <n v="124.26"/>
    <n v="812.38"/>
    <x v="2691"/>
    <x v="1"/>
  </r>
  <r>
    <x v="2"/>
    <x v="5"/>
    <x v="7"/>
    <n v="29314.52"/>
    <n v="29395.98"/>
    <n v="171.18"/>
    <n v="924.72"/>
    <x v="2692"/>
    <x v="0"/>
  </r>
  <r>
    <x v="4"/>
    <x v="6"/>
    <x v="1"/>
    <n v="15416.59"/>
    <n v="18045.54"/>
    <n v="150.76"/>
    <n v="688.85"/>
    <x v="2693"/>
    <x v="0"/>
  </r>
  <r>
    <x v="4"/>
    <x v="4"/>
    <x v="2"/>
    <n v="38349.94"/>
    <n v="36606.449999999997"/>
    <n v="159.79"/>
    <n v="1277.8599999999999"/>
    <x v="2694"/>
    <x v="0"/>
  </r>
  <r>
    <x v="19"/>
    <x v="3"/>
    <x v="2"/>
    <n v="41860.32"/>
    <n v="43008.54"/>
    <n v="77.709999999999994"/>
    <n v="918.54"/>
    <x v="2695"/>
    <x v="1"/>
  </r>
  <r>
    <x v="18"/>
    <x v="2"/>
    <x v="3"/>
    <n v="8127.36"/>
    <n v="6730.21"/>
    <n v="21.22"/>
    <n v="481.47"/>
    <x v="2696"/>
    <x v="1"/>
  </r>
  <r>
    <x v="14"/>
    <x v="5"/>
    <x v="0"/>
    <n v="7954.86"/>
    <n v="8971.0499999999993"/>
    <n v="94.1"/>
    <n v="1339.62"/>
    <x v="2697"/>
    <x v="0"/>
  </r>
  <r>
    <x v="15"/>
    <x v="0"/>
    <x v="0"/>
    <n v="16479.98"/>
    <n v="17699.509999999998"/>
    <n v="26.9"/>
    <n v="537.15"/>
    <x v="2698"/>
    <x v="0"/>
  </r>
  <r>
    <x v="1"/>
    <x v="6"/>
    <x v="6"/>
    <n v="39840.28"/>
    <n v="41819.35"/>
    <n v="42.2"/>
    <n v="1102.3599999999999"/>
    <x v="2699"/>
    <x v="0"/>
  </r>
  <r>
    <x v="1"/>
    <x v="3"/>
    <x v="0"/>
    <n v="11770.28"/>
    <n v="10025.89"/>
    <n v="74.83"/>
    <n v="31.92"/>
    <x v="2700"/>
    <x v="1"/>
  </r>
  <r>
    <x v="19"/>
    <x v="2"/>
    <x v="1"/>
    <n v="7476.49"/>
    <n v="7903.23"/>
    <n v="42.17"/>
    <n v="968.6"/>
    <x v="2701"/>
    <x v="1"/>
  </r>
  <r>
    <x v="12"/>
    <x v="6"/>
    <x v="7"/>
    <n v="6760.74"/>
    <n v="6271.43"/>
    <n v="118.99"/>
    <n v="420.11"/>
    <x v="2702"/>
    <x v="0"/>
  </r>
  <r>
    <x v="14"/>
    <x v="1"/>
    <x v="3"/>
    <n v="9891.7800000000007"/>
    <n v="10715.3"/>
    <n v="178.53"/>
    <n v="1363.16"/>
    <x v="2703"/>
    <x v="1"/>
  </r>
  <r>
    <x v="4"/>
    <x v="5"/>
    <x v="0"/>
    <n v="20222.54"/>
    <n v="22592.38"/>
    <n v="125.61"/>
    <n v="265.41000000000003"/>
    <x v="2704"/>
    <x v="0"/>
  </r>
  <r>
    <x v="8"/>
    <x v="3"/>
    <x v="6"/>
    <n v="43702.75"/>
    <n v="47876.05"/>
    <n v="130.6"/>
    <n v="569.47"/>
    <x v="2705"/>
    <x v="1"/>
  </r>
  <r>
    <x v="17"/>
    <x v="6"/>
    <x v="7"/>
    <n v="16727.349999999999"/>
    <n v="15024.39"/>
    <n v="108.21"/>
    <n v="383.8"/>
    <x v="2706"/>
    <x v="0"/>
  </r>
  <r>
    <x v="9"/>
    <x v="0"/>
    <x v="4"/>
    <n v="10363.040000000001"/>
    <n v="8457.3700000000008"/>
    <n v="33.799999999999997"/>
    <n v="1203.6500000000001"/>
    <x v="2707"/>
    <x v="0"/>
  </r>
  <r>
    <x v="0"/>
    <x v="0"/>
    <x v="4"/>
    <n v="35706.65"/>
    <n v="33270.18"/>
    <n v="179.94"/>
    <n v="94.25"/>
    <x v="2708"/>
    <x v="0"/>
  </r>
  <r>
    <x v="19"/>
    <x v="2"/>
    <x v="3"/>
    <n v="36006.65"/>
    <n v="34868.11"/>
    <n v="186.3"/>
    <n v="18.600000000000001"/>
    <x v="2709"/>
    <x v="1"/>
  </r>
  <r>
    <x v="15"/>
    <x v="4"/>
    <x v="3"/>
    <n v="17225.919999999998"/>
    <n v="18968.16"/>
    <n v="147.84"/>
    <n v="1125.6600000000001"/>
    <x v="2710"/>
    <x v="0"/>
  </r>
  <r>
    <x v="8"/>
    <x v="1"/>
    <x v="4"/>
    <n v="16387.810000000001"/>
    <n v="14306.93"/>
    <n v="22.2"/>
    <n v="33.72"/>
    <x v="2711"/>
    <x v="1"/>
  </r>
  <r>
    <x v="9"/>
    <x v="2"/>
    <x v="0"/>
    <n v="28884.65"/>
    <n v="26367.11"/>
    <n v="172.06"/>
    <n v="1203.82"/>
    <x v="2712"/>
    <x v="1"/>
  </r>
  <r>
    <x v="2"/>
    <x v="4"/>
    <x v="1"/>
    <n v="27961.919999999998"/>
    <n v="27791.24"/>
    <n v="139.08000000000001"/>
    <n v="83.26"/>
    <x v="2713"/>
    <x v="0"/>
  </r>
  <r>
    <x v="16"/>
    <x v="0"/>
    <x v="2"/>
    <n v="45120.71"/>
    <n v="53691.77"/>
    <n v="131.81"/>
    <n v="239.8"/>
    <x v="2714"/>
    <x v="0"/>
  </r>
  <r>
    <x v="8"/>
    <x v="2"/>
    <x v="5"/>
    <n v="41698"/>
    <n v="41346.57"/>
    <n v="108.68"/>
    <n v="1210.31"/>
    <x v="2715"/>
    <x v="1"/>
  </r>
  <r>
    <x v="19"/>
    <x v="4"/>
    <x v="0"/>
    <n v="34145.08"/>
    <n v="30152.14"/>
    <n v="110.4"/>
    <n v="714.68"/>
    <x v="2716"/>
    <x v="0"/>
  </r>
  <r>
    <x v="17"/>
    <x v="1"/>
    <x v="2"/>
    <n v="23221.41"/>
    <n v="21893.64"/>
    <n v="50.27"/>
    <n v="1273.04"/>
    <x v="2717"/>
    <x v="1"/>
  </r>
  <r>
    <x v="11"/>
    <x v="4"/>
    <x v="1"/>
    <n v="20601.02"/>
    <n v="19292.849999999999"/>
    <n v="70.83"/>
    <n v="602.84"/>
    <x v="2718"/>
    <x v="0"/>
  </r>
  <r>
    <x v="18"/>
    <x v="6"/>
    <x v="7"/>
    <n v="8157.8"/>
    <n v="9049.4500000000007"/>
    <n v="54.46"/>
    <n v="575.04999999999995"/>
    <x v="2719"/>
    <x v="0"/>
  </r>
  <r>
    <x v="5"/>
    <x v="5"/>
    <x v="4"/>
    <n v="44891.73"/>
    <n v="52505.01"/>
    <n v="78.430000000000007"/>
    <n v="726.44"/>
    <x v="2720"/>
    <x v="0"/>
  </r>
  <r>
    <x v="8"/>
    <x v="6"/>
    <x v="6"/>
    <n v="11388.23"/>
    <n v="9140.67"/>
    <n v="57.09"/>
    <n v="1116.81"/>
    <x v="2721"/>
    <x v="0"/>
  </r>
  <r>
    <x v="19"/>
    <x v="5"/>
    <x v="5"/>
    <n v="25994.94"/>
    <n v="22461.46"/>
    <n v="100.81"/>
    <n v="900.11"/>
    <x v="2722"/>
    <x v="0"/>
  </r>
  <r>
    <x v="14"/>
    <x v="4"/>
    <x v="7"/>
    <n v="42462.31"/>
    <n v="39464.44"/>
    <n v="124.4"/>
    <n v="405.19"/>
    <x v="2723"/>
    <x v="0"/>
  </r>
  <r>
    <x v="12"/>
    <x v="1"/>
    <x v="5"/>
    <n v="47045.88"/>
    <n v="46778.65"/>
    <n v="183.74"/>
    <n v="876.35"/>
    <x v="2724"/>
    <x v="1"/>
  </r>
  <r>
    <x v="15"/>
    <x v="3"/>
    <x v="3"/>
    <n v="18433.580000000002"/>
    <n v="16555.939999999999"/>
    <n v="23.24"/>
    <n v="506.24"/>
    <x v="2725"/>
    <x v="1"/>
  </r>
  <r>
    <x v="17"/>
    <x v="1"/>
    <x v="1"/>
    <n v="12137.82"/>
    <n v="10808.48"/>
    <n v="85.69"/>
    <n v="327.26"/>
    <x v="2726"/>
    <x v="1"/>
  </r>
  <r>
    <x v="10"/>
    <x v="6"/>
    <x v="6"/>
    <n v="13477.87"/>
    <n v="13426.9"/>
    <n v="62.12"/>
    <n v="1358.48"/>
    <x v="2727"/>
    <x v="0"/>
  </r>
  <r>
    <x v="6"/>
    <x v="4"/>
    <x v="4"/>
    <n v="27877.69"/>
    <n v="28368.73"/>
    <n v="65.36"/>
    <n v="559.08000000000004"/>
    <x v="2728"/>
    <x v="0"/>
  </r>
  <r>
    <x v="2"/>
    <x v="0"/>
    <x v="2"/>
    <n v="21550.1"/>
    <n v="22964.51"/>
    <n v="134.6"/>
    <n v="662.02"/>
    <x v="2729"/>
    <x v="0"/>
  </r>
  <r>
    <x v="4"/>
    <x v="0"/>
    <x v="4"/>
    <n v="10832.48"/>
    <n v="9830.6200000000008"/>
    <n v="192.87"/>
    <n v="182.16"/>
    <x v="2730"/>
    <x v="0"/>
  </r>
  <r>
    <x v="10"/>
    <x v="0"/>
    <x v="0"/>
    <n v="18243.11"/>
    <n v="19669.21"/>
    <n v="105.09"/>
    <n v="393.87"/>
    <x v="2731"/>
    <x v="0"/>
  </r>
  <r>
    <x v="13"/>
    <x v="4"/>
    <x v="7"/>
    <n v="11221.17"/>
    <n v="12680.49"/>
    <n v="41.46"/>
    <n v="612.41"/>
    <x v="2732"/>
    <x v="0"/>
  </r>
  <r>
    <x v="12"/>
    <x v="0"/>
    <x v="3"/>
    <n v="3863.14"/>
    <n v="4536.8999999999996"/>
    <n v="198.83"/>
    <n v="1205.1300000000001"/>
    <x v="2733"/>
    <x v="0"/>
  </r>
  <r>
    <x v="8"/>
    <x v="5"/>
    <x v="0"/>
    <n v="27487.74"/>
    <n v="24145.15"/>
    <n v="27.92"/>
    <n v="294.60000000000002"/>
    <x v="2734"/>
    <x v="0"/>
  </r>
  <r>
    <x v="11"/>
    <x v="0"/>
    <x v="4"/>
    <n v="23695.07"/>
    <n v="28245.8"/>
    <n v="121.78"/>
    <n v="1174.5899999999999"/>
    <x v="2735"/>
    <x v="0"/>
  </r>
  <r>
    <x v="16"/>
    <x v="1"/>
    <x v="7"/>
    <n v="46897.32"/>
    <n v="39414.29"/>
    <n v="24.22"/>
    <n v="826.28"/>
    <x v="2736"/>
    <x v="1"/>
  </r>
  <r>
    <x v="7"/>
    <x v="5"/>
    <x v="3"/>
    <n v="48311.98"/>
    <n v="40962.230000000003"/>
    <n v="199.67"/>
    <n v="338.1"/>
    <x v="2737"/>
    <x v="0"/>
  </r>
  <r>
    <x v="5"/>
    <x v="1"/>
    <x v="3"/>
    <n v="45817.97"/>
    <n v="39883.480000000003"/>
    <n v="109.08"/>
    <n v="575.72"/>
    <x v="2738"/>
    <x v="1"/>
  </r>
  <r>
    <x v="0"/>
    <x v="5"/>
    <x v="4"/>
    <n v="8774.84"/>
    <n v="8371.99"/>
    <n v="20.6"/>
    <n v="852.27"/>
    <x v="2739"/>
    <x v="0"/>
  </r>
  <r>
    <x v="15"/>
    <x v="4"/>
    <x v="2"/>
    <n v="27037.05"/>
    <n v="23899.81"/>
    <n v="101.76"/>
    <n v="1355.71"/>
    <x v="2740"/>
    <x v="0"/>
  </r>
  <r>
    <x v="3"/>
    <x v="5"/>
    <x v="6"/>
    <n v="19987.91"/>
    <n v="21424.54"/>
    <n v="124.66"/>
    <n v="427.57"/>
    <x v="2741"/>
    <x v="0"/>
  </r>
  <r>
    <x v="2"/>
    <x v="5"/>
    <x v="4"/>
    <n v="6340.93"/>
    <n v="6789.48"/>
    <n v="42.8"/>
    <n v="1120.3599999999999"/>
    <x v="2742"/>
    <x v="0"/>
  </r>
  <r>
    <x v="14"/>
    <x v="1"/>
    <x v="1"/>
    <n v="45332.39"/>
    <n v="51674.39"/>
    <n v="91.59"/>
    <n v="416.18"/>
    <x v="2743"/>
    <x v="1"/>
  </r>
  <r>
    <x v="5"/>
    <x v="1"/>
    <x v="0"/>
    <n v="11786.75"/>
    <n v="10759.21"/>
    <n v="182.31"/>
    <n v="252.68"/>
    <x v="2744"/>
    <x v="1"/>
  </r>
  <r>
    <x v="12"/>
    <x v="1"/>
    <x v="0"/>
    <n v="3467.04"/>
    <n v="3261.48"/>
    <n v="130.76"/>
    <n v="1018.38"/>
    <x v="2745"/>
    <x v="1"/>
  </r>
  <r>
    <x v="10"/>
    <x v="3"/>
    <x v="5"/>
    <n v="3817.6"/>
    <n v="3619.06"/>
    <n v="64.58"/>
    <n v="47.81"/>
    <x v="2746"/>
    <x v="1"/>
  </r>
  <r>
    <x v="7"/>
    <x v="0"/>
    <x v="5"/>
    <n v="34379.11"/>
    <n v="32232.25"/>
    <n v="21.1"/>
    <n v="1208.76"/>
    <x v="2747"/>
    <x v="0"/>
  </r>
  <r>
    <x v="5"/>
    <x v="1"/>
    <x v="3"/>
    <n v="28296.54"/>
    <n v="30760.33"/>
    <n v="158.78"/>
    <n v="1291.92"/>
    <x v="2748"/>
    <x v="1"/>
  </r>
  <r>
    <x v="19"/>
    <x v="4"/>
    <x v="2"/>
    <n v="13224.16"/>
    <n v="14470.86"/>
    <n v="82.84"/>
    <n v="398.92"/>
    <x v="2749"/>
    <x v="0"/>
  </r>
  <r>
    <x v="8"/>
    <x v="2"/>
    <x v="6"/>
    <n v="8938.91"/>
    <n v="10254.620000000001"/>
    <n v="55.76"/>
    <n v="101.15"/>
    <x v="2750"/>
    <x v="1"/>
  </r>
  <r>
    <x v="5"/>
    <x v="4"/>
    <x v="1"/>
    <n v="29265.360000000001"/>
    <n v="31030.53"/>
    <n v="142.22999999999999"/>
    <n v="1076.57"/>
    <x v="2751"/>
    <x v="0"/>
  </r>
  <r>
    <x v="3"/>
    <x v="4"/>
    <x v="3"/>
    <n v="11837.81"/>
    <n v="10531.84"/>
    <n v="153.25"/>
    <n v="1234.73"/>
    <x v="2752"/>
    <x v="0"/>
  </r>
  <r>
    <x v="10"/>
    <x v="4"/>
    <x v="1"/>
    <n v="22276.77"/>
    <n v="20697.099999999999"/>
    <n v="88.31"/>
    <n v="574.44000000000005"/>
    <x v="2753"/>
    <x v="0"/>
  </r>
  <r>
    <x v="11"/>
    <x v="2"/>
    <x v="3"/>
    <n v="29763.43"/>
    <n v="24929.14"/>
    <n v="113.06"/>
    <n v="789.98"/>
    <x v="2754"/>
    <x v="1"/>
  </r>
  <r>
    <x v="10"/>
    <x v="5"/>
    <x v="0"/>
    <n v="9588.99"/>
    <n v="10861.21"/>
    <n v="161.63999999999999"/>
    <n v="578.70000000000005"/>
    <x v="2755"/>
    <x v="0"/>
  </r>
  <r>
    <x v="5"/>
    <x v="0"/>
    <x v="5"/>
    <n v="38148.21"/>
    <n v="42814.54"/>
    <n v="25.12"/>
    <n v="814.34"/>
    <x v="2756"/>
    <x v="0"/>
  </r>
  <r>
    <x v="10"/>
    <x v="6"/>
    <x v="5"/>
    <n v="27563.67"/>
    <n v="25000.35"/>
    <n v="44.93"/>
    <n v="1220.72"/>
    <x v="2757"/>
    <x v="0"/>
  </r>
  <r>
    <x v="18"/>
    <x v="5"/>
    <x v="2"/>
    <n v="6822.03"/>
    <n v="6887.37"/>
    <n v="98.29"/>
    <n v="813.89"/>
    <x v="2758"/>
    <x v="0"/>
  </r>
  <r>
    <x v="11"/>
    <x v="5"/>
    <x v="0"/>
    <n v="39289.230000000003"/>
    <n v="39649.339999999997"/>
    <n v="151.19999999999999"/>
    <n v="643.6"/>
    <x v="2759"/>
    <x v="0"/>
  </r>
  <r>
    <x v="3"/>
    <x v="5"/>
    <x v="5"/>
    <n v="33164.04"/>
    <n v="37827.730000000003"/>
    <n v="87.06"/>
    <n v="333.54"/>
    <x v="2760"/>
    <x v="0"/>
  </r>
  <r>
    <x v="1"/>
    <x v="2"/>
    <x v="3"/>
    <n v="16345.31"/>
    <n v="17255.240000000002"/>
    <n v="78.52"/>
    <n v="1331.88"/>
    <x v="2761"/>
    <x v="1"/>
  </r>
  <r>
    <x v="0"/>
    <x v="3"/>
    <x v="1"/>
    <n v="44030.37"/>
    <n v="39398.75"/>
    <n v="158.36000000000001"/>
    <n v="114.04"/>
    <x v="2762"/>
    <x v="1"/>
  </r>
  <r>
    <x v="4"/>
    <x v="1"/>
    <x v="2"/>
    <n v="4778.72"/>
    <n v="4000.5"/>
    <n v="43.61"/>
    <n v="1068.43"/>
    <x v="2763"/>
    <x v="1"/>
  </r>
  <r>
    <x v="18"/>
    <x v="1"/>
    <x v="0"/>
    <n v="9273.8700000000008"/>
    <n v="8570.01"/>
    <n v="126.89"/>
    <n v="1303.1199999999999"/>
    <x v="2764"/>
    <x v="1"/>
  </r>
  <r>
    <x v="10"/>
    <x v="6"/>
    <x v="7"/>
    <n v="49248.91"/>
    <n v="39514.660000000003"/>
    <n v="147.31"/>
    <n v="1261.9000000000001"/>
    <x v="2765"/>
    <x v="0"/>
  </r>
  <r>
    <x v="17"/>
    <x v="5"/>
    <x v="0"/>
    <n v="21044.560000000001"/>
    <n v="22873.72"/>
    <n v="124.64"/>
    <n v="1195.07"/>
    <x v="2766"/>
    <x v="0"/>
  </r>
  <r>
    <x v="15"/>
    <x v="6"/>
    <x v="0"/>
    <n v="36545.129999999997"/>
    <n v="30329.31"/>
    <n v="165.38"/>
    <n v="623"/>
    <x v="2767"/>
    <x v="0"/>
  </r>
  <r>
    <x v="12"/>
    <x v="3"/>
    <x v="1"/>
    <n v="4938.5"/>
    <n v="5830.95"/>
    <n v="115.81"/>
    <n v="986.02"/>
    <x v="2768"/>
    <x v="1"/>
  </r>
  <r>
    <x v="7"/>
    <x v="2"/>
    <x v="7"/>
    <n v="21189.69"/>
    <n v="18966.099999999999"/>
    <n v="27.27"/>
    <n v="268.98"/>
    <x v="2769"/>
    <x v="1"/>
  </r>
  <r>
    <x v="2"/>
    <x v="6"/>
    <x v="7"/>
    <n v="9042.08"/>
    <n v="7618.65"/>
    <n v="116.09"/>
    <n v="898.47"/>
    <x v="2770"/>
    <x v="0"/>
  </r>
  <r>
    <x v="7"/>
    <x v="1"/>
    <x v="3"/>
    <n v="29805.05"/>
    <n v="26847.65"/>
    <n v="183.1"/>
    <n v="841.8"/>
    <x v="2771"/>
    <x v="1"/>
  </r>
  <r>
    <x v="7"/>
    <x v="5"/>
    <x v="3"/>
    <n v="13540.98"/>
    <n v="10985.73"/>
    <n v="100.47"/>
    <n v="855.69"/>
    <x v="2772"/>
    <x v="0"/>
  </r>
  <r>
    <x v="11"/>
    <x v="3"/>
    <x v="4"/>
    <n v="751.55"/>
    <n v="823.84"/>
    <n v="71.55"/>
    <n v="929.16"/>
    <x v="2773"/>
    <x v="1"/>
  </r>
  <r>
    <x v="2"/>
    <x v="5"/>
    <x v="5"/>
    <n v="46551.27"/>
    <n v="42887.47"/>
    <n v="123.03"/>
    <n v="677.28"/>
    <x v="2774"/>
    <x v="0"/>
  </r>
  <r>
    <x v="4"/>
    <x v="0"/>
    <x v="6"/>
    <n v="44310.38"/>
    <n v="46300.1"/>
    <n v="119.33"/>
    <n v="216.07"/>
    <x v="2775"/>
    <x v="0"/>
  </r>
  <r>
    <x v="11"/>
    <x v="5"/>
    <x v="2"/>
    <n v="49819.32"/>
    <n v="50353.32"/>
    <n v="196.66"/>
    <n v="183.51"/>
    <x v="2776"/>
    <x v="0"/>
  </r>
  <r>
    <x v="17"/>
    <x v="4"/>
    <x v="6"/>
    <n v="8850.77"/>
    <n v="7405.28"/>
    <n v="48.77"/>
    <n v="896.77"/>
    <x v="2777"/>
    <x v="0"/>
  </r>
  <r>
    <x v="16"/>
    <x v="5"/>
    <x v="1"/>
    <n v="38319.919999999998"/>
    <n v="37880.050000000003"/>
    <n v="96.29"/>
    <n v="1017.31"/>
    <x v="2778"/>
    <x v="0"/>
  </r>
  <r>
    <x v="9"/>
    <x v="6"/>
    <x v="0"/>
    <n v="3999.37"/>
    <n v="3375.45"/>
    <n v="21.06"/>
    <n v="13.14"/>
    <x v="2779"/>
    <x v="0"/>
  </r>
  <r>
    <x v="6"/>
    <x v="4"/>
    <x v="5"/>
    <n v="9691.17"/>
    <n v="7984.54"/>
    <n v="35.880000000000003"/>
    <n v="292.95"/>
    <x v="2780"/>
    <x v="0"/>
  </r>
  <r>
    <x v="5"/>
    <x v="3"/>
    <x v="6"/>
    <n v="10652.69"/>
    <n v="9244.7999999999993"/>
    <n v="112.05"/>
    <n v="96.41"/>
    <x v="2781"/>
    <x v="1"/>
  </r>
  <r>
    <x v="5"/>
    <x v="5"/>
    <x v="2"/>
    <n v="34265.919999999998"/>
    <n v="31364.25"/>
    <n v="112.63"/>
    <n v="1041.26"/>
    <x v="2782"/>
    <x v="0"/>
  </r>
  <r>
    <x v="15"/>
    <x v="3"/>
    <x v="2"/>
    <n v="8610.42"/>
    <n v="9827.7999999999993"/>
    <n v="157.57"/>
    <n v="366.84"/>
    <x v="2783"/>
    <x v="1"/>
  </r>
  <r>
    <x v="2"/>
    <x v="4"/>
    <x v="3"/>
    <n v="39520.89"/>
    <n v="33047.050000000003"/>
    <n v="172.6"/>
    <n v="678.77"/>
    <x v="2784"/>
    <x v="0"/>
  </r>
  <r>
    <x v="2"/>
    <x v="4"/>
    <x v="7"/>
    <n v="15274.37"/>
    <n v="17979.41"/>
    <n v="163.57"/>
    <n v="564.62"/>
    <x v="2785"/>
    <x v="0"/>
  </r>
  <r>
    <x v="7"/>
    <x v="0"/>
    <x v="0"/>
    <n v="12761.35"/>
    <n v="11297.73"/>
    <n v="194.77"/>
    <n v="737.7"/>
    <x v="2786"/>
    <x v="0"/>
  </r>
  <r>
    <x v="10"/>
    <x v="4"/>
    <x v="3"/>
    <n v="49934.82"/>
    <n v="52807.92"/>
    <n v="51.29"/>
    <n v="364.97"/>
    <x v="2787"/>
    <x v="0"/>
  </r>
  <r>
    <x v="17"/>
    <x v="4"/>
    <x v="5"/>
    <n v="4047.71"/>
    <n v="4620.16"/>
    <n v="139.88"/>
    <n v="131.85"/>
    <x v="2788"/>
    <x v="0"/>
  </r>
  <r>
    <x v="9"/>
    <x v="1"/>
    <x v="7"/>
    <n v="47969.67"/>
    <n v="55274.78"/>
    <n v="25.01"/>
    <n v="111.06"/>
    <x v="2789"/>
    <x v="1"/>
  </r>
  <r>
    <x v="10"/>
    <x v="6"/>
    <x v="5"/>
    <n v="13808.12"/>
    <n v="12769.22"/>
    <n v="55.18"/>
    <n v="552.16999999999996"/>
    <x v="2790"/>
    <x v="0"/>
  </r>
  <r>
    <x v="6"/>
    <x v="5"/>
    <x v="6"/>
    <n v="15506.25"/>
    <n v="12854.06"/>
    <n v="167.68"/>
    <n v="1178.21"/>
    <x v="2791"/>
    <x v="0"/>
  </r>
  <r>
    <x v="18"/>
    <x v="6"/>
    <x v="4"/>
    <n v="29743.58"/>
    <n v="35585.61"/>
    <n v="100.85"/>
    <n v="796.19"/>
    <x v="2792"/>
    <x v="0"/>
  </r>
  <r>
    <x v="3"/>
    <x v="5"/>
    <x v="0"/>
    <n v="32411.82"/>
    <n v="28960.32"/>
    <n v="47.91"/>
    <n v="693.75"/>
    <x v="2793"/>
    <x v="0"/>
  </r>
  <r>
    <x v="13"/>
    <x v="6"/>
    <x v="3"/>
    <n v="42800.89"/>
    <n v="44656.160000000003"/>
    <n v="143.31"/>
    <n v="966.42"/>
    <x v="2794"/>
    <x v="0"/>
  </r>
  <r>
    <x v="15"/>
    <x v="0"/>
    <x v="1"/>
    <n v="38805.57"/>
    <n v="38358.71"/>
    <n v="131.65"/>
    <n v="620.07000000000005"/>
    <x v="2795"/>
    <x v="0"/>
  </r>
  <r>
    <x v="14"/>
    <x v="6"/>
    <x v="3"/>
    <n v="45410.12"/>
    <n v="42233.39"/>
    <n v="24.64"/>
    <n v="1357.61"/>
    <x v="2796"/>
    <x v="0"/>
  </r>
  <r>
    <x v="13"/>
    <x v="1"/>
    <x v="6"/>
    <n v="19381.72"/>
    <n v="22132.49"/>
    <n v="35.49"/>
    <n v="1398.58"/>
    <x v="2797"/>
    <x v="1"/>
  </r>
  <r>
    <x v="5"/>
    <x v="6"/>
    <x v="1"/>
    <n v="16933"/>
    <n v="19088.87"/>
    <n v="80.63"/>
    <n v="1100.3399999999999"/>
    <x v="2798"/>
    <x v="0"/>
  </r>
  <r>
    <x v="18"/>
    <x v="5"/>
    <x v="1"/>
    <n v="22700.26"/>
    <n v="25668.98"/>
    <n v="159.66"/>
    <n v="254.96"/>
    <x v="2799"/>
    <x v="0"/>
  </r>
  <r>
    <x v="19"/>
    <x v="5"/>
    <x v="5"/>
    <n v="13172.05"/>
    <n v="15745.14"/>
    <n v="185.89"/>
    <n v="1108.45"/>
    <x v="2800"/>
    <x v="0"/>
  </r>
  <r>
    <x v="13"/>
    <x v="6"/>
    <x v="1"/>
    <n v="19379.150000000001"/>
    <n v="20880.68"/>
    <n v="140.06"/>
    <n v="1201.24"/>
    <x v="2801"/>
    <x v="0"/>
  </r>
  <r>
    <x v="4"/>
    <x v="6"/>
    <x v="2"/>
    <n v="11867.51"/>
    <n v="12060.95"/>
    <n v="199.04"/>
    <n v="224.88"/>
    <x v="2802"/>
    <x v="0"/>
  </r>
  <r>
    <x v="3"/>
    <x v="4"/>
    <x v="6"/>
    <n v="49030.39"/>
    <n v="42225.17"/>
    <n v="130.44"/>
    <n v="104.72"/>
    <x v="2803"/>
    <x v="0"/>
  </r>
  <r>
    <x v="16"/>
    <x v="2"/>
    <x v="0"/>
    <n v="13989.15"/>
    <n v="13444.84"/>
    <n v="162.74"/>
    <n v="840.78"/>
    <x v="2804"/>
    <x v="1"/>
  </r>
  <r>
    <x v="8"/>
    <x v="6"/>
    <x v="6"/>
    <n v="2078.64"/>
    <n v="1750.63"/>
    <n v="50.75"/>
    <n v="1254.3699999999999"/>
    <x v="2805"/>
    <x v="0"/>
  </r>
  <r>
    <x v="2"/>
    <x v="2"/>
    <x v="7"/>
    <n v="44697.08"/>
    <n v="45781.16"/>
    <n v="134.38999999999999"/>
    <n v="324.89"/>
    <x v="2806"/>
    <x v="1"/>
  </r>
  <r>
    <x v="0"/>
    <x v="5"/>
    <x v="4"/>
    <n v="42501.97"/>
    <n v="42933.07"/>
    <n v="103.2"/>
    <n v="886.57"/>
    <x v="2807"/>
    <x v="0"/>
  </r>
  <r>
    <x v="1"/>
    <x v="1"/>
    <x v="6"/>
    <n v="32192.22"/>
    <n v="26729.66"/>
    <n v="143.03"/>
    <n v="1010.28"/>
    <x v="2808"/>
    <x v="1"/>
  </r>
  <r>
    <x v="8"/>
    <x v="0"/>
    <x v="1"/>
    <n v="42830.73"/>
    <n v="49897.56"/>
    <n v="42.4"/>
    <n v="636.66"/>
    <x v="2809"/>
    <x v="0"/>
  </r>
  <r>
    <x v="11"/>
    <x v="4"/>
    <x v="4"/>
    <n v="17813.93"/>
    <n v="16029.59"/>
    <n v="84.65"/>
    <n v="97.53"/>
    <x v="2810"/>
    <x v="0"/>
  </r>
  <r>
    <x v="19"/>
    <x v="2"/>
    <x v="7"/>
    <n v="19131.169999999998"/>
    <n v="15751.33"/>
    <n v="196.01"/>
    <n v="1328.66"/>
    <x v="2811"/>
    <x v="1"/>
  </r>
  <r>
    <x v="4"/>
    <x v="4"/>
    <x v="0"/>
    <n v="17506.759999999998"/>
    <n v="19684.310000000001"/>
    <n v="163.38"/>
    <n v="283.64"/>
    <x v="2812"/>
    <x v="0"/>
  </r>
  <r>
    <x v="7"/>
    <x v="6"/>
    <x v="5"/>
    <n v="16525.23"/>
    <n v="19370.05"/>
    <n v="140.19999999999999"/>
    <n v="129.37"/>
    <x v="2813"/>
    <x v="0"/>
  </r>
  <r>
    <x v="18"/>
    <x v="5"/>
    <x v="4"/>
    <n v="38770.17"/>
    <n v="40514.9"/>
    <n v="188.97"/>
    <n v="359.88"/>
    <x v="2814"/>
    <x v="0"/>
  </r>
  <r>
    <x v="17"/>
    <x v="0"/>
    <x v="2"/>
    <n v="27169.15"/>
    <n v="29606.45"/>
    <n v="61.48"/>
    <n v="75.55"/>
    <x v="2815"/>
    <x v="0"/>
  </r>
  <r>
    <x v="7"/>
    <x v="6"/>
    <x v="7"/>
    <n v="4717.8500000000004"/>
    <n v="4016.09"/>
    <n v="49.43"/>
    <n v="1182.53"/>
    <x v="2816"/>
    <x v="0"/>
  </r>
  <r>
    <x v="17"/>
    <x v="1"/>
    <x v="6"/>
    <n v="2278.6999999999998"/>
    <n v="2142.54"/>
    <n v="181.23"/>
    <n v="321.95999999999998"/>
    <x v="2817"/>
    <x v="1"/>
  </r>
  <r>
    <x v="2"/>
    <x v="0"/>
    <x v="2"/>
    <n v="38769.4"/>
    <n v="44053.91"/>
    <n v="86.18"/>
    <n v="316.94"/>
    <x v="2818"/>
    <x v="0"/>
  </r>
  <r>
    <x v="4"/>
    <x v="6"/>
    <x v="1"/>
    <n v="1933.51"/>
    <n v="1944.29"/>
    <n v="110.81"/>
    <n v="40.729999999999997"/>
    <x v="2819"/>
    <x v="0"/>
  </r>
  <r>
    <x v="11"/>
    <x v="3"/>
    <x v="4"/>
    <n v="2040.82"/>
    <n v="1756.33"/>
    <n v="147.04"/>
    <n v="815.25"/>
    <x v="2820"/>
    <x v="1"/>
  </r>
  <r>
    <x v="13"/>
    <x v="1"/>
    <x v="0"/>
    <n v="10206.049999999999"/>
    <n v="10741.59"/>
    <n v="139.66999999999999"/>
    <n v="1189.1199999999999"/>
    <x v="2821"/>
    <x v="1"/>
  </r>
  <r>
    <x v="14"/>
    <x v="2"/>
    <x v="1"/>
    <n v="35339.449999999997"/>
    <n v="37949.35"/>
    <n v="29.39"/>
    <n v="598.35"/>
    <x v="2822"/>
    <x v="1"/>
  </r>
  <r>
    <x v="7"/>
    <x v="3"/>
    <x v="2"/>
    <n v="32550.33"/>
    <n v="33202.71"/>
    <n v="105.86"/>
    <n v="508.83"/>
    <x v="2823"/>
    <x v="1"/>
  </r>
  <r>
    <x v="4"/>
    <x v="6"/>
    <x v="7"/>
    <n v="35233.49"/>
    <n v="34799.53"/>
    <n v="197.2"/>
    <n v="719.25"/>
    <x v="2824"/>
    <x v="0"/>
  </r>
  <r>
    <x v="12"/>
    <x v="5"/>
    <x v="7"/>
    <n v="13828.78"/>
    <n v="12321.19"/>
    <n v="84.65"/>
    <n v="1182.2"/>
    <x v="2825"/>
    <x v="0"/>
  </r>
  <r>
    <x v="17"/>
    <x v="1"/>
    <x v="5"/>
    <n v="8406.5499999999993"/>
    <n v="9188.41"/>
    <n v="171.68"/>
    <n v="1077.82"/>
    <x v="2826"/>
    <x v="1"/>
  </r>
  <r>
    <x v="2"/>
    <x v="2"/>
    <x v="3"/>
    <n v="13552.15"/>
    <n v="11895.72"/>
    <n v="164.63"/>
    <n v="1135.79"/>
    <x v="2827"/>
    <x v="1"/>
  </r>
  <r>
    <x v="10"/>
    <x v="4"/>
    <x v="0"/>
    <n v="15855.89"/>
    <n v="14973.31"/>
    <n v="73.58"/>
    <n v="1095.3800000000001"/>
    <x v="2828"/>
    <x v="0"/>
  </r>
  <r>
    <x v="19"/>
    <x v="0"/>
    <x v="3"/>
    <n v="33531.919999999998"/>
    <n v="35386.81"/>
    <n v="116.38"/>
    <n v="314.89999999999998"/>
    <x v="2829"/>
    <x v="0"/>
  </r>
  <r>
    <x v="2"/>
    <x v="4"/>
    <x v="3"/>
    <n v="1167.46"/>
    <n v="1325.56"/>
    <n v="123.18"/>
    <n v="1231.22"/>
    <x v="2830"/>
    <x v="0"/>
  </r>
  <r>
    <x v="18"/>
    <x v="4"/>
    <x v="6"/>
    <n v="10412.69"/>
    <n v="9670.4599999999991"/>
    <n v="124.59"/>
    <n v="677.09"/>
    <x v="2831"/>
    <x v="0"/>
  </r>
  <r>
    <x v="4"/>
    <x v="4"/>
    <x v="1"/>
    <n v="30279.93"/>
    <n v="32350.39"/>
    <n v="153.93"/>
    <n v="549.41999999999996"/>
    <x v="2832"/>
    <x v="0"/>
  </r>
  <r>
    <x v="3"/>
    <x v="1"/>
    <x v="0"/>
    <n v="29035.55"/>
    <n v="32125.02"/>
    <n v="22.31"/>
    <n v="769.02"/>
    <x v="2833"/>
    <x v="1"/>
  </r>
  <r>
    <x v="4"/>
    <x v="4"/>
    <x v="6"/>
    <n v="1560.32"/>
    <n v="1255.3399999999999"/>
    <n v="145.83000000000001"/>
    <n v="47.12"/>
    <x v="2834"/>
    <x v="0"/>
  </r>
  <r>
    <x v="9"/>
    <x v="0"/>
    <x v="1"/>
    <n v="19560.53"/>
    <n v="19956.61"/>
    <n v="152.03"/>
    <n v="1029.46"/>
    <x v="2835"/>
    <x v="0"/>
  </r>
  <r>
    <x v="12"/>
    <x v="6"/>
    <x v="1"/>
    <n v="1933.59"/>
    <n v="1575.79"/>
    <n v="104.54"/>
    <n v="1186.52"/>
    <x v="2836"/>
    <x v="0"/>
  </r>
  <r>
    <x v="2"/>
    <x v="5"/>
    <x v="3"/>
    <n v="49657.88"/>
    <n v="58327.91"/>
    <n v="57.09"/>
    <n v="1115.19"/>
    <x v="2837"/>
    <x v="0"/>
  </r>
  <r>
    <x v="4"/>
    <x v="1"/>
    <x v="7"/>
    <n v="49277.74"/>
    <n v="41076.839999999997"/>
    <n v="72.040000000000006"/>
    <n v="339.89"/>
    <x v="2838"/>
    <x v="1"/>
  </r>
  <r>
    <x v="5"/>
    <x v="4"/>
    <x v="4"/>
    <n v="7903.95"/>
    <n v="7073.12"/>
    <n v="155.86000000000001"/>
    <n v="228.39"/>
    <x v="2839"/>
    <x v="0"/>
  </r>
  <r>
    <x v="1"/>
    <x v="4"/>
    <x v="5"/>
    <n v="32891.1"/>
    <n v="33496.870000000003"/>
    <n v="64.56"/>
    <n v="441.14"/>
    <x v="2840"/>
    <x v="0"/>
  </r>
  <r>
    <x v="4"/>
    <x v="1"/>
    <x v="3"/>
    <n v="8007.28"/>
    <n v="9495.2999999999993"/>
    <n v="103.7"/>
    <n v="109.77"/>
    <x v="2841"/>
    <x v="1"/>
  </r>
  <r>
    <x v="16"/>
    <x v="3"/>
    <x v="7"/>
    <n v="16495.93"/>
    <n v="17457"/>
    <n v="49.11"/>
    <n v="843.34"/>
    <x v="2842"/>
    <x v="1"/>
  </r>
  <r>
    <x v="8"/>
    <x v="3"/>
    <x v="3"/>
    <n v="49654.67"/>
    <n v="56043.32"/>
    <n v="88.07"/>
    <n v="920.95"/>
    <x v="2843"/>
    <x v="1"/>
  </r>
  <r>
    <x v="3"/>
    <x v="3"/>
    <x v="2"/>
    <n v="24034.9"/>
    <n v="22397.06"/>
    <n v="113.47"/>
    <n v="22.76"/>
    <x v="2844"/>
    <x v="1"/>
  </r>
  <r>
    <x v="7"/>
    <x v="3"/>
    <x v="6"/>
    <n v="22627.61"/>
    <n v="26111.759999999998"/>
    <n v="100.98"/>
    <n v="1286.3900000000001"/>
    <x v="2845"/>
    <x v="1"/>
  </r>
  <r>
    <x v="15"/>
    <x v="5"/>
    <x v="1"/>
    <n v="26617.35"/>
    <n v="29613.96"/>
    <n v="75.680000000000007"/>
    <n v="791.06"/>
    <x v="2846"/>
    <x v="0"/>
  </r>
  <r>
    <x v="3"/>
    <x v="0"/>
    <x v="0"/>
    <n v="34062.300000000003"/>
    <n v="28634.02"/>
    <n v="24.72"/>
    <n v="502.45"/>
    <x v="2847"/>
    <x v="0"/>
  </r>
  <r>
    <x v="17"/>
    <x v="6"/>
    <x v="5"/>
    <n v="3247.52"/>
    <n v="2857.34"/>
    <n v="137.32"/>
    <n v="900.91"/>
    <x v="2848"/>
    <x v="0"/>
  </r>
  <r>
    <x v="8"/>
    <x v="3"/>
    <x v="6"/>
    <n v="45137.2"/>
    <n v="50353.69"/>
    <n v="97.62"/>
    <n v="196.99"/>
    <x v="2849"/>
    <x v="1"/>
  </r>
  <r>
    <x v="13"/>
    <x v="6"/>
    <x v="6"/>
    <n v="11323.81"/>
    <n v="12671.84"/>
    <n v="188.97"/>
    <n v="1119.1199999999999"/>
    <x v="2850"/>
    <x v="0"/>
  </r>
  <r>
    <x v="11"/>
    <x v="3"/>
    <x v="5"/>
    <n v="28350.62"/>
    <n v="23792.23"/>
    <n v="60.18"/>
    <n v="168.27"/>
    <x v="2851"/>
    <x v="1"/>
  </r>
  <r>
    <x v="5"/>
    <x v="0"/>
    <x v="4"/>
    <n v="49187"/>
    <n v="55452.99"/>
    <n v="175.26"/>
    <n v="235.18"/>
    <x v="2852"/>
    <x v="0"/>
  </r>
  <r>
    <x v="18"/>
    <x v="6"/>
    <x v="2"/>
    <n v="17377.349999999999"/>
    <n v="18151.61"/>
    <n v="61.61"/>
    <n v="292.61"/>
    <x v="2853"/>
    <x v="0"/>
  </r>
  <r>
    <x v="1"/>
    <x v="2"/>
    <x v="3"/>
    <n v="29047.61"/>
    <n v="28857.37"/>
    <n v="171.48"/>
    <n v="1357.26"/>
    <x v="2854"/>
    <x v="1"/>
  </r>
  <r>
    <x v="4"/>
    <x v="1"/>
    <x v="4"/>
    <n v="45503.17"/>
    <n v="36840.949999999997"/>
    <n v="166.32"/>
    <n v="497.53"/>
    <x v="2855"/>
    <x v="1"/>
  </r>
  <r>
    <x v="9"/>
    <x v="2"/>
    <x v="4"/>
    <n v="49989.46"/>
    <n v="52758.97"/>
    <n v="67.790000000000006"/>
    <n v="1059.46"/>
    <x v="2856"/>
    <x v="1"/>
  </r>
  <r>
    <x v="18"/>
    <x v="3"/>
    <x v="3"/>
    <n v="21130.61"/>
    <n v="20784.29"/>
    <n v="188.42"/>
    <n v="444.93"/>
    <x v="2857"/>
    <x v="1"/>
  </r>
  <r>
    <x v="3"/>
    <x v="5"/>
    <x v="1"/>
    <n v="43821.83"/>
    <n v="37560.639999999999"/>
    <n v="46.29"/>
    <n v="1239.57"/>
    <x v="2858"/>
    <x v="0"/>
  </r>
  <r>
    <x v="1"/>
    <x v="0"/>
    <x v="1"/>
    <n v="17252.61"/>
    <n v="17206.27"/>
    <n v="113.48"/>
    <n v="1356.95"/>
    <x v="2859"/>
    <x v="0"/>
  </r>
  <r>
    <x v="11"/>
    <x v="2"/>
    <x v="0"/>
    <n v="15727.37"/>
    <n v="17797.310000000001"/>
    <n v="172.36"/>
    <n v="1043.82"/>
    <x v="2860"/>
    <x v="1"/>
  </r>
  <r>
    <x v="5"/>
    <x v="3"/>
    <x v="2"/>
    <n v="16317.89"/>
    <n v="18756.47"/>
    <n v="121.58"/>
    <n v="221.47"/>
    <x v="2861"/>
    <x v="1"/>
  </r>
  <r>
    <x v="17"/>
    <x v="0"/>
    <x v="7"/>
    <n v="12450.31"/>
    <n v="13846.01"/>
    <n v="120.18"/>
    <n v="450.11"/>
    <x v="2862"/>
    <x v="0"/>
  </r>
  <r>
    <x v="1"/>
    <x v="3"/>
    <x v="5"/>
    <n v="29252.27"/>
    <n v="23592.89"/>
    <n v="115.09"/>
    <n v="575.22"/>
    <x v="2863"/>
    <x v="1"/>
  </r>
  <r>
    <x v="9"/>
    <x v="2"/>
    <x v="3"/>
    <n v="11413.81"/>
    <n v="10952.46"/>
    <n v="29.42"/>
    <n v="1282.8900000000001"/>
    <x v="2864"/>
    <x v="1"/>
  </r>
  <r>
    <x v="8"/>
    <x v="5"/>
    <x v="6"/>
    <n v="4236.4799999999996"/>
    <n v="4331.67"/>
    <n v="21.07"/>
    <n v="94.67"/>
    <x v="2865"/>
    <x v="0"/>
  </r>
  <r>
    <x v="5"/>
    <x v="6"/>
    <x v="3"/>
    <n v="4278.42"/>
    <n v="4869.17"/>
    <n v="40.450000000000003"/>
    <n v="122.79"/>
    <x v="2866"/>
    <x v="0"/>
  </r>
  <r>
    <x v="17"/>
    <x v="1"/>
    <x v="1"/>
    <n v="779.44"/>
    <n v="887.93"/>
    <n v="75.86"/>
    <n v="527.12"/>
    <x v="2867"/>
    <x v="1"/>
  </r>
  <r>
    <x v="12"/>
    <x v="1"/>
    <x v="5"/>
    <n v="35558.230000000003"/>
    <n v="40005.64"/>
    <n v="102.15"/>
    <n v="629.49"/>
    <x v="2868"/>
    <x v="1"/>
  </r>
  <r>
    <x v="3"/>
    <x v="1"/>
    <x v="7"/>
    <n v="18047.509999999998"/>
    <n v="19246.75"/>
    <n v="25.15"/>
    <n v="1241.6500000000001"/>
    <x v="2869"/>
    <x v="1"/>
  </r>
  <r>
    <x v="1"/>
    <x v="5"/>
    <x v="3"/>
    <n v="32676.12"/>
    <n v="26927.51"/>
    <n v="128.86000000000001"/>
    <n v="1204.96"/>
    <x v="2870"/>
    <x v="0"/>
  </r>
  <r>
    <x v="8"/>
    <x v="3"/>
    <x v="1"/>
    <n v="31800.86"/>
    <n v="26061.759999999998"/>
    <n v="187.07"/>
    <n v="167.89"/>
    <x v="2871"/>
    <x v="1"/>
  </r>
  <r>
    <x v="8"/>
    <x v="0"/>
    <x v="1"/>
    <n v="7314.08"/>
    <n v="6494.05"/>
    <n v="165.19"/>
    <n v="1314.34"/>
    <x v="2872"/>
    <x v="0"/>
  </r>
  <r>
    <x v="5"/>
    <x v="1"/>
    <x v="7"/>
    <n v="26894.67"/>
    <n v="27476.66"/>
    <n v="111.71"/>
    <n v="1164.74"/>
    <x v="2873"/>
    <x v="1"/>
  </r>
  <r>
    <x v="7"/>
    <x v="3"/>
    <x v="0"/>
    <n v="28859.11"/>
    <n v="24785.599999999999"/>
    <n v="101.06"/>
    <n v="1001.72"/>
    <x v="2874"/>
    <x v="1"/>
  </r>
  <r>
    <x v="7"/>
    <x v="4"/>
    <x v="0"/>
    <n v="30611.58"/>
    <n v="27579.49"/>
    <n v="61.38"/>
    <n v="105.48"/>
    <x v="2875"/>
    <x v="0"/>
  </r>
  <r>
    <x v="10"/>
    <x v="0"/>
    <x v="0"/>
    <n v="34348.18"/>
    <n v="34042.67"/>
    <n v="176.92"/>
    <n v="661.67"/>
    <x v="2876"/>
    <x v="0"/>
  </r>
  <r>
    <x v="12"/>
    <x v="1"/>
    <x v="7"/>
    <n v="4785.1499999999996"/>
    <n v="4529.71"/>
    <n v="78.19"/>
    <n v="1007.65"/>
    <x v="2877"/>
    <x v="1"/>
  </r>
  <r>
    <x v="18"/>
    <x v="3"/>
    <x v="4"/>
    <n v="15316.49"/>
    <n v="13959.37"/>
    <n v="33.17"/>
    <n v="544.98"/>
    <x v="2878"/>
    <x v="1"/>
  </r>
  <r>
    <x v="2"/>
    <x v="1"/>
    <x v="0"/>
    <n v="4027.06"/>
    <n v="4161.6400000000003"/>
    <n v="39.1"/>
    <n v="1103.69"/>
    <x v="2879"/>
    <x v="1"/>
  </r>
  <r>
    <x v="1"/>
    <x v="5"/>
    <x v="3"/>
    <n v="46712.35"/>
    <n v="52263.46"/>
    <n v="63.88"/>
    <n v="371.69"/>
    <x v="2880"/>
    <x v="0"/>
  </r>
  <r>
    <x v="3"/>
    <x v="5"/>
    <x v="4"/>
    <n v="43750.97"/>
    <n v="44631.77"/>
    <n v="88.69"/>
    <n v="1050.5899999999999"/>
    <x v="2881"/>
    <x v="0"/>
  </r>
  <r>
    <x v="4"/>
    <x v="6"/>
    <x v="2"/>
    <n v="20766.62"/>
    <n v="23062.53"/>
    <n v="112.41"/>
    <n v="648.6"/>
    <x v="2882"/>
    <x v="0"/>
  </r>
  <r>
    <x v="15"/>
    <x v="6"/>
    <x v="4"/>
    <n v="36348.879999999997"/>
    <n v="36244.230000000003"/>
    <n v="132.11000000000001"/>
    <n v="818.44"/>
    <x v="2883"/>
    <x v="0"/>
  </r>
  <r>
    <x v="12"/>
    <x v="0"/>
    <x v="7"/>
    <n v="22786.26"/>
    <n v="24962.86"/>
    <n v="108.32"/>
    <n v="892.47"/>
    <x v="2884"/>
    <x v="0"/>
  </r>
  <r>
    <x v="9"/>
    <x v="4"/>
    <x v="5"/>
    <n v="8233.73"/>
    <n v="6787.46"/>
    <n v="176.76"/>
    <n v="570.09"/>
    <x v="2885"/>
    <x v="0"/>
  </r>
  <r>
    <x v="9"/>
    <x v="3"/>
    <x v="0"/>
    <n v="29599.16"/>
    <n v="24192.02"/>
    <n v="93.89"/>
    <n v="625.33000000000004"/>
    <x v="2886"/>
    <x v="1"/>
  </r>
  <r>
    <x v="14"/>
    <x v="1"/>
    <x v="2"/>
    <n v="45255.38"/>
    <n v="52762.12"/>
    <n v="112.77"/>
    <n v="1315.81"/>
    <x v="2887"/>
    <x v="1"/>
  </r>
  <r>
    <x v="6"/>
    <x v="3"/>
    <x v="3"/>
    <n v="47679.81"/>
    <n v="47791.63"/>
    <n v="23.65"/>
    <n v="1334.72"/>
    <x v="2888"/>
    <x v="1"/>
  </r>
  <r>
    <x v="19"/>
    <x v="1"/>
    <x v="5"/>
    <n v="34983.660000000003"/>
    <n v="37743.949999999997"/>
    <n v="96.33"/>
    <n v="612"/>
    <x v="2889"/>
    <x v="1"/>
  </r>
  <r>
    <x v="3"/>
    <x v="2"/>
    <x v="4"/>
    <n v="25448.39"/>
    <n v="22962.63"/>
    <n v="182.05"/>
    <n v="1084.4000000000001"/>
    <x v="2890"/>
    <x v="1"/>
  </r>
  <r>
    <x v="16"/>
    <x v="5"/>
    <x v="2"/>
    <n v="23915.05"/>
    <n v="23637.279999999999"/>
    <n v="159.11000000000001"/>
    <n v="1363.38"/>
    <x v="2891"/>
    <x v="0"/>
  </r>
  <r>
    <x v="12"/>
    <x v="6"/>
    <x v="4"/>
    <n v="39357.910000000003"/>
    <n v="45100.55"/>
    <n v="129.41"/>
    <n v="137.72"/>
    <x v="2892"/>
    <x v="0"/>
  </r>
  <r>
    <x v="13"/>
    <x v="6"/>
    <x v="5"/>
    <n v="24796.3"/>
    <n v="23564.7"/>
    <n v="171.51"/>
    <n v="1047.0899999999999"/>
    <x v="2893"/>
    <x v="0"/>
  </r>
  <r>
    <x v="14"/>
    <x v="6"/>
    <x v="6"/>
    <n v="39254.69"/>
    <n v="46983.85"/>
    <n v="115.33"/>
    <n v="488.38"/>
    <x v="2894"/>
    <x v="0"/>
  </r>
  <r>
    <x v="15"/>
    <x v="1"/>
    <x v="2"/>
    <n v="38141.730000000003"/>
    <n v="37376.6"/>
    <n v="80.64"/>
    <n v="1046.48"/>
    <x v="2895"/>
    <x v="1"/>
  </r>
  <r>
    <x v="10"/>
    <x v="4"/>
    <x v="5"/>
    <n v="28752.18"/>
    <n v="24424.46"/>
    <n v="138.27000000000001"/>
    <n v="521.54"/>
    <x v="2896"/>
    <x v="0"/>
  </r>
  <r>
    <x v="17"/>
    <x v="0"/>
    <x v="7"/>
    <n v="12616.35"/>
    <n v="12982.56"/>
    <n v="139.88999999999999"/>
    <n v="1218.1500000000001"/>
    <x v="2897"/>
    <x v="0"/>
  </r>
  <r>
    <x v="9"/>
    <x v="3"/>
    <x v="3"/>
    <n v="46686.12"/>
    <n v="49178.7"/>
    <n v="37.56"/>
    <n v="293.07"/>
    <x v="2898"/>
    <x v="1"/>
  </r>
  <r>
    <x v="4"/>
    <x v="2"/>
    <x v="5"/>
    <n v="33660.199999999997"/>
    <n v="27989.89"/>
    <n v="71.87"/>
    <n v="391.26"/>
    <x v="2899"/>
    <x v="1"/>
  </r>
  <r>
    <x v="18"/>
    <x v="6"/>
    <x v="3"/>
    <n v="29908.73"/>
    <n v="26294.26"/>
    <n v="110.77"/>
    <n v="185.42"/>
    <x v="2900"/>
    <x v="0"/>
  </r>
  <r>
    <x v="14"/>
    <x v="4"/>
    <x v="4"/>
    <n v="34413.160000000003"/>
    <n v="32543.86"/>
    <n v="182.52"/>
    <n v="1378.71"/>
    <x v="2901"/>
    <x v="0"/>
  </r>
  <r>
    <x v="18"/>
    <x v="0"/>
    <x v="3"/>
    <n v="8680.91"/>
    <n v="10404.01"/>
    <n v="84.66"/>
    <n v="908.21"/>
    <x v="2902"/>
    <x v="0"/>
  </r>
  <r>
    <x v="5"/>
    <x v="2"/>
    <x v="1"/>
    <n v="48007.8"/>
    <n v="50204.47"/>
    <n v="52.33"/>
    <n v="228.9"/>
    <x v="2903"/>
    <x v="1"/>
  </r>
  <r>
    <x v="10"/>
    <x v="4"/>
    <x v="6"/>
    <n v="3563.36"/>
    <n v="3019.3"/>
    <n v="174.2"/>
    <n v="330.96"/>
    <x v="2904"/>
    <x v="0"/>
  </r>
  <r>
    <x v="17"/>
    <x v="4"/>
    <x v="1"/>
    <n v="10118.17"/>
    <n v="9315.86"/>
    <n v="147.66999999999999"/>
    <n v="1218.28"/>
    <x v="2905"/>
    <x v="0"/>
  </r>
  <r>
    <x v="19"/>
    <x v="4"/>
    <x v="5"/>
    <n v="30969.61"/>
    <n v="26871.86"/>
    <n v="182.41"/>
    <n v="309.19"/>
    <x v="2906"/>
    <x v="0"/>
  </r>
  <r>
    <x v="14"/>
    <x v="0"/>
    <x v="3"/>
    <n v="11245.19"/>
    <n v="12817.32"/>
    <n v="190.24"/>
    <n v="212.29"/>
    <x v="2907"/>
    <x v="0"/>
  </r>
  <r>
    <x v="2"/>
    <x v="5"/>
    <x v="2"/>
    <n v="21773.82"/>
    <n v="22089.4"/>
    <n v="160.01"/>
    <n v="1007.4"/>
    <x v="2908"/>
    <x v="0"/>
  </r>
  <r>
    <x v="13"/>
    <x v="6"/>
    <x v="0"/>
    <n v="2984.94"/>
    <n v="3563.83"/>
    <n v="50.14"/>
    <n v="222.68"/>
    <x v="2909"/>
    <x v="0"/>
  </r>
  <r>
    <x v="8"/>
    <x v="2"/>
    <x v="3"/>
    <n v="23393.81"/>
    <n v="22134.34"/>
    <n v="121.65"/>
    <n v="366.94"/>
    <x v="2910"/>
    <x v="1"/>
  </r>
  <r>
    <x v="5"/>
    <x v="6"/>
    <x v="0"/>
    <n v="21768.21"/>
    <n v="24559.58"/>
    <n v="119.84"/>
    <n v="1149.95"/>
    <x v="2911"/>
    <x v="0"/>
  </r>
  <r>
    <x v="9"/>
    <x v="0"/>
    <x v="0"/>
    <n v="14115.03"/>
    <n v="12633.9"/>
    <n v="76.400000000000006"/>
    <n v="1020.07"/>
    <x v="2912"/>
    <x v="0"/>
  </r>
  <r>
    <x v="1"/>
    <x v="3"/>
    <x v="7"/>
    <n v="39720.21"/>
    <n v="32793.5"/>
    <n v="80.34"/>
    <n v="70.16"/>
    <x v="2913"/>
    <x v="1"/>
  </r>
  <r>
    <x v="10"/>
    <x v="2"/>
    <x v="0"/>
    <n v="10079.68"/>
    <n v="11226.08"/>
    <n v="24.38"/>
    <n v="347.24"/>
    <x v="2914"/>
    <x v="1"/>
  </r>
  <r>
    <x v="13"/>
    <x v="3"/>
    <x v="1"/>
    <n v="26770.799999999999"/>
    <n v="31303.22"/>
    <n v="142.51"/>
    <n v="1320.6"/>
    <x v="2915"/>
    <x v="1"/>
  </r>
  <r>
    <x v="16"/>
    <x v="3"/>
    <x v="2"/>
    <n v="18679.54"/>
    <n v="17280.66"/>
    <n v="33.130000000000003"/>
    <n v="864.28"/>
    <x v="2916"/>
    <x v="1"/>
  </r>
  <r>
    <x v="5"/>
    <x v="5"/>
    <x v="2"/>
    <n v="44898.239999999998"/>
    <n v="41345.89"/>
    <n v="193.89"/>
    <n v="639.83000000000004"/>
    <x v="2917"/>
    <x v="0"/>
  </r>
  <r>
    <x v="1"/>
    <x v="0"/>
    <x v="3"/>
    <n v="44904.54"/>
    <n v="50060.19"/>
    <n v="121.06"/>
    <n v="190.31"/>
    <x v="2918"/>
    <x v="0"/>
  </r>
  <r>
    <x v="7"/>
    <x v="2"/>
    <x v="6"/>
    <n v="13719.21"/>
    <n v="13662.63"/>
    <n v="192.54"/>
    <n v="843.3"/>
    <x v="2919"/>
    <x v="1"/>
  </r>
  <r>
    <x v="17"/>
    <x v="6"/>
    <x v="1"/>
    <n v="22429.52"/>
    <n v="24304.86"/>
    <n v="130.66999999999999"/>
    <n v="1282.04"/>
    <x v="2920"/>
    <x v="0"/>
  </r>
  <r>
    <x v="18"/>
    <x v="2"/>
    <x v="1"/>
    <n v="36196.43"/>
    <n v="35330.42"/>
    <n v="165.71"/>
    <n v="1102.1600000000001"/>
    <x v="2921"/>
    <x v="1"/>
  </r>
  <r>
    <x v="19"/>
    <x v="3"/>
    <x v="2"/>
    <n v="10186.86"/>
    <n v="9369.44"/>
    <n v="89.42"/>
    <n v="848.93"/>
    <x v="2922"/>
    <x v="1"/>
  </r>
  <r>
    <x v="12"/>
    <x v="2"/>
    <x v="4"/>
    <n v="42665.31"/>
    <n v="36254.519999999997"/>
    <n v="153.62"/>
    <n v="1173.0999999999999"/>
    <x v="2923"/>
    <x v="1"/>
  </r>
  <r>
    <x v="12"/>
    <x v="3"/>
    <x v="5"/>
    <n v="8173.54"/>
    <n v="9680.5"/>
    <n v="115.17"/>
    <n v="1173.0899999999999"/>
    <x v="2924"/>
    <x v="1"/>
  </r>
  <r>
    <x v="9"/>
    <x v="4"/>
    <x v="0"/>
    <n v="1922.19"/>
    <n v="1992.64"/>
    <n v="148.91"/>
    <n v="1176.3499999999999"/>
    <x v="2925"/>
    <x v="0"/>
  </r>
  <r>
    <x v="2"/>
    <x v="4"/>
    <x v="0"/>
    <n v="32162.93"/>
    <n v="36128.03"/>
    <n v="156.94"/>
    <n v="112.58"/>
    <x v="2926"/>
    <x v="0"/>
  </r>
  <r>
    <x v="15"/>
    <x v="6"/>
    <x v="5"/>
    <n v="934.26"/>
    <n v="910.22"/>
    <n v="119.18"/>
    <n v="1364.54"/>
    <x v="2927"/>
    <x v="0"/>
  </r>
  <r>
    <x v="13"/>
    <x v="5"/>
    <x v="4"/>
    <n v="27162.59"/>
    <n v="28086.44"/>
    <n v="38.67"/>
    <n v="348.6"/>
    <x v="2928"/>
    <x v="0"/>
  </r>
  <r>
    <x v="13"/>
    <x v="3"/>
    <x v="6"/>
    <n v="49613.22"/>
    <n v="46843.72"/>
    <n v="26.81"/>
    <n v="1153.46"/>
    <x v="2929"/>
    <x v="1"/>
  </r>
  <r>
    <x v="1"/>
    <x v="4"/>
    <x v="7"/>
    <n v="26859.4"/>
    <n v="29195.08"/>
    <n v="25.05"/>
    <n v="359.62"/>
    <x v="2930"/>
    <x v="0"/>
  </r>
  <r>
    <x v="17"/>
    <x v="5"/>
    <x v="6"/>
    <n v="22320.32"/>
    <n v="20365.11"/>
    <n v="55.19"/>
    <n v="1067.05"/>
    <x v="2931"/>
    <x v="0"/>
  </r>
  <r>
    <x v="7"/>
    <x v="0"/>
    <x v="3"/>
    <n v="43418.37"/>
    <n v="41361.56"/>
    <n v="31.03"/>
    <n v="932.7"/>
    <x v="2932"/>
    <x v="0"/>
  </r>
  <r>
    <x v="5"/>
    <x v="6"/>
    <x v="2"/>
    <n v="45780.62"/>
    <n v="37679.379999999997"/>
    <n v="187.29"/>
    <n v="699.33"/>
    <x v="2933"/>
    <x v="0"/>
  </r>
  <r>
    <x v="14"/>
    <x v="5"/>
    <x v="5"/>
    <n v="9734.18"/>
    <n v="8780.23"/>
    <n v="108.76"/>
    <n v="58.47"/>
    <x v="2934"/>
    <x v="0"/>
  </r>
  <r>
    <x v="6"/>
    <x v="4"/>
    <x v="7"/>
    <n v="43243.64"/>
    <n v="49943.72"/>
    <n v="75.39"/>
    <n v="363.02"/>
    <x v="2935"/>
    <x v="0"/>
  </r>
  <r>
    <x v="13"/>
    <x v="3"/>
    <x v="6"/>
    <n v="44565.93"/>
    <n v="47755.8"/>
    <n v="72.83"/>
    <n v="1054.08"/>
    <x v="2936"/>
    <x v="1"/>
  </r>
  <r>
    <x v="3"/>
    <x v="5"/>
    <x v="0"/>
    <n v="25913.16"/>
    <n v="23194.87"/>
    <n v="38.130000000000003"/>
    <n v="334.68"/>
    <x v="2937"/>
    <x v="0"/>
  </r>
  <r>
    <x v="4"/>
    <x v="6"/>
    <x v="5"/>
    <n v="2481.46"/>
    <n v="2685.54"/>
    <n v="111.61"/>
    <n v="942.58"/>
    <x v="2938"/>
    <x v="0"/>
  </r>
  <r>
    <x v="16"/>
    <x v="0"/>
    <x v="4"/>
    <n v="42435.87"/>
    <n v="40886.9"/>
    <n v="78.010000000000005"/>
    <n v="720.74"/>
    <x v="2939"/>
    <x v="0"/>
  </r>
  <r>
    <x v="4"/>
    <x v="1"/>
    <x v="4"/>
    <n v="25569.5"/>
    <n v="25134.78"/>
    <n v="169.4"/>
    <n v="548.21"/>
    <x v="2940"/>
    <x v="1"/>
  </r>
  <r>
    <x v="14"/>
    <x v="6"/>
    <x v="1"/>
    <n v="7255.6"/>
    <n v="6461.96"/>
    <n v="199.92"/>
    <n v="1073.03"/>
    <x v="2941"/>
    <x v="0"/>
  </r>
  <r>
    <x v="1"/>
    <x v="2"/>
    <x v="3"/>
    <n v="32493.37"/>
    <n v="35980.75"/>
    <n v="160.15"/>
    <n v="622.32000000000005"/>
    <x v="2942"/>
    <x v="1"/>
  </r>
  <r>
    <x v="11"/>
    <x v="4"/>
    <x v="4"/>
    <n v="27104.73"/>
    <n v="31850.55"/>
    <n v="75.19"/>
    <n v="477.32"/>
    <x v="2943"/>
    <x v="0"/>
  </r>
  <r>
    <x v="7"/>
    <x v="1"/>
    <x v="1"/>
    <n v="30807.18"/>
    <n v="32697.62"/>
    <n v="40.46"/>
    <n v="162.26"/>
    <x v="2944"/>
    <x v="1"/>
  </r>
  <r>
    <x v="0"/>
    <x v="1"/>
    <x v="4"/>
    <n v="21556.95"/>
    <n v="17602.2"/>
    <n v="113.88"/>
    <n v="1306.53"/>
    <x v="2945"/>
    <x v="1"/>
  </r>
  <r>
    <x v="0"/>
    <x v="5"/>
    <x v="4"/>
    <n v="8916.92"/>
    <n v="9679.0400000000009"/>
    <n v="80.47"/>
    <n v="245.57"/>
    <x v="2946"/>
    <x v="0"/>
  </r>
  <r>
    <x v="7"/>
    <x v="6"/>
    <x v="6"/>
    <n v="6310.27"/>
    <n v="5512.32"/>
    <n v="172.04"/>
    <n v="552.69000000000005"/>
    <x v="2947"/>
    <x v="0"/>
  </r>
  <r>
    <x v="15"/>
    <x v="0"/>
    <x v="0"/>
    <n v="28520.18"/>
    <n v="33025.24"/>
    <n v="42.42"/>
    <n v="224.65"/>
    <x v="2948"/>
    <x v="0"/>
  </r>
  <r>
    <x v="6"/>
    <x v="2"/>
    <x v="6"/>
    <n v="17989.88"/>
    <n v="17023.509999999998"/>
    <n v="180.2"/>
    <n v="15.55"/>
    <x v="2949"/>
    <x v="1"/>
  </r>
  <r>
    <x v="0"/>
    <x v="3"/>
    <x v="1"/>
    <n v="25202.25"/>
    <n v="29278.35"/>
    <n v="176.6"/>
    <n v="667.61"/>
    <x v="2950"/>
    <x v="1"/>
  </r>
  <r>
    <x v="13"/>
    <x v="6"/>
    <x v="3"/>
    <n v="29670.36"/>
    <n v="33305.83"/>
    <n v="99.91"/>
    <n v="185.7"/>
    <x v="2951"/>
    <x v="0"/>
  </r>
  <r>
    <x v="6"/>
    <x v="2"/>
    <x v="7"/>
    <n v="7147.31"/>
    <n v="5759.76"/>
    <n v="194.18"/>
    <n v="879.39"/>
    <x v="2952"/>
    <x v="1"/>
  </r>
  <r>
    <x v="10"/>
    <x v="0"/>
    <x v="3"/>
    <n v="34055.32"/>
    <n v="38608.82"/>
    <n v="179.23"/>
    <n v="370.54"/>
    <x v="2953"/>
    <x v="0"/>
  </r>
  <r>
    <x v="18"/>
    <x v="0"/>
    <x v="5"/>
    <n v="7185.99"/>
    <n v="7264.93"/>
    <n v="76.95"/>
    <n v="263.38"/>
    <x v="2954"/>
    <x v="0"/>
  </r>
  <r>
    <x v="18"/>
    <x v="4"/>
    <x v="6"/>
    <n v="48859.360000000001"/>
    <n v="56724.15"/>
    <n v="187.14"/>
    <n v="1136.76"/>
    <x v="2955"/>
    <x v="0"/>
  </r>
  <r>
    <x v="6"/>
    <x v="2"/>
    <x v="2"/>
    <n v="35346.01"/>
    <n v="35164.239999999998"/>
    <n v="90.3"/>
    <n v="1377.34"/>
    <x v="2956"/>
    <x v="1"/>
  </r>
  <r>
    <x v="3"/>
    <x v="4"/>
    <x v="2"/>
    <n v="10007.19"/>
    <n v="9219.1200000000008"/>
    <n v="160.53"/>
    <n v="649.41999999999996"/>
    <x v="2957"/>
    <x v="0"/>
  </r>
  <r>
    <x v="13"/>
    <x v="5"/>
    <x v="3"/>
    <n v="29697.38"/>
    <n v="30150.49"/>
    <n v="82.29"/>
    <n v="501.97"/>
    <x v="2958"/>
    <x v="0"/>
  </r>
  <r>
    <x v="14"/>
    <x v="1"/>
    <x v="1"/>
    <n v="6200.24"/>
    <n v="5526.87"/>
    <n v="136.68"/>
    <n v="143.32"/>
    <x v="2959"/>
    <x v="1"/>
  </r>
  <r>
    <x v="11"/>
    <x v="1"/>
    <x v="0"/>
    <n v="16504.060000000001"/>
    <n v="19657.419999999998"/>
    <n v="94.68"/>
    <n v="399.1"/>
    <x v="2960"/>
    <x v="1"/>
  </r>
  <r>
    <x v="15"/>
    <x v="5"/>
    <x v="2"/>
    <n v="2843.54"/>
    <n v="2454.58"/>
    <n v="146.99"/>
    <n v="320.19"/>
    <x v="2961"/>
    <x v="0"/>
  </r>
  <r>
    <x v="13"/>
    <x v="6"/>
    <x v="6"/>
    <n v="48691.65"/>
    <n v="57588.73"/>
    <n v="185.46"/>
    <n v="882.71"/>
    <x v="2962"/>
    <x v="0"/>
  </r>
  <r>
    <x v="12"/>
    <x v="6"/>
    <x v="4"/>
    <n v="33631.629999999997"/>
    <n v="36002.75"/>
    <n v="113.46"/>
    <n v="120.13"/>
    <x v="2963"/>
    <x v="0"/>
  </r>
  <r>
    <x v="10"/>
    <x v="3"/>
    <x v="3"/>
    <n v="46185.83"/>
    <n v="39504.32"/>
    <n v="107.27"/>
    <n v="354.55"/>
    <x v="2964"/>
    <x v="1"/>
  </r>
  <r>
    <x v="19"/>
    <x v="4"/>
    <x v="6"/>
    <n v="21066.639999999999"/>
    <n v="24307.74"/>
    <n v="96.16"/>
    <n v="529.36"/>
    <x v="2965"/>
    <x v="0"/>
  </r>
  <r>
    <x v="16"/>
    <x v="5"/>
    <x v="5"/>
    <n v="2674.74"/>
    <n v="2299.71"/>
    <n v="187.96"/>
    <n v="203.4"/>
    <x v="2966"/>
    <x v="0"/>
  </r>
  <r>
    <x v="3"/>
    <x v="0"/>
    <x v="5"/>
    <n v="27982"/>
    <n v="32084.97"/>
    <n v="178.54"/>
    <n v="1146.48"/>
    <x v="2967"/>
    <x v="0"/>
  </r>
  <r>
    <x v="17"/>
    <x v="5"/>
    <x v="2"/>
    <n v="33623.86"/>
    <n v="33512.379999999997"/>
    <n v="174.02"/>
    <n v="1153.75"/>
    <x v="2968"/>
    <x v="0"/>
  </r>
  <r>
    <x v="2"/>
    <x v="5"/>
    <x v="2"/>
    <n v="24941.91"/>
    <n v="20249.38"/>
    <n v="158.91"/>
    <n v="933.58"/>
    <x v="2969"/>
    <x v="0"/>
  </r>
  <r>
    <x v="0"/>
    <x v="5"/>
    <x v="3"/>
    <n v="12405.33"/>
    <n v="13142.13"/>
    <n v="59.4"/>
    <n v="1239.9000000000001"/>
    <x v="2970"/>
    <x v="0"/>
  </r>
  <r>
    <x v="19"/>
    <x v="0"/>
    <x v="2"/>
    <n v="45237.82"/>
    <n v="49190.19"/>
    <n v="33.78"/>
    <n v="226.82"/>
    <x v="2971"/>
    <x v="0"/>
  </r>
  <r>
    <x v="15"/>
    <x v="2"/>
    <x v="3"/>
    <n v="20826.12"/>
    <n v="20816.3"/>
    <n v="136.16"/>
    <n v="989.19"/>
    <x v="2972"/>
    <x v="1"/>
  </r>
  <r>
    <x v="10"/>
    <x v="5"/>
    <x v="6"/>
    <n v="8944.2000000000007"/>
    <n v="9404.59"/>
    <n v="48.78"/>
    <n v="372.45"/>
    <x v="2973"/>
    <x v="0"/>
  </r>
  <r>
    <x v="2"/>
    <x v="0"/>
    <x v="5"/>
    <n v="32296.3"/>
    <n v="37517.449999999997"/>
    <n v="56.59"/>
    <n v="943.81"/>
    <x v="2974"/>
    <x v="0"/>
  </r>
  <r>
    <x v="3"/>
    <x v="4"/>
    <x v="3"/>
    <n v="48063.97"/>
    <n v="39293.839999999997"/>
    <n v="86.51"/>
    <n v="1376.28"/>
    <x v="2975"/>
    <x v="0"/>
  </r>
  <r>
    <x v="2"/>
    <x v="5"/>
    <x v="2"/>
    <n v="33109.800000000003"/>
    <n v="32144.58"/>
    <n v="58.24"/>
    <n v="861.14"/>
    <x v="2976"/>
    <x v="0"/>
  </r>
  <r>
    <x v="16"/>
    <x v="4"/>
    <x v="3"/>
    <n v="6120.34"/>
    <n v="5373.61"/>
    <n v="83.65"/>
    <n v="134.84"/>
    <x v="2977"/>
    <x v="0"/>
  </r>
  <r>
    <x v="1"/>
    <x v="2"/>
    <x v="2"/>
    <n v="35731.26"/>
    <n v="35463.589999999997"/>
    <n v="57.22"/>
    <n v="1027.3599999999999"/>
    <x v="2978"/>
    <x v="1"/>
  </r>
  <r>
    <x v="7"/>
    <x v="0"/>
    <x v="5"/>
    <n v="23127.16"/>
    <n v="21575.07"/>
    <n v="29.74"/>
    <n v="670.3"/>
    <x v="2979"/>
    <x v="0"/>
  </r>
  <r>
    <x v="18"/>
    <x v="0"/>
    <x v="5"/>
    <n v="7977.2"/>
    <n v="9115.08"/>
    <n v="29.66"/>
    <n v="920.91"/>
    <x v="2980"/>
    <x v="0"/>
  </r>
  <r>
    <x v="5"/>
    <x v="3"/>
    <x v="6"/>
    <n v="27479.16"/>
    <n v="26256.31"/>
    <n v="114.44"/>
    <n v="1205.01"/>
    <x v="2981"/>
    <x v="1"/>
  </r>
  <r>
    <x v="3"/>
    <x v="2"/>
    <x v="1"/>
    <n v="8866.77"/>
    <n v="9231.98"/>
    <n v="29.46"/>
    <n v="138.08000000000001"/>
    <x v="2982"/>
    <x v="1"/>
  </r>
  <r>
    <x v="18"/>
    <x v="3"/>
    <x v="2"/>
    <n v="18881.04"/>
    <n v="15728.72"/>
    <n v="192.86"/>
    <n v="716.36"/>
    <x v="2983"/>
    <x v="1"/>
  </r>
  <r>
    <x v="10"/>
    <x v="5"/>
    <x v="5"/>
    <n v="10519.7"/>
    <n v="11552.04"/>
    <n v="86.94"/>
    <n v="1290.4100000000001"/>
    <x v="2984"/>
    <x v="0"/>
  </r>
  <r>
    <x v="18"/>
    <x v="1"/>
    <x v="1"/>
    <n v="31479.34"/>
    <n v="31546.7"/>
    <n v="150.02000000000001"/>
    <n v="1004.63"/>
    <x v="2985"/>
    <x v="1"/>
  </r>
  <r>
    <x v="2"/>
    <x v="3"/>
    <x v="7"/>
    <n v="24173.46"/>
    <n v="26831.34"/>
    <n v="149.30000000000001"/>
    <n v="1128.76"/>
    <x v="2986"/>
    <x v="1"/>
  </r>
  <r>
    <x v="13"/>
    <x v="6"/>
    <x v="4"/>
    <n v="40293.17"/>
    <n v="33000.050000000003"/>
    <n v="157.18"/>
    <n v="92.35"/>
    <x v="2987"/>
    <x v="0"/>
  </r>
  <r>
    <x v="18"/>
    <x v="0"/>
    <x v="1"/>
    <n v="36788.400000000001"/>
    <n v="31170.63"/>
    <n v="173.62"/>
    <n v="1071.79"/>
    <x v="2988"/>
    <x v="0"/>
  </r>
  <r>
    <x v="1"/>
    <x v="6"/>
    <x v="0"/>
    <n v="31399.46"/>
    <n v="29429.68"/>
    <n v="184.81"/>
    <n v="1186.48"/>
    <x v="2989"/>
    <x v="0"/>
  </r>
  <r>
    <x v="11"/>
    <x v="3"/>
    <x v="2"/>
    <n v="12250.67"/>
    <n v="14096.2"/>
    <n v="167.43"/>
    <n v="278.51"/>
    <x v="2990"/>
    <x v="1"/>
  </r>
  <r>
    <x v="4"/>
    <x v="6"/>
    <x v="1"/>
    <n v="47406.66"/>
    <n v="53491.73"/>
    <n v="71.599999999999994"/>
    <n v="1360.3"/>
    <x v="2991"/>
    <x v="0"/>
  </r>
  <r>
    <x v="13"/>
    <x v="5"/>
    <x v="1"/>
    <n v="10710.2"/>
    <n v="10415.56"/>
    <n v="94.92"/>
    <n v="1374.43"/>
    <x v="2992"/>
    <x v="0"/>
  </r>
  <r>
    <x v="14"/>
    <x v="5"/>
    <x v="5"/>
    <n v="34105.56"/>
    <n v="30801.599999999999"/>
    <n v="119.78"/>
    <n v="659.98"/>
    <x v="2993"/>
    <x v="0"/>
  </r>
  <r>
    <x v="3"/>
    <x v="1"/>
    <x v="4"/>
    <n v="24035.89"/>
    <n v="24015.47"/>
    <n v="63.73"/>
    <n v="272.60000000000002"/>
    <x v="2994"/>
    <x v="1"/>
  </r>
  <r>
    <x v="10"/>
    <x v="2"/>
    <x v="1"/>
    <n v="10507.84"/>
    <n v="12067.43"/>
    <n v="24.39"/>
    <n v="348.6"/>
    <x v="2995"/>
    <x v="1"/>
  </r>
  <r>
    <x v="14"/>
    <x v="3"/>
    <x v="2"/>
    <n v="35501.26"/>
    <n v="37451.089999999997"/>
    <n v="113.41"/>
    <n v="839.1"/>
    <x v="2996"/>
    <x v="1"/>
  </r>
  <r>
    <x v="4"/>
    <x v="2"/>
    <x v="4"/>
    <n v="31682.22"/>
    <n v="34419.230000000003"/>
    <n v="125.04"/>
    <n v="515.79"/>
    <x v="2997"/>
    <x v="1"/>
  </r>
  <r>
    <x v="2"/>
    <x v="0"/>
    <x v="1"/>
    <n v="18780.16"/>
    <n v="17208.3"/>
    <n v="174.68"/>
    <n v="708.17"/>
    <x v="2998"/>
    <x v="0"/>
  </r>
  <r>
    <x v="14"/>
    <x v="3"/>
    <x v="4"/>
    <n v="28795.119999999999"/>
    <n v="30722.18"/>
    <n v="28.34"/>
    <n v="1105.68"/>
    <x v="2999"/>
    <x v="1"/>
  </r>
  <r>
    <x v="12"/>
    <x v="4"/>
    <x v="5"/>
    <n v="6350.33"/>
    <n v="7015.94"/>
    <n v="36.53"/>
    <n v="34.01"/>
    <x v="3000"/>
    <x v="0"/>
  </r>
  <r>
    <x v="17"/>
    <x v="6"/>
    <x v="3"/>
    <n v="49280.34"/>
    <n v="44077.42"/>
    <n v="70.19"/>
    <n v="250.81"/>
    <x v="3001"/>
    <x v="0"/>
  </r>
  <r>
    <x v="4"/>
    <x v="0"/>
    <x v="3"/>
    <n v="16912.95"/>
    <n v="16797.060000000001"/>
    <n v="184.47"/>
    <n v="285.97000000000003"/>
    <x v="3002"/>
    <x v="0"/>
  </r>
  <r>
    <x v="3"/>
    <x v="2"/>
    <x v="6"/>
    <n v="49544.47"/>
    <n v="53191.19"/>
    <n v="22.54"/>
    <n v="791.14"/>
    <x v="3003"/>
    <x v="1"/>
  </r>
  <r>
    <x v="17"/>
    <x v="3"/>
    <x v="7"/>
    <n v="6164.64"/>
    <n v="6301.18"/>
    <n v="141.44"/>
    <n v="1346.58"/>
    <x v="3004"/>
    <x v="1"/>
  </r>
  <r>
    <x v="8"/>
    <x v="2"/>
    <x v="1"/>
    <n v="17583.7"/>
    <n v="14602.34"/>
    <n v="83.05"/>
    <n v="685.5"/>
    <x v="3005"/>
    <x v="1"/>
  </r>
  <r>
    <x v="17"/>
    <x v="3"/>
    <x v="2"/>
    <n v="39583.18"/>
    <n v="43098.3"/>
    <n v="112.77"/>
    <n v="991.16"/>
    <x v="3006"/>
    <x v="1"/>
  </r>
  <r>
    <x v="9"/>
    <x v="3"/>
    <x v="4"/>
    <n v="19152.45"/>
    <n v="15679.6"/>
    <n v="136.22999999999999"/>
    <n v="179.83"/>
    <x v="3007"/>
    <x v="1"/>
  </r>
  <r>
    <x v="7"/>
    <x v="6"/>
    <x v="7"/>
    <n v="24305.31"/>
    <n v="24948"/>
    <n v="122.76"/>
    <n v="131.83000000000001"/>
    <x v="3008"/>
    <x v="0"/>
  </r>
  <r>
    <x v="8"/>
    <x v="2"/>
    <x v="7"/>
    <n v="43549.61"/>
    <n v="39176.19"/>
    <n v="122.33"/>
    <n v="1110.6099999999999"/>
    <x v="3009"/>
    <x v="1"/>
  </r>
  <r>
    <x v="9"/>
    <x v="5"/>
    <x v="7"/>
    <n v="18752.86"/>
    <n v="18157.59"/>
    <n v="34.369999999999997"/>
    <n v="687.19"/>
    <x v="3010"/>
    <x v="0"/>
  </r>
  <r>
    <x v="18"/>
    <x v="1"/>
    <x v="2"/>
    <n v="39056.71"/>
    <n v="46470.62"/>
    <n v="94.79"/>
    <n v="1292.74"/>
    <x v="3011"/>
    <x v="1"/>
  </r>
  <r>
    <x v="15"/>
    <x v="0"/>
    <x v="5"/>
    <n v="13212.92"/>
    <n v="14761.67"/>
    <n v="84.85"/>
    <n v="1127.6199999999999"/>
    <x v="3012"/>
    <x v="0"/>
  </r>
  <r>
    <x v="1"/>
    <x v="1"/>
    <x v="5"/>
    <n v="12214.35"/>
    <n v="12612.64"/>
    <n v="69.67"/>
    <n v="393.64"/>
    <x v="3013"/>
    <x v="1"/>
  </r>
  <r>
    <x v="3"/>
    <x v="3"/>
    <x v="4"/>
    <n v="19377.14"/>
    <n v="21240.560000000001"/>
    <n v="42.61"/>
    <n v="624.77"/>
    <x v="3014"/>
    <x v="1"/>
  </r>
  <r>
    <x v="15"/>
    <x v="3"/>
    <x v="6"/>
    <n v="28618.26"/>
    <n v="32690.25"/>
    <n v="167.11"/>
    <n v="956.93"/>
    <x v="3015"/>
    <x v="1"/>
  </r>
  <r>
    <x v="14"/>
    <x v="5"/>
    <x v="1"/>
    <n v="24849.69"/>
    <n v="27043.72"/>
    <n v="132.5"/>
    <n v="882.12"/>
    <x v="3016"/>
    <x v="0"/>
  </r>
  <r>
    <x v="3"/>
    <x v="0"/>
    <x v="5"/>
    <n v="37869.32"/>
    <n v="35912.22"/>
    <n v="110.44"/>
    <n v="345.33"/>
    <x v="3017"/>
    <x v="0"/>
  </r>
  <r>
    <x v="6"/>
    <x v="4"/>
    <x v="1"/>
    <n v="16509.39"/>
    <n v="17572.509999999998"/>
    <n v="24.01"/>
    <n v="893.33"/>
    <x v="3018"/>
    <x v="0"/>
  </r>
  <r>
    <x v="0"/>
    <x v="4"/>
    <x v="2"/>
    <n v="31983.919999999998"/>
    <n v="26673.23"/>
    <n v="189.9"/>
    <n v="951.51"/>
    <x v="3019"/>
    <x v="0"/>
  </r>
  <r>
    <x v="14"/>
    <x v="6"/>
    <x v="5"/>
    <n v="41944.46"/>
    <n v="44101.79"/>
    <n v="197.72"/>
    <n v="1039.46"/>
    <x v="3020"/>
    <x v="0"/>
  </r>
  <r>
    <x v="4"/>
    <x v="4"/>
    <x v="7"/>
    <n v="27317.9"/>
    <n v="27416.93"/>
    <n v="97.26"/>
    <n v="168.05"/>
    <x v="3021"/>
    <x v="0"/>
  </r>
  <r>
    <x v="3"/>
    <x v="5"/>
    <x v="0"/>
    <n v="16272.92"/>
    <n v="13871.08"/>
    <n v="68.44"/>
    <n v="834.8"/>
    <x v="3022"/>
    <x v="0"/>
  </r>
  <r>
    <x v="13"/>
    <x v="0"/>
    <x v="1"/>
    <n v="18165.75"/>
    <n v="20967"/>
    <n v="117.95"/>
    <n v="720.22"/>
    <x v="3023"/>
    <x v="0"/>
  </r>
  <r>
    <x v="5"/>
    <x v="4"/>
    <x v="2"/>
    <n v="49651.71"/>
    <n v="45493.82"/>
    <n v="128.16"/>
    <n v="539.92999999999995"/>
    <x v="3024"/>
    <x v="0"/>
  </r>
  <r>
    <x v="7"/>
    <x v="5"/>
    <x v="1"/>
    <n v="25968.3"/>
    <n v="28645.91"/>
    <n v="122.03"/>
    <n v="954.54"/>
    <x v="3025"/>
    <x v="0"/>
  </r>
  <r>
    <x v="13"/>
    <x v="1"/>
    <x v="7"/>
    <n v="4975.04"/>
    <n v="4138.17"/>
    <n v="69.22"/>
    <n v="234.27"/>
    <x v="3026"/>
    <x v="1"/>
  </r>
  <r>
    <x v="6"/>
    <x v="2"/>
    <x v="7"/>
    <n v="16276.69"/>
    <n v="16703.509999999998"/>
    <n v="183.68"/>
    <n v="1011.68"/>
    <x v="3027"/>
    <x v="1"/>
  </r>
  <r>
    <x v="4"/>
    <x v="6"/>
    <x v="3"/>
    <n v="39838.370000000003"/>
    <n v="40364.980000000003"/>
    <n v="123.76"/>
    <n v="1347.18"/>
    <x v="3028"/>
    <x v="0"/>
  </r>
  <r>
    <x v="4"/>
    <x v="3"/>
    <x v="1"/>
    <n v="16319.38"/>
    <n v="16600.71"/>
    <n v="155.21"/>
    <n v="123.64"/>
    <x v="3029"/>
    <x v="1"/>
  </r>
  <r>
    <x v="4"/>
    <x v="3"/>
    <x v="7"/>
    <n v="13490.82"/>
    <n v="10997.21"/>
    <n v="48.18"/>
    <n v="45.98"/>
    <x v="3030"/>
    <x v="1"/>
  </r>
  <r>
    <x v="18"/>
    <x v="4"/>
    <x v="3"/>
    <n v="11960.04"/>
    <n v="13749.13"/>
    <n v="109.81"/>
    <n v="877.79"/>
    <x v="3031"/>
    <x v="0"/>
  </r>
  <r>
    <x v="5"/>
    <x v="3"/>
    <x v="2"/>
    <n v="9885.2800000000007"/>
    <n v="10090"/>
    <n v="193.59"/>
    <n v="155.88999999999999"/>
    <x v="3032"/>
    <x v="1"/>
  </r>
  <r>
    <x v="19"/>
    <x v="0"/>
    <x v="7"/>
    <n v="8716"/>
    <n v="9644.6299999999992"/>
    <n v="72.92"/>
    <n v="179.8"/>
    <x v="3033"/>
    <x v="0"/>
  </r>
  <r>
    <x v="12"/>
    <x v="6"/>
    <x v="5"/>
    <n v="22751.56"/>
    <n v="25813.94"/>
    <n v="111.67"/>
    <n v="510.56"/>
    <x v="3034"/>
    <x v="0"/>
  </r>
  <r>
    <x v="7"/>
    <x v="1"/>
    <x v="5"/>
    <n v="37858.74"/>
    <n v="34972.42"/>
    <n v="78.05"/>
    <n v="486.42"/>
    <x v="3035"/>
    <x v="1"/>
  </r>
  <r>
    <x v="19"/>
    <x v="1"/>
    <x v="5"/>
    <n v="29974.31"/>
    <n v="32496.03"/>
    <n v="65.290000000000006"/>
    <n v="1100.6300000000001"/>
    <x v="3036"/>
    <x v="1"/>
  </r>
  <r>
    <x v="7"/>
    <x v="2"/>
    <x v="5"/>
    <n v="20302.189999999999"/>
    <n v="20223.89"/>
    <n v="185.02"/>
    <n v="232.09"/>
    <x v="3037"/>
    <x v="1"/>
  </r>
  <r>
    <x v="6"/>
    <x v="1"/>
    <x v="6"/>
    <n v="49337.57"/>
    <n v="42934.92"/>
    <n v="103.54"/>
    <n v="482.65"/>
    <x v="3038"/>
    <x v="1"/>
  </r>
  <r>
    <x v="12"/>
    <x v="2"/>
    <x v="7"/>
    <n v="47373.36"/>
    <n v="55692.26"/>
    <n v="129.24"/>
    <n v="1101.3"/>
    <x v="3039"/>
    <x v="1"/>
  </r>
  <r>
    <x v="9"/>
    <x v="0"/>
    <x v="7"/>
    <n v="41505.08"/>
    <n v="33845.07"/>
    <n v="112.04"/>
    <n v="280.11"/>
    <x v="3040"/>
    <x v="0"/>
  </r>
  <r>
    <x v="7"/>
    <x v="4"/>
    <x v="3"/>
    <n v="45114.16"/>
    <n v="44709.61"/>
    <n v="188.62"/>
    <n v="319.85000000000002"/>
    <x v="3041"/>
    <x v="0"/>
  </r>
  <r>
    <x v="19"/>
    <x v="1"/>
    <x v="3"/>
    <n v="3762.04"/>
    <n v="3618.29"/>
    <n v="27.4"/>
    <n v="996.2"/>
    <x v="3042"/>
    <x v="1"/>
  </r>
  <r>
    <x v="6"/>
    <x v="5"/>
    <x v="2"/>
    <n v="5891.72"/>
    <n v="4807.38"/>
    <n v="190.78"/>
    <n v="290.39"/>
    <x v="3043"/>
    <x v="0"/>
  </r>
  <r>
    <x v="15"/>
    <x v="4"/>
    <x v="6"/>
    <n v="35181.49"/>
    <n v="38177.300000000003"/>
    <n v="179.61"/>
    <n v="1179.74"/>
    <x v="3044"/>
    <x v="0"/>
  </r>
  <r>
    <x v="2"/>
    <x v="2"/>
    <x v="3"/>
    <n v="21340.53"/>
    <n v="18787.62"/>
    <n v="120.91"/>
    <n v="1203.98"/>
    <x v="3045"/>
    <x v="1"/>
  </r>
  <r>
    <x v="9"/>
    <x v="0"/>
    <x v="6"/>
    <n v="34377.17"/>
    <n v="29072.21"/>
    <n v="140.08000000000001"/>
    <n v="984.11"/>
    <x v="3046"/>
    <x v="0"/>
  </r>
  <r>
    <x v="7"/>
    <x v="0"/>
    <x v="5"/>
    <n v="11916.64"/>
    <n v="13349.45"/>
    <n v="62.28"/>
    <n v="928.96"/>
    <x v="3047"/>
    <x v="0"/>
  </r>
  <r>
    <x v="17"/>
    <x v="3"/>
    <x v="4"/>
    <n v="6094.39"/>
    <n v="6039.23"/>
    <n v="81.14"/>
    <n v="1340.57"/>
    <x v="3048"/>
    <x v="1"/>
  </r>
  <r>
    <x v="12"/>
    <x v="5"/>
    <x v="0"/>
    <n v="45815.53"/>
    <n v="37369.25"/>
    <n v="120.55"/>
    <n v="836.54"/>
    <x v="3049"/>
    <x v="0"/>
  </r>
  <r>
    <x v="17"/>
    <x v="3"/>
    <x v="1"/>
    <n v="35196.99"/>
    <n v="41710.61"/>
    <n v="40.340000000000003"/>
    <n v="1186.18"/>
    <x v="3050"/>
    <x v="1"/>
  </r>
  <r>
    <x v="1"/>
    <x v="0"/>
    <x v="0"/>
    <n v="15082.95"/>
    <n v="15797.78"/>
    <n v="101.96"/>
    <n v="1211.83"/>
    <x v="3051"/>
    <x v="0"/>
  </r>
  <r>
    <x v="3"/>
    <x v="1"/>
    <x v="4"/>
    <n v="21473.25"/>
    <n v="19444.45"/>
    <n v="80"/>
    <n v="1222.1600000000001"/>
    <x v="3052"/>
    <x v="1"/>
  </r>
  <r>
    <x v="2"/>
    <x v="2"/>
    <x v="0"/>
    <n v="32504.2"/>
    <n v="30432.43"/>
    <n v="67.400000000000006"/>
    <n v="1350.33"/>
    <x v="3053"/>
    <x v="1"/>
  </r>
  <r>
    <x v="5"/>
    <x v="2"/>
    <x v="7"/>
    <n v="12727.7"/>
    <n v="11221.47"/>
    <n v="130.86000000000001"/>
    <n v="459.11"/>
    <x v="3054"/>
    <x v="1"/>
  </r>
  <r>
    <x v="9"/>
    <x v="2"/>
    <x v="7"/>
    <n v="26305.75"/>
    <n v="30688.14"/>
    <n v="128.15"/>
    <n v="1090.6400000000001"/>
    <x v="3055"/>
    <x v="1"/>
  </r>
  <r>
    <x v="5"/>
    <x v="4"/>
    <x v="5"/>
    <n v="20388.48"/>
    <n v="17369.439999999999"/>
    <n v="195.85"/>
    <n v="904.06"/>
    <x v="3056"/>
    <x v="0"/>
  </r>
  <r>
    <x v="4"/>
    <x v="5"/>
    <x v="3"/>
    <n v="28904.71"/>
    <n v="30930.87"/>
    <n v="107.79"/>
    <n v="760.37"/>
    <x v="3057"/>
    <x v="0"/>
  </r>
  <r>
    <x v="17"/>
    <x v="5"/>
    <x v="2"/>
    <n v="40315.11"/>
    <n v="36359.56"/>
    <n v="142.44999999999999"/>
    <n v="784.4"/>
    <x v="3058"/>
    <x v="0"/>
  </r>
  <r>
    <x v="9"/>
    <x v="2"/>
    <x v="4"/>
    <n v="28762.81"/>
    <n v="23387.040000000001"/>
    <n v="76.73"/>
    <n v="769.09"/>
    <x v="3059"/>
    <x v="1"/>
  </r>
  <r>
    <x v="1"/>
    <x v="5"/>
    <x v="0"/>
    <n v="15460.27"/>
    <n v="13647.73"/>
    <n v="140.85"/>
    <n v="206.21"/>
    <x v="3060"/>
    <x v="0"/>
  </r>
  <r>
    <x v="10"/>
    <x v="1"/>
    <x v="2"/>
    <n v="14489.65"/>
    <n v="13756.34"/>
    <n v="141.69"/>
    <n v="282.11"/>
    <x v="3061"/>
    <x v="1"/>
  </r>
  <r>
    <x v="14"/>
    <x v="3"/>
    <x v="1"/>
    <n v="39062.57"/>
    <n v="37034.199999999997"/>
    <n v="50.69"/>
    <n v="263.79000000000002"/>
    <x v="3062"/>
    <x v="1"/>
  </r>
  <r>
    <x v="9"/>
    <x v="4"/>
    <x v="6"/>
    <n v="5427.23"/>
    <n v="4559.83"/>
    <n v="93.69"/>
    <n v="191.13"/>
    <x v="3063"/>
    <x v="0"/>
  </r>
  <r>
    <x v="9"/>
    <x v="2"/>
    <x v="3"/>
    <n v="16197.32"/>
    <n v="17595.57"/>
    <n v="117.11"/>
    <n v="506.79"/>
    <x v="3064"/>
    <x v="1"/>
  </r>
  <r>
    <x v="17"/>
    <x v="0"/>
    <x v="1"/>
    <n v="17168.32"/>
    <n v="16327.88"/>
    <n v="192.34"/>
    <n v="1355.95"/>
    <x v="3065"/>
    <x v="0"/>
  </r>
  <r>
    <x v="18"/>
    <x v="1"/>
    <x v="1"/>
    <n v="37844.67"/>
    <n v="39814.870000000003"/>
    <n v="130.72"/>
    <n v="20.03"/>
    <x v="3066"/>
    <x v="1"/>
  </r>
  <r>
    <x v="11"/>
    <x v="3"/>
    <x v="2"/>
    <n v="39141.040000000001"/>
    <n v="46408.66"/>
    <n v="102.53"/>
    <n v="1300.5999999999999"/>
    <x v="3067"/>
    <x v="1"/>
  </r>
  <r>
    <x v="3"/>
    <x v="4"/>
    <x v="1"/>
    <n v="21876.97"/>
    <n v="22063.37"/>
    <n v="191.86"/>
    <n v="899.78"/>
    <x v="3068"/>
    <x v="0"/>
  </r>
  <r>
    <x v="16"/>
    <x v="4"/>
    <x v="6"/>
    <n v="14020.05"/>
    <n v="16743.689999999999"/>
    <n v="135.13999999999999"/>
    <n v="1250.73"/>
    <x v="3069"/>
    <x v="0"/>
  </r>
  <r>
    <x v="10"/>
    <x v="2"/>
    <x v="1"/>
    <n v="25835.42"/>
    <n v="24080.3"/>
    <n v="166.84"/>
    <n v="74.73"/>
    <x v="3070"/>
    <x v="1"/>
  </r>
  <r>
    <x v="9"/>
    <x v="2"/>
    <x v="3"/>
    <n v="40308.129999999997"/>
    <n v="39763.46"/>
    <n v="129.72"/>
    <n v="1150.25"/>
    <x v="3071"/>
    <x v="1"/>
  </r>
  <r>
    <x v="3"/>
    <x v="2"/>
    <x v="4"/>
    <n v="17363.939999999999"/>
    <n v="20058.8"/>
    <n v="104.17"/>
    <n v="1356.41"/>
    <x v="3072"/>
    <x v="1"/>
  </r>
  <r>
    <x v="7"/>
    <x v="5"/>
    <x v="0"/>
    <n v="40699.85"/>
    <n v="42273.3"/>
    <n v="161.69"/>
    <n v="501.17"/>
    <x v="3073"/>
    <x v="0"/>
  </r>
  <r>
    <x v="19"/>
    <x v="4"/>
    <x v="1"/>
    <n v="27946.26"/>
    <n v="23796.9"/>
    <n v="160.12"/>
    <n v="1154.92"/>
    <x v="3074"/>
    <x v="0"/>
  </r>
  <r>
    <x v="3"/>
    <x v="6"/>
    <x v="4"/>
    <n v="18719"/>
    <n v="19006.64"/>
    <n v="43.65"/>
    <n v="326.61"/>
    <x v="3075"/>
    <x v="0"/>
  </r>
  <r>
    <x v="4"/>
    <x v="0"/>
    <x v="4"/>
    <n v="30726.13"/>
    <n v="33026.33"/>
    <n v="185.18"/>
    <n v="938.83"/>
    <x v="3076"/>
    <x v="0"/>
  </r>
  <r>
    <x v="9"/>
    <x v="4"/>
    <x v="1"/>
    <n v="40760.26"/>
    <n v="41849.72"/>
    <n v="177.83"/>
    <n v="154.79"/>
    <x v="3077"/>
    <x v="0"/>
  </r>
  <r>
    <x v="10"/>
    <x v="1"/>
    <x v="2"/>
    <n v="14117.53"/>
    <n v="12597.16"/>
    <n v="159.80000000000001"/>
    <n v="406.27"/>
    <x v="3078"/>
    <x v="1"/>
  </r>
  <r>
    <x v="4"/>
    <x v="3"/>
    <x v="6"/>
    <n v="12982.7"/>
    <n v="13913.86"/>
    <n v="129.69999999999999"/>
    <n v="569.61"/>
    <x v="3079"/>
    <x v="1"/>
  </r>
  <r>
    <x v="10"/>
    <x v="3"/>
    <x v="1"/>
    <n v="29507.41"/>
    <n v="30625.79"/>
    <n v="89.02"/>
    <n v="601.24"/>
    <x v="3080"/>
    <x v="1"/>
  </r>
  <r>
    <x v="15"/>
    <x v="0"/>
    <x v="7"/>
    <n v="46860.24"/>
    <n v="47913.04"/>
    <n v="147.29"/>
    <n v="713.78"/>
    <x v="3081"/>
    <x v="0"/>
  </r>
  <r>
    <x v="9"/>
    <x v="3"/>
    <x v="5"/>
    <n v="1901.13"/>
    <n v="2239.79"/>
    <n v="42.76"/>
    <n v="453.7"/>
    <x v="3082"/>
    <x v="1"/>
  </r>
  <r>
    <x v="0"/>
    <x v="1"/>
    <x v="0"/>
    <n v="18067.07"/>
    <n v="16203.86"/>
    <n v="185.11"/>
    <n v="281.01"/>
    <x v="3083"/>
    <x v="1"/>
  </r>
  <r>
    <x v="6"/>
    <x v="2"/>
    <x v="3"/>
    <n v="10674.94"/>
    <n v="10306.219999999999"/>
    <n v="89.03"/>
    <n v="78.38"/>
    <x v="3084"/>
    <x v="1"/>
  </r>
  <r>
    <x v="0"/>
    <x v="2"/>
    <x v="7"/>
    <n v="19242.900000000001"/>
    <n v="19706.14"/>
    <n v="75.459999999999994"/>
    <n v="1021.61"/>
    <x v="3085"/>
    <x v="1"/>
  </r>
  <r>
    <x v="7"/>
    <x v="6"/>
    <x v="2"/>
    <n v="40875.35"/>
    <n v="48277.06"/>
    <n v="62.37"/>
    <n v="334.85"/>
    <x v="3086"/>
    <x v="0"/>
  </r>
  <r>
    <x v="5"/>
    <x v="4"/>
    <x v="1"/>
    <n v="37736.870000000003"/>
    <n v="33975.050000000003"/>
    <n v="127.75"/>
    <n v="1241.3"/>
    <x v="3087"/>
    <x v="0"/>
  </r>
  <r>
    <x v="8"/>
    <x v="6"/>
    <x v="2"/>
    <n v="25834.28"/>
    <n v="29660.46"/>
    <n v="88.18"/>
    <n v="323.58"/>
    <x v="3088"/>
    <x v="0"/>
  </r>
  <r>
    <x v="5"/>
    <x v="2"/>
    <x v="0"/>
    <n v="29295.27"/>
    <n v="24527.98"/>
    <n v="90.56"/>
    <n v="1391.16"/>
    <x v="3089"/>
    <x v="1"/>
  </r>
  <r>
    <x v="13"/>
    <x v="2"/>
    <x v="0"/>
    <n v="49990.76"/>
    <n v="42801.82"/>
    <n v="31.59"/>
    <n v="105.47"/>
    <x v="3090"/>
    <x v="1"/>
  </r>
  <r>
    <x v="10"/>
    <x v="5"/>
    <x v="3"/>
    <n v="25921.62"/>
    <n v="29082.33"/>
    <n v="34.54"/>
    <n v="1378.97"/>
    <x v="3091"/>
    <x v="0"/>
  </r>
  <r>
    <x v="12"/>
    <x v="3"/>
    <x v="5"/>
    <n v="28002.27"/>
    <n v="22590.63"/>
    <n v="49.68"/>
    <n v="604.04999999999995"/>
    <x v="3092"/>
    <x v="1"/>
  </r>
  <r>
    <x v="6"/>
    <x v="6"/>
    <x v="4"/>
    <n v="41774.54"/>
    <n v="47767.39"/>
    <n v="69.28"/>
    <n v="661.56"/>
    <x v="3093"/>
    <x v="0"/>
  </r>
  <r>
    <x v="3"/>
    <x v="4"/>
    <x v="7"/>
    <n v="7294.75"/>
    <n v="5873.03"/>
    <n v="152.25"/>
    <n v="80.099999999999994"/>
    <x v="3094"/>
    <x v="0"/>
  </r>
  <r>
    <x v="9"/>
    <x v="0"/>
    <x v="4"/>
    <n v="42159.48"/>
    <n v="36466.89"/>
    <n v="158.66999999999999"/>
    <n v="633.66999999999996"/>
    <x v="3095"/>
    <x v="0"/>
  </r>
  <r>
    <x v="10"/>
    <x v="0"/>
    <x v="7"/>
    <n v="33836.15"/>
    <n v="33239.919999999998"/>
    <n v="32.119999999999997"/>
    <n v="697.28"/>
    <x v="3096"/>
    <x v="0"/>
  </r>
  <r>
    <x v="3"/>
    <x v="6"/>
    <x v="0"/>
    <n v="10062.85"/>
    <n v="9142.6"/>
    <n v="127.62"/>
    <n v="256.67"/>
    <x v="3097"/>
    <x v="0"/>
  </r>
  <r>
    <x v="18"/>
    <x v="3"/>
    <x v="7"/>
    <n v="3942.39"/>
    <n v="3890.65"/>
    <n v="149.88"/>
    <n v="61.35"/>
    <x v="3098"/>
    <x v="1"/>
  </r>
  <r>
    <x v="19"/>
    <x v="3"/>
    <x v="4"/>
    <n v="41534.44"/>
    <n v="36355.89"/>
    <n v="61.84"/>
    <n v="1280.08"/>
    <x v="3099"/>
    <x v="1"/>
  </r>
  <r>
    <x v="15"/>
    <x v="3"/>
    <x v="0"/>
    <n v="40044.04"/>
    <n v="35715.51"/>
    <n v="111.75"/>
    <n v="130.38999999999999"/>
    <x v="3100"/>
    <x v="1"/>
  </r>
  <r>
    <x v="1"/>
    <x v="6"/>
    <x v="6"/>
    <n v="27026.05"/>
    <n v="24435.66"/>
    <n v="191.4"/>
    <n v="100.53"/>
    <x v="3101"/>
    <x v="0"/>
  </r>
  <r>
    <x v="19"/>
    <x v="3"/>
    <x v="3"/>
    <n v="18885.14"/>
    <n v="19560.38"/>
    <n v="115.2"/>
    <n v="294.63"/>
    <x v="3102"/>
    <x v="1"/>
  </r>
  <r>
    <x v="14"/>
    <x v="1"/>
    <x v="1"/>
    <n v="15312.77"/>
    <n v="13090.17"/>
    <n v="28.72"/>
    <n v="992.86"/>
    <x v="3103"/>
    <x v="1"/>
  </r>
  <r>
    <x v="5"/>
    <x v="2"/>
    <x v="4"/>
    <n v="34012.71"/>
    <n v="31826.080000000002"/>
    <n v="71.36"/>
    <n v="542.32000000000005"/>
    <x v="3104"/>
    <x v="1"/>
  </r>
  <r>
    <x v="18"/>
    <x v="3"/>
    <x v="5"/>
    <n v="42466.49"/>
    <n v="40712.080000000002"/>
    <n v="62.88"/>
    <n v="671.81"/>
    <x v="3105"/>
    <x v="1"/>
  </r>
  <r>
    <x v="9"/>
    <x v="1"/>
    <x v="2"/>
    <n v="12611.69"/>
    <n v="13049.41"/>
    <n v="137.25"/>
    <n v="638.69000000000005"/>
    <x v="3106"/>
    <x v="1"/>
  </r>
  <r>
    <x v="5"/>
    <x v="6"/>
    <x v="7"/>
    <n v="30582.77"/>
    <n v="29572.31"/>
    <n v="185"/>
    <n v="605.16"/>
    <x v="3107"/>
    <x v="0"/>
  </r>
  <r>
    <x v="3"/>
    <x v="5"/>
    <x v="1"/>
    <n v="32118.15"/>
    <n v="31259.27"/>
    <n v="148.47"/>
    <n v="854.64"/>
    <x v="3108"/>
    <x v="0"/>
  </r>
  <r>
    <x v="15"/>
    <x v="4"/>
    <x v="1"/>
    <n v="37422.06"/>
    <n v="36503.07"/>
    <n v="183.55"/>
    <n v="1236.07"/>
    <x v="3109"/>
    <x v="0"/>
  </r>
  <r>
    <x v="4"/>
    <x v="6"/>
    <x v="0"/>
    <n v="8609.89"/>
    <n v="9939.09"/>
    <n v="155.97"/>
    <n v="1184.98"/>
    <x v="3110"/>
    <x v="0"/>
  </r>
  <r>
    <x v="15"/>
    <x v="4"/>
    <x v="5"/>
    <n v="9303.75"/>
    <n v="9591.51"/>
    <n v="73.05"/>
    <n v="1284.6600000000001"/>
    <x v="3111"/>
    <x v="0"/>
  </r>
  <r>
    <x v="16"/>
    <x v="1"/>
    <x v="7"/>
    <n v="17391.900000000001"/>
    <n v="16126.72"/>
    <n v="114.09"/>
    <n v="221.61"/>
    <x v="3112"/>
    <x v="1"/>
  </r>
  <r>
    <x v="7"/>
    <x v="3"/>
    <x v="4"/>
    <n v="20928.259999999998"/>
    <n v="24655.67"/>
    <n v="184.88"/>
    <n v="713.52"/>
    <x v="3113"/>
    <x v="1"/>
  </r>
  <r>
    <x v="12"/>
    <x v="3"/>
    <x v="2"/>
    <n v="39133.39"/>
    <n v="40211.56"/>
    <n v="89.79"/>
    <n v="263.08999999999997"/>
    <x v="3114"/>
    <x v="1"/>
  </r>
  <r>
    <x v="19"/>
    <x v="4"/>
    <x v="4"/>
    <n v="24565.360000000001"/>
    <n v="29283.24"/>
    <n v="70.98"/>
    <n v="391.57"/>
    <x v="3115"/>
    <x v="0"/>
  </r>
  <r>
    <x v="8"/>
    <x v="1"/>
    <x v="5"/>
    <n v="45691.23"/>
    <n v="42724.89"/>
    <n v="185.1"/>
    <n v="1376.12"/>
    <x v="3116"/>
    <x v="1"/>
  </r>
  <r>
    <x v="6"/>
    <x v="2"/>
    <x v="1"/>
    <n v="2771.73"/>
    <n v="2709.71"/>
    <n v="137.36000000000001"/>
    <n v="806.38"/>
    <x v="3117"/>
    <x v="1"/>
  </r>
  <r>
    <x v="15"/>
    <x v="6"/>
    <x v="4"/>
    <n v="15465.35"/>
    <n v="18092.810000000001"/>
    <n v="153.96"/>
    <n v="74.06"/>
    <x v="3118"/>
    <x v="0"/>
  </r>
  <r>
    <x v="14"/>
    <x v="2"/>
    <x v="1"/>
    <n v="49852.33"/>
    <n v="49951.05"/>
    <n v="46.82"/>
    <n v="346.57"/>
    <x v="3119"/>
    <x v="1"/>
  </r>
  <r>
    <x v="11"/>
    <x v="6"/>
    <x v="7"/>
    <n v="6578.83"/>
    <n v="6321.95"/>
    <n v="71.849999999999994"/>
    <n v="190.85"/>
    <x v="3120"/>
    <x v="0"/>
  </r>
  <r>
    <x v="19"/>
    <x v="1"/>
    <x v="3"/>
    <n v="13364.72"/>
    <n v="12820.98"/>
    <n v="91.65"/>
    <n v="719.34"/>
    <x v="3121"/>
    <x v="1"/>
  </r>
  <r>
    <x v="19"/>
    <x v="2"/>
    <x v="4"/>
    <n v="39004.75"/>
    <n v="34266.949999999997"/>
    <n v="30.61"/>
    <n v="738.34"/>
    <x v="3122"/>
    <x v="1"/>
  </r>
  <r>
    <x v="7"/>
    <x v="4"/>
    <x v="1"/>
    <n v="23281.4"/>
    <n v="25265.3"/>
    <n v="166.94"/>
    <n v="27.03"/>
    <x v="3123"/>
    <x v="0"/>
  </r>
  <r>
    <x v="14"/>
    <x v="5"/>
    <x v="4"/>
    <n v="9175.67"/>
    <n v="8689.93"/>
    <n v="189.59"/>
    <n v="903.39"/>
    <x v="3124"/>
    <x v="0"/>
  </r>
  <r>
    <x v="15"/>
    <x v="0"/>
    <x v="3"/>
    <n v="16086.64"/>
    <n v="14182.44"/>
    <n v="198.1"/>
    <n v="469.81"/>
    <x v="3125"/>
    <x v="0"/>
  </r>
  <r>
    <x v="2"/>
    <x v="3"/>
    <x v="7"/>
    <n v="19152.439999999999"/>
    <n v="18329.72"/>
    <n v="126.57"/>
    <n v="189.89"/>
    <x v="3126"/>
    <x v="1"/>
  </r>
  <r>
    <x v="7"/>
    <x v="1"/>
    <x v="4"/>
    <n v="47998.97"/>
    <n v="42542.48"/>
    <n v="21.12"/>
    <n v="1259.95"/>
    <x v="3127"/>
    <x v="1"/>
  </r>
  <r>
    <x v="4"/>
    <x v="3"/>
    <x v="1"/>
    <n v="8691.0400000000009"/>
    <n v="9861.66"/>
    <n v="146.93"/>
    <n v="299.45"/>
    <x v="3128"/>
    <x v="1"/>
  </r>
  <r>
    <x v="2"/>
    <x v="2"/>
    <x v="7"/>
    <n v="2259.0100000000002"/>
    <n v="2390.27"/>
    <n v="114.47"/>
    <n v="343.08"/>
    <x v="3129"/>
    <x v="1"/>
  </r>
  <r>
    <x v="12"/>
    <x v="4"/>
    <x v="5"/>
    <n v="12851.64"/>
    <n v="14590.46"/>
    <n v="98.09"/>
    <n v="469.07"/>
    <x v="3130"/>
    <x v="0"/>
  </r>
  <r>
    <x v="16"/>
    <x v="2"/>
    <x v="2"/>
    <n v="19505.47"/>
    <n v="19105.95"/>
    <n v="76.06"/>
    <n v="782.7"/>
    <x v="3131"/>
    <x v="1"/>
  </r>
  <r>
    <x v="15"/>
    <x v="2"/>
    <x v="7"/>
    <n v="14903.6"/>
    <n v="14035.31"/>
    <n v="37.51"/>
    <n v="877.69"/>
    <x v="3132"/>
    <x v="1"/>
  </r>
  <r>
    <x v="16"/>
    <x v="2"/>
    <x v="5"/>
    <n v="13958.86"/>
    <n v="11903.19"/>
    <n v="157.1"/>
    <n v="564.27"/>
    <x v="3133"/>
    <x v="1"/>
  </r>
  <r>
    <x v="6"/>
    <x v="1"/>
    <x v="7"/>
    <n v="11966.64"/>
    <n v="13301.59"/>
    <n v="115.83"/>
    <n v="915.51"/>
    <x v="3134"/>
    <x v="1"/>
  </r>
  <r>
    <x v="3"/>
    <x v="2"/>
    <x v="4"/>
    <n v="30862.799999999999"/>
    <n v="28061.49"/>
    <n v="22.5"/>
    <n v="605.39"/>
    <x v="3135"/>
    <x v="1"/>
  </r>
  <r>
    <x v="1"/>
    <x v="4"/>
    <x v="2"/>
    <n v="45048.61"/>
    <n v="45687.34"/>
    <n v="23.68"/>
    <n v="340.97"/>
    <x v="3136"/>
    <x v="0"/>
  </r>
  <r>
    <x v="8"/>
    <x v="2"/>
    <x v="5"/>
    <n v="33076.620000000003"/>
    <n v="27055.64"/>
    <n v="32.99"/>
    <n v="1075.06"/>
    <x v="3137"/>
    <x v="1"/>
  </r>
  <r>
    <x v="1"/>
    <x v="6"/>
    <x v="1"/>
    <n v="38591.620000000003"/>
    <n v="31119.05"/>
    <n v="134.81"/>
    <n v="256.76"/>
    <x v="3138"/>
    <x v="0"/>
  </r>
  <r>
    <x v="4"/>
    <x v="6"/>
    <x v="4"/>
    <n v="37097.269999999997"/>
    <n v="31259.119999999999"/>
    <n v="85.57"/>
    <n v="1135.93"/>
    <x v="3139"/>
    <x v="0"/>
  </r>
  <r>
    <x v="7"/>
    <x v="4"/>
    <x v="5"/>
    <n v="18565.849999999999"/>
    <n v="16172.53"/>
    <n v="45.13"/>
    <n v="335.33"/>
    <x v="3140"/>
    <x v="0"/>
  </r>
  <r>
    <x v="7"/>
    <x v="6"/>
    <x v="7"/>
    <n v="4854.43"/>
    <n v="5591.6"/>
    <n v="22.92"/>
    <n v="101.56"/>
    <x v="3141"/>
    <x v="0"/>
  </r>
  <r>
    <x v="17"/>
    <x v="3"/>
    <x v="4"/>
    <n v="12538.16"/>
    <n v="11004.04"/>
    <n v="74.709999999999994"/>
    <n v="250.62"/>
    <x v="3142"/>
    <x v="1"/>
  </r>
  <r>
    <x v="1"/>
    <x v="2"/>
    <x v="4"/>
    <n v="47916.19"/>
    <n v="56688.98"/>
    <n v="173.25"/>
    <n v="499.28"/>
    <x v="3143"/>
    <x v="1"/>
  </r>
  <r>
    <x v="11"/>
    <x v="0"/>
    <x v="1"/>
    <n v="49897.41"/>
    <n v="52983.4"/>
    <n v="118.17"/>
    <n v="1356.14"/>
    <x v="3144"/>
    <x v="0"/>
  </r>
  <r>
    <x v="15"/>
    <x v="2"/>
    <x v="6"/>
    <n v="49279.74"/>
    <n v="49982.07"/>
    <n v="166.35"/>
    <n v="852.67"/>
    <x v="3145"/>
    <x v="1"/>
  </r>
  <r>
    <x v="8"/>
    <x v="0"/>
    <x v="2"/>
    <n v="27104.63"/>
    <n v="27798.720000000001"/>
    <n v="164.98"/>
    <n v="326.08"/>
    <x v="3146"/>
    <x v="0"/>
  </r>
  <r>
    <x v="8"/>
    <x v="1"/>
    <x v="0"/>
    <n v="34535.449999999997"/>
    <n v="40893.1"/>
    <n v="118.14"/>
    <n v="935.55"/>
    <x v="3147"/>
    <x v="1"/>
  </r>
  <r>
    <x v="10"/>
    <x v="0"/>
    <x v="3"/>
    <n v="3821.97"/>
    <n v="3440.76"/>
    <n v="192.16"/>
    <n v="512.62"/>
    <x v="3148"/>
    <x v="0"/>
  </r>
  <r>
    <x v="19"/>
    <x v="5"/>
    <x v="5"/>
    <n v="12506.13"/>
    <n v="10524.25"/>
    <n v="111.28"/>
    <n v="209.63"/>
    <x v="3149"/>
    <x v="0"/>
  </r>
  <r>
    <x v="18"/>
    <x v="2"/>
    <x v="0"/>
    <n v="1221.6199999999999"/>
    <n v="984.57"/>
    <n v="96.88"/>
    <n v="547.78"/>
    <x v="3150"/>
    <x v="1"/>
  </r>
  <r>
    <x v="2"/>
    <x v="3"/>
    <x v="1"/>
    <n v="29489.02"/>
    <n v="30542.09"/>
    <n v="138.28"/>
    <n v="382.43"/>
    <x v="3151"/>
    <x v="1"/>
  </r>
  <r>
    <x v="18"/>
    <x v="6"/>
    <x v="2"/>
    <n v="5438.27"/>
    <n v="5256.73"/>
    <n v="172.27"/>
    <n v="851.51"/>
    <x v="3152"/>
    <x v="0"/>
  </r>
  <r>
    <x v="10"/>
    <x v="4"/>
    <x v="6"/>
    <n v="7741.56"/>
    <n v="6879.98"/>
    <n v="36.450000000000003"/>
    <n v="1035.4100000000001"/>
    <x v="3153"/>
    <x v="0"/>
  </r>
  <r>
    <x v="9"/>
    <x v="3"/>
    <x v="5"/>
    <n v="2469.34"/>
    <n v="2547.15"/>
    <n v="65.180000000000007"/>
    <n v="1204.7"/>
    <x v="3154"/>
    <x v="1"/>
  </r>
  <r>
    <x v="11"/>
    <x v="2"/>
    <x v="4"/>
    <n v="26024.78"/>
    <n v="29269.93"/>
    <n v="29.33"/>
    <n v="576.62"/>
    <x v="3155"/>
    <x v="1"/>
  </r>
  <r>
    <x v="16"/>
    <x v="6"/>
    <x v="0"/>
    <n v="47273.49"/>
    <n v="49943.03"/>
    <n v="51.64"/>
    <n v="1212.97"/>
    <x v="3156"/>
    <x v="0"/>
  </r>
  <r>
    <x v="18"/>
    <x v="4"/>
    <x v="3"/>
    <n v="40523.019999999997"/>
    <n v="36379.9"/>
    <n v="83.53"/>
    <n v="1070.5999999999999"/>
    <x v="3157"/>
    <x v="0"/>
  </r>
  <r>
    <x v="2"/>
    <x v="5"/>
    <x v="1"/>
    <n v="36470.879999999997"/>
    <n v="30124.89"/>
    <n v="123.59"/>
    <n v="655.42"/>
    <x v="3158"/>
    <x v="0"/>
  </r>
  <r>
    <x v="14"/>
    <x v="3"/>
    <x v="7"/>
    <n v="41051.019999999997"/>
    <n v="47576.89"/>
    <n v="128.4"/>
    <n v="220.64"/>
    <x v="3159"/>
    <x v="1"/>
  </r>
  <r>
    <x v="10"/>
    <x v="5"/>
    <x v="0"/>
    <n v="16178.17"/>
    <n v="18650.75"/>
    <n v="25.83"/>
    <n v="137.81"/>
    <x v="3160"/>
    <x v="0"/>
  </r>
  <r>
    <x v="19"/>
    <x v="2"/>
    <x v="1"/>
    <n v="46501.82"/>
    <n v="45442.62"/>
    <n v="109.76"/>
    <n v="23.36"/>
    <x v="3161"/>
    <x v="1"/>
  </r>
  <r>
    <x v="8"/>
    <x v="5"/>
    <x v="5"/>
    <n v="23806.82"/>
    <n v="28173.06"/>
    <n v="121.6"/>
    <n v="1201.8800000000001"/>
    <x v="3162"/>
    <x v="0"/>
  </r>
  <r>
    <x v="9"/>
    <x v="2"/>
    <x v="6"/>
    <n v="19710.77"/>
    <n v="18712.96"/>
    <n v="162.09"/>
    <n v="1231.96"/>
    <x v="3163"/>
    <x v="1"/>
  </r>
  <r>
    <x v="2"/>
    <x v="2"/>
    <x v="3"/>
    <n v="14272.87"/>
    <n v="13616.01"/>
    <n v="45.6"/>
    <n v="857.44"/>
    <x v="3164"/>
    <x v="1"/>
  </r>
  <r>
    <x v="2"/>
    <x v="2"/>
    <x v="3"/>
    <n v="2267.39"/>
    <n v="2004.48"/>
    <n v="184.53"/>
    <n v="417.62"/>
    <x v="3165"/>
    <x v="1"/>
  </r>
  <r>
    <x v="17"/>
    <x v="2"/>
    <x v="0"/>
    <n v="33972.57"/>
    <n v="38497.82"/>
    <n v="178.06"/>
    <n v="385.75"/>
    <x v="3166"/>
    <x v="1"/>
  </r>
  <r>
    <x v="1"/>
    <x v="1"/>
    <x v="1"/>
    <n v="10946.27"/>
    <n v="9985.4"/>
    <n v="22.7"/>
    <n v="41.39"/>
    <x v="3167"/>
    <x v="1"/>
  </r>
  <r>
    <x v="13"/>
    <x v="6"/>
    <x v="7"/>
    <n v="49676.32"/>
    <n v="41270.26"/>
    <n v="29.32"/>
    <n v="474.65"/>
    <x v="3168"/>
    <x v="0"/>
  </r>
  <r>
    <x v="7"/>
    <x v="0"/>
    <x v="1"/>
    <n v="9255.1200000000008"/>
    <n v="9241.7900000000009"/>
    <n v="24.29"/>
    <n v="297.27999999999997"/>
    <x v="3169"/>
    <x v="0"/>
  </r>
  <r>
    <x v="6"/>
    <x v="3"/>
    <x v="1"/>
    <n v="9277.3799999999992"/>
    <n v="9834.82"/>
    <n v="32.39"/>
    <n v="670.16"/>
    <x v="3170"/>
    <x v="1"/>
  </r>
  <r>
    <x v="10"/>
    <x v="4"/>
    <x v="2"/>
    <n v="18076.68"/>
    <n v="16060.53"/>
    <n v="85.35"/>
    <n v="74.900000000000006"/>
    <x v="3171"/>
    <x v="0"/>
  </r>
  <r>
    <x v="14"/>
    <x v="4"/>
    <x v="6"/>
    <n v="13198.24"/>
    <n v="12355.27"/>
    <n v="152.49"/>
    <n v="686.52"/>
    <x v="3172"/>
    <x v="0"/>
  </r>
  <r>
    <x v="2"/>
    <x v="6"/>
    <x v="2"/>
    <n v="28422.26"/>
    <n v="24190.07"/>
    <n v="119.24"/>
    <n v="331.15"/>
    <x v="3173"/>
    <x v="0"/>
  </r>
  <r>
    <x v="17"/>
    <x v="3"/>
    <x v="0"/>
    <n v="35696.79"/>
    <n v="32244.91"/>
    <n v="74.78"/>
    <n v="857.01"/>
    <x v="3174"/>
    <x v="1"/>
  </r>
  <r>
    <x v="17"/>
    <x v="2"/>
    <x v="7"/>
    <n v="15390.05"/>
    <n v="12457.12"/>
    <n v="38.01"/>
    <n v="662.54"/>
    <x v="3175"/>
    <x v="1"/>
  </r>
  <r>
    <x v="3"/>
    <x v="2"/>
    <x v="1"/>
    <n v="25561.919999999998"/>
    <n v="27983.11"/>
    <n v="153.81"/>
    <n v="305.69"/>
    <x v="3176"/>
    <x v="1"/>
  </r>
  <r>
    <x v="8"/>
    <x v="1"/>
    <x v="0"/>
    <n v="36016.94"/>
    <n v="41810.769999999997"/>
    <n v="143.72999999999999"/>
    <n v="380.81"/>
    <x v="3177"/>
    <x v="1"/>
  </r>
  <r>
    <x v="4"/>
    <x v="1"/>
    <x v="7"/>
    <n v="16918.080000000002"/>
    <n v="13849.39"/>
    <n v="60.7"/>
    <n v="1373.73"/>
    <x v="3178"/>
    <x v="1"/>
  </r>
  <r>
    <x v="4"/>
    <x v="6"/>
    <x v="3"/>
    <n v="24061.59"/>
    <n v="19712.45"/>
    <n v="148.24"/>
    <n v="436.47"/>
    <x v="3179"/>
    <x v="0"/>
  </r>
  <r>
    <x v="11"/>
    <x v="0"/>
    <x v="2"/>
    <n v="32367.96"/>
    <n v="31487.91"/>
    <n v="100.27"/>
    <n v="432.17"/>
    <x v="3180"/>
    <x v="0"/>
  </r>
  <r>
    <x v="17"/>
    <x v="1"/>
    <x v="1"/>
    <n v="19416.71"/>
    <n v="19012.689999999999"/>
    <n v="174.09"/>
    <n v="850.25"/>
    <x v="3181"/>
    <x v="1"/>
  </r>
  <r>
    <x v="3"/>
    <x v="1"/>
    <x v="2"/>
    <n v="36132.800000000003"/>
    <n v="38019.370000000003"/>
    <n v="174.75"/>
    <n v="291.54000000000002"/>
    <x v="3182"/>
    <x v="1"/>
  </r>
  <r>
    <x v="14"/>
    <x v="0"/>
    <x v="6"/>
    <n v="47226.41"/>
    <n v="56384.01"/>
    <n v="182.4"/>
    <n v="1210.94"/>
    <x v="3183"/>
    <x v="0"/>
  </r>
  <r>
    <x v="4"/>
    <x v="4"/>
    <x v="1"/>
    <n v="15455.6"/>
    <n v="15670.96"/>
    <n v="185.32"/>
    <n v="242.18"/>
    <x v="3184"/>
    <x v="0"/>
  </r>
  <r>
    <x v="1"/>
    <x v="5"/>
    <x v="2"/>
    <n v="49439.9"/>
    <n v="52836.52"/>
    <n v="94.15"/>
    <n v="237.99"/>
    <x v="3185"/>
    <x v="0"/>
  </r>
  <r>
    <x v="11"/>
    <x v="0"/>
    <x v="0"/>
    <n v="29604.66"/>
    <n v="23736.51"/>
    <n v="137.85"/>
    <n v="905.25"/>
    <x v="3186"/>
    <x v="0"/>
  </r>
  <r>
    <x v="4"/>
    <x v="1"/>
    <x v="1"/>
    <n v="15110.91"/>
    <n v="13466.97"/>
    <n v="103.86"/>
    <n v="183.22"/>
    <x v="3187"/>
    <x v="1"/>
  </r>
  <r>
    <x v="18"/>
    <x v="3"/>
    <x v="0"/>
    <n v="48698.53"/>
    <n v="52480.03"/>
    <n v="178.45"/>
    <n v="1066.76"/>
    <x v="3188"/>
    <x v="1"/>
  </r>
  <r>
    <x v="13"/>
    <x v="1"/>
    <x v="1"/>
    <n v="48130.47"/>
    <n v="46308.2"/>
    <n v="52.01"/>
    <n v="1163.3399999999999"/>
    <x v="3189"/>
    <x v="1"/>
  </r>
  <r>
    <x v="6"/>
    <x v="2"/>
    <x v="7"/>
    <n v="29749.279999999999"/>
    <n v="29411.3"/>
    <n v="199"/>
    <n v="1125.81"/>
    <x v="3190"/>
    <x v="1"/>
  </r>
  <r>
    <x v="15"/>
    <x v="5"/>
    <x v="4"/>
    <n v="49420.7"/>
    <n v="48154.17"/>
    <n v="159.25"/>
    <n v="548.37"/>
    <x v="3191"/>
    <x v="0"/>
  </r>
  <r>
    <x v="18"/>
    <x v="1"/>
    <x v="5"/>
    <n v="10154.620000000001"/>
    <n v="11557.75"/>
    <n v="121.16"/>
    <n v="93.24"/>
    <x v="3192"/>
    <x v="1"/>
  </r>
  <r>
    <x v="11"/>
    <x v="2"/>
    <x v="1"/>
    <n v="10271.44"/>
    <n v="10902.15"/>
    <n v="130.22999999999999"/>
    <n v="342.36"/>
    <x v="3193"/>
    <x v="1"/>
  </r>
  <r>
    <x v="12"/>
    <x v="1"/>
    <x v="0"/>
    <n v="7387.67"/>
    <n v="6592.27"/>
    <n v="162.25"/>
    <n v="310.58999999999997"/>
    <x v="3194"/>
    <x v="1"/>
  </r>
  <r>
    <x v="7"/>
    <x v="2"/>
    <x v="2"/>
    <n v="30586.38"/>
    <n v="28529.85"/>
    <n v="21.61"/>
    <n v="653.86"/>
    <x v="3195"/>
    <x v="1"/>
  </r>
  <r>
    <x v="11"/>
    <x v="6"/>
    <x v="2"/>
    <n v="22837.5"/>
    <n v="24524.92"/>
    <n v="38.43"/>
    <n v="642.13"/>
    <x v="3196"/>
    <x v="0"/>
  </r>
  <r>
    <x v="7"/>
    <x v="6"/>
    <x v="4"/>
    <n v="5453.64"/>
    <n v="5401.48"/>
    <n v="59.39"/>
    <n v="1172.6400000000001"/>
    <x v="3197"/>
    <x v="0"/>
  </r>
  <r>
    <x v="16"/>
    <x v="4"/>
    <x v="2"/>
    <n v="39668.22"/>
    <n v="42869.87"/>
    <n v="123.85"/>
    <n v="222.12"/>
    <x v="3198"/>
    <x v="0"/>
  </r>
  <r>
    <x v="0"/>
    <x v="3"/>
    <x v="0"/>
    <n v="30169.17"/>
    <n v="24451.32"/>
    <n v="145.75"/>
    <n v="560.4"/>
    <x v="3199"/>
    <x v="1"/>
  </r>
  <r>
    <x v="2"/>
    <x v="1"/>
    <x v="6"/>
    <n v="18581.47"/>
    <n v="17912.97"/>
    <n v="25.24"/>
    <n v="636.98"/>
    <x v="3200"/>
    <x v="1"/>
  </r>
  <r>
    <x v="1"/>
    <x v="4"/>
    <x v="7"/>
    <n v="24399.68"/>
    <n v="28258.6"/>
    <n v="104.23"/>
    <n v="1269.21"/>
    <x v="3201"/>
    <x v="0"/>
  </r>
  <r>
    <x v="5"/>
    <x v="1"/>
    <x v="3"/>
    <n v="9330.5300000000007"/>
    <n v="10553.98"/>
    <n v="198.22"/>
    <n v="477.18"/>
    <x v="3202"/>
    <x v="1"/>
  </r>
  <r>
    <x v="12"/>
    <x v="2"/>
    <x v="0"/>
    <n v="31640.720000000001"/>
    <n v="35128.75"/>
    <n v="136.76"/>
    <n v="1095.9100000000001"/>
    <x v="3203"/>
    <x v="1"/>
  </r>
  <r>
    <x v="8"/>
    <x v="0"/>
    <x v="4"/>
    <n v="9673.8700000000008"/>
    <n v="10923.68"/>
    <n v="153.44"/>
    <n v="1181.6199999999999"/>
    <x v="3204"/>
    <x v="0"/>
  </r>
  <r>
    <x v="15"/>
    <x v="5"/>
    <x v="0"/>
    <n v="24999.17"/>
    <n v="21631.22"/>
    <n v="60.68"/>
    <n v="427.12"/>
    <x v="3205"/>
    <x v="0"/>
  </r>
  <r>
    <x v="18"/>
    <x v="6"/>
    <x v="7"/>
    <n v="2724.23"/>
    <n v="2696.9"/>
    <n v="197.1"/>
    <n v="698.55"/>
    <x v="3206"/>
    <x v="0"/>
  </r>
  <r>
    <x v="14"/>
    <x v="3"/>
    <x v="3"/>
    <n v="44657.84"/>
    <n v="39602.83"/>
    <n v="112.49"/>
    <n v="1186.47"/>
    <x v="3207"/>
    <x v="1"/>
  </r>
  <r>
    <x v="12"/>
    <x v="0"/>
    <x v="7"/>
    <n v="10222.620000000001"/>
    <n v="9346.4500000000007"/>
    <n v="182.78"/>
    <n v="1001.16"/>
    <x v="3208"/>
    <x v="0"/>
  </r>
  <r>
    <x v="15"/>
    <x v="1"/>
    <x v="1"/>
    <n v="49077.56"/>
    <n v="43299.18"/>
    <n v="157.78"/>
    <n v="751.16"/>
    <x v="3209"/>
    <x v="1"/>
  </r>
  <r>
    <x v="7"/>
    <x v="0"/>
    <x v="1"/>
    <n v="17956.52"/>
    <n v="20776.169999999998"/>
    <n v="53.38"/>
    <n v="1020.89"/>
    <x v="3210"/>
    <x v="0"/>
  </r>
  <r>
    <x v="0"/>
    <x v="1"/>
    <x v="0"/>
    <n v="44018.09"/>
    <n v="40651.870000000003"/>
    <n v="56.74"/>
    <n v="520.98"/>
    <x v="3211"/>
    <x v="1"/>
  </r>
  <r>
    <x v="16"/>
    <x v="2"/>
    <x v="3"/>
    <n v="38240.080000000002"/>
    <n v="40202.81"/>
    <n v="81.28"/>
    <n v="1267.55"/>
    <x v="3212"/>
    <x v="1"/>
  </r>
  <r>
    <x v="18"/>
    <x v="6"/>
    <x v="7"/>
    <n v="42108.4"/>
    <n v="41111.410000000003"/>
    <n v="145.08000000000001"/>
    <n v="774.3"/>
    <x v="3213"/>
    <x v="0"/>
  </r>
  <r>
    <x v="1"/>
    <x v="4"/>
    <x v="2"/>
    <n v="44584.14"/>
    <n v="52667.37"/>
    <n v="72.72"/>
    <n v="458.48"/>
    <x v="3214"/>
    <x v="0"/>
  </r>
  <r>
    <x v="6"/>
    <x v="1"/>
    <x v="1"/>
    <n v="11790.92"/>
    <n v="10744.15"/>
    <n v="76.64"/>
    <n v="1181.97"/>
    <x v="3215"/>
    <x v="1"/>
  </r>
  <r>
    <x v="13"/>
    <x v="4"/>
    <x v="2"/>
    <n v="23203.3"/>
    <n v="22950.99"/>
    <n v="120.83"/>
    <n v="57.27"/>
    <x v="3216"/>
    <x v="0"/>
  </r>
  <r>
    <x v="8"/>
    <x v="6"/>
    <x v="3"/>
    <n v="36282.29"/>
    <n v="38887.61"/>
    <n v="31.53"/>
    <n v="1284.1300000000001"/>
    <x v="3217"/>
    <x v="0"/>
  </r>
  <r>
    <x v="13"/>
    <x v="0"/>
    <x v="1"/>
    <n v="26672.639999999999"/>
    <n v="28769.77"/>
    <n v="154.78"/>
    <n v="945.8"/>
    <x v="3218"/>
    <x v="0"/>
  </r>
  <r>
    <x v="5"/>
    <x v="4"/>
    <x v="6"/>
    <n v="14181.6"/>
    <n v="14290.25"/>
    <n v="42.93"/>
    <n v="789.09"/>
    <x v="3219"/>
    <x v="0"/>
  </r>
  <r>
    <x v="4"/>
    <x v="4"/>
    <x v="5"/>
    <n v="2657.35"/>
    <n v="2749.43"/>
    <n v="105.85"/>
    <n v="719.87"/>
    <x v="3220"/>
    <x v="0"/>
  </r>
  <r>
    <x v="18"/>
    <x v="4"/>
    <x v="3"/>
    <n v="10214.52"/>
    <n v="10766.71"/>
    <n v="130.54"/>
    <n v="122.3"/>
    <x v="3221"/>
    <x v="0"/>
  </r>
  <r>
    <x v="17"/>
    <x v="1"/>
    <x v="1"/>
    <n v="22759.88"/>
    <n v="23150.959999999999"/>
    <n v="140.15"/>
    <n v="1164.68"/>
    <x v="3222"/>
    <x v="1"/>
  </r>
  <r>
    <x v="16"/>
    <x v="3"/>
    <x v="4"/>
    <n v="49289.97"/>
    <n v="45872.9"/>
    <n v="193.92"/>
    <n v="785.38"/>
    <x v="3223"/>
    <x v="1"/>
  </r>
  <r>
    <x v="16"/>
    <x v="0"/>
    <x v="6"/>
    <n v="8252.2099999999991"/>
    <n v="9074.6"/>
    <n v="49.69"/>
    <n v="1207.75"/>
    <x v="3224"/>
    <x v="0"/>
  </r>
  <r>
    <x v="19"/>
    <x v="6"/>
    <x v="0"/>
    <n v="7815.04"/>
    <n v="8006.65"/>
    <n v="43.23"/>
    <n v="695.57"/>
    <x v="3225"/>
    <x v="0"/>
  </r>
  <r>
    <x v="18"/>
    <x v="1"/>
    <x v="0"/>
    <n v="4066.93"/>
    <n v="3535.25"/>
    <n v="34.090000000000003"/>
    <n v="763.98"/>
    <x v="3226"/>
    <x v="1"/>
  </r>
  <r>
    <x v="2"/>
    <x v="2"/>
    <x v="1"/>
    <n v="34123.410000000003"/>
    <n v="28542.1"/>
    <n v="98.44"/>
    <n v="1087.99"/>
    <x v="3227"/>
    <x v="1"/>
  </r>
  <r>
    <x v="14"/>
    <x v="1"/>
    <x v="0"/>
    <n v="19883.54"/>
    <n v="20482.16"/>
    <n v="89.54"/>
    <n v="143.28"/>
    <x v="3228"/>
    <x v="1"/>
  </r>
  <r>
    <x v="8"/>
    <x v="3"/>
    <x v="5"/>
    <n v="32403.48"/>
    <n v="34763.83"/>
    <n v="86.95"/>
    <n v="1116.02"/>
    <x v="3229"/>
    <x v="1"/>
  </r>
  <r>
    <x v="18"/>
    <x v="5"/>
    <x v="3"/>
    <n v="27915.58"/>
    <n v="29184.68"/>
    <n v="169.61"/>
    <n v="373.93"/>
    <x v="3230"/>
    <x v="0"/>
  </r>
  <r>
    <x v="2"/>
    <x v="0"/>
    <x v="6"/>
    <n v="28594.17"/>
    <n v="26009.58"/>
    <n v="107.98"/>
    <n v="628.83000000000004"/>
    <x v="3231"/>
    <x v="0"/>
  </r>
  <r>
    <x v="15"/>
    <x v="3"/>
    <x v="6"/>
    <n v="45663.94"/>
    <n v="49092.95"/>
    <n v="193.39"/>
    <n v="1099.33"/>
    <x v="3232"/>
    <x v="1"/>
  </r>
  <r>
    <x v="15"/>
    <x v="0"/>
    <x v="6"/>
    <n v="4872.53"/>
    <n v="5391.97"/>
    <n v="115.87"/>
    <n v="749.74"/>
    <x v="3233"/>
    <x v="0"/>
  </r>
  <r>
    <x v="0"/>
    <x v="0"/>
    <x v="3"/>
    <n v="29752.19"/>
    <n v="35634.720000000001"/>
    <n v="81.62"/>
    <n v="139.63999999999999"/>
    <x v="3234"/>
    <x v="0"/>
  </r>
  <r>
    <x v="18"/>
    <x v="5"/>
    <x v="2"/>
    <n v="741.25"/>
    <n v="702.15"/>
    <n v="27"/>
    <n v="1232.46"/>
    <x v="3235"/>
    <x v="0"/>
  </r>
  <r>
    <x v="16"/>
    <x v="0"/>
    <x v="6"/>
    <n v="951.49"/>
    <n v="971.59"/>
    <n v="59.51"/>
    <n v="239.46"/>
    <x v="3236"/>
    <x v="0"/>
  </r>
  <r>
    <x v="0"/>
    <x v="5"/>
    <x v="5"/>
    <n v="23084.31"/>
    <n v="22540.78"/>
    <n v="72.819999999999993"/>
    <n v="598.04"/>
    <x v="3237"/>
    <x v="0"/>
  </r>
  <r>
    <x v="16"/>
    <x v="4"/>
    <x v="0"/>
    <n v="28482.39"/>
    <n v="32840.47"/>
    <n v="173.83"/>
    <n v="1255.6400000000001"/>
    <x v="3238"/>
    <x v="0"/>
  </r>
  <r>
    <x v="1"/>
    <x v="0"/>
    <x v="2"/>
    <n v="20993.040000000001"/>
    <n v="23060.49"/>
    <n v="85.23"/>
    <n v="1086.5999999999999"/>
    <x v="3239"/>
    <x v="0"/>
  </r>
  <r>
    <x v="3"/>
    <x v="2"/>
    <x v="4"/>
    <n v="45741"/>
    <n v="53825.919999999998"/>
    <n v="118.48"/>
    <n v="486.24"/>
    <x v="3240"/>
    <x v="1"/>
  </r>
  <r>
    <x v="4"/>
    <x v="6"/>
    <x v="1"/>
    <n v="15487.59"/>
    <n v="13728.5"/>
    <n v="162.97999999999999"/>
    <n v="221.65"/>
    <x v="3241"/>
    <x v="0"/>
  </r>
  <r>
    <x v="10"/>
    <x v="6"/>
    <x v="1"/>
    <n v="37501.839999999997"/>
    <n v="32638.080000000002"/>
    <n v="149.76"/>
    <n v="241.81"/>
    <x v="3242"/>
    <x v="0"/>
  </r>
  <r>
    <x v="5"/>
    <x v="3"/>
    <x v="7"/>
    <n v="20898.45"/>
    <n v="18035.66"/>
    <n v="85.24"/>
    <n v="1037.9100000000001"/>
    <x v="3243"/>
    <x v="1"/>
  </r>
  <r>
    <x v="7"/>
    <x v="4"/>
    <x v="2"/>
    <n v="32954.42"/>
    <n v="36165.449999999997"/>
    <n v="121.48"/>
    <n v="1025.46"/>
    <x v="3244"/>
    <x v="0"/>
  </r>
  <r>
    <x v="13"/>
    <x v="2"/>
    <x v="6"/>
    <n v="44885.35"/>
    <n v="44685.57"/>
    <n v="168.07"/>
    <n v="1255.06"/>
    <x v="3245"/>
    <x v="1"/>
  </r>
  <r>
    <x v="6"/>
    <x v="2"/>
    <x v="3"/>
    <n v="48844.63"/>
    <n v="45591.87"/>
    <n v="155.9"/>
    <n v="252.03"/>
    <x v="3246"/>
    <x v="1"/>
  </r>
  <r>
    <x v="14"/>
    <x v="1"/>
    <x v="1"/>
    <n v="25266.57"/>
    <n v="29103.97"/>
    <n v="23.08"/>
    <n v="365.87"/>
    <x v="3247"/>
    <x v="1"/>
  </r>
  <r>
    <x v="14"/>
    <x v="1"/>
    <x v="5"/>
    <n v="29858.48"/>
    <n v="26602"/>
    <n v="148.96"/>
    <n v="1148.5999999999999"/>
    <x v="3248"/>
    <x v="1"/>
  </r>
  <r>
    <x v="13"/>
    <x v="3"/>
    <x v="1"/>
    <n v="34453.360000000001"/>
    <n v="37407.49"/>
    <n v="129.69"/>
    <n v="401.37"/>
    <x v="3249"/>
    <x v="1"/>
  </r>
  <r>
    <x v="3"/>
    <x v="6"/>
    <x v="2"/>
    <n v="5843.61"/>
    <n v="5831.34"/>
    <n v="183.29"/>
    <n v="945.2"/>
    <x v="3250"/>
    <x v="0"/>
  </r>
  <r>
    <x v="19"/>
    <x v="2"/>
    <x v="7"/>
    <n v="38423.54"/>
    <n v="38743.01"/>
    <n v="184.79"/>
    <n v="816.25"/>
    <x v="3251"/>
    <x v="1"/>
  </r>
  <r>
    <x v="19"/>
    <x v="5"/>
    <x v="0"/>
    <n v="21529.71"/>
    <n v="20410.14"/>
    <n v="57.39"/>
    <n v="791.89"/>
    <x v="3252"/>
    <x v="0"/>
  </r>
  <r>
    <x v="9"/>
    <x v="2"/>
    <x v="5"/>
    <n v="27290.77"/>
    <n v="24428.52"/>
    <n v="132.97"/>
    <n v="913.05"/>
    <x v="3253"/>
    <x v="1"/>
  </r>
  <r>
    <x v="9"/>
    <x v="1"/>
    <x v="7"/>
    <n v="41358.449999999997"/>
    <n v="38242.080000000002"/>
    <n v="29.43"/>
    <n v="1344.69"/>
    <x v="3254"/>
    <x v="1"/>
  </r>
  <r>
    <x v="7"/>
    <x v="5"/>
    <x v="2"/>
    <n v="35704.42"/>
    <n v="34459.550000000003"/>
    <n v="110.88"/>
    <n v="1098.53"/>
    <x v="3255"/>
    <x v="0"/>
  </r>
  <r>
    <x v="3"/>
    <x v="6"/>
    <x v="7"/>
    <n v="16853.16"/>
    <n v="17040.689999999999"/>
    <n v="32.64"/>
    <n v="284.86"/>
    <x v="3256"/>
    <x v="0"/>
  </r>
  <r>
    <x v="17"/>
    <x v="3"/>
    <x v="0"/>
    <n v="37078.589999999997"/>
    <n v="39001.29"/>
    <n v="59.38"/>
    <n v="137.16"/>
    <x v="3257"/>
    <x v="1"/>
  </r>
  <r>
    <x v="17"/>
    <x v="6"/>
    <x v="3"/>
    <n v="22346.15"/>
    <n v="21709.58"/>
    <n v="194.72"/>
    <n v="465.73"/>
    <x v="3258"/>
    <x v="0"/>
  </r>
  <r>
    <x v="0"/>
    <x v="6"/>
    <x v="1"/>
    <n v="43672.959999999999"/>
    <n v="47834.03"/>
    <n v="60.42"/>
    <n v="1259.67"/>
    <x v="3259"/>
    <x v="0"/>
  </r>
  <r>
    <x v="15"/>
    <x v="0"/>
    <x v="1"/>
    <n v="9645.98"/>
    <n v="11083.33"/>
    <n v="49.54"/>
    <n v="146.01"/>
    <x v="3260"/>
    <x v="0"/>
  </r>
  <r>
    <x v="2"/>
    <x v="4"/>
    <x v="3"/>
    <n v="2050.37"/>
    <n v="1861.12"/>
    <n v="40.549999999999997"/>
    <n v="263.20999999999998"/>
    <x v="3261"/>
    <x v="0"/>
  </r>
  <r>
    <x v="0"/>
    <x v="6"/>
    <x v="1"/>
    <n v="2655.52"/>
    <n v="2170.41"/>
    <n v="22.1"/>
    <n v="963.92"/>
    <x v="3262"/>
    <x v="0"/>
  </r>
  <r>
    <x v="15"/>
    <x v="2"/>
    <x v="1"/>
    <n v="6588.75"/>
    <n v="6546.04"/>
    <n v="117.77"/>
    <n v="415.85"/>
    <x v="3263"/>
    <x v="1"/>
  </r>
  <r>
    <x v="14"/>
    <x v="2"/>
    <x v="5"/>
    <n v="1807.34"/>
    <n v="1560.33"/>
    <n v="123.17"/>
    <n v="224.6"/>
    <x v="3264"/>
    <x v="1"/>
  </r>
  <r>
    <x v="11"/>
    <x v="3"/>
    <x v="0"/>
    <n v="46722.63"/>
    <n v="51041.87"/>
    <n v="32.36"/>
    <n v="1361.24"/>
    <x v="3265"/>
    <x v="1"/>
  </r>
  <r>
    <x v="3"/>
    <x v="2"/>
    <x v="3"/>
    <n v="46815.03"/>
    <n v="40941.21"/>
    <n v="144.09"/>
    <n v="549.6"/>
    <x v="3266"/>
    <x v="1"/>
  </r>
  <r>
    <x v="14"/>
    <x v="4"/>
    <x v="3"/>
    <n v="33769.17"/>
    <n v="38293.01"/>
    <n v="71.84"/>
    <n v="208.15"/>
    <x v="3267"/>
    <x v="0"/>
  </r>
  <r>
    <x v="5"/>
    <x v="3"/>
    <x v="7"/>
    <n v="16024.39"/>
    <n v="16640.57"/>
    <n v="20.84"/>
    <n v="1030.1400000000001"/>
    <x v="3268"/>
    <x v="1"/>
  </r>
  <r>
    <x v="4"/>
    <x v="3"/>
    <x v="6"/>
    <n v="15502.28"/>
    <n v="13784.37"/>
    <n v="131.25"/>
    <n v="1331.08"/>
    <x v="3269"/>
    <x v="1"/>
  </r>
  <r>
    <x v="18"/>
    <x v="3"/>
    <x v="0"/>
    <n v="8983.06"/>
    <n v="10583.84"/>
    <n v="72.739999999999995"/>
    <n v="402"/>
    <x v="3270"/>
    <x v="1"/>
  </r>
  <r>
    <x v="4"/>
    <x v="5"/>
    <x v="2"/>
    <n v="19195.97"/>
    <n v="20988.26"/>
    <n v="169.68"/>
    <n v="422.31"/>
    <x v="3271"/>
    <x v="0"/>
  </r>
  <r>
    <x v="3"/>
    <x v="1"/>
    <x v="5"/>
    <n v="32301.18"/>
    <n v="37418.51"/>
    <n v="88.09"/>
    <n v="208.25"/>
    <x v="3272"/>
    <x v="1"/>
  </r>
  <r>
    <x v="11"/>
    <x v="6"/>
    <x v="0"/>
    <n v="4887.7299999999996"/>
    <n v="5265.03"/>
    <n v="22.07"/>
    <n v="897.92"/>
    <x v="3273"/>
    <x v="0"/>
  </r>
  <r>
    <x v="5"/>
    <x v="2"/>
    <x v="3"/>
    <n v="3712.38"/>
    <n v="3146.93"/>
    <n v="157.55000000000001"/>
    <n v="709.35"/>
    <x v="3274"/>
    <x v="1"/>
  </r>
  <r>
    <x v="8"/>
    <x v="2"/>
    <x v="2"/>
    <n v="5114.3"/>
    <n v="4884.28"/>
    <n v="33.619999999999997"/>
    <n v="148.41"/>
    <x v="3275"/>
    <x v="1"/>
  </r>
  <r>
    <x v="1"/>
    <x v="1"/>
    <x v="7"/>
    <n v="39060.620000000003"/>
    <n v="34962.300000000003"/>
    <n v="199.92"/>
    <n v="885.96"/>
    <x v="3276"/>
    <x v="1"/>
  </r>
  <r>
    <x v="2"/>
    <x v="0"/>
    <x v="0"/>
    <n v="40255.89"/>
    <n v="34570.93"/>
    <n v="194.77"/>
    <n v="573.91999999999996"/>
    <x v="3277"/>
    <x v="0"/>
  </r>
  <r>
    <x v="10"/>
    <x v="5"/>
    <x v="1"/>
    <n v="24282.86"/>
    <n v="28463.98"/>
    <n v="110.28"/>
    <n v="101.68"/>
    <x v="3278"/>
    <x v="0"/>
  </r>
  <r>
    <x v="1"/>
    <x v="3"/>
    <x v="5"/>
    <n v="19616.759999999998"/>
    <n v="16787.22"/>
    <n v="116.5"/>
    <n v="253.22"/>
    <x v="3279"/>
    <x v="1"/>
  </r>
  <r>
    <x v="16"/>
    <x v="3"/>
    <x v="2"/>
    <n v="1999.43"/>
    <n v="2209.15"/>
    <n v="81.150000000000006"/>
    <n v="250.93"/>
    <x v="3280"/>
    <x v="1"/>
  </r>
  <r>
    <x v="15"/>
    <x v="0"/>
    <x v="4"/>
    <n v="34166.79"/>
    <n v="40472.400000000001"/>
    <n v="46.19"/>
    <n v="652.71"/>
    <x v="3281"/>
    <x v="0"/>
  </r>
  <r>
    <x v="14"/>
    <x v="4"/>
    <x v="3"/>
    <n v="46773.98"/>
    <n v="48206.73"/>
    <n v="84.36"/>
    <n v="988.47"/>
    <x v="3282"/>
    <x v="0"/>
  </r>
  <r>
    <x v="5"/>
    <x v="1"/>
    <x v="2"/>
    <n v="46538.54"/>
    <n v="48512.62"/>
    <n v="28.93"/>
    <n v="200.8"/>
    <x v="3283"/>
    <x v="1"/>
  </r>
  <r>
    <x v="18"/>
    <x v="5"/>
    <x v="2"/>
    <n v="11491.37"/>
    <n v="10326.31"/>
    <n v="138.19"/>
    <n v="463.47"/>
    <x v="3284"/>
    <x v="0"/>
  </r>
  <r>
    <x v="14"/>
    <x v="3"/>
    <x v="3"/>
    <n v="43696.76"/>
    <n v="38169.410000000003"/>
    <n v="104.85"/>
    <n v="1153.5"/>
    <x v="3285"/>
    <x v="1"/>
  </r>
  <r>
    <x v="6"/>
    <x v="2"/>
    <x v="5"/>
    <n v="17496.98"/>
    <n v="20725.2"/>
    <n v="85.12"/>
    <n v="1235.29"/>
    <x v="3286"/>
    <x v="1"/>
  </r>
  <r>
    <x v="12"/>
    <x v="3"/>
    <x v="6"/>
    <n v="44426.82"/>
    <n v="39419.51"/>
    <n v="73.58"/>
    <n v="1397.97"/>
    <x v="3287"/>
    <x v="1"/>
  </r>
  <r>
    <x v="8"/>
    <x v="2"/>
    <x v="2"/>
    <n v="9282.85"/>
    <n v="7976.85"/>
    <n v="44.24"/>
    <n v="253.85"/>
    <x v="3288"/>
    <x v="1"/>
  </r>
  <r>
    <x v="8"/>
    <x v="0"/>
    <x v="6"/>
    <n v="32065.24"/>
    <n v="36800.089999999997"/>
    <n v="61.8"/>
    <n v="738.23"/>
    <x v="3289"/>
    <x v="0"/>
  </r>
  <r>
    <x v="13"/>
    <x v="1"/>
    <x v="7"/>
    <n v="26722.17"/>
    <n v="27929.17"/>
    <n v="129.94999999999999"/>
    <n v="1242.06"/>
    <x v="3290"/>
    <x v="1"/>
  </r>
  <r>
    <x v="11"/>
    <x v="5"/>
    <x v="3"/>
    <n v="7398.36"/>
    <n v="6727.97"/>
    <n v="154.96"/>
    <n v="569.53"/>
    <x v="3291"/>
    <x v="0"/>
  </r>
  <r>
    <x v="13"/>
    <x v="0"/>
    <x v="4"/>
    <n v="3622.54"/>
    <n v="3115.14"/>
    <n v="34.51"/>
    <n v="1062.83"/>
    <x v="3292"/>
    <x v="0"/>
  </r>
  <r>
    <x v="9"/>
    <x v="4"/>
    <x v="0"/>
    <n v="23255.62"/>
    <n v="25460.94"/>
    <n v="151.46"/>
    <n v="491.13"/>
    <x v="3293"/>
    <x v="0"/>
  </r>
  <r>
    <x v="1"/>
    <x v="2"/>
    <x v="7"/>
    <n v="4809.6899999999996"/>
    <n v="4984.28"/>
    <n v="39.14"/>
    <n v="107.84"/>
    <x v="3294"/>
    <x v="1"/>
  </r>
  <r>
    <x v="14"/>
    <x v="0"/>
    <x v="3"/>
    <n v="14370.21"/>
    <n v="16927.689999999999"/>
    <n v="59.53"/>
    <n v="639.87"/>
    <x v="3295"/>
    <x v="0"/>
  </r>
  <r>
    <x v="2"/>
    <x v="1"/>
    <x v="1"/>
    <n v="8866.15"/>
    <n v="7180.84"/>
    <n v="151.04"/>
    <n v="1211.4100000000001"/>
    <x v="3296"/>
    <x v="1"/>
  </r>
  <r>
    <x v="19"/>
    <x v="4"/>
    <x v="5"/>
    <n v="22552.63"/>
    <n v="22164.55"/>
    <n v="172.3"/>
    <n v="839.76"/>
    <x v="3297"/>
    <x v="0"/>
  </r>
  <r>
    <x v="14"/>
    <x v="6"/>
    <x v="6"/>
    <n v="41734.14"/>
    <n v="46916.87"/>
    <n v="80.040000000000006"/>
    <n v="1192.94"/>
    <x v="3298"/>
    <x v="0"/>
  </r>
  <r>
    <x v="13"/>
    <x v="0"/>
    <x v="2"/>
    <n v="21239.11"/>
    <n v="19429.830000000002"/>
    <n v="91.54"/>
    <n v="531.66999999999996"/>
    <x v="3299"/>
    <x v="0"/>
  </r>
  <r>
    <x v="8"/>
    <x v="1"/>
    <x v="1"/>
    <n v="29107.43"/>
    <n v="29245.63"/>
    <n v="41.61"/>
    <n v="218.47"/>
    <x v="3300"/>
    <x v="1"/>
  </r>
  <r>
    <x v="19"/>
    <x v="2"/>
    <x v="7"/>
    <n v="533.57000000000005"/>
    <n v="560.98"/>
    <n v="134.44"/>
    <n v="69.81"/>
    <x v="3301"/>
    <x v="1"/>
  </r>
  <r>
    <x v="6"/>
    <x v="1"/>
    <x v="1"/>
    <n v="46401.05"/>
    <n v="48577"/>
    <n v="126.89"/>
    <n v="258.06"/>
    <x v="3302"/>
    <x v="1"/>
  </r>
  <r>
    <x v="8"/>
    <x v="6"/>
    <x v="4"/>
    <n v="22704.79"/>
    <n v="22767.89"/>
    <n v="109.48"/>
    <n v="1296.8900000000001"/>
    <x v="3303"/>
    <x v="0"/>
  </r>
  <r>
    <x v="7"/>
    <x v="6"/>
    <x v="0"/>
    <n v="6960.42"/>
    <n v="7031.06"/>
    <n v="97.19"/>
    <n v="105.43"/>
    <x v="3304"/>
    <x v="0"/>
  </r>
  <r>
    <x v="13"/>
    <x v="0"/>
    <x v="2"/>
    <n v="42902.400000000001"/>
    <n v="40219.21"/>
    <n v="161.36000000000001"/>
    <n v="955.17"/>
    <x v="3305"/>
    <x v="0"/>
  </r>
  <r>
    <x v="14"/>
    <x v="1"/>
    <x v="1"/>
    <n v="8042.22"/>
    <n v="7615.36"/>
    <n v="23.76"/>
    <n v="697.81"/>
    <x v="3306"/>
    <x v="1"/>
  </r>
  <r>
    <x v="9"/>
    <x v="5"/>
    <x v="2"/>
    <n v="5585.75"/>
    <n v="6072.85"/>
    <n v="52.1"/>
    <n v="1188.67"/>
    <x v="3307"/>
    <x v="0"/>
  </r>
  <r>
    <x v="17"/>
    <x v="2"/>
    <x v="7"/>
    <n v="17794.580000000002"/>
    <n v="17921.04"/>
    <n v="20.63"/>
    <n v="904.78"/>
    <x v="3308"/>
    <x v="1"/>
  </r>
  <r>
    <x v="10"/>
    <x v="0"/>
    <x v="2"/>
    <n v="30097.01"/>
    <n v="27556.1"/>
    <n v="83.75"/>
    <n v="951.46"/>
    <x v="3309"/>
    <x v="0"/>
  </r>
  <r>
    <x v="18"/>
    <x v="3"/>
    <x v="1"/>
    <n v="6267.9"/>
    <n v="5730.43"/>
    <n v="182.82"/>
    <n v="1254.1099999999999"/>
    <x v="3310"/>
    <x v="1"/>
  </r>
  <r>
    <x v="9"/>
    <x v="2"/>
    <x v="1"/>
    <n v="35785.61"/>
    <n v="41521.980000000003"/>
    <n v="150.06"/>
    <n v="163.44999999999999"/>
    <x v="3311"/>
    <x v="1"/>
  </r>
  <r>
    <x v="9"/>
    <x v="4"/>
    <x v="1"/>
    <n v="46778.67"/>
    <n v="46048.82"/>
    <n v="183.41"/>
    <n v="230.94"/>
    <x v="3312"/>
    <x v="0"/>
  </r>
  <r>
    <x v="5"/>
    <x v="3"/>
    <x v="6"/>
    <n v="45552.71"/>
    <n v="53739.43"/>
    <n v="156.02000000000001"/>
    <n v="270.5"/>
    <x v="3313"/>
    <x v="1"/>
  </r>
  <r>
    <x v="19"/>
    <x v="4"/>
    <x v="1"/>
    <n v="2537.5300000000002"/>
    <n v="2519.27"/>
    <n v="33.520000000000003"/>
    <n v="44.16"/>
    <x v="3314"/>
    <x v="0"/>
  </r>
  <r>
    <x v="17"/>
    <x v="1"/>
    <x v="5"/>
    <n v="27519"/>
    <n v="27745.27"/>
    <n v="163.55000000000001"/>
    <n v="791.56"/>
    <x v="3315"/>
    <x v="1"/>
  </r>
  <r>
    <x v="1"/>
    <x v="3"/>
    <x v="6"/>
    <n v="44612.93"/>
    <n v="45623.519999999997"/>
    <n v="93.88"/>
    <n v="1206.98"/>
    <x v="3316"/>
    <x v="1"/>
  </r>
  <r>
    <x v="12"/>
    <x v="5"/>
    <x v="3"/>
    <n v="1756.7"/>
    <n v="1780.36"/>
    <n v="126.15"/>
    <n v="183.95"/>
    <x v="3317"/>
    <x v="0"/>
  </r>
  <r>
    <x v="14"/>
    <x v="1"/>
    <x v="2"/>
    <n v="21686.39"/>
    <n v="18997.419999999998"/>
    <n v="82.69"/>
    <n v="440.06"/>
    <x v="3318"/>
    <x v="1"/>
  </r>
  <r>
    <x v="10"/>
    <x v="6"/>
    <x v="3"/>
    <n v="8037.57"/>
    <n v="9462.7099999999991"/>
    <n v="50.79"/>
    <n v="409.67"/>
    <x v="3319"/>
    <x v="0"/>
  </r>
  <r>
    <x v="3"/>
    <x v="0"/>
    <x v="0"/>
    <n v="30265.74"/>
    <n v="27579.4"/>
    <n v="73.17"/>
    <n v="25.11"/>
    <x v="3320"/>
    <x v="0"/>
  </r>
  <r>
    <x v="10"/>
    <x v="6"/>
    <x v="4"/>
    <n v="35756.269999999997"/>
    <n v="29631.95"/>
    <n v="182.04"/>
    <n v="881.59"/>
    <x v="3321"/>
    <x v="0"/>
  </r>
  <r>
    <x v="17"/>
    <x v="0"/>
    <x v="4"/>
    <n v="15462.88"/>
    <n v="17410.11"/>
    <n v="71.52"/>
    <n v="548.5"/>
    <x v="3322"/>
    <x v="0"/>
  </r>
  <r>
    <x v="16"/>
    <x v="0"/>
    <x v="0"/>
    <n v="13800.61"/>
    <n v="14300.07"/>
    <n v="53.27"/>
    <n v="265.22000000000003"/>
    <x v="3323"/>
    <x v="0"/>
  </r>
  <r>
    <x v="1"/>
    <x v="5"/>
    <x v="1"/>
    <n v="48499.44"/>
    <n v="49055.91"/>
    <n v="41.74"/>
    <n v="569.55999999999995"/>
    <x v="3324"/>
    <x v="0"/>
  </r>
  <r>
    <x v="9"/>
    <x v="4"/>
    <x v="6"/>
    <n v="20534.12"/>
    <n v="22972.25"/>
    <n v="90.13"/>
    <n v="699.74"/>
    <x v="3325"/>
    <x v="0"/>
  </r>
  <r>
    <x v="5"/>
    <x v="3"/>
    <x v="4"/>
    <n v="44313.75"/>
    <n v="48631.01"/>
    <n v="108.24"/>
    <n v="684.06"/>
    <x v="3326"/>
    <x v="1"/>
  </r>
  <r>
    <x v="13"/>
    <x v="6"/>
    <x v="1"/>
    <n v="25153.49"/>
    <n v="26899.88"/>
    <n v="25.7"/>
    <n v="260.55"/>
    <x v="3327"/>
    <x v="0"/>
  </r>
  <r>
    <x v="6"/>
    <x v="1"/>
    <x v="3"/>
    <n v="17580.509999999998"/>
    <n v="19982.080000000002"/>
    <n v="58.39"/>
    <n v="1265.72"/>
    <x v="3328"/>
    <x v="1"/>
  </r>
  <r>
    <x v="15"/>
    <x v="1"/>
    <x v="1"/>
    <n v="23655.31"/>
    <n v="23348.89"/>
    <n v="79.569999999999993"/>
    <n v="83.43"/>
    <x v="3329"/>
    <x v="1"/>
  </r>
  <r>
    <x v="8"/>
    <x v="6"/>
    <x v="2"/>
    <n v="15176.46"/>
    <n v="13202.09"/>
    <n v="63.83"/>
    <n v="162.07"/>
    <x v="3330"/>
    <x v="0"/>
  </r>
  <r>
    <x v="19"/>
    <x v="3"/>
    <x v="0"/>
    <n v="5214.72"/>
    <n v="5805.35"/>
    <n v="52.33"/>
    <n v="1376.05"/>
    <x v="3331"/>
    <x v="1"/>
  </r>
  <r>
    <x v="13"/>
    <x v="6"/>
    <x v="5"/>
    <n v="15753.94"/>
    <n v="13558.12"/>
    <n v="124.64"/>
    <n v="253.44"/>
    <x v="3332"/>
    <x v="0"/>
  </r>
  <r>
    <x v="11"/>
    <x v="2"/>
    <x v="1"/>
    <n v="38470.53"/>
    <n v="32336.93"/>
    <n v="186.34"/>
    <n v="372.01"/>
    <x v="3333"/>
    <x v="1"/>
  </r>
  <r>
    <x v="2"/>
    <x v="2"/>
    <x v="4"/>
    <n v="36023.96"/>
    <n v="30105.02"/>
    <n v="39.729999999999997"/>
    <n v="1099.99"/>
    <x v="3334"/>
    <x v="1"/>
  </r>
  <r>
    <x v="4"/>
    <x v="2"/>
    <x v="7"/>
    <n v="37698.370000000003"/>
    <n v="36436.28"/>
    <n v="28.26"/>
    <n v="90.79"/>
    <x v="3335"/>
    <x v="1"/>
  </r>
  <r>
    <x v="5"/>
    <x v="3"/>
    <x v="0"/>
    <n v="14112.86"/>
    <n v="16584.400000000001"/>
    <n v="72.25"/>
    <n v="1333.34"/>
    <x v="3336"/>
    <x v="1"/>
  </r>
  <r>
    <x v="14"/>
    <x v="4"/>
    <x v="1"/>
    <n v="44042.55"/>
    <n v="47727.23"/>
    <n v="30.99"/>
    <n v="1251.2"/>
    <x v="3337"/>
    <x v="0"/>
  </r>
  <r>
    <x v="16"/>
    <x v="6"/>
    <x v="6"/>
    <n v="14982.46"/>
    <n v="12154.94"/>
    <n v="106.96"/>
    <n v="427.53"/>
    <x v="3338"/>
    <x v="0"/>
  </r>
  <r>
    <x v="6"/>
    <x v="4"/>
    <x v="0"/>
    <n v="32333.47"/>
    <n v="38720.22"/>
    <n v="150.97"/>
    <n v="752.32"/>
    <x v="3339"/>
    <x v="0"/>
  </r>
  <r>
    <x v="4"/>
    <x v="4"/>
    <x v="0"/>
    <n v="24208.080000000002"/>
    <n v="21417.200000000001"/>
    <n v="196.57"/>
    <n v="1029.54"/>
    <x v="3340"/>
    <x v="0"/>
  </r>
  <r>
    <x v="10"/>
    <x v="4"/>
    <x v="3"/>
    <n v="32795.599999999999"/>
    <n v="37385.22"/>
    <n v="122.13"/>
    <n v="667.32"/>
    <x v="3341"/>
    <x v="0"/>
  </r>
  <r>
    <x v="1"/>
    <x v="2"/>
    <x v="4"/>
    <n v="26972.75"/>
    <n v="23026.53"/>
    <n v="103.94"/>
    <n v="454.48"/>
    <x v="3342"/>
    <x v="1"/>
  </r>
  <r>
    <x v="10"/>
    <x v="2"/>
    <x v="4"/>
    <n v="23314.59"/>
    <n v="20936.8"/>
    <n v="167.1"/>
    <n v="659.43"/>
    <x v="3343"/>
    <x v="1"/>
  </r>
  <r>
    <x v="6"/>
    <x v="4"/>
    <x v="7"/>
    <n v="25539.279999999999"/>
    <n v="28544.06"/>
    <n v="164.53"/>
    <n v="1094.29"/>
    <x v="3344"/>
    <x v="0"/>
  </r>
  <r>
    <x v="7"/>
    <x v="1"/>
    <x v="5"/>
    <n v="46451.63"/>
    <n v="39707.99"/>
    <n v="104.93"/>
    <n v="1223.69"/>
    <x v="3345"/>
    <x v="1"/>
  </r>
  <r>
    <x v="4"/>
    <x v="4"/>
    <x v="1"/>
    <n v="29156.880000000001"/>
    <n v="33590.67"/>
    <n v="90.47"/>
    <n v="1067.52"/>
    <x v="3346"/>
    <x v="0"/>
  </r>
  <r>
    <x v="1"/>
    <x v="5"/>
    <x v="5"/>
    <n v="39316.949999999997"/>
    <n v="36589.5"/>
    <n v="112.78"/>
    <n v="189.35"/>
    <x v="3347"/>
    <x v="0"/>
  </r>
  <r>
    <x v="8"/>
    <x v="5"/>
    <x v="1"/>
    <n v="27210.3"/>
    <n v="27979.67"/>
    <n v="45.43"/>
    <n v="1137.8699999999999"/>
    <x v="3348"/>
    <x v="0"/>
  </r>
  <r>
    <x v="4"/>
    <x v="4"/>
    <x v="0"/>
    <n v="5558.27"/>
    <n v="5169.3999999999996"/>
    <n v="180.66"/>
    <n v="1118.5"/>
    <x v="3349"/>
    <x v="0"/>
  </r>
  <r>
    <x v="8"/>
    <x v="5"/>
    <x v="5"/>
    <n v="35972.5"/>
    <n v="38671.769999999997"/>
    <n v="34.68"/>
    <n v="145.29"/>
    <x v="3350"/>
    <x v="0"/>
  </r>
  <r>
    <x v="16"/>
    <x v="5"/>
    <x v="6"/>
    <n v="34379.480000000003"/>
    <n v="37594.21"/>
    <n v="104.98"/>
    <n v="359.03"/>
    <x v="3351"/>
    <x v="0"/>
  </r>
  <r>
    <x v="12"/>
    <x v="4"/>
    <x v="7"/>
    <n v="43460.32"/>
    <n v="51777.73"/>
    <n v="107.63"/>
    <n v="541.25"/>
    <x v="3352"/>
    <x v="0"/>
  </r>
  <r>
    <x v="7"/>
    <x v="2"/>
    <x v="4"/>
    <n v="19412.2"/>
    <n v="18532.37"/>
    <n v="36.130000000000003"/>
    <n v="813.79"/>
    <x v="3353"/>
    <x v="1"/>
  </r>
  <r>
    <x v="16"/>
    <x v="2"/>
    <x v="1"/>
    <n v="46789.67"/>
    <n v="47361.14"/>
    <n v="174.92"/>
    <n v="1320.44"/>
    <x v="3354"/>
    <x v="1"/>
  </r>
  <r>
    <x v="8"/>
    <x v="6"/>
    <x v="5"/>
    <n v="40204.589999999997"/>
    <n v="43618.55"/>
    <n v="21.08"/>
    <n v="1051.82"/>
    <x v="3355"/>
    <x v="0"/>
  </r>
  <r>
    <x v="0"/>
    <x v="2"/>
    <x v="4"/>
    <n v="24682.22"/>
    <n v="28654.54"/>
    <n v="182.5"/>
    <n v="1173.32"/>
    <x v="3356"/>
    <x v="1"/>
  </r>
  <r>
    <x v="5"/>
    <x v="6"/>
    <x v="6"/>
    <n v="41022.69"/>
    <n v="37983.5"/>
    <n v="124.4"/>
    <n v="595.79999999999995"/>
    <x v="3357"/>
    <x v="0"/>
  </r>
  <r>
    <x v="17"/>
    <x v="6"/>
    <x v="5"/>
    <n v="23062.5"/>
    <n v="26536.15"/>
    <n v="78.77"/>
    <n v="1317.97"/>
    <x v="3358"/>
    <x v="0"/>
  </r>
  <r>
    <x v="18"/>
    <x v="3"/>
    <x v="0"/>
    <n v="9075.75"/>
    <n v="8738.84"/>
    <n v="83.56"/>
    <n v="869.57"/>
    <x v="3359"/>
    <x v="1"/>
  </r>
  <r>
    <x v="18"/>
    <x v="4"/>
    <x v="6"/>
    <n v="5738.46"/>
    <n v="6447.91"/>
    <n v="33.99"/>
    <n v="1302.6600000000001"/>
    <x v="3360"/>
    <x v="0"/>
  </r>
  <r>
    <x v="2"/>
    <x v="5"/>
    <x v="4"/>
    <n v="20741.310000000001"/>
    <n v="22020.13"/>
    <n v="189.06"/>
    <n v="1036.27"/>
    <x v="3361"/>
    <x v="0"/>
  </r>
  <r>
    <x v="8"/>
    <x v="2"/>
    <x v="5"/>
    <n v="5238.17"/>
    <n v="4223.7299999999996"/>
    <n v="58.54"/>
    <n v="99.46"/>
    <x v="3362"/>
    <x v="1"/>
  </r>
  <r>
    <x v="6"/>
    <x v="2"/>
    <x v="0"/>
    <n v="6249.74"/>
    <n v="6674.64"/>
    <n v="53.21"/>
    <n v="446.03"/>
    <x v="3363"/>
    <x v="1"/>
  </r>
  <r>
    <x v="13"/>
    <x v="0"/>
    <x v="2"/>
    <n v="5227.6099999999997"/>
    <n v="6105.45"/>
    <n v="55.64"/>
    <n v="1354.95"/>
    <x v="3364"/>
    <x v="0"/>
  </r>
  <r>
    <x v="6"/>
    <x v="3"/>
    <x v="1"/>
    <n v="38206.78"/>
    <n v="32981.14"/>
    <n v="65.260000000000005"/>
    <n v="981.18"/>
    <x v="3365"/>
    <x v="1"/>
  </r>
  <r>
    <x v="15"/>
    <x v="1"/>
    <x v="4"/>
    <n v="12421.08"/>
    <n v="12731.67"/>
    <n v="114.22"/>
    <n v="1324.66"/>
    <x v="3366"/>
    <x v="1"/>
  </r>
  <r>
    <x v="5"/>
    <x v="1"/>
    <x v="7"/>
    <n v="1393.35"/>
    <n v="1181.6500000000001"/>
    <n v="97.46"/>
    <n v="1196.78"/>
    <x v="3367"/>
    <x v="1"/>
  </r>
  <r>
    <x v="4"/>
    <x v="5"/>
    <x v="0"/>
    <n v="19352.73"/>
    <n v="16499.62"/>
    <n v="30.08"/>
    <n v="607.53"/>
    <x v="3368"/>
    <x v="0"/>
  </r>
  <r>
    <x v="16"/>
    <x v="3"/>
    <x v="2"/>
    <n v="25383.46"/>
    <n v="24480.33"/>
    <n v="22.15"/>
    <n v="201.71"/>
    <x v="3369"/>
    <x v="1"/>
  </r>
  <r>
    <x v="9"/>
    <x v="2"/>
    <x v="2"/>
    <n v="22462.46"/>
    <n v="25994.95"/>
    <n v="69.930000000000007"/>
    <n v="1190.43"/>
    <x v="3370"/>
    <x v="1"/>
  </r>
  <r>
    <x v="8"/>
    <x v="4"/>
    <x v="7"/>
    <n v="7499.8"/>
    <n v="6557.21"/>
    <n v="147.24"/>
    <n v="601.02"/>
    <x v="3371"/>
    <x v="0"/>
  </r>
  <r>
    <x v="2"/>
    <x v="0"/>
    <x v="3"/>
    <n v="12946.24"/>
    <n v="12645.64"/>
    <n v="148.32"/>
    <n v="653.75"/>
    <x v="3372"/>
    <x v="0"/>
  </r>
  <r>
    <x v="13"/>
    <x v="3"/>
    <x v="6"/>
    <n v="17849.11"/>
    <n v="18029.79"/>
    <n v="69.27"/>
    <n v="545.32000000000005"/>
    <x v="3373"/>
    <x v="1"/>
  </r>
  <r>
    <x v="4"/>
    <x v="3"/>
    <x v="3"/>
    <n v="19678.150000000001"/>
    <n v="19772.16"/>
    <n v="173.21"/>
    <n v="1137.81"/>
    <x v="3374"/>
    <x v="1"/>
  </r>
  <r>
    <x v="2"/>
    <x v="3"/>
    <x v="1"/>
    <n v="7322.68"/>
    <n v="7798.37"/>
    <n v="89.85"/>
    <n v="240.95"/>
    <x v="3375"/>
    <x v="1"/>
  </r>
  <r>
    <x v="4"/>
    <x v="1"/>
    <x v="3"/>
    <n v="31791.18"/>
    <n v="27882.5"/>
    <n v="140.94"/>
    <n v="272.42"/>
    <x v="3376"/>
    <x v="1"/>
  </r>
  <r>
    <x v="4"/>
    <x v="1"/>
    <x v="0"/>
    <n v="19895.02"/>
    <n v="18052.810000000001"/>
    <n v="90.72"/>
    <n v="360.53"/>
    <x v="3377"/>
    <x v="1"/>
  </r>
  <r>
    <x v="15"/>
    <x v="3"/>
    <x v="6"/>
    <n v="22381.439999999999"/>
    <n v="23224.97"/>
    <n v="115.02"/>
    <n v="871.36"/>
    <x v="3378"/>
    <x v="1"/>
  </r>
  <r>
    <x v="16"/>
    <x v="5"/>
    <x v="7"/>
    <n v="24999.74"/>
    <n v="20405.37"/>
    <n v="199.08"/>
    <n v="1245.58"/>
    <x v="3379"/>
    <x v="0"/>
  </r>
  <r>
    <x v="8"/>
    <x v="6"/>
    <x v="5"/>
    <n v="2029.71"/>
    <n v="1939.64"/>
    <n v="167.54"/>
    <n v="755.19"/>
    <x v="3380"/>
    <x v="0"/>
  </r>
  <r>
    <x v="5"/>
    <x v="4"/>
    <x v="2"/>
    <n v="8971.56"/>
    <n v="8331.7999999999993"/>
    <n v="29.86"/>
    <n v="983.07"/>
    <x v="3381"/>
    <x v="0"/>
  </r>
  <r>
    <x v="2"/>
    <x v="5"/>
    <x v="2"/>
    <n v="8025.09"/>
    <n v="9211.6200000000008"/>
    <n v="30.09"/>
    <n v="281.02"/>
    <x v="3382"/>
    <x v="0"/>
  </r>
  <r>
    <x v="18"/>
    <x v="5"/>
    <x v="6"/>
    <n v="13833.33"/>
    <n v="12039.53"/>
    <n v="124.84"/>
    <n v="377.44"/>
    <x v="3383"/>
    <x v="0"/>
  </r>
  <r>
    <x v="15"/>
    <x v="0"/>
    <x v="2"/>
    <n v="27903.119999999999"/>
    <n v="30467.52"/>
    <n v="114.51"/>
    <n v="1189.02"/>
    <x v="3384"/>
    <x v="0"/>
  </r>
  <r>
    <x v="11"/>
    <x v="5"/>
    <x v="3"/>
    <n v="45111.22"/>
    <n v="38372.58"/>
    <n v="101.35"/>
    <n v="166.36"/>
    <x v="3385"/>
    <x v="0"/>
  </r>
  <r>
    <x v="2"/>
    <x v="3"/>
    <x v="5"/>
    <n v="29844.57"/>
    <n v="33358.93"/>
    <n v="139.27000000000001"/>
    <n v="966.21"/>
    <x v="3386"/>
    <x v="1"/>
  </r>
  <r>
    <x v="16"/>
    <x v="4"/>
    <x v="0"/>
    <n v="6023.68"/>
    <n v="5862.1"/>
    <n v="147.63"/>
    <n v="1237.29"/>
    <x v="3387"/>
    <x v="0"/>
  </r>
  <r>
    <x v="1"/>
    <x v="1"/>
    <x v="0"/>
    <n v="36567.57"/>
    <n v="39207.300000000003"/>
    <n v="153.83000000000001"/>
    <n v="362.32"/>
    <x v="3388"/>
    <x v="1"/>
  </r>
  <r>
    <x v="14"/>
    <x v="4"/>
    <x v="0"/>
    <n v="8610.6"/>
    <n v="9965.75"/>
    <n v="176.51"/>
    <n v="188.16"/>
    <x v="3389"/>
    <x v="0"/>
  </r>
  <r>
    <x v="15"/>
    <x v="4"/>
    <x v="2"/>
    <n v="665.76"/>
    <n v="777.85"/>
    <n v="59.98"/>
    <n v="111.12"/>
    <x v="3390"/>
    <x v="0"/>
  </r>
  <r>
    <x v="12"/>
    <x v="5"/>
    <x v="6"/>
    <n v="24247.74"/>
    <n v="22169.09"/>
    <n v="169.1"/>
    <n v="1375.81"/>
    <x v="3391"/>
    <x v="0"/>
  </r>
  <r>
    <x v="0"/>
    <x v="3"/>
    <x v="6"/>
    <n v="29146.86"/>
    <n v="29856.58"/>
    <n v="85.87"/>
    <n v="1050.94"/>
    <x v="3392"/>
    <x v="1"/>
  </r>
  <r>
    <x v="17"/>
    <x v="2"/>
    <x v="2"/>
    <n v="28953.39"/>
    <n v="23474.35"/>
    <n v="85.73"/>
    <n v="692.25"/>
    <x v="3393"/>
    <x v="1"/>
  </r>
  <r>
    <x v="16"/>
    <x v="4"/>
    <x v="7"/>
    <n v="32055.29"/>
    <n v="32302.720000000001"/>
    <n v="183.77"/>
    <n v="402.02"/>
    <x v="3394"/>
    <x v="0"/>
  </r>
  <r>
    <x v="15"/>
    <x v="5"/>
    <x v="0"/>
    <n v="15039.52"/>
    <n v="14360.69"/>
    <n v="189.16"/>
    <n v="405.88"/>
    <x v="3395"/>
    <x v="0"/>
  </r>
  <r>
    <x v="15"/>
    <x v="0"/>
    <x v="7"/>
    <n v="23175.08"/>
    <n v="23172.639999999999"/>
    <n v="33.68"/>
    <n v="441.44"/>
    <x v="3396"/>
    <x v="0"/>
  </r>
  <r>
    <x v="15"/>
    <x v="6"/>
    <x v="1"/>
    <n v="36320"/>
    <n v="35895.51"/>
    <n v="42.43"/>
    <n v="87.64"/>
    <x v="3397"/>
    <x v="0"/>
  </r>
  <r>
    <x v="3"/>
    <x v="2"/>
    <x v="2"/>
    <n v="40955.589999999997"/>
    <n v="44365.919999999998"/>
    <n v="69.069999999999993"/>
    <n v="46.2"/>
    <x v="3398"/>
    <x v="1"/>
  </r>
  <r>
    <x v="2"/>
    <x v="6"/>
    <x v="2"/>
    <n v="9226.39"/>
    <n v="8137.32"/>
    <n v="38.68"/>
    <n v="1360.41"/>
    <x v="3399"/>
    <x v="0"/>
  </r>
  <r>
    <x v="9"/>
    <x v="1"/>
    <x v="5"/>
    <n v="47623.360000000001"/>
    <n v="41440.21"/>
    <n v="63.62"/>
    <n v="1017.66"/>
    <x v="3400"/>
    <x v="1"/>
  </r>
  <r>
    <x v="14"/>
    <x v="4"/>
    <x v="1"/>
    <n v="30409.26"/>
    <n v="34781.39"/>
    <n v="137.76"/>
    <n v="1270.57"/>
    <x v="3401"/>
    <x v="0"/>
  </r>
  <r>
    <x v="13"/>
    <x v="0"/>
    <x v="3"/>
    <n v="7833.47"/>
    <n v="6547.3"/>
    <n v="67.48"/>
    <n v="853.29"/>
    <x v="3402"/>
    <x v="0"/>
  </r>
  <r>
    <x v="17"/>
    <x v="5"/>
    <x v="6"/>
    <n v="34254"/>
    <n v="29249.07"/>
    <n v="191.89"/>
    <n v="889.85"/>
    <x v="3403"/>
    <x v="0"/>
  </r>
  <r>
    <x v="9"/>
    <x v="4"/>
    <x v="0"/>
    <n v="27243.29"/>
    <n v="27718.98"/>
    <n v="160"/>
    <n v="595.58000000000004"/>
    <x v="3404"/>
    <x v="0"/>
  </r>
  <r>
    <x v="5"/>
    <x v="3"/>
    <x v="2"/>
    <n v="5317.02"/>
    <n v="4775.7700000000004"/>
    <n v="112.06"/>
    <n v="768.63"/>
    <x v="3405"/>
    <x v="1"/>
  </r>
  <r>
    <x v="1"/>
    <x v="4"/>
    <x v="2"/>
    <n v="42498.75"/>
    <n v="39782.71"/>
    <n v="125.42"/>
    <n v="525.6"/>
    <x v="3406"/>
    <x v="0"/>
  </r>
  <r>
    <x v="2"/>
    <x v="3"/>
    <x v="4"/>
    <n v="14143.32"/>
    <n v="13506.93"/>
    <n v="171.49"/>
    <n v="86.22"/>
    <x v="3407"/>
    <x v="1"/>
  </r>
  <r>
    <x v="11"/>
    <x v="2"/>
    <x v="7"/>
    <n v="9972.7900000000009"/>
    <n v="8508.7900000000009"/>
    <n v="62.35"/>
    <n v="1286.68"/>
    <x v="3408"/>
    <x v="1"/>
  </r>
  <r>
    <x v="15"/>
    <x v="1"/>
    <x v="1"/>
    <n v="14467.99"/>
    <n v="16747.79"/>
    <n v="52.17"/>
    <n v="642.86"/>
    <x v="3409"/>
    <x v="1"/>
  </r>
  <r>
    <x v="0"/>
    <x v="5"/>
    <x v="3"/>
    <n v="33306.19"/>
    <n v="36955.43"/>
    <n v="67.290000000000006"/>
    <n v="549.4"/>
    <x v="3410"/>
    <x v="0"/>
  </r>
  <r>
    <x v="4"/>
    <x v="3"/>
    <x v="1"/>
    <n v="32300.63"/>
    <n v="31228.77"/>
    <n v="46.82"/>
    <n v="203.31"/>
    <x v="3411"/>
    <x v="1"/>
  </r>
  <r>
    <x v="11"/>
    <x v="6"/>
    <x v="1"/>
    <n v="36375.370000000003"/>
    <n v="34364.639999999999"/>
    <n v="49.62"/>
    <n v="420.74"/>
    <x v="3412"/>
    <x v="0"/>
  </r>
  <r>
    <x v="7"/>
    <x v="0"/>
    <x v="4"/>
    <n v="42336.15"/>
    <n v="42536.36"/>
    <n v="68.209999999999994"/>
    <n v="1382.38"/>
    <x v="3413"/>
    <x v="0"/>
  </r>
  <r>
    <x v="15"/>
    <x v="5"/>
    <x v="4"/>
    <n v="25618.78"/>
    <n v="20729.63"/>
    <n v="124"/>
    <n v="519.61"/>
    <x v="3414"/>
    <x v="0"/>
  </r>
  <r>
    <x v="3"/>
    <x v="3"/>
    <x v="3"/>
    <n v="33050.660000000003"/>
    <n v="35584.18"/>
    <n v="80.09"/>
    <n v="12.82"/>
    <x v="3415"/>
    <x v="1"/>
  </r>
  <r>
    <x v="10"/>
    <x v="6"/>
    <x v="1"/>
    <n v="12803.24"/>
    <n v="12143.22"/>
    <n v="27.39"/>
    <n v="1374.28"/>
    <x v="3416"/>
    <x v="0"/>
  </r>
  <r>
    <x v="9"/>
    <x v="4"/>
    <x v="2"/>
    <n v="33862.46"/>
    <n v="39973.68"/>
    <n v="92.9"/>
    <n v="1241.24"/>
    <x v="3417"/>
    <x v="0"/>
  </r>
  <r>
    <x v="11"/>
    <x v="6"/>
    <x v="1"/>
    <n v="41156.07"/>
    <n v="45644.2"/>
    <n v="126"/>
    <n v="1094.76"/>
    <x v="3418"/>
    <x v="0"/>
  </r>
  <r>
    <x v="10"/>
    <x v="1"/>
    <x v="0"/>
    <n v="16101.93"/>
    <n v="13941.75"/>
    <n v="59.26"/>
    <n v="849.77"/>
    <x v="3419"/>
    <x v="1"/>
  </r>
  <r>
    <x v="0"/>
    <x v="1"/>
    <x v="6"/>
    <n v="37582.449999999997"/>
    <n v="41611.089999999997"/>
    <n v="167.94"/>
    <n v="1209.51"/>
    <x v="3420"/>
    <x v="1"/>
  </r>
  <r>
    <x v="4"/>
    <x v="0"/>
    <x v="3"/>
    <n v="19177.34"/>
    <n v="19092.400000000001"/>
    <n v="195.24"/>
    <n v="1112.5899999999999"/>
    <x v="3421"/>
    <x v="0"/>
  </r>
  <r>
    <x v="9"/>
    <x v="1"/>
    <x v="4"/>
    <n v="4581.1099999999997"/>
    <n v="4174.8100000000004"/>
    <n v="155.34"/>
    <n v="211.45"/>
    <x v="3422"/>
    <x v="1"/>
  </r>
  <r>
    <x v="13"/>
    <x v="4"/>
    <x v="4"/>
    <n v="504.23"/>
    <n v="411.04"/>
    <n v="21.21"/>
    <n v="932.3"/>
    <x v="3423"/>
    <x v="0"/>
  </r>
  <r>
    <x v="15"/>
    <x v="1"/>
    <x v="0"/>
    <n v="16702.75"/>
    <n v="19585.759999999998"/>
    <n v="58.49"/>
    <n v="387.21"/>
    <x v="3424"/>
    <x v="1"/>
  </r>
  <r>
    <x v="11"/>
    <x v="0"/>
    <x v="5"/>
    <n v="8686.64"/>
    <n v="9196.6"/>
    <n v="183.13"/>
    <n v="1377.33"/>
    <x v="3425"/>
    <x v="0"/>
  </r>
  <r>
    <x v="13"/>
    <x v="5"/>
    <x v="2"/>
    <n v="3417.34"/>
    <n v="2795.2"/>
    <n v="32.630000000000003"/>
    <n v="809.83"/>
    <x v="3426"/>
    <x v="0"/>
  </r>
  <r>
    <x v="5"/>
    <x v="5"/>
    <x v="3"/>
    <n v="37623.800000000003"/>
    <n v="39764.58"/>
    <n v="123.82"/>
    <n v="924.5"/>
    <x v="3427"/>
    <x v="0"/>
  </r>
  <r>
    <x v="0"/>
    <x v="1"/>
    <x v="2"/>
    <n v="33923.620000000003"/>
    <n v="28921.39"/>
    <n v="195.02"/>
    <n v="909.28"/>
    <x v="3428"/>
    <x v="1"/>
  </r>
  <r>
    <x v="2"/>
    <x v="0"/>
    <x v="5"/>
    <n v="44186.66"/>
    <n v="44229.14"/>
    <n v="101.1"/>
    <n v="16.66"/>
    <x v="3429"/>
    <x v="0"/>
  </r>
  <r>
    <x v="19"/>
    <x v="2"/>
    <x v="7"/>
    <n v="42043.11"/>
    <n v="40712.879999999997"/>
    <n v="54.14"/>
    <n v="983.64"/>
    <x v="3430"/>
    <x v="1"/>
  </r>
  <r>
    <x v="15"/>
    <x v="1"/>
    <x v="7"/>
    <n v="40591.279999999999"/>
    <n v="45816.800000000003"/>
    <n v="28.55"/>
    <n v="866.04"/>
    <x v="3431"/>
    <x v="1"/>
  </r>
  <r>
    <x v="3"/>
    <x v="3"/>
    <x v="1"/>
    <n v="1068.0899999999999"/>
    <n v="1071.3599999999999"/>
    <n v="172.65"/>
    <n v="1130.56"/>
    <x v="3432"/>
    <x v="1"/>
  </r>
  <r>
    <x v="7"/>
    <x v="4"/>
    <x v="7"/>
    <n v="19247.18"/>
    <n v="19077.03"/>
    <n v="42.72"/>
    <n v="682.76"/>
    <x v="3433"/>
    <x v="0"/>
  </r>
  <r>
    <x v="18"/>
    <x v="6"/>
    <x v="7"/>
    <n v="41810.85"/>
    <n v="39389.599999999999"/>
    <n v="89.44"/>
    <n v="150.69"/>
    <x v="3434"/>
    <x v="0"/>
  </r>
  <r>
    <x v="13"/>
    <x v="0"/>
    <x v="5"/>
    <n v="24795.75"/>
    <n v="23650.69"/>
    <n v="27.32"/>
    <n v="496.57"/>
    <x v="3435"/>
    <x v="0"/>
  </r>
  <r>
    <x v="13"/>
    <x v="5"/>
    <x v="0"/>
    <n v="30570"/>
    <n v="29286.54"/>
    <n v="134.63"/>
    <n v="1396.92"/>
    <x v="3436"/>
    <x v="0"/>
  </r>
  <r>
    <x v="14"/>
    <x v="0"/>
    <x v="6"/>
    <n v="42432.2"/>
    <n v="45153.58"/>
    <n v="110.04"/>
    <n v="226.78"/>
    <x v="3437"/>
    <x v="0"/>
  </r>
  <r>
    <x v="13"/>
    <x v="2"/>
    <x v="0"/>
    <n v="29527.31"/>
    <n v="32708.12"/>
    <n v="177.67"/>
    <n v="871.21"/>
    <x v="3438"/>
    <x v="1"/>
  </r>
  <r>
    <x v="8"/>
    <x v="6"/>
    <x v="7"/>
    <n v="5536.51"/>
    <n v="5372.64"/>
    <n v="199.97"/>
    <n v="1266.71"/>
    <x v="3439"/>
    <x v="0"/>
  </r>
  <r>
    <x v="2"/>
    <x v="1"/>
    <x v="6"/>
    <n v="8884.49"/>
    <n v="9205.5400000000009"/>
    <n v="106.43"/>
    <n v="466.41"/>
    <x v="3440"/>
    <x v="1"/>
  </r>
  <r>
    <x v="19"/>
    <x v="6"/>
    <x v="6"/>
    <n v="36134.86"/>
    <n v="30614.93"/>
    <n v="62.98"/>
    <n v="1104.6199999999999"/>
    <x v="3441"/>
    <x v="0"/>
  </r>
  <r>
    <x v="10"/>
    <x v="0"/>
    <x v="3"/>
    <n v="17989.080000000002"/>
    <n v="20317.060000000001"/>
    <n v="117.72"/>
    <n v="156.61000000000001"/>
    <x v="3442"/>
    <x v="0"/>
  </r>
  <r>
    <x v="16"/>
    <x v="0"/>
    <x v="7"/>
    <n v="45787"/>
    <n v="53784.39"/>
    <n v="63.77"/>
    <n v="1144.08"/>
    <x v="3443"/>
    <x v="0"/>
  </r>
  <r>
    <x v="19"/>
    <x v="0"/>
    <x v="3"/>
    <n v="12399.19"/>
    <n v="10620.16"/>
    <n v="85.68"/>
    <n v="28.85"/>
    <x v="3444"/>
    <x v="0"/>
  </r>
  <r>
    <x v="16"/>
    <x v="6"/>
    <x v="6"/>
    <n v="28007.66"/>
    <n v="25132.52"/>
    <n v="117.41"/>
    <n v="604.29"/>
    <x v="3445"/>
    <x v="0"/>
  </r>
  <r>
    <x v="11"/>
    <x v="3"/>
    <x v="5"/>
    <n v="18392.830000000002"/>
    <n v="19648.54"/>
    <n v="139.80000000000001"/>
    <n v="601.79999999999995"/>
    <x v="3446"/>
    <x v="1"/>
  </r>
  <r>
    <x v="17"/>
    <x v="2"/>
    <x v="1"/>
    <n v="33989.449999999997"/>
    <n v="33107.879999999997"/>
    <n v="152.72"/>
    <n v="125.27"/>
    <x v="3447"/>
    <x v="1"/>
  </r>
  <r>
    <x v="9"/>
    <x v="5"/>
    <x v="5"/>
    <n v="17632.060000000001"/>
    <n v="15581.03"/>
    <n v="24.63"/>
    <n v="967.82"/>
    <x v="3448"/>
    <x v="0"/>
  </r>
  <r>
    <x v="10"/>
    <x v="4"/>
    <x v="0"/>
    <n v="39104.07"/>
    <n v="42722.78"/>
    <n v="141.22"/>
    <n v="248.56"/>
    <x v="3449"/>
    <x v="0"/>
  </r>
  <r>
    <x v="13"/>
    <x v="5"/>
    <x v="7"/>
    <n v="32740.54"/>
    <n v="34423.82"/>
    <n v="151.79"/>
    <n v="312.26"/>
    <x v="3450"/>
    <x v="0"/>
  </r>
  <r>
    <x v="4"/>
    <x v="6"/>
    <x v="4"/>
    <n v="35574.94"/>
    <n v="40820.81"/>
    <n v="64.17"/>
    <n v="279.12"/>
    <x v="3451"/>
    <x v="0"/>
  </r>
  <r>
    <x v="4"/>
    <x v="6"/>
    <x v="0"/>
    <n v="37972.33"/>
    <n v="32373.200000000001"/>
    <n v="86.65"/>
    <n v="711.6"/>
    <x v="3452"/>
    <x v="0"/>
  </r>
  <r>
    <x v="14"/>
    <x v="0"/>
    <x v="2"/>
    <n v="9265.19"/>
    <n v="7958.54"/>
    <n v="141.83000000000001"/>
    <n v="419.36"/>
    <x v="3453"/>
    <x v="0"/>
  </r>
  <r>
    <x v="19"/>
    <x v="4"/>
    <x v="3"/>
    <n v="13524.46"/>
    <n v="16111.36"/>
    <n v="113.6"/>
    <n v="435.05"/>
    <x v="3454"/>
    <x v="0"/>
  </r>
  <r>
    <x v="16"/>
    <x v="0"/>
    <x v="7"/>
    <n v="38681.78"/>
    <n v="39867.050000000003"/>
    <n v="185.97"/>
    <n v="717.14"/>
    <x v="3455"/>
    <x v="0"/>
  </r>
  <r>
    <x v="9"/>
    <x v="0"/>
    <x v="2"/>
    <n v="22768.25"/>
    <n v="22328.639999999999"/>
    <n v="26.31"/>
    <n v="95.03"/>
    <x v="3456"/>
    <x v="0"/>
  </r>
  <r>
    <x v="11"/>
    <x v="0"/>
    <x v="7"/>
    <n v="40688.65"/>
    <n v="37806.239999999998"/>
    <n v="97.58"/>
    <n v="1136.44"/>
    <x v="3457"/>
    <x v="0"/>
  </r>
  <r>
    <x v="18"/>
    <x v="4"/>
    <x v="7"/>
    <n v="15802.09"/>
    <n v="17956.87"/>
    <n v="132.33000000000001"/>
    <n v="122.14"/>
    <x v="3458"/>
    <x v="0"/>
  </r>
  <r>
    <x v="11"/>
    <x v="1"/>
    <x v="3"/>
    <n v="28267.81"/>
    <n v="27957.45"/>
    <n v="190.88"/>
    <n v="509.25"/>
    <x v="3459"/>
    <x v="1"/>
  </r>
  <r>
    <x v="8"/>
    <x v="6"/>
    <x v="1"/>
    <n v="9360.19"/>
    <n v="9619.3700000000008"/>
    <n v="158.4"/>
    <n v="578.55999999999995"/>
    <x v="3460"/>
    <x v="0"/>
  </r>
  <r>
    <x v="19"/>
    <x v="3"/>
    <x v="0"/>
    <n v="33614.07"/>
    <n v="32623.83"/>
    <n v="35.020000000000003"/>
    <n v="1045.46"/>
    <x v="3461"/>
    <x v="1"/>
  </r>
  <r>
    <x v="0"/>
    <x v="3"/>
    <x v="7"/>
    <n v="45258.75"/>
    <n v="42228.86"/>
    <n v="114.78"/>
    <n v="544.70000000000005"/>
    <x v="3462"/>
    <x v="1"/>
  </r>
  <r>
    <x v="7"/>
    <x v="2"/>
    <x v="1"/>
    <n v="25617.1"/>
    <n v="30499.99"/>
    <n v="66.38"/>
    <n v="1284.0999999999999"/>
    <x v="3463"/>
    <x v="1"/>
  </r>
  <r>
    <x v="1"/>
    <x v="6"/>
    <x v="7"/>
    <n v="48266.28"/>
    <n v="46014.47"/>
    <n v="82.99"/>
    <n v="185.74"/>
    <x v="3464"/>
    <x v="0"/>
  </r>
  <r>
    <x v="11"/>
    <x v="6"/>
    <x v="7"/>
    <n v="11520.09"/>
    <n v="11797.88"/>
    <n v="180.68"/>
    <n v="913.92"/>
    <x v="3465"/>
    <x v="0"/>
  </r>
  <r>
    <x v="7"/>
    <x v="3"/>
    <x v="5"/>
    <n v="28886.32"/>
    <n v="27282.46"/>
    <n v="142.77000000000001"/>
    <n v="1363.17"/>
    <x v="3466"/>
    <x v="1"/>
  </r>
  <r>
    <x v="1"/>
    <x v="4"/>
    <x v="4"/>
    <n v="18733.78"/>
    <n v="21957.439999999999"/>
    <n v="94.23"/>
    <n v="892.48"/>
    <x v="3467"/>
    <x v="0"/>
  </r>
  <r>
    <x v="8"/>
    <x v="6"/>
    <x v="1"/>
    <n v="40006.1"/>
    <n v="46604.49"/>
    <n v="76.33"/>
    <n v="1301.97"/>
    <x v="3468"/>
    <x v="0"/>
  </r>
  <r>
    <x v="12"/>
    <x v="2"/>
    <x v="1"/>
    <n v="28982.57"/>
    <n v="28253.05"/>
    <n v="47.06"/>
    <n v="191.98"/>
    <x v="3469"/>
    <x v="1"/>
  </r>
  <r>
    <x v="3"/>
    <x v="6"/>
    <x v="5"/>
    <n v="1761.46"/>
    <n v="1495.48"/>
    <n v="162.34"/>
    <n v="991.45"/>
    <x v="3470"/>
    <x v="0"/>
  </r>
  <r>
    <x v="14"/>
    <x v="1"/>
    <x v="0"/>
    <n v="28403.53"/>
    <n v="31672.29"/>
    <n v="99.03"/>
    <n v="11.58"/>
    <x v="3471"/>
    <x v="1"/>
  </r>
  <r>
    <x v="2"/>
    <x v="1"/>
    <x v="1"/>
    <n v="37743.879999999997"/>
    <n v="38738.980000000003"/>
    <n v="46.66"/>
    <n v="119.76"/>
    <x v="3472"/>
    <x v="1"/>
  </r>
  <r>
    <x v="6"/>
    <x v="0"/>
    <x v="6"/>
    <n v="46493.84"/>
    <n v="53600.3"/>
    <n v="176.13"/>
    <n v="1399.97"/>
    <x v="3473"/>
    <x v="0"/>
  </r>
  <r>
    <x v="1"/>
    <x v="6"/>
    <x v="3"/>
    <n v="35244.32"/>
    <n v="39067.47"/>
    <n v="30.67"/>
    <n v="1330.07"/>
    <x v="3474"/>
    <x v="0"/>
  </r>
  <r>
    <x v="19"/>
    <x v="6"/>
    <x v="5"/>
    <n v="29258.29"/>
    <n v="26546.09"/>
    <n v="158.11000000000001"/>
    <n v="609.53"/>
    <x v="3475"/>
    <x v="0"/>
  </r>
  <r>
    <x v="7"/>
    <x v="2"/>
    <x v="1"/>
    <n v="24001.75"/>
    <n v="24944.99"/>
    <n v="73.739999999999995"/>
    <n v="857.66"/>
    <x v="3476"/>
    <x v="1"/>
  </r>
  <r>
    <x v="8"/>
    <x v="0"/>
    <x v="7"/>
    <n v="18087.87"/>
    <n v="19442.240000000002"/>
    <n v="34.880000000000003"/>
    <n v="671.27"/>
    <x v="3477"/>
    <x v="0"/>
  </r>
  <r>
    <x v="3"/>
    <x v="2"/>
    <x v="6"/>
    <n v="42441.31"/>
    <n v="45200.44"/>
    <n v="77.05"/>
    <n v="201.51"/>
    <x v="3478"/>
    <x v="1"/>
  </r>
  <r>
    <x v="1"/>
    <x v="3"/>
    <x v="3"/>
    <n v="10968.83"/>
    <n v="12751.88"/>
    <n v="186.86"/>
    <n v="62.95"/>
    <x v="3479"/>
    <x v="1"/>
  </r>
  <r>
    <x v="10"/>
    <x v="4"/>
    <x v="6"/>
    <n v="15120.72"/>
    <n v="17927.240000000002"/>
    <n v="144.96"/>
    <n v="557.85"/>
    <x v="3480"/>
    <x v="0"/>
  </r>
  <r>
    <x v="2"/>
    <x v="2"/>
    <x v="1"/>
    <n v="41325.75"/>
    <n v="46510.43"/>
    <n v="137.47999999999999"/>
    <n v="1331.94"/>
    <x v="3481"/>
    <x v="1"/>
  </r>
  <r>
    <x v="10"/>
    <x v="3"/>
    <x v="1"/>
    <n v="32131.15"/>
    <n v="26414.69"/>
    <n v="171"/>
    <n v="841.62"/>
    <x v="3482"/>
    <x v="1"/>
  </r>
  <r>
    <x v="2"/>
    <x v="4"/>
    <x v="5"/>
    <n v="7027.51"/>
    <n v="6827.82"/>
    <n v="193.88"/>
    <n v="176.04"/>
    <x v="3483"/>
    <x v="0"/>
  </r>
  <r>
    <x v="13"/>
    <x v="1"/>
    <x v="2"/>
    <n v="17552.919999999998"/>
    <n v="18078.2"/>
    <n v="29.92"/>
    <n v="918.87"/>
    <x v="3484"/>
    <x v="1"/>
  </r>
  <r>
    <x v="0"/>
    <x v="3"/>
    <x v="1"/>
    <n v="40280.78"/>
    <n v="44555.83"/>
    <n v="91.29"/>
    <n v="631.94000000000005"/>
    <x v="3485"/>
    <x v="1"/>
  </r>
  <r>
    <x v="12"/>
    <x v="3"/>
    <x v="1"/>
    <n v="39430.11"/>
    <n v="33967.67"/>
    <n v="195.56"/>
    <n v="1238.3800000000001"/>
    <x v="3486"/>
    <x v="1"/>
  </r>
  <r>
    <x v="1"/>
    <x v="1"/>
    <x v="3"/>
    <n v="6814.9"/>
    <n v="5714.47"/>
    <n v="155.41"/>
    <n v="175.92"/>
    <x v="3487"/>
    <x v="1"/>
  </r>
  <r>
    <x v="16"/>
    <x v="1"/>
    <x v="4"/>
    <n v="41155.07"/>
    <n v="36779.53"/>
    <n v="167.03"/>
    <n v="218.12"/>
    <x v="3488"/>
    <x v="1"/>
  </r>
  <r>
    <x v="2"/>
    <x v="5"/>
    <x v="1"/>
    <n v="13820.66"/>
    <n v="13572.91"/>
    <n v="199.93"/>
    <n v="959.44"/>
    <x v="3489"/>
    <x v="0"/>
  </r>
  <r>
    <x v="9"/>
    <x v="1"/>
    <x v="4"/>
    <n v="37796.42"/>
    <n v="39306.879999999997"/>
    <n v="164.53"/>
    <n v="1122.28"/>
    <x v="3490"/>
    <x v="1"/>
  </r>
  <r>
    <x v="1"/>
    <x v="1"/>
    <x v="3"/>
    <n v="9380.4599999999991"/>
    <n v="10402.32"/>
    <n v="132.16"/>
    <n v="891.06"/>
    <x v="3491"/>
    <x v="1"/>
  </r>
  <r>
    <x v="16"/>
    <x v="6"/>
    <x v="3"/>
    <n v="4305.1099999999997"/>
    <n v="3922.57"/>
    <n v="80.739999999999995"/>
    <n v="1165.92"/>
    <x v="3492"/>
    <x v="0"/>
  </r>
  <r>
    <x v="14"/>
    <x v="6"/>
    <x v="4"/>
    <n v="43358.51"/>
    <n v="40559.910000000003"/>
    <n v="146.74"/>
    <n v="320.44"/>
    <x v="3493"/>
    <x v="0"/>
  </r>
  <r>
    <x v="0"/>
    <x v="3"/>
    <x v="0"/>
    <n v="33383.46"/>
    <n v="31641.85"/>
    <n v="179.15"/>
    <n v="700.52"/>
    <x v="3494"/>
    <x v="1"/>
  </r>
  <r>
    <x v="12"/>
    <x v="2"/>
    <x v="2"/>
    <n v="11076.21"/>
    <n v="9468.17"/>
    <n v="23.69"/>
    <n v="847.22"/>
    <x v="3495"/>
    <x v="1"/>
  </r>
  <r>
    <x v="14"/>
    <x v="1"/>
    <x v="1"/>
    <n v="35453.199999999997"/>
    <n v="29871.31"/>
    <n v="120.72"/>
    <n v="162.58000000000001"/>
    <x v="3496"/>
    <x v="1"/>
  </r>
  <r>
    <x v="4"/>
    <x v="5"/>
    <x v="6"/>
    <n v="13457.47"/>
    <n v="13475.25"/>
    <n v="90.53"/>
    <n v="633.97"/>
    <x v="3497"/>
    <x v="0"/>
  </r>
  <r>
    <x v="16"/>
    <x v="6"/>
    <x v="4"/>
    <n v="19988.52"/>
    <n v="22368.34"/>
    <n v="95.72"/>
    <n v="111.11"/>
    <x v="3498"/>
    <x v="0"/>
  </r>
  <r>
    <x v="19"/>
    <x v="6"/>
    <x v="7"/>
    <n v="44207.99"/>
    <n v="36016.43"/>
    <n v="101.07"/>
    <n v="1388.28"/>
    <x v="3499"/>
    <x v="0"/>
  </r>
  <r>
    <x v="16"/>
    <x v="1"/>
    <x v="7"/>
    <n v="41808.81"/>
    <n v="42236.58"/>
    <n v="67.75"/>
    <n v="655.29"/>
    <x v="3500"/>
    <x v="1"/>
  </r>
  <r>
    <x v="17"/>
    <x v="2"/>
    <x v="7"/>
    <n v="23698.47"/>
    <n v="26035.42"/>
    <n v="135.44999999999999"/>
    <n v="424.67"/>
    <x v="3501"/>
    <x v="1"/>
  </r>
  <r>
    <x v="15"/>
    <x v="3"/>
    <x v="5"/>
    <n v="13083.38"/>
    <n v="13486.47"/>
    <n v="83.71"/>
    <n v="96.73"/>
    <x v="3502"/>
    <x v="1"/>
  </r>
  <r>
    <x v="2"/>
    <x v="5"/>
    <x v="3"/>
    <n v="28760.63"/>
    <n v="23062.880000000001"/>
    <n v="158.32"/>
    <n v="427.03"/>
    <x v="3503"/>
    <x v="0"/>
  </r>
  <r>
    <x v="8"/>
    <x v="1"/>
    <x v="5"/>
    <n v="6212.78"/>
    <n v="6174.84"/>
    <n v="178.86"/>
    <n v="1001.38"/>
    <x v="3504"/>
    <x v="1"/>
  </r>
  <r>
    <x v="18"/>
    <x v="6"/>
    <x v="5"/>
    <n v="39039.85"/>
    <n v="33362.620000000003"/>
    <n v="123.73"/>
    <n v="1044.3499999999999"/>
    <x v="3505"/>
    <x v="0"/>
  </r>
  <r>
    <x v="14"/>
    <x v="4"/>
    <x v="0"/>
    <n v="18969.11"/>
    <n v="15680.79"/>
    <n v="53.34"/>
    <n v="1132.33"/>
    <x v="3506"/>
    <x v="0"/>
  </r>
  <r>
    <x v="3"/>
    <x v="6"/>
    <x v="3"/>
    <n v="38395.449999999997"/>
    <n v="33656.74"/>
    <n v="73.040000000000006"/>
    <n v="541.42999999999995"/>
    <x v="3507"/>
    <x v="0"/>
  </r>
  <r>
    <x v="0"/>
    <x v="2"/>
    <x v="6"/>
    <n v="34163.29"/>
    <n v="40069.69"/>
    <n v="91.17"/>
    <n v="635.01"/>
    <x v="3508"/>
    <x v="1"/>
  </r>
  <r>
    <x v="9"/>
    <x v="3"/>
    <x v="0"/>
    <n v="10616.72"/>
    <n v="12150.96"/>
    <n v="149.33000000000001"/>
    <n v="1263.27"/>
    <x v="3509"/>
    <x v="1"/>
  </r>
  <r>
    <x v="6"/>
    <x v="4"/>
    <x v="2"/>
    <n v="16670.87"/>
    <n v="15213.54"/>
    <n v="41.88"/>
    <n v="293.10000000000002"/>
    <x v="3510"/>
    <x v="0"/>
  </r>
  <r>
    <x v="13"/>
    <x v="6"/>
    <x v="5"/>
    <n v="37779.06"/>
    <n v="38537.1"/>
    <n v="115.99"/>
    <n v="713.79"/>
    <x v="3511"/>
    <x v="0"/>
  </r>
  <r>
    <x v="13"/>
    <x v="2"/>
    <x v="6"/>
    <n v="43452.84"/>
    <n v="46978.35"/>
    <n v="169.27"/>
    <n v="1297.9100000000001"/>
    <x v="3512"/>
    <x v="1"/>
  </r>
  <r>
    <x v="6"/>
    <x v="0"/>
    <x v="2"/>
    <n v="11818.08"/>
    <n v="12573.23"/>
    <n v="53.13"/>
    <n v="1346.06"/>
    <x v="3513"/>
    <x v="0"/>
  </r>
  <r>
    <x v="18"/>
    <x v="5"/>
    <x v="5"/>
    <n v="37858.620000000003"/>
    <n v="42367.34"/>
    <n v="78.400000000000006"/>
    <n v="873.33"/>
    <x v="3514"/>
    <x v="0"/>
  </r>
  <r>
    <x v="10"/>
    <x v="0"/>
    <x v="7"/>
    <n v="24684.76"/>
    <n v="29436.85"/>
    <n v="96.73"/>
    <n v="275.13"/>
    <x v="3515"/>
    <x v="0"/>
  </r>
  <r>
    <x v="3"/>
    <x v="2"/>
    <x v="5"/>
    <n v="18789.68"/>
    <n v="19530.43"/>
    <n v="86.12"/>
    <n v="53.04"/>
    <x v="3516"/>
    <x v="1"/>
  </r>
  <r>
    <x v="3"/>
    <x v="5"/>
    <x v="6"/>
    <n v="36882.589999999997"/>
    <n v="38144.019999999997"/>
    <n v="153.66999999999999"/>
    <n v="1006.64"/>
    <x v="3517"/>
    <x v="0"/>
  </r>
  <r>
    <x v="1"/>
    <x v="6"/>
    <x v="4"/>
    <n v="6085.28"/>
    <n v="5685.71"/>
    <n v="95.93"/>
    <n v="219.51"/>
    <x v="3518"/>
    <x v="0"/>
  </r>
  <r>
    <x v="6"/>
    <x v="5"/>
    <x v="5"/>
    <n v="29603.919999999998"/>
    <n v="30482.84"/>
    <n v="146.65"/>
    <n v="684.44"/>
    <x v="3519"/>
    <x v="0"/>
  </r>
  <r>
    <x v="0"/>
    <x v="2"/>
    <x v="4"/>
    <n v="27759.88"/>
    <n v="31262.21"/>
    <n v="36.5"/>
    <n v="86.32"/>
    <x v="3520"/>
    <x v="1"/>
  </r>
  <r>
    <x v="9"/>
    <x v="1"/>
    <x v="4"/>
    <n v="27413.78"/>
    <n v="31419.33"/>
    <n v="195.72"/>
    <n v="211.42"/>
    <x v="3521"/>
    <x v="1"/>
  </r>
  <r>
    <x v="16"/>
    <x v="4"/>
    <x v="1"/>
    <n v="7051.79"/>
    <n v="8068.39"/>
    <n v="172.93"/>
    <n v="810.83"/>
    <x v="3522"/>
    <x v="0"/>
  </r>
  <r>
    <x v="14"/>
    <x v="6"/>
    <x v="2"/>
    <n v="10435.280000000001"/>
    <n v="11697.07"/>
    <n v="184"/>
    <n v="1253.49"/>
    <x v="3523"/>
    <x v="0"/>
  </r>
  <r>
    <x v="6"/>
    <x v="2"/>
    <x v="1"/>
    <n v="41999.88"/>
    <n v="35491.64"/>
    <n v="21.29"/>
    <n v="625.16"/>
    <x v="3524"/>
    <x v="1"/>
  </r>
  <r>
    <x v="0"/>
    <x v="3"/>
    <x v="5"/>
    <n v="49903.519999999997"/>
    <n v="44884.59"/>
    <n v="129.94999999999999"/>
    <n v="64.36"/>
    <x v="3525"/>
    <x v="1"/>
  </r>
  <r>
    <x v="3"/>
    <x v="3"/>
    <x v="3"/>
    <n v="15469.35"/>
    <n v="17461.830000000002"/>
    <n v="179.3"/>
    <n v="1024.33"/>
    <x v="3526"/>
    <x v="1"/>
  </r>
  <r>
    <x v="3"/>
    <x v="4"/>
    <x v="6"/>
    <n v="23873.09"/>
    <n v="27038.639999999999"/>
    <n v="152.80000000000001"/>
    <n v="93.06"/>
    <x v="3527"/>
    <x v="0"/>
  </r>
  <r>
    <x v="15"/>
    <x v="3"/>
    <x v="7"/>
    <n v="8418.73"/>
    <n v="7673.55"/>
    <n v="120.96"/>
    <n v="340.94"/>
    <x v="3528"/>
    <x v="1"/>
  </r>
  <r>
    <x v="13"/>
    <x v="5"/>
    <x v="1"/>
    <n v="44857.26"/>
    <n v="37550.959999999999"/>
    <n v="85.57"/>
    <n v="973.35"/>
    <x v="3529"/>
    <x v="0"/>
  </r>
  <r>
    <x v="10"/>
    <x v="4"/>
    <x v="3"/>
    <n v="30422.62"/>
    <n v="28442.080000000002"/>
    <n v="186.42"/>
    <n v="169.12"/>
    <x v="3530"/>
    <x v="0"/>
  </r>
  <r>
    <x v="7"/>
    <x v="2"/>
    <x v="1"/>
    <n v="1765.31"/>
    <n v="1563.86"/>
    <n v="141.68"/>
    <n v="788.06"/>
    <x v="3531"/>
    <x v="1"/>
  </r>
  <r>
    <x v="14"/>
    <x v="6"/>
    <x v="1"/>
    <n v="45203.74"/>
    <n v="39651.230000000003"/>
    <n v="149.69"/>
    <n v="422.11"/>
    <x v="3532"/>
    <x v="0"/>
  </r>
  <r>
    <x v="12"/>
    <x v="0"/>
    <x v="0"/>
    <n v="20798.810000000001"/>
    <n v="17180.169999999998"/>
    <n v="113.03"/>
    <n v="609.22"/>
    <x v="3533"/>
    <x v="0"/>
  </r>
  <r>
    <x v="9"/>
    <x v="5"/>
    <x v="7"/>
    <n v="39791.06"/>
    <n v="37067.589999999997"/>
    <n v="91.58"/>
    <n v="853.22"/>
    <x v="3534"/>
    <x v="0"/>
  </r>
  <r>
    <x v="0"/>
    <x v="6"/>
    <x v="1"/>
    <n v="11978.28"/>
    <n v="11382.9"/>
    <n v="29.06"/>
    <n v="445.96"/>
    <x v="3535"/>
    <x v="0"/>
  </r>
  <r>
    <x v="18"/>
    <x v="6"/>
    <x v="0"/>
    <n v="44674.27"/>
    <n v="46816.54"/>
    <n v="127.61"/>
    <n v="604.13"/>
    <x v="3536"/>
    <x v="0"/>
  </r>
  <r>
    <x v="19"/>
    <x v="0"/>
    <x v="7"/>
    <n v="36208.68"/>
    <n v="36936.81"/>
    <n v="55.58"/>
    <n v="1091.48"/>
    <x v="3537"/>
    <x v="0"/>
  </r>
  <r>
    <x v="1"/>
    <x v="1"/>
    <x v="7"/>
    <n v="47546.87"/>
    <n v="48143.040000000001"/>
    <n v="146.6"/>
    <n v="796.35"/>
    <x v="3538"/>
    <x v="1"/>
  </r>
  <r>
    <x v="8"/>
    <x v="0"/>
    <x v="0"/>
    <n v="45557.57"/>
    <n v="50029.919999999998"/>
    <n v="155.41"/>
    <n v="11.71"/>
    <x v="3539"/>
    <x v="0"/>
  </r>
  <r>
    <x v="14"/>
    <x v="2"/>
    <x v="3"/>
    <n v="8699.67"/>
    <n v="8805.2900000000009"/>
    <n v="189.81"/>
    <n v="345.31"/>
    <x v="3540"/>
    <x v="1"/>
  </r>
  <r>
    <x v="5"/>
    <x v="3"/>
    <x v="6"/>
    <n v="13669.91"/>
    <n v="12235.48"/>
    <n v="46.99"/>
    <n v="478.99"/>
    <x v="3541"/>
    <x v="1"/>
  </r>
  <r>
    <x v="13"/>
    <x v="6"/>
    <x v="5"/>
    <n v="23369.68"/>
    <n v="26085.119999999999"/>
    <n v="153.69"/>
    <n v="1380.39"/>
    <x v="3542"/>
    <x v="0"/>
  </r>
  <r>
    <x v="5"/>
    <x v="3"/>
    <x v="1"/>
    <n v="47273.82"/>
    <n v="56132.73"/>
    <n v="158.63"/>
    <n v="692.1"/>
    <x v="3543"/>
    <x v="1"/>
  </r>
  <r>
    <x v="0"/>
    <x v="5"/>
    <x v="5"/>
    <n v="37989.839999999997"/>
    <n v="36900.47"/>
    <n v="39.380000000000003"/>
    <n v="537.12"/>
    <x v="3544"/>
    <x v="0"/>
  </r>
  <r>
    <x v="12"/>
    <x v="4"/>
    <x v="7"/>
    <n v="16713.349999999999"/>
    <n v="15621.78"/>
    <n v="115.81"/>
    <n v="330.05"/>
    <x v="3545"/>
    <x v="0"/>
  </r>
  <r>
    <x v="2"/>
    <x v="4"/>
    <x v="0"/>
    <n v="45877.26"/>
    <n v="42522.57"/>
    <n v="171.74"/>
    <n v="798.79"/>
    <x v="3546"/>
    <x v="0"/>
  </r>
  <r>
    <x v="10"/>
    <x v="1"/>
    <x v="3"/>
    <n v="27497.52"/>
    <n v="22111.98"/>
    <n v="63.61"/>
    <n v="648.04"/>
    <x v="3547"/>
    <x v="1"/>
  </r>
  <r>
    <x v="19"/>
    <x v="1"/>
    <x v="0"/>
    <n v="14405.3"/>
    <n v="17091.03"/>
    <n v="29.48"/>
    <n v="437.01"/>
    <x v="3548"/>
    <x v="1"/>
  </r>
  <r>
    <x v="5"/>
    <x v="5"/>
    <x v="3"/>
    <n v="49351.89"/>
    <n v="57509.15"/>
    <n v="63.47"/>
    <n v="853.9"/>
    <x v="3549"/>
    <x v="0"/>
  </r>
  <r>
    <x v="10"/>
    <x v="2"/>
    <x v="2"/>
    <n v="3612.24"/>
    <n v="3485.04"/>
    <n v="63.42"/>
    <n v="12.57"/>
    <x v="3550"/>
    <x v="1"/>
  </r>
  <r>
    <x v="9"/>
    <x v="4"/>
    <x v="4"/>
    <n v="49174.2"/>
    <n v="52321.66"/>
    <n v="38.89"/>
    <n v="1293.22"/>
    <x v="3551"/>
    <x v="0"/>
  </r>
  <r>
    <x v="15"/>
    <x v="5"/>
    <x v="4"/>
    <n v="2792.96"/>
    <n v="3104.14"/>
    <n v="127.42"/>
    <n v="253.61"/>
    <x v="3552"/>
    <x v="0"/>
  </r>
  <r>
    <x v="15"/>
    <x v="2"/>
    <x v="2"/>
    <n v="48008.92"/>
    <n v="41651.089999999997"/>
    <n v="115.44"/>
    <n v="1140.21"/>
    <x v="3553"/>
    <x v="1"/>
  </r>
  <r>
    <x v="19"/>
    <x v="5"/>
    <x v="7"/>
    <n v="25684.63"/>
    <n v="21722.21"/>
    <n v="118.91"/>
    <n v="1312.59"/>
    <x v="3554"/>
    <x v="0"/>
  </r>
  <r>
    <x v="7"/>
    <x v="4"/>
    <x v="4"/>
    <n v="21905.22"/>
    <n v="23385.17"/>
    <n v="49.72"/>
    <n v="329.25"/>
    <x v="3555"/>
    <x v="0"/>
  </r>
  <r>
    <x v="19"/>
    <x v="0"/>
    <x v="5"/>
    <n v="11341.32"/>
    <n v="13072.23"/>
    <n v="152.59"/>
    <n v="283.68"/>
    <x v="3556"/>
    <x v="0"/>
  </r>
  <r>
    <x v="9"/>
    <x v="2"/>
    <x v="0"/>
    <n v="48670.400000000001"/>
    <n v="56412.39"/>
    <n v="69.19"/>
    <n v="733.21"/>
    <x v="3557"/>
    <x v="1"/>
  </r>
  <r>
    <x v="11"/>
    <x v="6"/>
    <x v="1"/>
    <n v="14279.49"/>
    <n v="12545.82"/>
    <n v="183.48"/>
    <n v="587.6"/>
    <x v="3558"/>
    <x v="0"/>
  </r>
  <r>
    <x v="6"/>
    <x v="1"/>
    <x v="7"/>
    <n v="3179.96"/>
    <n v="2720.75"/>
    <n v="73.39"/>
    <n v="1042.55"/>
    <x v="3559"/>
    <x v="1"/>
  </r>
  <r>
    <x v="16"/>
    <x v="0"/>
    <x v="1"/>
    <n v="34887.550000000003"/>
    <n v="37955.699999999997"/>
    <n v="21.27"/>
    <n v="322.29000000000002"/>
    <x v="3560"/>
    <x v="0"/>
  </r>
  <r>
    <x v="11"/>
    <x v="4"/>
    <x v="6"/>
    <n v="37822.53"/>
    <n v="36525.980000000003"/>
    <n v="103.41"/>
    <n v="943.74"/>
    <x v="3561"/>
    <x v="0"/>
  </r>
  <r>
    <x v="3"/>
    <x v="6"/>
    <x v="3"/>
    <n v="46277.17"/>
    <n v="39995.42"/>
    <n v="95.2"/>
    <n v="1047.46"/>
    <x v="3562"/>
    <x v="0"/>
  </r>
  <r>
    <x v="11"/>
    <x v="2"/>
    <x v="0"/>
    <n v="12533.98"/>
    <n v="13274.87"/>
    <n v="34.549999999999997"/>
    <n v="684.75"/>
    <x v="3563"/>
    <x v="1"/>
  </r>
  <r>
    <x v="1"/>
    <x v="4"/>
    <x v="3"/>
    <n v="47791.45"/>
    <n v="52847.32"/>
    <n v="121.85"/>
    <n v="1192.52"/>
    <x v="3564"/>
    <x v="0"/>
  </r>
  <r>
    <x v="8"/>
    <x v="0"/>
    <x v="1"/>
    <n v="15269.61"/>
    <n v="12308.08"/>
    <n v="179.27"/>
    <n v="289.07"/>
    <x v="3565"/>
    <x v="0"/>
  </r>
  <r>
    <x v="11"/>
    <x v="1"/>
    <x v="3"/>
    <n v="34130.79"/>
    <n v="35657.33"/>
    <n v="170.5"/>
    <n v="577.34"/>
    <x v="3566"/>
    <x v="1"/>
  </r>
  <r>
    <x v="3"/>
    <x v="1"/>
    <x v="1"/>
    <n v="37384.57"/>
    <n v="32795.85"/>
    <n v="198.77"/>
    <n v="1125.95"/>
    <x v="3567"/>
    <x v="1"/>
  </r>
  <r>
    <x v="2"/>
    <x v="6"/>
    <x v="1"/>
    <n v="28571.59"/>
    <n v="31015.87"/>
    <n v="149.38999999999999"/>
    <n v="1294.5899999999999"/>
    <x v="3568"/>
    <x v="0"/>
  </r>
  <r>
    <x v="16"/>
    <x v="0"/>
    <x v="7"/>
    <n v="36345.449999999997"/>
    <n v="36499.01"/>
    <n v="91.99"/>
    <n v="832.24"/>
    <x v="3569"/>
    <x v="0"/>
  </r>
  <r>
    <x v="13"/>
    <x v="4"/>
    <x v="7"/>
    <n v="29372.42"/>
    <n v="32419.01"/>
    <n v="153.35"/>
    <n v="512.17999999999995"/>
    <x v="3570"/>
    <x v="0"/>
  </r>
  <r>
    <x v="2"/>
    <x v="5"/>
    <x v="5"/>
    <n v="32994.230000000003"/>
    <n v="29316.65"/>
    <n v="55.85"/>
    <n v="1237.8399999999999"/>
    <x v="3571"/>
    <x v="0"/>
  </r>
  <r>
    <x v="11"/>
    <x v="0"/>
    <x v="0"/>
    <n v="31690"/>
    <n v="31853.08"/>
    <n v="54.92"/>
    <n v="956.13"/>
    <x v="3572"/>
    <x v="0"/>
  </r>
  <r>
    <x v="19"/>
    <x v="4"/>
    <x v="5"/>
    <n v="41542.82"/>
    <n v="33637.17"/>
    <n v="53.74"/>
    <n v="1311.01"/>
    <x v="3573"/>
    <x v="0"/>
  </r>
  <r>
    <x v="17"/>
    <x v="2"/>
    <x v="7"/>
    <n v="6255.34"/>
    <n v="5710.01"/>
    <n v="185.16"/>
    <n v="1355.39"/>
    <x v="3574"/>
    <x v="1"/>
  </r>
  <r>
    <x v="6"/>
    <x v="1"/>
    <x v="6"/>
    <n v="41708.449999999997"/>
    <n v="43196.51"/>
    <n v="141.07"/>
    <n v="143.91999999999999"/>
    <x v="3575"/>
    <x v="1"/>
  </r>
  <r>
    <x v="1"/>
    <x v="3"/>
    <x v="3"/>
    <n v="42685.71"/>
    <n v="34688.01"/>
    <n v="54.69"/>
    <n v="517.67999999999995"/>
    <x v="3576"/>
    <x v="1"/>
  </r>
  <r>
    <x v="10"/>
    <x v="2"/>
    <x v="5"/>
    <n v="30858.1"/>
    <n v="28632.37"/>
    <n v="171.82"/>
    <n v="648.37"/>
    <x v="3577"/>
    <x v="1"/>
  </r>
  <r>
    <x v="10"/>
    <x v="0"/>
    <x v="7"/>
    <n v="5154.83"/>
    <n v="4460.6000000000004"/>
    <n v="24.11"/>
    <n v="704.92"/>
    <x v="3578"/>
    <x v="0"/>
  </r>
  <r>
    <x v="19"/>
    <x v="3"/>
    <x v="7"/>
    <n v="4237.6000000000004"/>
    <n v="4359.67"/>
    <n v="49.5"/>
    <n v="408.05"/>
    <x v="3579"/>
    <x v="1"/>
  </r>
  <r>
    <x v="10"/>
    <x v="0"/>
    <x v="5"/>
    <n v="4567.74"/>
    <n v="5391.11"/>
    <n v="160.62"/>
    <n v="397.54"/>
    <x v="3580"/>
    <x v="0"/>
  </r>
  <r>
    <x v="14"/>
    <x v="3"/>
    <x v="1"/>
    <n v="45968.75"/>
    <n v="45861.88"/>
    <n v="164.12"/>
    <n v="81.58"/>
    <x v="3581"/>
    <x v="1"/>
  </r>
  <r>
    <x v="4"/>
    <x v="6"/>
    <x v="3"/>
    <n v="44356.53"/>
    <n v="50160.6"/>
    <n v="143.58000000000001"/>
    <n v="1294.54"/>
    <x v="3582"/>
    <x v="0"/>
  </r>
  <r>
    <x v="11"/>
    <x v="5"/>
    <x v="6"/>
    <n v="17866.3"/>
    <n v="16240.51"/>
    <n v="183.03"/>
    <n v="522.78"/>
    <x v="3583"/>
    <x v="0"/>
  </r>
  <r>
    <x v="6"/>
    <x v="2"/>
    <x v="2"/>
    <n v="25519.74"/>
    <n v="27912.81"/>
    <n v="120.41"/>
    <n v="607.70000000000005"/>
    <x v="3584"/>
    <x v="1"/>
  </r>
  <r>
    <x v="3"/>
    <x v="5"/>
    <x v="1"/>
    <n v="18754.310000000001"/>
    <n v="16020.53"/>
    <n v="60.53"/>
    <n v="1374.6"/>
    <x v="3585"/>
    <x v="0"/>
  </r>
  <r>
    <x v="4"/>
    <x v="6"/>
    <x v="3"/>
    <n v="11104.84"/>
    <n v="12815.43"/>
    <n v="108.63"/>
    <n v="1255.47"/>
    <x v="3586"/>
    <x v="0"/>
  </r>
  <r>
    <x v="12"/>
    <x v="6"/>
    <x v="2"/>
    <n v="17500.759999999998"/>
    <n v="17532.96"/>
    <n v="43.3"/>
    <n v="823.03"/>
    <x v="3587"/>
    <x v="0"/>
  </r>
  <r>
    <x v="18"/>
    <x v="1"/>
    <x v="0"/>
    <n v="19157.12"/>
    <n v="20112.12"/>
    <n v="55.94"/>
    <n v="763.12"/>
    <x v="3588"/>
    <x v="1"/>
  </r>
  <r>
    <x v="18"/>
    <x v="1"/>
    <x v="4"/>
    <n v="32917.54"/>
    <n v="38422.03"/>
    <n v="58.78"/>
    <n v="1232.8"/>
    <x v="3589"/>
    <x v="1"/>
  </r>
  <r>
    <x v="8"/>
    <x v="2"/>
    <x v="0"/>
    <n v="32184.1"/>
    <n v="35437.17"/>
    <n v="164.27"/>
    <n v="1316.74"/>
    <x v="3590"/>
    <x v="1"/>
  </r>
  <r>
    <x v="2"/>
    <x v="1"/>
    <x v="6"/>
    <n v="49311.94"/>
    <n v="52127.51"/>
    <n v="176.29"/>
    <n v="818.32"/>
    <x v="3591"/>
    <x v="1"/>
  </r>
  <r>
    <x v="11"/>
    <x v="3"/>
    <x v="0"/>
    <n v="36201.480000000003"/>
    <n v="37772.46"/>
    <n v="168.93"/>
    <n v="508.2"/>
    <x v="3592"/>
    <x v="1"/>
  </r>
  <r>
    <x v="4"/>
    <x v="0"/>
    <x v="3"/>
    <n v="12911.61"/>
    <n v="11781.38"/>
    <n v="118.41"/>
    <n v="775.6"/>
    <x v="3593"/>
    <x v="0"/>
  </r>
  <r>
    <x v="2"/>
    <x v="0"/>
    <x v="7"/>
    <n v="28650.78"/>
    <n v="33910.870000000003"/>
    <n v="187.5"/>
    <n v="758.19"/>
    <x v="3594"/>
    <x v="0"/>
  </r>
  <r>
    <x v="9"/>
    <x v="4"/>
    <x v="2"/>
    <n v="38553.79"/>
    <n v="36039"/>
    <n v="196.7"/>
    <n v="131.35"/>
    <x v="3595"/>
    <x v="0"/>
  </r>
  <r>
    <x v="9"/>
    <x v="5"/>
    <x v="2"/>
    <n v="32700.17"/>
    <n v="34668.65"/>
    <n v="38.200000000000003"/>
    <n v="343.47"/>
    <x v="3596"/>
    <x v="0"/>
  </r>
  <r>
    <x v="16"/>
    <x v="6"/>
    <x v="3"/>
    <n v="14694.72"/>
    <n v="16680.060000000001"/>
    <n v="90.68"/>
    <n v="1185.57"/>
    <x v="3597"/>
    <x v="0"/>
  </r>
  <r>
    <x v="6"/>
    <x v="2"/>
    <x v="7"/>
    <n v="41956.05"/>
    <n v="49083.9"/>
    <n v="101.4"/>
    <n v="161.99"/>
    <x v="3598"/>
    <x v="1"/>
  </r>
  <r>
    <x v="11"/>
    <x v="6"/>
    <x v="4"/>
    <n v="7569.05"/>
    <n v="8700.01"/>
    <n v="171.67"/>
    <n v="1018.16"/>
    <x v="3599"/>
    <x v="0"/>
  </r>
  <r>
    <x v="10"/>
    <x v="1"/>
    <x v="4"/>
    <n v="650.11"/>
    <n v="603.04999999999995"/>
    <n v="33.369999999999997"/>
    <n v="350"/>
    <x v="3600"/>
    <x v="1"/>
  </r>
  <r>
    <x v="9"/>
    <x v="2"/>
    <x v="7"/>
    <n v="18793.14"/>
    <n v="22519.58"/>
    <n v="75.349999999999994"/>
    <n v="676.81"/>
    <x v="3601"/>
    <x v="1"/>
  </r>
  <r>
    <x v="2"/>
    <x v="0"/>
    <x v="7"/>
    <n v="19294.52"/>
    <n v="18193.080000000002"/>
    <n v="130.43"/>
    <n v="60.43"/>
    <x v="3602"/>
    <x v="0"/>
  </r>
  <r>
    <x v="6"/>
    <x v="0"/>
    <x v="0"/>
    <n v="16715.11"/>
    <n v="15023.87"/>
    <n v="129.83000000000001"/>
    <n v="421.79"/>
    <x v="3603"/>
    <x v="0"/>
  </r>
  <r>
    <x v="19"/>
    <x v="5"/>
    <x v="4"/>
    <n v="10172.69"/>
    <n v="11235.47"/>
    <n v="124.52"/>
    <n v="891.94"/>
    <x v="3604"/>
    <x v="0"/>
  </r>
  <r>
    <x v="14"/>
    <x v="4"/>
    <x v="6"/>
    <n v="40478.81"/>
    <n v="34071.96"/>
    <n v="151.91999999999999"/>
    <n v="836.06"/>
    <x v="3605"/>
    <x v="0"/>
  </r>
  <r>
    <x v="9"/>
    <x v="2"/>
    <x v="1"/>
    <n v="11778.4"/>
    <n v="13323.99"/>
    <n v="34.1"/>
    <n v="269.01"/>
    <x v="3606"/>
    <x v="1"/>
  </r>
  <r>
    <x v="1"/>
    <x v="5"/>
    <x v="7"/>
    <n v="49420.3"/>
    <n v="41747.410000000003"/>
    <n v="34.729999999999997"/>
    <n v="54.36"/>
    <x v="3607"/>
    <x v="0"/>
  </r>
  <r>
    <x v="10"/>
    <x v="4"/>
    <x v="6"/>
    <n v="48408.63"/>
    <n v="45144.05"/>
    <n v="171.01"/>
    <n v="1076.68"/>
    <x v="3608"/>
    <x v="0"/>
  </r>
  <r>
    <x v="17"/>
    <x v="0"/>
    <x v="2"/>
    <n v="38124.79"/>
    <n v="40163.08"/>
    <n v="168.32"/>
    <n v="604.82000000000005"/>
    <x v="3609"/>
    <x v="0"/>
  </r>
  <r>
    <x v="10"/>
    <x v="2"/>
    <x v="0"/>
    <n v="30851.35"/>
    <n v="28023.51"/>
    <n v="145.25"/>
    <n v="1160.69"/>
    <x v="3610"/>
    <x v="1"/>
  </r>
  <r>
    <x v="16"/>
    <x v="0"/>
    <x v="2"/>
    <n v="44703.97"/>
    <n v="37975.51"/>
    <n v="67.930000000000007"/>
    <n v="373.74"/>
    <x v="3611"/>
    <x v="0"/>
  </r>
  <r>
    <x v="0"/>
    <x v="2"/>
    <x v="4"/>
    <n v="43985.69"/>
    <n v="36166.53"/>
    <n v="152.61000000000001"/>
    <n v="554.79"/>
    <x v="3612"/>
    <x v="1"/>
  </r>
  <r>
    <x v="2"/>
    <x v="3"/>
    <x v="1"/>
    <n v="34851.72"/>
    <n v="29922.81"/>
    <n v="137.1"/>
    <n v="178.34"/>
    <x v="3613"/>
    <x v="1"/>
  </r>
  <r>
    <x v="3"/>
    <x v="5"/>
    <x v="2"/>
    <n v="24049.82"/>
    <n v="21338.74"/>
    <n v="190.25"/>
    <n v="1014.36"/>
    <x v="3614"/>
    <x v="0"/>
  </r>
  <r>
    <x v="14"/>
    <x v="3"/>
    <x v="0"/>
    <n v="7233.02"/>
    <n v="8039.87"/>
    <n v="55.81"/>
    <n v="751.03"/>
    <x v="3615"/>
    <x v="1"/>
  </r>
  <r>
    <x v="10"/>
    <x v="2"/>
    <x v="0"/>
    <n v="29196.12"/>
    <n v="24627.33"/>
    <n v="186.14"/>
    <n v="889.4"/>
    <x v="3616"/>
    <x v="1"/>
  </r>
  <r>
    <x v="1"/>
    <x v="1"/>
    <x v="7"/>
    <n v="8737.74"/>
    <n v="9012.64"/>
    <n v="72.03"/>
    <n v="476.62"/>
    <x v="3617"/>
    <x v="1"/>
  </r>
  <r>
    <x v="16"/>
    <x v="4"/>
    <x v="6"/>
    <n v="19604.830000000002"/>
    <n v="21265.77"/>
    <n v="70.27"/>
    <n v="484.05"/>
    <x v="3618"/>
    <x v="0"/>
  </r>
  <r>
    <x v="14"/>
    <x v="0"/>
    <x v="4"/>
    <n v="26504.560000000001"/>
    <n v="24413.89"/>
    <n v="76.83"/>
    <n v="785.48"/>
    <x v="3619"/>
    <x v="0"/>
  </r>
  <r>
    <x v="18"/>
    <x v="4"/>
    <x v="2"/>
    <n v="6904.66"/>
    <n v="7082.67"/>
    <n v="67.87"/>
    <n v="535.6"/>
    <x v="3620"/>
    <x v="0"/>
  </r>
  <r>
    <x v="14"/>
    <x v="6"/>
    <x v="7"/>
    <n v="18279.47"/>
    <n v="18369.55"/>
    <n v="59.73"/>
    <n v="290.52999999999997"/>
    <x v="3621"/>
    <x v="0"/>
  </r>
  <r>
    <x v="13"/>
    <x v="3"/>
    <x v="0"/>
    <n v="1128.02"/>
    <n v="1033.7"/>
    <n v="43.5"/>
    <n v="94.81"/>
    <x v="3622"/>
    <x v="1"/>
  </r>
  <r>
    <x v="3"/>
    <x v="3"/>
    <x v="4"/>
    <n v="10040.719999999999"/>
    <n v="8441.74"/>
    <n v="153.21"/>
    <n v="1034.6400000000001"/>
    <x v="3623"/>
    <x v="1"/>
  </r>
  <r>
    <x v="16"/>
    <x v="3"/>
    <x v="5"/>
    <n v="45521.599999999999"/>
    <n v="50145.26"/>
    <n v="71.92"/>
    <n v="1262.21"/>
    <x v="3624"/>
    <x v="1"/>
  </r>
  <r>
    <x v="4"/>
    <x v="0"/>
    <x v="7"/>
    <n v="36484.75"/>
    <n v="42175.62"/>
    <n v="146.08000000000001"/>
    <n v="82.67"/>
    <x v="3625"/>
    <x v="0"/>
  </r>
  <r>
    <x v="15"/>
    <x v="6"/>
    <x v="7"/>
    <n v="38727.949999999997"/>
    <n v="43289.34"/>
    <n v="195.51"/>
    <n v="998.84"/>
    <x v="3626"/>
    <x v="0"/>
  </r>
  <r>
    <x v="7"/>
    <x v="1"/>
    <x v="5"/>
    <n v="8740.2800000000007"/>
    <n v="8843.52"/>
    <n v="142.61000000000001"/>
    <n v="1133.6300000000001"/>
    <x v="3627"/>
    <x v="1"/>
  </r>
  <r>
    <x v="12"/>
    <x v="5"/>
    <x v="3"/>
    <n v="29608.83"/>
    <n v="26173.33"/>
    <n v="180.74"/>
    <n v="894.39"/>
    <x v="3628"/>
    <x v="0"/>
  </r>
  <r>
    <x v="14"/>
    <x v="5"/>
    <x v="5"/>
    <n v="31081.07"/>
    <n v="31302.92"/>
    <n v="99.62"/>
    <n v="46.31"/>
    <x v="3629"/>
    <x v="0"/>
  </r>
  <r>
    <x v="19"/>
    <x v="4"/>
    <x v="1"/>
    <n v="32966.239999999998"/>
    <n v="37189.49"/>
    <n v="156.30000000000001"/>
    <n v="1153.04"/>
    <x v="3630"/>
    <x v="0"/>
  </r>
  <r>
    <x v="19"/>
    <x v="3"/>
    <x v="5"/>
    <n v="31340.38"/>
    <n v="26943.89"/>
    <n v="26.84"/>
    <n v="963.26"/>
    <x v="3631"/>
    <x v="1"/>
  </r>
  <r>
    <x v="16"/>
    <x v="0"/>
    <x v="4"/>
    <n v="5728.28"/>
    <n v="6170.95"/>
    <n v="177.63"/>
    <n v="124.46"/>
    <x v="3632"/>
    <x v="0"/>
  </r>
  <r>
    <x v="5"/>
    <x v="4"/>
    <x v="7"/>
    <n v="33137.51"/>
    <n v="34312.6"/>
    <n v="153.28"/>
    <n v="15.25"/>
    <x v="3633"/>
    <x v="0"/>
  </r>
  <r>
    <x v="9"/>
    <x v="6"/>
    <x v="0"/>
    <n v="25471.29"/>
    <n v="20761.5"/>
    <n v="177.68"/>
    <n v="63.29"/>
    <x v="3634"/>
    <x v="0"/>
  </r>
  <r>
    <x v="18"/>
    <x v="1"/>
    <x v="7"/>
    <n v="7681.12"/>
    <n v="8210.6"/>
    <n v="126.49"/>
    <n v="957.91"/>
    <x v="3635"/>
    <x v="1"/>
  </r>
  <r>
    <x v="2"/>
    <x v="3"/>
    <x v="4"/>
    <n v="803.87"/>
    <n v="772.65"/>
    <n v="49.71"/>
    <n v="682.1"/>
    <x v="3636"/>
    <x v="1"/>
  </r>
  <r>
    <x v="5"/>
    <x v="3"/>
    <x v="6"/>
    <n v="33680.269999999997"/>
    <n v="31829.4"/>
    <n v="74.819999999999993"/>
    <n v="801.48"/>
    <x v="3637"/>
    <x v="1"/>
  </r>
  <r>
    <x v="16"/>
    <x v="2"/>
    <x v="6"/>
    <n v="5297.17"/>
    <n v="5731.9"/>
    <n v="129.41"/>
    <n v="358.81"/>
    <x v="3638"/>
    <x v="1"/>
  </r>
  <r>
    <x v="3"/>
    <x v="3"/>
    <x v="2"/>
    <n v="8921.51"/>
    <n v="7409.04"/>
    <n v="61.46"/>
    <n v="1161.4100000000001"/>
    <x v="3639"/>
    <x v="1"/>
  </r>
  <r>
    <x v="18"/>
    <x v="5"/>
    <x v="4"/>
    <n v="30114.03"/>
    <n v="31277.9"/>
    <n v="184.25"/>
    <n v="332.02"/>
    <x v="3640"/>
    <x v="0"/>
  </r>
  <r>
    <x v="2"/>
    <x v="1"/>
    <x v="6"/>
    <n v="21432.99"/>
    <n v="25269.32"/>
    <n v="76.489999999999995"/>
    <n v="804.72"/>
    <x v="3641"/>
    <x v="1"/>
  </r>
  <r>
    <x v="12"/>
    <x v="3"/>
    <x v="3"/>
    <n v="42071.87"/>
    <n v="43296.13"/>
    <n v="77.349999999999994"/>
    <n v="609.47"/>
    <x v="3642"/>
    <x v="1"/>
  </r>
  <r>
    <x v="6"/>
    <x v="1"/>
    <x v="0"/>
    <n v="42313.38"/>
    <n v="50532.46"/>
    <n v="108.37"/>
    <n v="1176.6400000000001"/>
    <x v="3643"/>
    <x v="1"/>
  </r>
  <r>
    <x v="16"/>
    <x v="0"/>
    <x v="6"/>
    <n v="48867.07"/>
    <n v="54380.4"/>
    <n v="181.03"/>
    <n v="1058.23"/>
    <x v="3644"/>
    <x v="0"/>
  </r>
  <r>
    <x v="19"/>
    <x v="1"/>
    <x v="7"/>
    <n v="4888.8599999999997"/>
    <n v="4334.8900000000003"/>
    <n v="108.03"/>
    <n v="1106.8"/>
    <x v="3645"/>
    <x v="1"/>
  </r>
  <r>
    <x v="1"/>
    <x v="6"/>
    <x v="2"/>
    <n v="47527.95"/>
    <n v="53841.19"/>
    <n v="82.62"/>
    <n v="162.27000000000001"/>
    <x v="3646"/>
    <x v="0"/>
  </r>
  <r>
    <x v="14"/>
    <x v="2"/>
    <x v="4"/>
    <n v="21051.75"/>
    <n v="19053.439999999999"/>
    <n v="87.34"/>
    <n v="173.01"/>
    <x v="3647"/>
    <x v="1"/>
  </r>
  <r>
    <x v="7"/>
    <x v="2"/>
    <x v="5"/>
    <n v="4936.8999999999996"/>
    <n v="4139.34"/>
    <n v="189.81"/>
    <n v="18.95"/>
    <x v="3648"/>
    <x v="1"/>
  </r>
  <r>
    <x v="2"/>
    <x v="0"/>
    <x v="1"/>
    <n v="39411.72"/>
    <n v="36078.17"/>
    <n v="115.81"/>
    <n v="1050.78"/>
    <x v="3649"/>
    <x v="0"/>
  </r>
  <r>
    <x v="11"/>
    <x v="3"/>
    <x v="7"/>
    <n v="22479.3"/>
    <n v="19768.330000000002"/>
    <n v="174"/>
    <n v="670.27"/>
    <x v="3650"/>
    <x v="1"/>
  </r>
  <r>
    <x v="5"/>
    <x v="6"/>
    <x v="0"/>
    <n v="5548.98"/>
    <n v="6078.55"/>
    <n v="176.26"/>
    <n v="261.14999999999998"/>
    <x v="3651"/>
    <x v="0"/>
  </r>
  <r>
    <x v="2"/>
    <x v="2"/>
    <x v="7"/>
    <n v="11091.2"/>
    <n v="10718.69"/>
    <n v="183.99"/>
    <n v="649.54999999999995"/>
    <x v="3652"/>
    <x v="1"/>
  </r>
  <r>
    <x v="16"/>
    <x v="6"/>
    <x v="5"/>
    <n v="36223.4"/>
    <n v="41779.800000000003"/>
    <n v="162.61000000000001"/>
    <n v="949.76"/>
    <x v="3653"/>
    <x v="0"/>
  </r>
  <r>
    <x v="8"/>
    <x v="6"/>
    <x v="1"/>
    <n v="6412.01"/>
    <n v="7430.78"/>
    <n v="80.84"/>
    <n v="560.01"/>
    <x v="3654"/>
    <x v="0"/>
  </r>
  <r>
    <x v="4"/>
    <x v="6"/>
    <x v="2"/>
    <n v="5892.7"/>
    <n v="6152.46"/>
    <n v="153.22"/>
    <n v="1390.16"/>
    <x v="3655"/>
    <x v="0"/>
  </r>
  <r>
    <x v="0"/>
    <x v="0"/>
    <x v="0"/>
    <n v="22811.63"/>
    <n v="21689.89"/>
    <n v="115.44"/>
    <n v="1383.96"/>
    <x v="3656"/>
    <x v="0"/>
  </r>
  <r>
    <x v="15"/>
    <x v="6"/>
    <x v="3"/>
    <n v="10282.780000000001"/>
    <n v="11947.45"/>
    <n v="95.65"/>
    <n v="1368.88"/>
    <x v="3657"/>
    <x v="0"/>
  </r>
  <r>
    <x v="10"/>
    <x v="3"/>
    <x v="7"/>
    <n v="42784.14"/>
    <n v="36700.239999999998"/>
    <n v="98.32"/>
    <n v="395.53"/>
    <x v="3658"/>
    <x v="1"/>
  </r>
  <r>
    <x v="4"/>
    <x v="2"/>
    <x v="3"/>
    <n v="17289.990000000002"/>
    <n v="17628.25"/>
    <n v="70.06"/>
    <n v="404.93"/>
    <x v="3659"/>
    <x v="1"/>
  </r>
  <r>
    <x v="0"/>
    <x v="1"/>
    <x v="6"/>
    <n v="10942.22"/>
    <n v="10530.58"/>
    <n v="50.42"/>
    <n v="690.47"/>
    <x v="3660"/>
    <x v="1"/>
  </r>
  <r>
    <x v="12"/>
    <x v="5"/>
    <x v="4"/>
    <n v="23784.31"/>
    <n v="25865.98"/>
    <n v="147.52000000000001"/>
    <n v="1142.1600000000001"/>
    <x v="3661"/>
    <x v="0"/>
  </r>
  <r>
    <x v="8"/>
    <x v="0"/>
    <x v="0"/>
    <n v="5845.91"/>
    <n v="4830.88"/>
    <n v="82.31"/>
    <n v="1188.9000000000001"/>
    <x v="3662"/>
    <x v="0"/>
  </r>
  <r>
    <x v="6"/>
    <x v="6"/>
    <x v="7"/>
    <n v="25811.46"/>
    <n v="28084.080000000002"/>
    <n v="99.53"/>
    <n v="887.96"/>
    <x v="3663"/>
    <x v="0"/>
  </r>
  <r>
    <x v="9"/>
    <x v="0"/>
    <x v="2"/>
    <n v="20294.32"/>
    <n v="21533.41"/>
    <n v="147.69"/>
    <n v="138.19999999999999"/>
    <x v="3664"/>
    <x v="0"/>
  </r>
  <r>
    <x v="10"/>
    <x v="5"/>
    <x v="3"/>
    <n v="22361.18"/>
    <n v="19748.07"/>
    <n v="112.8"/>
    <n v="1109.45"/>
    <x v="3665"/>
    <x v="0"/>
  </r>
  <r>
    <x v="1"/>
    <x v="1"/>
    <x v="7"/>
    <n v="43005.41"/>
    <n v="44585.89"/>
    <n v="170.28"/>
    <n v="88.76"/>
    <x v="3666"/>
    <x v="1"/>
  </r>
  <r>
    <x v="4"/>
    <x v="0"/>
    <x v="3"/>
    <n v="26150.78"/>
    <n v="24859.81"/>
    <n v="90.47"/>
    <n v="1312.81"/>
    <x v="3667"/>
    <x v="0"/>
  </r>
  <r>
    <x v="18"/>
    <x v="2"/>
    <x v="4"/>
    <n v="29278.85"/>
    <n v="33984.53"/>
    <n v="125.56"/>
    <n v="1382.06"/>
    <x v="3668"/>
    <x v="1"/>
  </r>
  <r>
    <x v="11"/>
    <x v="4"/>
    <x v="4"/>
    <n v="14921.82"/>
    <n v="13296.06"/>
    <n v="135.68"/>
    <n v="136.38"/>
    <x v="3669"/>
    <x v="0"/>
  </r>
  <r>
    <x v="4"/>
    <x v="1"/>
    <x v="7"/>
    <n v="21169.63"/>
    <n v="18682.5"/>
    <n v="146.80000000000001"/>
    <n v="596.54999999999995"/>
    <x v="3670"/>
    <x v="1"/>
  </r>
  <r>
    <x v="6"/>
    <x v="4"/>
    <x v="5"/>
    <n v="18963.25"/>
    <n v="21817.13"/>
    <n v="88.46"/>
    <n v="97.73"/>
    <x v="3671"/>
    <x v="0"/>
  </r>
  <r>
    <x v="8"/>
    <x v="4"/>
    <x v="6"/>
    <n v="39459.93"/>
    <n v="34121.18"/>
    <n v="97.62"/>
    <n v="851.69"/>
    <x v="3672"/>
    <x v="0"/>
  </r>
  <r>
    <x v="18"/>
    <x v="0"/>
    <x v="7"/>
    <n v="11440.73"/>
    <n v="9169.07"/>
    <n v="97.32"/>
    <n v="665.69"/>
    <x v="3673"/>
    <x v="0"/>
  </r>
  <r>
    <x v="13"/>
    <x v="2"/>
    <x v="5"/>
    <n v="14495.05"/>
    <n v="11697.29"/>
    <n v="94.35"/>
    <n v="792.01"/>
    <x v="3674"/>
    <x v="1"/>
  </r>
  <r>
    <x v="1"/>
    <x v="1"/>
    <x v="7"/>
    <n v="25307.75"/>
    <n v="24920.78"/>
    <n v="154.38999999999999"/>
    <n v="215.25"/>
    <x v="3675"/>
    <x v="1"/>
  </r>
  <r>
    <x v="1"/>
    <x v="5"/>
    <x v="1"/>
    <n v="11064.34"/>
    <n v="10189.89"/>
    <n v="173.95"/>
    <n v="348.95"/>
    <x v="3676"/>
    <x v="0"/>
  </r>
  <r>
    <x v="0"/>
    <x v="6"/>
    <x v="4"/>
    <n v="36883.78"/>
    <n v="39028.339999999997"/>
    <n v="110.3"/>
    <n v="1088.3599999999999"/>
    <x v="3677"/>
    <x v="0"/>
  </r>
  <r>
    <x v="15"/>
    <x v="6"/>
    <x v="0"/>
    <n v="25553.23"/>
    <n v="27719.99"/>
    <n v="40.369999999999997"/>
    <n v="572.71"/>
    <x v="3678"/>
    <x v="0"/>
  </r>
  <r>
    <x v="2"/>
    <x v="0"/>
    <x v="3"/>
    <n v="26673.200000000001"/>
    <n v="29875.24"/>
    <n v="179.56"/>
    <n v="237.14"/>
    <x v="3679"/>
    <x v="0"/>
  </r>
  <r>
    <x v="0"/>
    <x v="1"/>
    <x v="0"/>
    <n v="27386.44"/>
    <n v="31621.42"/>
    <n v="97.9"/>
    <n v="1293.4000000000001"/>
    <x v="3680"/>
    <x v="1"/>
  </r>
  <r>
    <x v="8"/>
    <x v="6"/>
    <x v="1"/>
    <n v="48176.42"/>
    <n v="44820"/>
    <n v="87.6"/>
    <n v="1080.19"/>
    <x v="3681"/>
    <x v="0"/>
  </r>
  <r>
    <x v="5"/>
    <x v="6"/>
    <x v="2"/>
    <n v="30600.98"/>
    <n v="30507.17"/>
    <n v="144.54"/>
    <n v="1235.79"/>
    <x v="3682"/>
    <x v="0"/>
  </r>
  <r>
    <x v="3"/>
    <x v="2"/>
    <x v="0"/>
    <n v="5349.94"/>
    <n v="5829.07"/>
    <n v="46.26"/>
    <n v="1251.0999999999999"/>
    <x v="3683"/>
    <x v="1"/>
  </r>
  <r>
    <x v="1"/>
    <x v="4"/>
    <x v="7"/>
    <n v="39228.46"/>
    <n v="43603.88"/>
    <n v="116.41"/>
    <n v="1242.27"/>
    <x v="3684"/>
    <x v="0"/>
  </r>
  <r>
    <x v="15"/>
    <x v="3"/>
    <x v="2"/>
    <n v="16859.400000000001"/>
    <n v="15936.64"/>
    <n v="136.15"/>
    <n v="748.17"/>
    <x v="3685"/>
    <x v="1"/>
  </r>
  <r>
    <x v="16"/>
    <x v="2"/>
    <x v="0"/>
    <n v="17628.330000000002"/>
    <n v="20816.599999999999"/>
    <n v="58.42"/>
    <n v="475.26"/>
    <x v="3686"/>
    <x v="1"/>
  </r>
  <r>
    <x v="19"/>
    <x v="5"/>
    <x v="6"/>
    <n v="2660.69"/>
    <n v="3025.08"/>
    <n v="50.85"/>
    <n v="981.94"/>
    <x v="3687"/>
    <x v="0"/>
  </r>
  <r>
    <x v="14"/>
    <x v="1"/>
    <x v="5"/>
    <n v="30839.37"/>
    <n v="35023.199999999997"/>
    <n v="117.33"/>
    <n v="1244.8699999999999"/>
    <x v="3688"/>
    <x v="1"/>
  </r>
  <r>
    <x v="4"/>
    <x v="6"/>
    <x v="3"/>
    <n v="10893.28"/>
    <n v="9819.52"/>
    <n v="41.42"/>
    <n v="1017.62"/>
    <x v="3689"/>
    <x v="0"/>
  </r>
  <r>
    <x v="14"/>
    <x v="0"/>
    <x v="5"/>
    <n v="47103.94"/>
    <n v="38307.519999999997"/>
    <n v="62.85"/>
    <n v="1267.53"/>
    <x v="3690"/>
    <x v="0"/>
  </r>
  <r>
    <x v="16"/>
    <x v="3"/>
    <x v="5"/>
    <n v="12997.52"/>
    <n v="14324.93"/>
    <n v="22.11"/>
    <n v="138.41"/>
    <x v="3691"/>
    <x v="1"/>
  </r>
  <r>
    <x v="19"/>
    <x v="6"/>
    <x v="6"/>
    <n v="35653.5"/>
    <n v="40954.480000000003"/>
    <n v="138.4"/>
    <n v="314.58999999999997"/>
    <x v="3692"/>
    <x v="0"/>
  </r>
  <r>
    <x v="16"/>
    <x v="5"/>
    <x v="1"/>
    <n v="28938.05"/>
    <n v="30887.24"/>
    <n v="42.06"/>
    <n v="492.24"/>
    <x v="3693"/>
    <x v="0"/>
  </r>
  <r>
    <x v="13"/>
    <x v="4"/>
    <x v="4"/>
    <n v="25093.21"/>
    <n v="21035.93"/>
    <n v="114.61"/>
    <n v="605.37"/>
    <x v="3694"/>
    <x v="0"/>
  </r>
  <r>
    <x v="14"/>
    <x v="3"/>
    <x v="2"/>
    <n v="22909.3"/>
    <n v="26242.35"/>
    <n v="194.53"/>
    <n v="960.24"/>
    <x v="3695"/>
    <x v="1"/>
  </r>
  <r>
    <x v="10"/>
    <x v="3"/>
    <x v="2"/>
    <n v="41263.11"/>
    <n v="48331.29"/>
    <n v="163.97"/>
    <n v="1255.23"/>
    <x v="3696"/>
    <x v="1"/>
  </r>
  <r>
    <x v="12"/>
    <x v="2"/>
    <x v="2"/>
    <n v="42229.35"/>
    <n v="39681.24"/>
    <n v="191.28"/>
    <n v="626.17999999999995"/>
    <x v="3697"/>
    <x v="1"/>
  </r>
  <r>
    <x v="2"/>
    <x v="6"/>
    <x v="3"/>
    <n v="4292.72"/>
    <n v="3863.42"/>
    <n v="181.17"/>
    <n v="1200.1500000000001"/>
    <x v="3698"/>
    <x v="0"/>
  </r>
  <r>
    <x v="1"/>
    <x v="5"/>
    <x v="1"/>
    <n v="32557.58"/>
    <n v="36985.06"/>
    <n v="140.24"/>
    <n v="410.71"/>
    <x v="3699"/>
    <x v="0"/>
  </r>
  <r>
    <x v="2"/>
    <x v="6"/>
    <x v="6"/>
    <n v="47577.88"/>
    <n v="43032.74"/>
    <n v="174.07"/>
    <n v="713.54"/>
    <x v="3700"/>
    <x v="0"/>
  </r>
  <r>
    <x v="13"/>
    <x v="2"/>
    <x v="7"/>
    <n v="17014.53"/>
    <n v="19897.45"/>
    <n v="132.66"/>
    <n v="1040.56"/>
    <x v="3701"/>
    <x v="1"/>
  </r>
  <r>
    <x v="7"/>
    <x v="6"/>
    <x v="3"/>
    <n v="34621.35"/>
    <n v="34571.129999999997"/>
    <n v="109.1"/>
    <n v="1320.03"/>
    <x v="3702"/>
    <x v="0"/>
  </r>
  <r>
    <x v="5"/>
    <x v="3"/>
    <x v="2"/>
    <n v="36317.93"/>
    <n v="30656.91"/>
    <n v="104.43"/>
    <n v="1131.98"/>
    <x v="3703"/>
    <x v="1"/>
  </r>
  <r>
    <x v="9"/>
    <x v="3"/>
    <x v="4"/>
    <n v="19352.439999999999"/>
    <n v="19488.919999999998"/>
    <n v="77.03"/>
    <n v="1127.53"/>
    <x v="3704"/>
    <x v="1"/>
  </r>
  <r>
    <x v="10"/>
    <x v="6"/>
    <x v="3"/>
    <n v="19749.18"/>
    <n v="23429.4"/>
    <n v="66.22"/>
    <n v="832.95"/>
    <x v="3705"/>
    <x v="0"/>
  </r>
  <r>
    <x v="10"/>
    <x v="5"/>
    <x v="2"/>
    <n v="16095.67"/>
    <n v="17266.939999999999"/>
    <n v="22.78"/>
    <n v="974.26"/>
    <x v="3706"/>
    <x v="0"/>
  </r>
  <r>
    <x v="19"/>
    <x v="6"/>
    <x v="2"/>
    <n v="48757.88"/>
    <n v="40130.22"/>
    <n v="186.65"/>
    <n v="1041.76"/>
    <x v="3707"/>
    <x v="0"/>
  </r>
  <r>
    <x v="10"/>
    <x v="6"/>
    <x v="2"/>
    <n v="11959.25"/>
    <n v="13995.3"/>
    <n v="47.98"/>
    <n v="924.6"/>
    <x v="3708"/>
    <x v="0"/>
  </r>
  <r>
    <x v="11"/>
    <x v="6"/>
    <x v="7"/>
    <n v="9207.5400000000009"/>
    <n v="9555.15"/>
    <n v="135.32"/>
    <n v="1070.32"/>
    <x v="3709"/>
    <x v="0"/>
  </r>
  <r>
    <x v="3"/>
    <x v="5"/>
    <x v="1"/>
    <n v="24451.1"/>
    <n v="26741.599999999999"/>
    <n v="101.72"/>
    <n v="469.1"/>
    <x v="3710"/>
    <x v="0"/>
  </r>
  <r>
    <x v="12"/>
    <x v="6"/>
    <x v="2"/>
    <n v="26530.69"/>
    <n v="26224.12"/>
    <n v="154.54"/>
    <n v="1385.15"/>
    <x v="3711"/>
    <x v="0"/>
  </r>
  <r>
    <x v="12"/>
    <x v="3"/>
    <x v="3"/>
    <n v="39257.040000000001"/>
    <n v="43549.74"/>
    <n v="110.57"/>
    <n v="720.43"/>
    <x v="3712"/>
    <x v="1"/>
  </r>
  <r>
    <x v="3"/>
    <x v="1"/>
    <x v="1"/>
    <n v="45022.32"/>
    <n v="52601.32"/>
    <n v="193.47"/>
    <n v="414.18"/>
    <x v="3713"/>
    <x v="1"/>
  </r>
  <r>
    <x v="9"/>
    <x v="1"/>
    <x v="1"/>
    <n v="39022.449999999997"/>
    <n v="36291.980000000003"/>
    <n v="168.07"/>
    <n v="794.76"/>
    <x v="3714"/>
    <x v="1"/>
  </r>
  <r>
    <x v="10"/>
    <x v="1"/>
    <x v="7"/>
    <n v="45076.43"/>
    <n v="49600.71"/>
    <n v="59.27"/>
    <n v="1060.6600000000001"/>
    <x v="3715"/>
    <x v="1"/>
  </r>
  <r>
    <x v="0"/>
    <x v="0"/>
    <x v="1"/>
    <n v="46585.74"/>
    <n v="48326.86"/>
    <n v="130.56"/>
    <n v="727.6"/>
    <x v="3716"/>
    <x v="0"/>
  </r>
  <r>
    <x v="18"/>
    <x v="6"/>
    <x v="1"/>
    <n v="7291.55"/>
    <n v="7888.77"/>
    <n v="55.41"/>
    <n v="794.28"/>
    <x v="3717"/>
    <x v="0"/>
  </r>
  <r>
    <x v="3"/>
    <x v="4"/>
    <x v="6"/>
    <n v="49713.01"/>
    <n v="49879.839999999997"/>
    <n v="137.47"/>
    <n v="1202.49"/>
    <x v="3718"/>
    <x v="0"/>
  </r>
  <r>
    <x v="19"/>
    <x v="4"/>
    <x v="4"/>
    <n v="45363.79"/>
    <n v="43666.1"/>
    <n v="119.47"/>
    <n v="1115.53"/>
    <x v="3719"/>
    <x v="0"/>
  </r>
  <r>
    <x v="19"/>
    <x v="1"/>
    <x v="5"/>
    <n v="16025.83"/>
    <n v="14500.02"/>
    <n v="94.43"/>
    <n v="1042.0999999999999"/>
    <x v="3720"/>
    <x v="1"/>
  </r>
  <r>
    <x v="7"/>
    <x v="4"/>
    <x v="6"/>
    <n v="36822.19"/>
    <n v="37779.47"/>
    <n v="80.08"/>
    <n v="1332.98"/>
    <x v="3721"/>
    <x v="0"/>
  </r>
  <r>
    <x v="8"/>
    <x v="3"/>
    <x v="0"/>
    <n v="6894.25"/>
    <n v="7326"/>
    <n v="122.79"/>
    <n v="313.45999999999998"/>
    <x v="3722"/>
    <x v="1"/>
  </r>
  <r>
    <x v="12"/>
    <x v="2"/>
    <x v="0"/>
    <n v="13884.82"/>
    <n v="14410.92"/>
    <n v="144.27000000000001"/>
    <n v="1163.04"/>
    <x v="3723"/>
    <x v="1"/>
  </r>
  <r>
    <x v="12"/>
    <x v="1"/>
    <x v="7"/>
    <n v="43108.6"/>
    <n v="37808.92"/>
    <n v="155.19999999999999"/>
    <n v="414.48"/>
    <x v="3724"/>
    <x v="1"/>
  </r>
  <r>
    <x v="19"/>
    <x v="6"/>
    <x v="6"/>
    <n v="29280.98"/>
    <n v="30273.02"/>
    <n v="146.85"/>
    <n v="72.760000000000005"/>
    <x v="3725"/>
    <x v="0"/>
  </r>
  <r>
    <x v="18"/>
    <x v="2"/>
    <x v="1"/>
    <n v="3067.42"/>
    <n v="3053.2"/>
    <n v="113.42"/>
    <n v="445.43"/>
    <x v="3726"/>
    <x v="1"/>
  </r>
  <r>
    <x v="6"/>
    <x v="0"/>
    <x v="0"/>
    <n v="1832.98"/>
    <n v="1597.18"/>
    <n v="117.42"/>
    <n v="1077.67"/>
    <x v="3727"/>
    <x v="0"/>
  </r>
  <r>
    <x v="6"/>
    <x v="2"/>
    <x v="5"/>
    <n v="7256.8"/>
    <n v="5877.43"/>
    <n v="63.78"/>
    <n v="1183.6099999999999"/>
    <x v="3728"/>
    <x v="1"/>
  </r>
  <r>
    <x v="17"/>
    <x v="3"/>
    <x v="0"/>
    <n v="29881.69"/>
    <n v="29847.43"/>
    <n v="169.12"/>
    <n v="359.36"/>
    <x v="3729"/>
    <x v="1"/>
  </r>
  <r>
    <x v="13"/>
    <x v="3"/>
    <x v="4"/>
    <n v="5005.0200000000004"/>
    <n v="4506.29"/>
    <n v="54.28"/>
    <n v="1307.97"/>
    <x v="3730"/>
    <x v="1"/>
  </r>
  <r>
    <x v="10"/>
    <x v="3"/>
    <x v="1"/>
    <n v="15306.6"/>
    <n v="15829.19"/>
    <n v="162.80000000000001"/>
    <n v="69.709999999999994"/>
    <x v="3731"/>
    <x v="1"/>
  </r>
  <r>
    <x v="10"/>
    <x v="4"/>
    <x v="1"/>
    <n v="27177.119999999999"/>
    <n v="32368.17"/>
    <n v="36.909999999999997"/>
    <n v="756.31"/>
    <x v="3732"/>
    <x v="0"/>
  </r>
  <r>
    <x v="4"/>
    <x v="2"/>
    <x v="3"/>
    <n v="47204.66"/>
    <n v="48115.64"/>
    <n v="48.03"/>
    <n v="1180.6600000000001"/>
    <x v="3733"/>
    <x v="1"/>
  </r>
  <r>
    <x v="19"/>
    <x v="0"/>
    <x v="6"/>
    <n v="49616.19"/>
    <n v="58171.65"/>
    <n v="114.59"/>
    <n v="1286.3800000000001"/>
    <x v="3734"/>
    <x v="0"/>
  </r>
  <r>
    <x v="0"/>
    <x v="6"/>
    <x v="0"/>
    <n v="14631.32"/>
    <n v="12814.96"/>
    <n v="158.52000000000001"/>
    <n v="489.53"/>
    <x v="3735"/>
    <x v="0"/>
  </r>
  <r>
    <x v="13"/>
    <x v="2"/>
    <x v="4"/>
    <n v="25784.26"/>
    <n v="23359.31"/>
    <n v="52.46"/>
    <n v="358.21"/>
    <x v="3736"/>
    <x v="1"/>
  </r>
  <r>
    <x v="5"/>
    <x v="5"/>
    <x v="1"/>
    <n v="19197.91"/>
    <n v="22186.53"/>
    <n v="20.73"/>
    <n v="452.23"/>
    <x v="3737"/>
    <x v="0"/>
  </r>
  <r>
    <x v="8"/>
    <x v="0"/>
    <x v="5"/>
    <n v="31542.14"/>
    <n v="37329.919999999998"/>
    <n v="86.58"/>
    <n v="1216.97"/>
    <x v="3738"/>
    <x v="0"/>
  </r>
  <r>
    <x v="14"/>
    <x v="1"/>
    <x v="5"/>
    <n v="45819.44"/>
    <n v="47170.79"/>
    <n v="129.93"/>
    <n v="1258.56"/>
    <x v="3739"/>
    <x v="1"/>
  </r>
  <r>
    <x v="12"/>
    <x v="3"/>
    <x v="3"/>
    <n v="39379.5"/>
    <n v="35484.15"/>
    <n v="135.79"/>
    <n v="627.49"/>
    <x v="3740"/>
    <x v="1"/>
  </r>
  <r>
    <x v="10"/>
    <x v="1"/>
    <x v="7"/>
    <n v="14575.48"/>
    <n v="17266.43"/>
    <n v="67.430000000000007"/>
    <n v="805.91"/>
    <x v="3741"/>
    <x v="1"/>
  </r>
  <r>
    <x v="4"/>
    <x v="4"/>
    <x v="6"/>
    <n v="30390.15"/>
    <n v="36323.370000000003"/>
    <n v="151.30000000000001"/>
    <n v="1359.08"/>
    <x v="3742"/>
    <x v="0"/>
  </r>
  <r>
    <x v="10"/>
    <x v="3"/>
    <x v="0"/>
    <n v="24519.45"/>
    <n v="27371.31"/>
    <n v="103.22"/>
    <n v="1044.77"/>
    <x v="3743"/>
    <x v="1"/>
  </r>
  <r>
    <x v="16"/>
    <x v="4"/>
    <x v="4"/>
    <n v="5132.8100000000004"/>
    <n v="6000.76"/>
    <n v="166.36"/>
    <n v="159.22999999999999"/>
    <x v="3744"/>
    <x v="0"/>
  </r>
  <r>
    <x v="17"/>
    <x v="0"/>
    <x v="7"/>
    <n v="15580.49"/>
    <n v="13179.24"/>
    <n v="101.45"/>
    <n v="1017.13"/>
    <x v="3745"/>
    <x v="0"/>
  </r>
  <r>
    <x v="0"/>
    <x v="5"/>
    <x v="6"/>
    <n v="44188.4"/>
    <n v="52053.01"/>
    <n v="89.32"/>
    <n v="1004.36"/>
    <x v="3746"/>
    <x v="0"/>
  </r>
  <r>
    <x v="2"/>
    <x v="0"/>
    <x v="5"/>
    <n v="47257.35"/>
    <n v="43506.34"/>
    <n v="128.72"/>
    <n v="732.43"/>
    <x v="3747"/>
    <x v="0"/>
  </r>
  <r>
    <x v="9"/>
    <x v="4"/>
    <x v="6"/>
    <n v="49595.51"/>
    <n v="55463.65"/>
    <n v="50.32"/>
    <n v="1374.66"/>
    <x v="3748"/>
    <x v="0"/>
  </r>
  <r>
    <x v="6"/>
    <x v="4"/>
    <x v="5"/>
    <n v="15381.73"/>
    <n v="18117.09"/>
    <n v="186.38"/>
    <n v="567.76"/>
    <x v="3749"/>
    <x v="0"/>
  </r>
  <r>
    <x v="7"/>
    <x v="6"/>
    <x v="4"/>
    <n v="35677.39"/>
    <n v="35522"/>
    <n v="114.56"/>
    <n v="895.01"/>
    <x v="3750"/>
    <x v="0"/>
  </r>
  <r>
    <x v="0"/>
    <x v="5"/>
    <x v="7"/>
    <n v="12980.36"/>
    <n v="14459.78"/>
    <n v="68"/>
    <n v="170.36"/>
    <x v="3751"/>
    <x v="0"/>
  </r>
  <r>
    <x v="9"/>
    <x v="4"/>
    <x v="6"/>
    <n v="13137.93"/>
    <n v="10954.87"/>
    <n v="31.67"/>
    <n v="942.49"/>
    <x v="3752"/>
    <x v="0"/>
  </r>
  <r>
    <x v="13"/>
    <x v="4"/>
    <x v="4"/>
    <n v="36000.160000000003"/>
    <n v="41755.21"/>
    <n v="56.39"/>
    <n v="821.01"/>
    <x v="3753"/>
    <x v="0"/>
  </r>
  <r>
    <x v="4"/>
    <x v="6"/>
    <x v="0"/>
    <n v="43464.27"/>
    <n v="36088.400000000001"/>
    <n v="172.77"/>
    <n v="22.36"/>
    <x v="3754"/>
    <x v="0"/>
  </r>
  <r>
    <x v="6"/>
    <x v="6"/>
    <x v="7"/>
    <n v="30748.43"/>
    <n v="28580.86"/>
    <n v="178.15"/>
    <n v="1327.68"/>
    <x v="3755"/>
    <x v="0"/>
  </r>
  <r>
    <x v="10"/>
    <x v="5"/>
    <x v="1"/>
    <n v="9981.68"/>
    <n v="11171.58"/>
    <n v="92.11"/>
    <n v="856.63"/>
    <x v="3756"/>
    <x v="0"/>
  </r>
  <r>
    <x v="13"/>
    <x v="0"/>
    <x v="0"/>
    <n v="25335.78"/>
    <n v="25052.959999999999"/>
    <n v="73.42"/>
    <n v="547.91"/>
    <x v="3757"/>
    <x v="0"/>
  </r>
  <r>
    <x v="14"/>
    <x v="0"/>
    <x v="2"/>
    <n v="25837.279999999999"/>
    <n v="25784.58"/>
    <n v="139.27000000000001"/>
    <n v="1154.4000000000001"/>
    <x v="3758"/>
    <x v="0"/>
  </r>
  <r>
    <x v="19"/>
    <x v="5"/>
    <x v="4"/>
    <n v="20154.43"/>
    <n v="19736.490000000002"/>
    <n v="24.34"/>
    <n v="565.46"/>
    <x v="3759"/>
    <x v="0"/>
  </r>
  <r>
    <x v="2"/>
    <x v="5"/>
    <x v="1"/>
    <n v="5614.12"/>
    <n v="6293.32"/>
    <n v="153.22"/>
    <n v="1398.6"/>
    <x v="3760"/>
    <x v="0"/>
  </r>
  <r>
    <x v="11"/>
    <x v="0"/>
    <x v="7"/>
    <n v="917.28"/>
    <n v="992.66"/>
    <n v="135.5"/>
    <n v="665.9"/>
    <x v="3761"/>
    <x v="0"/>
  </r>
  <r>
    <x v="6"/>
    <x v="3"/>
    <x v="6"/>
    <n v="44300.46"/>
    <n v="43616.35"/>
    <n v="123.86"/>
    <n v="429.22"/>
    <x v="3762"/>
    <x v="1"/>
  </r>
  <r>
    <x v="16"/>
    <x v="1"/>
    <x v="0"/>
    <n v="38189.07"/>
    <n v="40072.300000000003"/>
    <n v="49.81"/>
    <n v="558.44000000000005"/>
    <x v="3763"/>
    <x v="1"/>
  </r>
  <r>
    <x v="8"/>
    <x v="6"/>
    <x v="1"/>
    <n v="1175.3800000000001"/>
    <n v="1025.0999999999999"/>
    <n v="80.09"/>
    <n v="765.16"/>
    <x v="3764"/>
    <x v="0"/>
  </r>
  <r>
    <x v="11"/>
    <x v="6"/>
    <x v="1"/>
    <n v="26941.09"/>
    <n v="30233.08"/>
    <n v="84.62"/>
    <n v="744.97"/>
    <x v="3765"/>
    <x v="0"/>
  </r>
  <r>
    <x v="6"/>
    <x v="5"/>
    <x v="4"/>
    <n v="15318.23"/>
    <n v="14014.57"/>
    <n v="102.65"/>
    <n v="1330.3"/>
    <x v="3766"/>
    <x v="0"/>
  </r>
  <r>
    <x v="17"/>
    <x v="6"/>
    <x v="6"/>
    <n v="35825.85"/>
    <n v="37679.360000000001"/>
    <n v="188.57"/>
    <n v="918.13"/>
    <x v="3767"/>
    <x v="0"/>
  </r>
  <r>
    <x v="12"/>
    <x v="2"/>
    <x v="1"/>
    <n v="26233.47"/>
    <n v="25248.35"/>
    <n v="31.35"/>
    <n v="315.20999999999998"/>
    <x v="3768"/>
    <x v="1"/>
  </r>
  <r>
    <x v="11"/>
    <x v="0"/>
    <x v="3"/>
    <n v="13488.18"/>
    <n v="15473.9"/>
    <n v="113.95"/>
    <n v="32.15"/>
    <x v="3769"/>
    <x v="0"/>
  </r>
  <r>
    <x v="4"/>
    <x v="1"/>
    <x v="5"/>
    <n v="24589.27"/>
    <n v="20840.73"/>
    <n v="143.07"/>
    <n v="811.88"/>
    <x v="3770"/>
    <x v="1"/>
  </r>
  <r>
    <x v="0"/>
    <x v="2"/>
    <x v="3"/>
    <n v="12509.03"/>
    <n v="12718.88"/>
    <n v="26.14"/>
    <n v="1072.82"/>
    <x v="3771"/>
    <x v="1"/>
  </r>
  <r>
    <x v="19"/>
    <x v="1"/>
    <x v="6"/>
    <n v="39737.360000000001"/>
    <n v="37233.21"/>
    <n v="164.5"/>
    <n v="505.75"/>
    <x v="3772"/>
    <x v="1"/>
  </r>
  <r>
    <x v="3"/>
    <x v="4"/>
    <x v="1"/>
    <n v="33292"/>
    <n v="35916.14"/>
    <n v="161.26"/>
    <n v="939.23"/>
    <x v="3773"/>
    <x v="0"/>
  </r>
  <r>
    <x v="16"/>
    <x v="5"/>
    <x v="0"/>
    <n v="25147.37"/>
    <n v="24496.86"/>
    <n v="98.8"/>
    <n v="1129.8499999999999"/>
    <x v="3774"/>
    <x v="0"/>
  </r>
  <r>
    <x v="2"/>
    <x v="4"/>
    <x v="3"/>
    <n v="29555.99"/>
    <n v="31577.93"/>
    <n v="56.79"/>
    <n v="1148.53"/>
    <x v="3775"/>
    <x v="0"/>
  </r>
  <r>
    <x v="9"/>
    <x v="0"/>
    <x v="1"/>
    <n v="24893.78"/>
    <n v="25786.68"/>
    <n v="176.97"/>
    <n v="821.45"/>
    <x v="3776"/>
    <x v="0"/>
  </r>
  <r>
    <x v="4"/>
    <x v="3"/>
    <x v="5"/>
    <n v="21192.16"/>
    <n v="18305.169999999998"/>
    <n v="176.32"/>
    <n v="330.16"/>
    <x v="3777"/>
    <x v="1"/>
  </r>
  <r>
    <x v="2"/>
    <x v="0"/>
    <x v="7"/>
    <n v="10981.16"/>
    <n v="10432.19"/>
    <n v="31.15"/>
    <n v="225.11"/>
    <x v="3778"/>
    <x v="0"/>
  </r>
  <r>
    <x v="18"/>
    <x v="2"/>
    <x v="2"/>
    <n v="16739.669999999998"/>
    <n v="18537.919999999998"/>
    <n v="121.72"/>
    <n v="1032.79"/>
    <x v="3779"/>
    <x v="1"/>
  </r>
  <r>
    <x v="1"/>
    <x v="1"/>
    <x v="6"/>
    <n v="2307.08"/>
    <n v="1887.99"/>
    <n v="73.510000000000005"/>
    <n v="26.91"/>
    <x v="3780"/>
    <x v="1"/>
  </r>
  <r>
    <x v="5"/>
    <x v="6"/>
    <x v="6"/>
    <n v="23749.46"/>
    <n v="23322.880000000001"/>
    <n v="109.22"/>
    <n v="505.54"/>
    <x v="3781"/>
    <x v="0"/>
  </r>
  <r>
    <x v="8"/>
    <x v="3"/>
    <x v="6"/>
    <n v="43484.37"/>
    <n v="40215"/>
    <n v="102.46"/>
    <n v="1151.3800000000001"/>
    <x v="3782"/>
    <x v="1"/>
  </r>
  <r>
    <x v="7"/>
    <x v="3"/>
    <x v="4"/>
    <n v="22039.34"/>
    <n v="21863.99"/>
    <n v="181.91"/>
    <n v="1310.96"/>
    <x v="3783"/>
    <x v="1"/>
  </r>
  <r>
    <x v="10"/>
    <x v="6"/>
    <x v="0"/>
    <n v="3581.05"/>
    <n v="4141.8999999999996"/>
    <n v="32.450000000000003"/>
    <n v="92.21"/>
    <x v="3784"/>
    <x v="0"/>
  </r>
  <r>
    <x v="19"/>
    <x v="3"/>
    <x v="5"/>
    <n v="11432.67"/>
    <n v="11243.18"/>
    <n v="56.74"/>
    <n v="1003.13"/>
    <x v="3785"/>
    <x v="1"/>
  </r>
  <r>
    <x v="3"/>
    <x v="6"/>
    <x v="7"/>
    <n v="34051.26"/>
    <n v="39517.49"/>
    <n v="122.19"/>
    <n v="604.67999999999995"/>
    <x v="3786"/>
    <x v="0"/>
  </r>
  <r>
    <x v="13"/>
    <x v="2"/>
    <x v="1"/>
    <n v="30414.62"/>
    <n v="36451.49"/>
    <n v="85.7"/>
    <n v="20.58"/>
    <x v="3787"/>
    <x v="1"/>
  </r>
  <r>
    <x v="17"/>
    <x v="4"/>
    <x v="2"/>
    <n v="14904.74"/>
    <n v="16441.509999999998"/>
    <n v="99.03"/>
    <n v="726.38"/>
    <x v="3788"/>
    <x v="0"/>
  </r>
  <r>
    <x v="11"/>
    <x v="0"/>
    <x v="3"/>
    <n v="44135.63"/>
    <n v="39448.589999999997"/>
    <n v="149.47999999999999"/>
    <n v="230.09"/>
    <x v="3789"/>
    <x v="0"/>
  </r>
  <r>
    <x v="11"/>
    <x v="5"/>
    <x v="4"/>
    <n v="29796.69"/>
    <n v="28702.400000000001"/>
    <n v="183.59"/>
    <n v="372.63"/>
    <x v="3790"/>
    <x v="0"/>
  </r>
  <r>
    <x v="7"/>
    <x v="6"/>
    <x v="0"/>
    <n v="5210.97"/>
    <n v="4179.3900000000003"/>
    <n v="117.7"/>
    <n v="1201.43"/>
    <x v="3791"/>
    <x v="0"/>
  </r>
  <r>
    <x v="2"/>
    <x v="5"/>
    <x v="6"/>
    <n v="5095.01"/>
    <n v="4359.58"/>
    <n v="184.67"/>
    <n v="175.95"/>
    <x v="3792"/>
    <x v="0"/>
  </r>
  <r>
    <x v="12"/>
    <x v="6"/>
    <x v="5"/>
    <n v="15090.33"/>
    <n v="17887.810000000001"/>
    <n v="199.22"/>
    <n v="1017.73"/>
    <x v="3793"/>
    <x v="0"/>
  </r>
  <r>
    <x v="1"/>
    <x v="1"/>
    <x v="7"/>
    <n v="710.96"/>
    <n v="574.69000000000005"/>
    <n v="63.36"/>
    <n v="897.31"/>
    <x v="3794"/>
    <x v="1"/>
  </r>
  <r>
    <x v="17"/>
    <x v="4"/>
    <x v="4"/>
    <n v="19881.68"/>
    <n v="23479.759999999998"/>
    <n v="166.97"/>
    <n v="311.69"/>
    <x v="3795"/>
    <x v="0"/>
  </r>
  <r>
    <x v="13"/>
    <x v="0"/>
    <x v="1"/>
    <n v="40225.07"/>
    <n v="33391.699999999997"/>
    <n v="57.13"/>
    <n v="975.92"/>
    <x v="3796"/>
    <x v="0"/>
  </r>
  <r>
    <x v="18"/>
    <x v="4"/>
    <x v="5"/>
    <n v="5514.58"/>
    <n v="6147.13"/>
    <n v="46.23"/>
    <n v="327.19"/>
    <x v="3797"/>
    <x v="0"/>
  </r>
  <r>
    <x v="18"/>
    <x v="5"/>
    <x v="1"/>
    <n v="14251.76"/>
    <n v="15133.6"/>
    <n v="130.79"/>
    <n v="128.57"/>
    <x v="3798"/>
    <x v="0"/>
  </r>
  <r>
    <x v="19"/>
    <x v="4"/>
    <x v="3"/>
    <n v="42875.9"/>
    <n v="34893.919999999998"/>
    <n v="51.49"/>
    <n v="434.33"/>
    <x v="3799"/>
    <x v="0"/>
  </r>
  <r>
    <x v="2"/>
    <x v="5"/>
    <x v="3"/>
    <n v="22302.05"/>
    <n v="23266.42"/>
    <n v="142.66"/>
    <n v="1106.58"/>
    <x v="3800"/>
    <x v="0"/>
  </r>
  <r>
    <x v="12"/>
    <x v="1"/>
    <x v="7"/>
    <n v="45351"/>
    <n v="44837.17"/>
    <n v="75.8"/>
    <n v="139.71"/>
    <x v="3801"/>
    <x v="1"/>
  </r>
  <r>
    <x v="18"/>
    <x v="1"/>
    <x v="0"/>
    <n v="3276.1"/>
    <n v="3186.36"/>
    <n v="128.06"/>
    <n v="141.24"/>
    <x v="3802"/>
    <x v="1"/>
  </r>
  <r>
    <x v="12"/>
    <x v="3"/>
    <x v="5"/>
    <n v="18515.86"/>
    <n v="17545.54"/>
    <n v="153.31"/>
    <n v="55.7"/>
    <x v="3803"/>
    <x v="1"/>
  </r>
  <r>
    <x v="6"/>
    <x v="1"/>
    <x v="6"/>
    <n v="45818.400000000001"/>
    <n v="47474.91"/>
    <n v="163.87"/>
    <n v="423.39"/>
    <x v="3804"/>
    <x v="1"/>
  </r>
  <r>
    <x v="8"/>
    <x v="6"/>
    <x v="3"/>
    <n v="48179.34"/>
    <n v="39123.9"/>
    <n v="144.61000000000001"/>
    <n v="575.86"/>
    <x v="3805"/>
    <x v="0"/>
  </r>
  <r>
    <x v="15"/>
    <x v="3"/>
    <x v="0"/>
    <n v="11161.41"/>
    <n v="12094.6"/>
    <n v="72.150000000000006"/>
    <n v="1366.98"/>
    <x v="3806"/>
    <x v="1"/>
  </r>
  <r>
    <x v="14"/>
    <x v="5"/>
    <x v="7"/>
    <n v="23487.759999999998"/>
    <n v="23061.51"/>
    <n v="103.11"/>
    <n v="421.17"/>
    <x v="3807"/>
    <x v="0"/>
  </r>
  <r>
    <x v="2"/>
    <x v="3"/>
    <x v="0"/>
    <n v="37046.949999999997"/>
    <n v="40037.620000000003"/>
    <n v="94.86"/>
    <n v="279.45"/>
    <x v="3808"/>
    <x v="1"/>
  </r>
  <r>
    <x v="18"/>
    <x v="3"/>
    <x v="2"/>
    <n v="10931.38"/>
    <n v="12160.96"/>
    <n v="72.73"/>
    <n v="924.85"/>
    <x v="3809"/>
    <x v="1"/>
  </r>
  <r>
    <x v="11"/>
    <x v="0"/>
    <x v="1"/>
    <n v="21265.21"/>
    <n v="24178.54"/>
    <n v="156.72"/>
    <n v="119.71"/>
    <x v="3810"/>
    <x v="0"/>
  </r>
  <r>
    <x v="8"/>
    <x v="0"/>
    <x v="5"/>
    <n v="32289.84"/>
    <n v="27529.79"/>
    <n v="92"/>
    <n v="92.1"/>
    <x v="3811"/>
    <x v="0"/>
  </r>
  <r>
    <x v="1"/>
    <x v="4"/>
    <x v="3"/>
    <n v="628.70000000000005"/>
    <n v="624.14"/>
    <n v="72.010000000000005"/>
    <n v="797.14"/>
    <x v="3812"/>
    <x v="0"/>
  </r>
  <r>
    <x v="2"/>
    <x v="5"/>
    <x v="2"/>
    <n v="15436.69"/>
    <n v="12420.26"/>
    <n v="135.63999999999999"/>
    <n v="1069.72"/>
    <x v="3813"/>
    <x v="0"/>
  </r>
  <r>
    <x v="14"/>
    <x v="5"/>
    <x v="1"/>
    <n v="3807.79"/>
    <n v="4108.09"/>
    <n v="86.96"/>
    <n v="14.49"/>
    <x v="3814"/>
    <x v="0"/>
  </r>
  <r>
    <x v="5"/>
    <x v="6"/>
    <x v="2"/>
    <n v="17049.560000000001"/>
    <n v="14482.8"/>
    <n v="149.30000000000001"/>
    <n v="473.11"/>
    <x v="3815"/>
    <x v="0"/>
  </r>
  <r>
    <x v="1"/>
    <x v="5"/>
    <x v="4"/>
    <n v="17465.46"/>
    <n v="14797.67"/>
    <n v="86.39"/>
    <n v="1206.28"/>
    <x v="3816"/>
    <x v="0"/>
  </r>
  <r>
    <x v="0"/>
    <x v="5"/>
    <x v="5"/>
    <n v="8527.1299999999992"/>
    <n v="9161.94"/>
    <n v="60.78"/>
    <n v="370.06"/>
    <x v="3817"/>
    <x v="0"/>
  </r>
  <r>
    <x v="4"/>
    <x v="2"/>
    <x v="4"/>
    <n v="34194.370000000003"/>
    <n v="29599"/>
    <n v="100.29"/>
    <n v="709.57"/>
    <x v="3818"/>
    <x v="1"/>
  </r>
  <r>
    <x v="10"/>
    <x v="3"/>
    <x v="1"/>
    <n v="48171.35"/>
    <n v="54688.41"/>
    <n v="62.15"/>
    <n v="1050.4100000000001"/>
    <x v="3819"/>
    <x v="1"/>
  </r>
  <r>
    <x v="0"/>
    <x v="2"/>
    <x v="7"/>
    <n v="1329.28"/>
    <n v="1220.1300000000001"/>
    <n v="152.26"/>
    <n v="515.72"/>
    <x v="3820"/>
    <x v="1"/>
  </r>
  <r>
    <x v="16"/>
    <x v="6"/>
    <x v="2"/>
    <n v="46989.77"/>
    <n v="38729.32"/>
    <n v="167.7"/>
    <n v="827.41"/>
    <x v="3821"/>
    <x v="0"/>
  </r>
  <r>
    <x v="7"/>
    <x v="0"/>
    <x v="1"/>
    <n v="32469.15"/>
    <n v="31616.9"/>
    <n v="106.77"/>
    <n v="1177.17"/>
    <x v="3822"/>
    <x v="0"/>
  </r>
  <r>
    <x v="12"/>
    <x v="0"/>
    <x v="5"/>
    <n v="16597.689999999999"/>
    <n v="18109.91"/>
    <n v="23.46"/>
    <n v="1297.02"/>
    <x v="3823"/>
    <x v="0"/>
  </r>
  <r>
    <x v="9"/>
    <x v="5"/>
    <x v="3"/>
    <n v="20066.64"/>
    <n v="19117.11"/>
    <n v="71.58"/>
    <n v="1282.83"/>
    <x v="3824"/>
    <x v="0"/>
  </r>
  <r>
    <x v="9"/>
    <x v="3"/>
    <x v="4"/>
    <n v="36406.660000000003"/>
    <n v="38257.65"/>
    <n v="86.83"/>
    <n v="1025.96"/>
    <x v="3825"/>
    <x v="1"/>
  </r>
  <r>
    <x v="2"/>
    <x v="6"/>
    <x v="7"/>
    <n v="11814.13"/>
    <n v="13568.51"/>
    <n v="28.11"/>
    <n v="424.98"/>
    <x v="3826"/>
    <x v="0"/>
  </r>
  <r>
    <x v="2"/>
    <x v="3"/>
    <x v="3"/>
    <n v="23530.66"/>
    <n v="24956.85"/>
    <n v="35.86"/>
    <n v="1362.79"/>
    <x v="3827"/>
    <x v="1"/>
  </r>
  <r>
    <x v="7"/>
    <x v="5"/>
    <x v="6"/>
    <n v="2348.4299999999998"/>
    <n v="2478.7199999999998"/>
    <n v="23.06"/>
    <n v="85.69"/>
    <x v="3828"/>
    <x v="0"/>
  </r>
  <r>
    <x v="1"/>
    <x v="0"/>
    <x v="4"/>
    <n v="21638.400000000001"/>
    <n v="19007.22"/>
    <n v="50.32"/>
    <n v="1308.74"/>
    <x v="3829"/>
    <x v="0"/>
  </r>
  <r>
    <x v="0"/>
    <x v="2"/>
    <x v="0"/>
    <n v="43827.67"/>
    <n v="45552.98"/>
    <n v="173.72"/>
    <n v="745.41"/>
    <x v="3830"/>
    <x v="1"/>
  </r>
  <r>
    <x v="14"/>
    <x v="0"/>
    <x v="4"/>
    <n v="32117.43"/>
    <n v="26470.76"/>
    <n v="129.47"/>
    <n v="213.41"/>
    <x v="3831"/>
    <x v="0"/>
  </r>
  <r>
    <x v="1"/>
    <x v="6"/>
    <x v="4"/>
    <n v="32901.64"/>
    <n v="28886.13"/>
    <n v="191.65"/>
    <n v="1056.51"/>
    <x v="3832"/>
    <x v="0"/>
  </r>
  <r>
    <x v="5"/>
    <x v="6"/>
    <x v="0"/>
    <n v="1251.6199999999999"/>
    <n v="1204.67"/>
    <n v="165.82"/>
    <n v="260.52999999999997"/>
    <x v="3833"/>
    <x v="0"/>
  </r>
  <r>
    <x v="12"/>
    <x v="2"/>
    <x v="2"/>
    <n v="804.2"/>
    <n v="907.98"/>
    <n v="140.12"/>
    <n v="494.37"/>
    <x v="3834"/>
    <x v="1"/>
  </r>
  <r>
    <x v="1"/>
    <x v="1"/>
    <x v="7"/>
    <n v="25218.13"/>
    <n v="21911.21"/>
    <n v="157.16999999999999"/>
    <n v="1151.71"/>
    <x v="3835"/>
    <x v="1"/>
  </r>
  <r>
    <x v="12"/>
    <x v="3"/>
    <x v="4"/>
    <n v="26533.040000000001"/>
    <n v="23117.07"/>
    <n v="110.72"/>
    <n v="189.41"/>
    <x v="3836"/>
    <x v="1"/>
  </r>
  <r>
    <x v="12"/>
    <x v="4"/>
    <x v="1"/>
    <n v="29200.14"/>
    <n v="23408.15"/>
    <n v="33.21"/>
    <n v="152.57"/>
    <x v="3837"/>
    <x v="0"/>
  </r>
  <r>
    <x v="7"/>
    <x v="1"/>
    <x v="0"/>
    <n v="30072.7"/>
    <n v="30370.68"/>
    <n v="97.55"/>
    <n v="64.42"/>
    <x v="3838"/>
    <x v="1"/>
  </r>
  <r>
    <x v="18"/>
    <x v="1"/>
    <x v="5"/>
    <n v="22926.98"/>
    <n v="24139.73"/>
    <n v="194.18"/>
    <n v="965.7"/>
    <x v="3839"/>
    <x v="1"/>
  </r>
  <r>
    <x v="1"/>
    <x v="3"/>
    <x v="4"/>
    <n v="16944.66"/>
    <n v="18989.34"/>
    <n v="174"/>
    <n v="1220.97"/>
    <x v="3840"/>
    <x v="1"/>
  </r>
  <r>
    <x v="5"/>
    <x v="0"/>
    <x v="2"/>
    <n v="12140.59"/>
    <n v="12811.14"/>
    <n v="147.94"/>
    <n v="479.94"/>
    <x v="3841"/>
    <x v="0"/>
  </r>
  <r>
    <x v="6"/>
    <x v="5"/>
    <x v="2"/>
    <n v="18177.63"/>
    <n v="15919.66"/>
    <n v="29.59"/>
    <n v="1181.4000000000001"/>
    <x v="3842"/>
    <x v="0"/>
  </r>
  <r>
    <x v="6"/>
    <x v="4"/>
    <x v="2"/>
    <n v="48072.99"/>
    <n v="39852.6"/>
    <n v="41.42"/>
    <n v="104.36"/>
    <x v="3843"/>
    <x v="0"/>
  </r>
  <r>
    <x v="14"/>
    <x v="3"/>
    <x v="7"/>
    <n v="45967.48"/>
    <n v="46924.800000000003"/>
    <n v="181.02"/>
    <n v="1025.26"/>
    <x v="3844"/>
    <x v="1"/>
  </r>
  <r>
    <x v="4"/>
    <x v="4"/>
    <x v="3"/>
    <n v="2810.85"/>
    <n v="3118"/>
    <n v="153.34"/>
    <n v="1060.1300000000001"/>
    <x v="3845"/>
    <x v="0"/>
  </r>
  <r>
    <x v="10"/>
    <x v="2"/>
    <x v="0"/>
    <n v="11186.25"/>
    <n v="11885.8"/>
    <n v="146.25"/>
    <n v="1353.71"/>
    <x v="3846"/>
    <x v="1"/>
  </r>
  <r>
    <x v="9"/>
    <x v="5"/>
    <x v="6"/>
    <n v="11460.63"/>
    <n v="10850.95"/>
    <n v="73.19"/>
    <n v="1007.79"/>
    <x v="3847"/>
    <x v="0"/>
  </r>
  <r>
    <x v="5"/>
    <x v="4"/>
    <x v="3"/>
    <n v="4266.6000000000004"/>
    <n v="4843.21"/>
    <n v="110.29"/>
    <n v="1296.0899999999999"/>
    <x v="3848"/>
    <x v="0"/>
  </r>
  <r>
    <x v="18"/>
    <x v="6"/>
    <x v="7"/>
    <n v="7853.7"/>
    <n v="6310.57"/>
    <n v="157.05000000000001"/>
    <n v="1273.71"/>
    <x v="3849"/>
    <x v="0"/>
  </r>
  <r>
    <x v="15"/>
    <x v="6"/>
    <x v="3"/>
    <n v="16698.38"/>
    <n v="19560.349999999999"/>
    <n v="27.17"/>
    <n v="549.23"/>
    <x v="3850"/>
    <x v="0"/>
  </r>
  <r>
    <x v="17"/>
    <x v="2"/>
    <x v="6"/>
    <n v="5896.86"/>
    <n v="6313.63"/>
    <n v="140.24"/>
    <n v="933.29"/>
    <x v="3851"/>
    <x v="1"/>
  </r>
  <r>
    <x v="6"/>
    <x v="0"/>
    <x v="7"/>
    <n v="25562.97"/>
    <n v="30519.9"/>
    <n v="70.760000000000005"/>
    <n v="973.45"/>
    <x v="3852"/>
    <x v="0"/>
  </r>
  <r>
    <x v="12"/>
    <x v="4"/>
    <x v="2"/>
    <n v="39031.230000000003"/>
    <n v="37517.040000000001"/>
    <n v="188.61"/>
    <n v="1373.75"/>
    <x v="3853"/>
    <x v="0"/>
  </r>
  <r>
    <x v="11"/>
    <x v="4"/>
    <x v="4"/>
    <n v="9206.61"/>
    <n v="7509.27"/>
    <n v="184.06"/>
    <n v="137.38"/>
    <x v="3854"/>
    <x v="0"/>
  </r>
  <r>
    <x v="8"/>
    <x v="6"/>
    <x v="6"/>
    <n v="12800.16"/>
    <n v="10998.6"/>
    <n v="121.14"/>
    <n v="749.72"/>
    <x v="3855"/>
    <x v="0"/>
  </r>
  <r>
    <x v="9"/>
    <x v="0"/>
    <x v="2"/>
    <n v="14661.13"/>
    <n v="14940.14"/>
    <n v="102.19"/>
    <n v="1012.78"/>
    <x v="3856"/>
    <x v="0"/>
  </r>
  <r>
    <x v="7"/>
    <x v="6"/>
    <x v="5"/>
    <n v="13712.86"/>
    <n v="15754.58"/>
    <n v="21.8"/>
    <n v="427.45"/>
    <x v="3857"/>
    <x v="0"/>
  </r>
  <r>
    <x v="0"/>
    <x v="2"/>
    <x v="2"/>
    <n v="47757.98"/>
    <n v="52330.54"/>
    <n v="87.2"/>
    <n v="261.3"/>
    <x v="3858"/>
    <x v="1"/>
  </r>
  <r>
    <x v="4"/>
    <x v="6"/>
    <x v="4"/>
    <n v="7665.95"/>
    <n v="8212.39"/>
    <n v="82.39"/>
    <n v="400.12"/>
    <x v="3859"/>
    <x v="0"/>
  </r>
  <r>
    <x v="19"/>
    <x v="1"/>
    <x v="1"/>
    <n v="32959.47"/>
    <n v="39527.46"/>
    <n v="148.19"/>
    <n v="876.25"/>
    <x v="3860"/>
    <x v="1"/>
  </r>
  <r>
    <x v="10"/>
    <x v="1"/>
    <x v="0"/>
    <n v="41810.550000000003"/>
    <n v="49687.65"/>
    <n v="47.97"/>
    <n v="711"/>
    <x v="3861"/>
    <x v="1"/>
  </r>
  <r>
    <x v="16"/>
    <x v="6"/>
    <x v="7"/>
    <n v="30638.34"/>
    <n v="35089.910000000003"/>
    <n v="33.630000000000003"/>
    <n v="1067.04"/>
    <x v="3862"/>
    <x v="0"/>
  </r>
  <r>
    <x v="6"/>
    <x v="1"/>
    <x v="2"/>
    <n v="31151.33"/>
    <n v="32018.28"/>
    <n v="60.68"/>
    <n v="907.81"/>
    <x v="3863"/>
    <x v="1"/>
  </r>
  <r>
    <x v="0"/>
    <x v="4"/>
    <x v="0"/>
    <n v="795.69"/>
    <n v="664.48"/>
    <n v="102.64"/>
    <n v="641.08000000000004"/>
    <x v="3864"/>
    <x v="0"/>
  </r>
  <r>
    <x v="19"/>
    <x v="0"/>
    <x v="6"/>
    <n v="31775.63"/>
    <n v="26989.29"/>
    <n v="135.5"/>
    <n v="946.01"/>
    <x v="3865"/>
    <x v="0"/>
  </r>
  <r>
    <x v="3"/>
    <x v="4"/>
    <x v="0"/>
    <n v="6399.99"/>
    <n v="5880.84"/>
    <n v="155.86000000000001"/>
    <n v="303.67"/>
    <x v="3866"/>
    <x v="0"/>
  </r>
  <r>
    <x v="13"/>
    <x v="3"/>
    <x v="4"/>
    <n v="3335.93"/>
    <n v="2697.39"/>
    <n v="173.1"/>
    <n v="1281.32"/>
    <x v="3867"/>
    <x v="1"/>
  </r>
  <r>
    <x v="14"/>
    <x v="5"/>
    <x v="4"/>
    <n v="32269.61"/>
    <n v="32056"/>
    <n v="140.15"/>
    <n v="713.9"/>
    <x v="3868"/>
    <x v="0"/>
  </r>
  <r>
    <x v="16"/>
    <x v="2"/>
    <x v="1"/>
    <n v="40958.230000000003"/>
    <n v="45227.94"/>
    <n v="100.92"/>
    <n v="1256.74"/>
    <x v="3869"/>
    <x v="1"/>
  </r>
  <r>
    <x v="0"/>
    <x v="4"/>
    <x v="3"/>
    <n v="31405.75"/>
    <n v="33856.31"/>
    <n v="194.86"/>
    <n v="1232.83"/>
    <x v="3870"/>
    <x v="0"/>
  </r>
  <r>
    <x v="15"/>
    <x v="4"/>
    <x v="5"/>
    <n v="22509.21"/>
    <n v="23765.56"/>
    <n v="158.37"/>
    <n v="751.04"/>
    <x v="3871"/>
    <x v="0"/>
  </r>
  <r>
    <x v="16"/>
    <x v="3"/>
    <x v="7"/>
    <n v="15633.24"/>
    <n v="15697.13"/>
    <n v="139.15"/>
    <n v="1330.71"/>
    <x v="3872"/>
    <x v="1"/>
  </r>
  <r>
    <x v="8"/>
    <x v="5"/>
    <x v="2"/>
    <n v="47920.72"/>
    <n v="53947.82"/>
    <n v="158.76"/>
    <n v="50.5"/>
    <x v="3873"/>
    <x v="0"/>
  </r>
  <r>
    <x v="0"/>
    <x v="4"/>
    <x v="4"/>
    <n v="19895.96"/>
    <n v="19570.189999999999"/>
    <n v="112.61"/>
    <n v="1041.5899999999999"/>
    <x v="3874"/>
    <x v="0"/>
  </r>
  <r>
    <x v="16"/>
    <x v="0"/>
    <x v="3"/>
    <n v="5947.99"/>
    <n v="5770.54"/>
    <n v="123.6"/>
    <n v="360.17"/>
    <x v="3875"/>
    <x v="0"/>
  </r>
  <r>
    <x v="2"/>
    <x v="3"/>
    <x v="1"/>
    <n v="34319.79"/>
    <n v="34261.08"/>
    <n v="197.79"/>
    <n v="732.93"/>
    <x v="3876"/>
    <x v="1"/>
  </r>
  <r>
    <x v="6"/>
    <x v="1"/>
    <x v="1"/>
    <n v="1364.29"/>
    <n v="1239.2"/>
    <n v="178.83"/>
    <n v="1203.27"/>
    <x v="3877"/>
    <x v="1"/>
  </r>
  <r>
    <x v="12"/>
    <x v="5"/>
    <x v="3"/>
    <n v="4771.68"/>
    <n v="5399.86"/>
    <n v="124.81"/>
    <n v="490.67"/>
    <x v="3878"/>
    <x v="0"/>
  </r>
  <r>
    <x v="1"/>
    <x v="6"/>
    <x v="3"/>
    <n v="11831.38"/>
    <n v="9645.14"/>
    <n v="171.29"/>
    <n v="932.96"/>
    <x v="3879"/>
    <x v="0"/>
  </r>
  <r>
    <x v="12"/>
    <x v="6"/>
    <x v="7"/>
    <n v="20053.87"/>
    <n v="20908.91"/>
    <n v="146.93"/>
    <n v="1028.94"/>
    <x v="3880"/>
    <x v="0"/>
  </r>
  <r>
    <x v="0"/>
    <x v="6"/>
    <x v="2"/>
    <n v="24922.81"/>
    <n v="22753"/>
    <n v="24.48"/>
    <n v="367.27"/>
    <x v="3881"/>
    <x v="0"/>
  </r>
  <r>
    <x v="6"/>
    <x v="0"/>
    <x v="1"/>
    <n v="24926.49"/>
    <n v="23777.4"/>
    <n v="75.55"/>
    <n v="23.06"/>
    <x v="3882"/>
    <x v="0"/>
  </r>
  <r>
    <x v="0"/>
    <x v="3"/>
    <x v="0"/>
    <n v="48288.75"/>
    <n v="47935.55"/>
    <n v="125.12"/>
    <n v="216.45"/>
    <x v="3883"/>
    <x v="1"/>
  </r>
  <r>
    <x v="4"/>
    <x v="4"/>
    <x v="2"/>
    <n v="49713.02"/>
    <n v="49858.42"/>
    <n v="188.8"/>
    <n v="699.59"/>
    <x v="3884"/>
    <x v="0"/>
  </r>
  <r>
    <x v="11"/>
    <x v="2"/>
    <x v="7"/>
    <n v="36776.949999999997"/>
    <n v="41808.370000000003"/>
    <n v="185.28"/>
    <n v="1335.68"/>
    <x v="3885"/>
    <x v="1"/>
  </r>
  <r>
    <x v="12"/>
    <x v="6"/>
    <x v="2"/>
    <n v="10943.72"/>
    <n v="8850.35"/>
    <n v="151.32"/>
    <n v="911.76"/>
    <x v="3886"/>
    <x v="0"/>
  </r>
  <r>
    <x v="1"/>
    <x v="2"/>
    <x v="6"/>
    <n v="13011.74"/>
    <n v="14987.95"/>
    <n v="45.55"/>
    <n v="17.03"/>
    <x v="3887"/>
    <x v="1"/>
  </r>
  <r>
    <x v="12"/>
    <x v="4"/>
    <x v="0"/>
    <n v="36987.300000000003"/>
    <n v="40094.57"/>
    <n v="162.66999999999999"/>
    <n v="585.44000000000005"/>
    <x v="3888"/>
    <x v="0"/>
  </r>
  <r>
    <x v="19"/>
    <x v="4"/>
    <x v="1"/>
    <n v="20497.05"/>
    <n v="19769.05"/>
    <n v="155.32"/>
    <n v="52.89"/>
    <x v="3889"/>
    <x v="0"/>
  </r>
  <r>
    <x v="3"/>
    <x v="5"/>
    <x v="4"/>
    <n v="48643.3"/>
    <n v="45212.72"/>
    <n v="52.73"/>
    <n v="705.29"/>
    <x v="3890"/>
    <x v="0"/>
  </r>
  <r>
    <x v="2"/>
    <x v="6"/>
    <x v="7"/>
    <n v="27535.43"/>
    <n v="24000.35"/>
    <n v="47.86"/>
    <n v="1077.77"/>
    <x v="3891"/>
    <x v="0"/>
  </r>
  <r>
    <x v="7"/>
    <x v="6"/>
    <x v="2"/>
    <n v="41431.599999999999"/>
    <n v="41127.440000000002"/>
    <n v="158.86000000000001"/>
    <n v="822.12"/>
    <x v="3892"/>
    <x v="0"/>
  </r>
  <r>
    <x v="4"/>
    <x v="5"/>
    <x v="3"/>
    <n v="20351.560000000001"/>
    <n v="17289.669999999998"/>
    <n v="55.24"/>
    <n v="221.61"/>
    <x v="3893"/>
    <x v="0"/>
  </r>
  <r>
    <x v="10"/>
    <x v="3"/>
    <x v="7"/>
    <n v="10227.92"/>
    <n v="9614.77"/>
    <n v="52.35"/>
    <n v="108.07"/>
    <x v="3894"/>
    <x v="1"/>
  </r>
  <r>
    <x v="12"/>
    <x v="5"/>
    <x v="0"/>
    <n v="30808.240000000002"/>
    <n v="33062.57"/>
    <n v="196.29"/>
    <n v="687.61"/>
    <x v="3895"/>
    <x v="0"/>
  </r>
  <r>
    <x v="8"/>
    <x v="0"/>
    <x v="0"/>
    <n v="3967.86"/>
    <n v="3362.37"/>
    <n v="84.92"/>
    <n v="725.91"/>
    <x v="3896"/>
    <x v="0"/>
  </r>
  <r>
    <x v="15"/>
    <x v="0"/>
    <x v="7"/>
    <n v="6650.92"/>
    <n v="7579.11"/>
    <n v="162.65"/>
    <n v="1084.1099999999999"/>
    <x v="3897"/>
    <x v="0"/>
  </r>
  <r>
    <x v="8"/>
    <x v="2"/>
    <x v="7"/>
    <n v="28724.78"/>
    <n v="29908.47"/>
    <n v="135.86000000000001"/>
    <n v="1383.32"/>
    <x v="3898"/>
    <x v="1"/>
  </r>
  <r>
    <x v="12"/>
    <x v="3"/>
    <x v="0"/>
    <n v="39363.879999999997"/>
    <n v="38203.949999999997"/>
    <n v="55.09"/>
    <n v="322.55"/>
    <x v="3899"/>
    <x v="1"/>
  </r>
  <r>
    <x v="4"/>
    <x v="6"/>
    <x v="2"/>
    <n v="19867.48"/>
    <n v="20452.849999999999"/>
    <n v="33.93"/>
    <n v="679.12"/>
    <x v="3900"/>
    <x v="0"/>
  </r>
  <r>
    <x v="18"/>
    <x v="3"/>
    <x v="7"/>
    <n v="19933.91"/>
    <n v="22347.45"/>
    <n v="165.12"/>
    <n v="1115.19"/>
    <x v="3901"/>
    <x v="1"/>
  </r>
  <r>
    <x v="15"/>
    <x v="6"/>
    <x v="4"/>
    <n v="43793.47"/>
    <n v="47572.31"/>
    <n v="116.1"/>
    <n v="634.57000000000005"/>
    <x v="3902"/>
    <x v="0"/>
  </r>
  <r>
    <x v="18"/>
    <x v="5"/>
    <x v="7"/>
    <n v="20784.189999999999"/>
    <n v="19901.18"/>
    <n v="83.5"/>
    <n v="1211.05"/>
    <x v="3903"/>
    <x v="0"/>
  </r>
  <r>
    <x v="18"/>
    <x v="5"/>
    <x v="7"/>
    <n v="20579.73"/>
    <n v="19232.59"/>
    <n v="60.09"/>
    <n v="1229.5"/>
    <x v="3904"/>
    <x v="0"/>
  </r>
  <r>
    <x v="1"/>
    <x v="6"/>
    <x v="0"/>
    <n v="13334.55"/>
    <n v="11011.2"/>
    <n v="75.05"/>
    <n v="1066.31"/>
    <x v="3905"/>
    <x v="0"/>
  </r>
  <r>
    <x v="9"/>
    <x v="4"/>
    <x v="0"/>
    <n v="43788.58"/>
    <n v="44877.77"/>
    <n v="199.83"/>
    <n v="1323.68"/>
    <x v="3906"/>
    <x v="0"/>
  </r>
  <r>
    <x v="2"/>
    <x v="2"/>
    <x v="3"/>
    <n v="24881.93"/>
    <n v="22405.35"/>
    <n v="81.53"/>
    <n v="452.31"/>
    <x v="3907"/>
    <x v="1"/>
  </r>
  <r>
    <x v="19"/>
    <x v="6"/>
    <x v="6"/>
    <n v="48461.19"/>
    <n v="45557.47"/>
    <n v="178.87"/>
    <n v="1371.75"/>
    <x v="3908"/>
    <x v="0"/>
  </r>
  <r>
    <x v="2"/>
    <x v="6"/>
    <x v="1"/>
    <n v="4543.43"/>
    <n v="5199.2299999999996"/>
    <n v="155.38"/>
    <n v="679.69"/>
    <x v="3909"/>
    <x v="0"/>
  </r>
  <r>
    <x v="1"/>
    <x v="0"/>
    <x v="7"/>
    <n v="7065.82"/>
    <n v="7319.01"/>
    <n v="154.68"/>
    <n v="23.43"/>
    <x v="3910"/>
    <x v="0"/>
  </r>
  <r>
    <x v="6"/>
    <x v="6"/>
    <x v="0"/>
    <n v="48896.07"/>
    <n v="42855.11"/>
    <n v="75.11"/>
    <n v="483.41"/>
    <x v="3911"/>
    <x v="0"/>
  </r>
  <r>
    <x v="2"/>
    <x v="5"/>
    <x v="7"/>
    <n v="4246.78"/>
    <n v="3554.71"/>
    <n v="40.909999999999997"/>
    <n v="1117.56"/>
    <x v="3912"/>
    <x v="0"/>
  </r>
  <r>
    <x v="11"/>
    <x v="3"/>
    <x v="4"/>
    <n v="23485.33"/>
    <n v="26696.48"/>
    <n v="111.9"/>
    <n v="627.04"/>
    <x v="3913"/>
    <x v="1"/>
  </r>
  <r>
    <x v="5"/>
    <x v="4"/>
    <x v="2"/>
    <n v="21886.53"/>
    <n v="21929.06"/>
    <n v="54.64"/>
    <n v="981.93"/>
    <x v="3914"/>
    <x v="0"/>
  </r>
  <r>
    <x v="13"/>
    <x v="2"/>
    <x v="1"/>
    <n v="13772.37"/>
    <n v="12965.94"/>
    <n v="199.4"/>
    <n v="1243.6500000000001"/>
    <x v="3915"/>
    <x v="1"/>
  </r>
  <r>
    <x v="0"/>
    <x v="1"/>
    <x v="2"/>
    <n v="4506.0200000000004"/>
    <n v="4669.49"/>
    <n v="48.83"/>
    <n v="810.54"/>
    <x v="3916"/>
    <x v="1"/>
  </r>
  <r>
    <x v="19"/>
    <x v="3"/>
    <x v="5"/>
    <n v="26605.16"/>
    <n v="28734.29"/>
    <n v="194.42"/>
    <n v="998.99"/>
    <x v="3917"/>
    <x v="1"/>
  </r>
  <r>
    <x v="2"/>
    <x v="0"/>
    <x v="3"/>
    <n v="17980.73"/>
    <n v="16578.14"/>
    <n v="135.54"/>
    <n v="172.14"/>
    <x v="3918"/>
    <x v="0"/>
  </r>
  <r>
    <x v="7"/>
    <x v="0"/>
    <x v="4"/>
    <n v="37791.64"/>
    <n v="36116.120000000003"/>
    <n v="180.14"/>
    <n v="847.39"/>
    <x v="3919"/>
    <x v="0"/>
  </r>
  <r>
    <x v="5"/>
    <x v="5"/>
    <x v="5"/>
    <n v="32634.06"/>
    <n v="30546.05"/>
    <n v="122.05"/>
    <n v="1083.2"/>
    <x v="3920"/>
    <x v="0"/>
  </r>
  <r>
    <x v="15"/>
    <x v="0"/>
    <x v="3"/>
    <n v="9291.4"/>
    <n v="7800.49"/>
    <n v="158.26"/>
    <n v="201.86"/>
    <x v="3921"/>
    <x v="0"/>
  </r>
  <r>
    <x v="12"/>
    <x v="2"/>
    <x v="2"/>
    <n v="2591.2800000000002"/>
    <n v="2539.4499999999998"/>
    <n v="184.37"/>
    <n v="894.26"/>
    <x v="3922"/>
    <x v="1"/>
  </r>
  <r>
    <x v="16"/>
    <x v="0"/>
    <x v="4"/>
    <n v="44477.26"/>
    <n v="37883.599999999999"/>
    <n v="115.17"/>
    <n v="481.86"/>
    <x v="3923"/>
    <x v="0"/>
  </r>
  <r>
    <x v="6"/>
    <x v="6"/>
    <x v="3"/>
    <n v="47383.13"/>
    <n v="46675.03"/>
    <n v="87.78"/>
    <n v="292.83"/>
    <x v="3924"/>
    <x v="0"/>
  </r>
  <r>
    <x v="2"/>
    <x v="3"/>
    <x v="0"/>
    <n v="13107.39"/>
    <n v="14142.18"/>
    <n v="133.78"/>
    <n v="488.34"/>
    <x v="3925"/>
    <x v="1"/>
  </r>
  <r>
    <x v="19"/>
    <x v="5"/>
    <x v="0"/>
    <n v="22876.31"/>
    <n v="18500.740000000002"/>
    <n v="122.13"/>
    <n v="1210.8900000000001"/>
    <x v="3926"/>
    <x v="0"/>
  </r>
  <r>
    <x v="0"/>
    <x v="3"/>
    <x v="4"/>
    <n v="24658.77"/>
    <n v="21150.240000000002"/>
    <n v="190.65"/>
    <n v="987.02"/>
    <x v="3927"/>
    <x v="1"/>
  </r>
  <r>
    <x v="7"/>
    <x v="5"/>
    <x v="4"/>
    <n v="47795.17"/>
    <n v="51508.42"/>
    <n v="23.8"/>
    <n v="1384.94"/>
    <x v="3928"/>
    <x v="0"/>
  </r>
  <r>
    <x v="7"/>
    <x v="1"/>
    <x v="6"/>
    <n v="27412.14"/>
    <n v="24285.52"/>
    <n v="29.08"/>
    <n v="1032.17"/>
    <x v="3929"/>
    <x v="1"/>
  </r>
  <r>
    <x v="19"/>
    <x v="1"/>
    <x v="7"/>
    <n v="11754.6"/>
    <n v="13589.36"/>
    <n v="38.409999999999997"/>
    <n v="1325.99"/>
    <x v="3930"/>
    <x v="1"/>
  </r>
  <r>
    <x v="12"/>
    <x v="3"/>
    <x v="6"/>
    <n v="25751.15"/>
    <n v="27543.65"/>
    <n v="82.04"/>
    <n v="169.01"/>
    <x v="3931"/>
    <x v="1"/>
  </r>
  <r>
    <x v="4"/>
    <x v="6"/>
    <x v="5"/>
    <n v="38788.160000000003"/>
    <n v="38233.949999999997"/>
    <n v="171.57"/>
    <n v="933.35"/>
    <x v="3932"/>
    <x v="0"/>
  </r>
  <r>
    <x v="0"/>
    <x v="0"/>
    <x v="1"/>
    <n v="47213.66"/>
    <n v="41479.51"/>
    <n v="119.67"/>
    <n v="634.44000000000005"/>
    <x v="3933"/>
    <x v="0"/>
  </r>
  <r>
    <x v="11"/>
    <x v="1"/>
    <x v="7"/>
    <n v="34878.89"/>
    <n v="28723.34"/>
    <n v="109.99"/>
    <n v="1393.23"/>
    <x v="3934"/>
    <x v="1"/>
  </r>
  <r>
    <x v="11"/>
    <x v="4"/>
    <x v="6"/>
    <n v="14347.74"/>
    <n v="13176.64"/>
    <n v="81"/>
    <n v="97.11"/>
    <x v="3935"/>
    <x v="0"/>
  </r>
  <r>
    <x v="19"/>
    <x v="4"/>
    <x v="3"/>
    <n v="25357.01"/>
    <n v="29458.54"/>
    <n v="85.67"/>
    <n v="530.96"/>
    <x v="3936"/>
    <x v="0"/>
  </r>
  <r>
    <x v="13"/>
    <x v="6"/>
    <x v="4"/>
    <n v="37724.449999999997"/>
    <n v="38936.199999999997"/>
    <n v="174.15"/>
    <n v="1320.3"/>
    <x v="3937"/>
    <x v="0"/>
  </r>
  <r>
    <x v="14"/>
    <x v="3"/>
    <x v="1"/>
    <n v="25896.07"/>
    <n v="27820.57"/>
    <n v="62.31"/>
    <n v="913.57"/>
    <x v="3938"/>
    <x v="1"/>
  </r>
  <r>
    <x v="14"/>
    <x v="3"/>
    <x v="6"/>
    <n v="16759.439999999999"/>
    <n v="14835.52"/>
    <n v="159.4"/>
    <n v="635.84"/>
    <x v="3939"/>
    <x v="1"/>
  </r>
  <r>
    <x v="6"/>
    <x v="4"/>
    <x v="0"/>
    <n v="45708.36"/>
    <n v="44083.59"/>
    <n v="26.57"/>
    <n v="799.74"/>
    <x v="3940"/>
    <x v="0"/>
  </r>
  <r>
    <x v="18"/>
    <x v="0"/>
    <x v="7"/>
    <n v="34128.57"/>
    <n v="28171.7"/>
    <n v="188.18"/>
    <n v="283.36"/>
    <x v="3941"/>
    <x v="0"/>
  </r>
  <r>
    <x v="17"/>
    <x v="4"/>
    <x v="5"/>
    <n v="36276.5"/>
    <n v="36781.35"/>
    <n v="195.05"/>
    <n v="287.95"/>
    <x v="3942"/>
    <x v="0"/>
  </r>
  <r>
    <x v="3"/>
    <x v="0"/>
    <x v="4"/>
    <n v="16630.97"/>
    <n v="13435.43"/>
    <n v="141.55000000000001"/>
    <n v="413.02"/>
    <x v="3943"/>
    <x v="0"/>
  </r>
  <r>
    <x v="15"/>
    <x v="6"/>
    <x v="6"/>
    <n v="39920.99"/>
    <n v="42415.75"/>
    <n v="51.35"/>
    <n v="1127.43"/>
    <x v="3944"/>
    <x v="0"/>
  </r>
  <r>
    <x v="7"/>
    <x v="0"/>
    <x v="2"/>
    <n v="8022.86"/>
    <n v="6768.62"/>
    <n v="80.959999999999994"/>
    <n v="1122.45"/>
    <x v="3945"/>
    <x v="0"/>
  </r>
  <r>
    <x v="15"/>
    <x v="2"/>
    <x v="0"/>
    <n v="33831.35"/>
    <n v="30292"/>
    <n v="171.24"/>
    <n v="793.74"/>
    <x v="3946"/>
    <x v="1"/>
  </r>
  <r>
    <x v="5"/>
    <x v="4"/>
    <x v="7"/>
    <n v="13232.58"/>
    <n v="12779.41"/>
    <n v="86.63"/>
    <n v="417.81"/>
    <x v="3947"/>
    <x v="0"/>
  </r>
  <r>
    <x v="7"/>
    <x v="3"/>
    <x v="5"/>
    <n v="25462.07"/>
    <n v="20702.75"/>
    <n v="152.13"/>
    <n v="957.59"/>
    <x v="3948"/>
    <x v="1"/>
  </r>
  <r>
    <x v="1"/>
    <x v="4"/>
    <x v="4"/>
    <n v="12286.86"/>
    <n v="12617.84"/>
    <n v="88.18"/>
    <n v="1124.78"/>
    <x v="3949"/>
    <x v="0"/>
  </r>
  <r>
    <x v="16"/>
    <x v="4"/>
    <x v="6"/>
    <n v="1581.41"/>
    <n v="1654.63"/>
    <n v="72.790000000000006"/>
    <n v="875.05"/>
    <x v="3950"/>
    <x v="0"/>
  </r>
  <r>
    <x v="9"/>
    <x v="6"/>
    <x v="0"/>
    <n v="33216.949999999997"/>
    <n v="33519.19"/>
    <n v="190.22"/>
    <n v="454.98"/>
    <x v="3951"/>
    <x v="0"/>
  </r>
  <r>
    <x v="10"/>
    <x v="1"/>
    <x v="0"/>
    <n v="5881.53"/>
    <n v="5929.15"/>
    <n v="196.4"/>
    <n v="230.31"/>
    <x v="3952"/>
    <x v="1"/>
  </r>
  <r>
    <x v="15"/>
    <x v="1"/>
    <x v="7"/>
    <n v="11947.95"/>
    <n v="12681.14"/>
    <n v="56.45"/>
    <n v="1179.45"/>
    <x v="3953"/>
    <x v="1"/>
  </r>
  <r>
    <x v="8"/>
    <x v="4"/>
    <x v="5"/>
    <n v="29883.47"/>
    <n v="26779.8"/>
    <n v="65.22"/>
    <n v="442.64"/>
    <x v="3954"/>
    <x v="0"/>
  </r>
  <r>
    <x v="14"/>
    <x v="4"/>
    <x v="4"/>
    <n v="20409.63"/>
    <n v="17866.36"/>
    <n v="134.61000000000001"/>
    <n v="422.84"/>
    <x v="3955"/>
    <x v="0"/>
  </r>
  <r>
    <x v="2"/>
    <x v="0"/>
    <x v="6"/>
    <n v="22345.64"/>
    <n v="24910.18"/>
    <n v="163.41999999999999"/>
    <n v="684.69"/>
    <x v="3956"/>
    <x v="0"/>
  </r>
  <r>
    <x v="10"/>
    <x v="6"/>
    <x v="1"/>
    <n v="42577.15"/>
    <n v="41658.199999999997"/>
    <n v="131.32"/>
    <n v="1277.56"/>
    <x v="3957"/>
    <x v="0"/>
  </r>
  <r>
    <x v="14"/>
    <x v="1"/>
    <x v="5"/>
    <n v="8949"/>
    <n v="8542.5"/>
    <n v="27.53"/>
    <n v="605.80999999999995"/>
    <x v="3958"/>
    <x v="1"/>
  </r>
  <r>
    <x v="18"/>
    <x v="4"/>
    <x v="4"/>
    <n v="48739.3"/>
    <n v="56192.06"/>
    <n v="28.23"/>
    <n v="219.36"/>
    <x v="3959"/>
    <x v="0"/>
  </r>
  <r>
    <x v="5"/>
    <x v="6"/>
    <x v="7"/>
    <n v="38564.43"/>
    <n v="32658.89"/>
    <n v="26.13"/>
    <n v="362.46"/>
    <x v="3960"/>
    <x v="0"/>
  </r>
  <r>
    <x v="11"/>
    <x v="4"/>
    <x v="3"/>
    <n v="17771.61"/>
    <n v="17461.07"/>
    <n v="56.81"/>
    <n v="831.42"/>
    <x v="3961"/>
    <x v="0"/>
  </r>
  <r>
    <x v="9"/>
    <x v="2"/>
    <x v="5"/>
    <n v="9799.74"/>
    <n v="9998.61"/>
    <n v="130.16"/>
    <n v="157.63999999999999"/>
    <x v="3962"/>
    <x v="1"/>
  </r>
  <r>
    <x v="18"/>
    <x v="1"/>
    <x v="0"/>
    <n v="14859.9"/>
    <n v="14172.89"/>
    <n v="80.599999999999994"/>
    <n v="1244.3499999999999"/>
    <x v="3963"/>
    <x v="1"/>
  </r>
  <r>
    <x v="7"/>
    <x v="5"/>
    <x v="7"/>
    <n v="17656.439999999999"/>
    <n v="20511.599999999999"/>
    <n v="50.98"/>
    <n v="771.51"/>
    <x v="3964"/>
    <x v="0"/>
  </r>
  <r>
    <x v="6"/>
    <x v="1"/>
    <x v="4"/>
    <n v="41283.64"/>
    <n v="42195.46"/>
    <n v="78.150000000000006"/>
    <n v="513.62"/>
    <x v="3965"/>
    <x v="1"/>
  </r>
  <r>
    <x v="11"/>
    <x v="1"/>
    <x v="6"/>
    <n v="33558.639999999999"/>
    <n v="36201.96"/>
    <n v="44.06"/>
    <n v="1099.07"/>
    <x v="3966"/>
    <x v="1"/>
  </r>
  <r>
    <x v="2"/>
    <x v="6"/>
    <x v="2"/>
    <n v="23151"/>
    <n v="22695.55"/>
    <n v="151.32"/>
    <n v="361.5"/>
    <x v="3967"/>
    <x v="0"/>
  </r>
  <r>
    <x v="2"/>
    <x v="5"/>
    <x v="6"/>
    <n v="43395.8"/>
    <n v="42356.33"/>
    <n v="148.53"/>
    <n v="690.21"/>
    <x v="3968"/>
    <x v="0"/>
  </r>
  <r>
    <x v="19"/>
    <x v="0"/>
    <x v="4"/>
    <n v="35461.440000000002"/>
    <n v="32536.66"/>
    <n v="93"/>
    <n v="78.77"/>
    <x v="3969"/>
    <x v="0"/>
  </r>
  <r>
    <x v="2"/>
    <x v="5"/>
    <x v="6"/>
    <n v="5170.0600000000004"/>
    <n v="5685.82"/>
    <n v="52.39"/>
    <n v="483.54"/>
    <x v="3970"/>
    <x v="0"/>
  </r>
  <r>
    <x v="5"/>
    <x v="6"/>
    <x v="5"/>
    <n v="47836.43"/>
    <n v="53056.61"/>
    <n v="128.63999999999999"/>
    <n v="637.38"/>
    <x v="3971"/>
    <x v="0"/>
  </r>
  <r>
    <x v="0"/>
    <x v="3"/>
    <x v="3"/>
    <n v="19597.5"/>
    <n v="21349.34"/>
    <n v="135.19"/>
    <n v="647.32000000000005"/>
    <x v="3972"/>
    <x v="1"/>
  </r>
  <r>
    <x v="0"/>
    <x v="6"/>
    <x v="1"/>
    <n v="47574.43"/>
    <n v="39243.81"/>
    <n v="113.13"/>
    <n v="631.25"/>
    <x v="3973"/>
    <x v="0"/>
  </r>
  <r>
    <x v="9"/>
    <x v="1"/>
    <x v="5"/>
    <n v="11479.76"/>
    <n v="12719.36"/>
    <n v="144.51"/>
    <n v="454.91"/>
    <x v="3974"/>
    <x v="1"/>
  </r>
  <r>
    <x v="13"/>
    <x v="6"/>
    <x v="1"/>
    <n v="23830.2"/>
    <n v="25819.119999999999"/>
    <n v="139.08000000000001"/>
    <n v="302"/>
    <x v="3975"/>
    <x v="0"/>
  </r>
  <r>
    <x v="4"/>
    <x v="6"/>
    <x v="1"/>
    <n v="33229"/>
    <n v="36468.28"/>
    <n v="199.01"/>
    <n v="824.94"/>
    <x v="3976"/>
    <x v="0"/>
  </r>
  <r>
    <x v="3"/>
    <x v="6"/>
    <x v="4"/>
    <n v="11243.38"/>
    <n v="12223.77"/>
    <n v="193.06"/>
    <n v="18.98"/>
    <x v="3977"/>
    <x v="0"/>
  </r>
  <r>
    <x v="15"/>
    <x v="4"/>
    <x v="4"/>
    <n v="34590.559999999998"/>
    <n v="29375.24"/>
    <n v="193.51"/>
    <n v="176.71"/>
    <x v="3978"/>
    <x v="0"/>
  </r>
  <r>
    <x v="5"/>
    <x v="3"/>
    <x v="6"/>
    <n v="6522.86"/>
    <n v="5334.03"/>
    <n v="164.16"/>
    <n v="576.36"/>
    <x v="3979"/>
    <x v="1"/>
  </r>
  <r>
    <x v="0"/>
    <x v="3"/>
    <x v="5"/>
    <n v="6128.27"/>
    <n v="5386.6"/>
    <n v="87.95"/>
    <n v="250.02"/>
    <x v="3980"/>
    <x v="1"/>
  </r>
  <r>
    <x v="15"/>
    <x v="0"/>
    <x v="4"/>
    <n v="33662.639999999999"/>
    <n v="38715.68"/>
    <n v="38.22"/>
    <n v="1199.0999999999999"/>
    <x v="3981"/>
    <x v="0"/>
  </r>
  <r>
    <x v="18"/>
    <x v="2"/>
    <x v="2"/>
    <n v="31553.31"/>
    <n v="27883.34"/>
    <n v="92.26"/>
    <n v="1356.17"/>
    <x v="3982"/>
    <x v="1"/>
  </r>
  <r>
    <x v="4"/>
    <x v="1"/>
    <x v="6"/>
    <n v="38352.58"/>
    <n v="36719.57"/>
    <n v="55.06"/>
    <n v="1118.04"/>
    <x v="3983"/>
    <x v="1"/>
  </r>
  <r>
    <x v="2"/>
    <x v="0"/>
    <x v="0"/>
    <n v="4730.21"/>
    <n v="5486.39"/>
    <n v="89.77"/>
    <n v="11.29"/>
    <x v="3984"/>
    <x v="0"/>
  </r>
  <r>
    <x v="18"/>
    <x v="3"/>
    <x v="2"/>
    <n v="3771.8"/>
    <n v="3221.32"/>
    <n v="42.31"/>
    <n v="1374.53"/>
    <x v="3985"/>
    <x v="1"/>
  </r>
  <r>
    <x v="19"/>
    <x v="6"/>
    <x v="3"/>
    <n v="16449.71"/>
    <n v="13204.62"/>
    <n v="70.599999999999994"/>
    <n v="397"/>
    <x v="3986"/>
    <x v="0"/>
  </r>
  <r>
    <x v="10"/>
    <x v="6"/>
    <x v="5"/>
    <n v="45537.84"/>
    <n v="44766.55"/>
    <n v="145.38"/>
    <n v="489.37"/>
    <x v="3987"/>
    <x v="0"/>
  </r>
  <r>
    <x v="11"/>
    <x v="3"/>
    <x v="7"/>
    <n v="40280.76"/>
    <n v="45344.83"/>
    <n v="141.41999999999999"/>
    <n v="607.47"/>
    <x v="3988"/>
    <x v="1"/>
  </r>
  <r>
    <x v="7"/>
    <x v="5"/>
    <x v="5"/>
    <n v="6385.32"/>
    <n v="5824.93"/>
    <n v="22.85"/>
    <n v="697.78"/>
    <x v="3989"/>
    <x v="0"/>
  </r>
  <r>
    <x v="16"/>
    <x v="0"/>
    <x v="3"/>
    <n v="40586.76"/>
    <n v="47867.15"/>
    <n v="179.54"/>
    <n v="795.6"/>
    <x v="3990"/>
    <x v="0"/>
  </r>
  <r>
    <x v="9"/>
    <x v="5"/>
    <x v="2"/>
    <n v="28582.65"/>
    <n v="23208.720000000001"/>
    <n v="96.05"/>
    <n v="328.26"/>
    <x v="3991"/>
    <x v="0"/>
  </r>
  <r>
    <x v="1"/>
    <x v="4"/>
    <x v="4"/>
    <n v="12401.47"/>
    <n v="11448.82"/>
    <n v="100.24"/>
    <n v="321.57"/>
    <x v="3992"/>
    <x v="0"/>
  </r>
  <r>
    <x v="15"/>
    <x v="6"/>
    <x v="2"/>
    <n v="1401.62"/>
    <n v="1256.8399999999999"/>
    <n v="60.51"/>
    <n v="1232.33"/>
    <x v="3993"/>
    <x v="0"/>
  </r>
  <r>
    <x v="1"/>
    <x v="6"/>
    <x v="4"/>
    <n v="30545.07"/>
    <n v="25240.14"/>
    <n v="174.74"/>
    <n v="1191.1500000000001"/>
    <x v="3994"/>
    <x v="0"/>
  </r>
  <r>
    <x v="5"/>
    <x v="2"/>
    <x v="5"/>
    <n v="38744.410000000003"/>
    <n v="31808.42"/>
    <n v="123.07"/>
    <n v="603"/>
    <x v="3995"/>
    <x v="1"/>
  </r>
  <r>
    <x v="6"/>
    <x v="1"/>
    <x v="0"/>
    <n v="8352.25"/>
    <n v="7851.65"/>
    <n v="50.15"/>
    <n v="1108.56"/>
    <x v="3996"/>
    <x v="1"/>
  </r>
  <r>
    <x v="11"/>
    <x v="4"/>
    <x v="2"/>
    <n v="29588.57"/>
    <n v="30075.64"/>
    <n v="149.51"/>
    <n v="1182.92"/>
    <x v="3997"/>
    <x v="0"/>
  </r>
  <r>
    <x v="7"/>
    <x v="0"/>
    <x v="1"/>
    <n v="20653.43"/>
    <n v="18253.02"/>
    <n v="103.72"/>
    <n v="450.44"/>
    <x v="3998"/>
    <x v="0"/>
  </r>
  <r>
    <x v="4"/>
    <x v="6"/>
    <x v="0"/>
    <n v="32652.959999999999"/>
    <n v="35165.550000000003"/>
    <n v="134.06"/>
    <n v="23.49"/>
    <x v="3999"/>
    <x v="0"/>
  </r>
  <r>
    <x v="14"/>
    <x v="0"/>
    <x v="2"/>
    <n v="13538.96"/>
    <n v="12305.63"/>
    <n v="185.53"/>
    <n v="1073.95"/>
    <x v="4000"/>
    <x v="0"/>
  </r>
  <r>
    <x v="1"/>
    <x v="0"/>
    <x v="4"/>
    <n v="3613.99"/>
    <n v="3087.86"/>
    <n v="136.53"/>
    <n v="349.48"/>
    <x v="4001"/>
    <x v="0"/>
  </r>
  <r>
    <x v="10"/>
    <x v="6"/>
    <x v="5"/>
    <n v="22568.080000000002"/>
    <n v="22703.7"/>
    <n v="124.49"/>
    <n v="825.9"/>
    <x v="4002"/>
    <x v="0"/>
  </r>
  <r>
    <x v="8"/>
    <x v="4"/>
    <x v="4"/>
    <n v="43768.06"/>
    <n v="45522.98"/>
    <n v="53.65"/>
    <n v="1138.1199999999999"/>
    <x v="4003"/>
    <x v="0"/>
  </r>
  <r>
    <x v="19"/>
    <x v="4"/>
    <x v="1"/>
    <n v="9006.2999999999993"/>
    <n v="8000.91"/>
    <n v="172.54"/>
    <n v="1054.6099999999999"/>
    <x v="4004"/>
    <x v="0"/>
  </r>
  <r>
    <x v="3"/>
    <x v="6"/>
    <x v="6"/>
    <n v="45559.31"/>
    <n v="47508.31"/>
    <n v="137.62"/>
    <n v="364.73"/>
    <x v="4005"/>
    <x v="0"/>
  </r>
  <r>
    <x v="1"/>
    <x v="1"/>
    <x v="6"/>
    <n v="20372.16"/>
    <n v="21673.06"/>
    <n v="141.76"/>
    <n v="758.88"/>
    <x v="4006"/>
    <x v="1"/>
  </r>
  <r>
    <x v="10"/>
    <x v="1"/>
    <x v="1"/>
    <n v="18814.310000000001"/>
    <n v="16286.36"/>
    <n v="89.87"/>
    <n v="1387.49"/>
    <x v="4007"/>
    <x v="1"/>
  </r>
  <r>
    <x v="10"/>
    <x v="2"/>
    <x v="3"/>
    <n v="25255.87"/>
    <n v="29351.15"/>
    <n v="160.37"/>
    <n v="643.73"/>
    <x v="4008"/>
    <x v="1"/>
  </r>
  <r>
    <x v="8"/>
    <x v="1"/>
    <x v="6"/>
    <n v="24800.87"/>
    <n v="28942.48"/>
    <n v="94.71"/>
    <n v="1060.06"/>
    <x v="4009"/>
    <x v="1"/>
  </r>
  <r>
    <x v="1"/>
    <x v="4"/>
    <x v="2"/>
    <n v="24220.54"/>
    <n v="20618.900000000001"/>
    <n v="93.73"/>
    <n v="251.86"/>
    <x v="4010"/>
    <x v="0"/>
  </r>
  <r>
    <x v="8"/>
    <x v="3"/>
    <x v="3"/>
    <n v="7290.09"/>
    <n v="6996.1"/>
    <n v="131.22999999999999"/>
    <n v="502.55"/>
    <x v="4011"/>
    <x v="1"/>
  </r>
  <r>
    <x v="8"/>
    <x v="4"/>
    <x v="7"/>
    <n v="27534.23"/>
    <n v="29110.52"/>
    <n v="162.58000000000001"/>
    <n v="693.46"/>
    <x v="4012"/>
    <x v="0"/>
  </r>
  <r>
    <x v="12"/>
    <x v="5"/>
    <x v="7"/>
    <n v="4405.63"/>
    <n v="4759.8100000000004"/>
    <n v="116.46"/>
    <n v="73.64"/>
    <x v="4013"/>
    <x v="0"/>
  </r>
  <r>
    <x v="0"/>
    <x v="2"/>
    <x v="4"/>
    <n v="19342.060000000001"/>
    <n v="19006.54"/>
    <n v="175.68"/>
    <n v="985.03"/>
    <x v="4014"/>
    <x v="1"/>
  </r>
  <r>
    <x v="17"/>
    <x v="2"/>
    <x v="1"/>
    <n v="4171.2"/>
    <n v="3903.89"/>
    <n v="130.46"/>
    <n v="1045.8699999999999"/>
    <x v="4015"/>
    <x v="1"/>
  </r>
  <r>
    <x v="4"/>
    <x v="0"/>
    <x v="7"/>
    <n v="23728.91"/>
    <n v="23191.39"/>
    <n v="30.35"/>
    <n v="1145"/>
    <x v="4016"/>
    <x v="0"/>
  </r>
  <r>
    <x v="16"/>
    <x v="2"/>
    <x v="7"/>
    <n v="34600.629999999997"/>
    <n v="33104.379999999997"/>
    <n v="185.05"/>
    <n v="478.41"/>
    <x v="4017"/>
    <x v="1"/>
  </r>
  <r>
    <x v="8"/>
    <x v="2"/>
    <x v="3"/>
    <n v="18902.400000000001"/>
    <n v="18747.79"/>
    <n v="100.82"/>
    <n v="369.03"/>
    <x v="4018"/>
    <x v="1"/>
  </r>
  <r>
    <x v="0"/>
    <x v="2"/>
    <x v="2"/>
    <n v="17597.05"/>
    <n v="17582.88"/>
    <n v="164.06"/>
    <n v="222.8"/>
    <x v="4019"/>
    <x v="1"/>
  </r>
  <r>
    <x v="14"/>
    <x v="1"/>
    <x v="4"/>
    <n v="35852.300000000003"/>
    <n v="41996.52"/>
    <n v="167.88"/>
    <n v="1307.1500000000001"/>
    <x v="4020"/>
    <x v="1"/>
  </r>
  <r>
    <x v="3"/>
    <x v="4"/>
    <x v="7"/>
    <n v="38755.01"/>
    <n v="39812.519999999997"/>
    <n v="58.81"/>
    <n v="895.89"/>
    <x v="4021"/>
    <x v="0"/>
  </r>
  <r>
    <x v="0"/>
    <x v="6"/>
    <x v="6"/>
    <n v="8307.99"/>
    <n v="6650.19"/>
    <n v="149.59"/>
    <n v="221.14"/>
    <x v="4022"/>
    <x v="0"/>
  </r>
  <r>
    <x v="18"/>
    <x v="5"/>
    <x v="2"/>
    <n v="41548.85"/>
    <n v="34033.339999999997"/>
    <n v="106.19"/>
    <n v="564.04"/>
    <x v="4023"/>
    <x v="0"/>
  </r>
  <r>
    <x v="17"/>
    <x v="3"/>
    <x v="2"/>
    <n v="48474.74"/>
    <n v="43605.18"/>
    <n v="39.270000000000003"/>
    <n v="840.18"/>
    <x v="4024"/>
    <x v="1"/>
  </r>
  <r>
    <x v="14"/>
    <x v="5"/>
    <x v="0"/>
    <n v="28916.69"/>
    <n v="32196.55"/>
    <n v="134.55000000000001"/>
    <n v="950.8"/>
    <x v="4025"/>
    <x v="0"/>
  </r>
  <r>
    <x v="9"/>
    <x v="0"/>
    <x v="1"/>
    <n v="31980.71"/>
    <n v="35434.660000000003"/>
    <n v="132.11000000000001"/>
    <n v="355.18"/>
    <x v="4026"/>
    <x v="0"/>
  </r>
  <r>
    <x v="12"/>
    <x v="4"/>
    <x v="3"/>
    <n v="29922.27"/>
    <n v="35494.18"/>
    <n v="53.99"/>
    <n v="1138.6500000000001"/>
    <x v="4027"/>
    <x v="0"/>
  </r>
  <r>
    <x v="2"/>
    <x v="6"/>
    <x v="0"/>
    <n v="38681.870000000003"/>
    <n v="33973.5"/>
    <n v="27.75"/>
    <n v="1054.51"/>
    <x v="4028"/>
    <x v="0"/>
  </r>
  <r>
    <x v="17"/>
    <x v="0"/>
    <x v="3"/>
    <n v="17963.27"/>
    <n v="20605.61"/>
    <n v="22.52"/>
    <n v="315.39"/>
    <x v="4029"/>
    <x v="0"/>
  </r>
  <r>
    <x v="0"/>
    <x v="1"/>
    <x v="5"/>
    <n v="16867.64"/>
    <n v="19167.490000000002"/>
    <n v="157.32"/>
    <n v="1287.8499999999999"/>
    <x v="4030"/>
    <x v="1"/>
  </r>
  <r>
    <x v="19"/>
    <x v="4"/>
    <x v="2"/>
    <n v="21928.77"/>
    <n v="25233.25"/>
    <n v="150.63999999999999"/>
    <n v="1101.44"/>
    <x v="4031"/>
    <x v="0"/>
  </r>
  <r>
    <x v="17"/>
    <x v="5"/>
    <x v="6"/>
    <n v="40857.910000000003"/>
    <n v="46463.12"/>
    <n v="44.34"/>
    <n v="602.65"/>
    <x v="4032"/>
    <x v="0"/>
  </r>
  <r>
    <x v="10"/>
    <x v="2"/>
    <x v="2"/>
    <n v="28810.62"/>
    <n v="34553.599999999999"/>
    <n v="129.68"/>
    <n v="856.13"/>
    <x v="4033"/>
    <x v="1"/>
  </r>
  <r>
    <x v="2"/>
    <x v="0"/>
    <x v="0"/>
    <n v="17230.55"/>
    <n v="19353.55"/>
    <n v="177.45"/>
    <n v="224.07"/>
    <x v="4034"/>
    <x v="0"/>
  </r>
  <r>
    <x v="7"/>
    <x v="4"/>
    <x v="3"/>
    <n v="38851.370000000003"/>
    <n v="34204.69"/>
    <n v="149.05000000000001"/>
    <n v="219.4"/>
    <x v="4035"/>
    <x v="0"/>
  </r>
  <r>
    <x v="8"/>
    <x v="4"/>
    <x v="7"/>
    <n v="23843.3"/>
    <n v="20013.400000000001"/>
    <n v="114.45"/>
    <n v="1259.8900000000001"/>
    <x v="4036"/>
    <x v="0"/>
  </r>
  <r>
    <x v="8"/>
    <x v="4"/>
    <x v="6"/>
    <n v="17775.87"/>
    <n v="14626.15"/>
    <n v="192.6"/>
    <n v="498.22"/>
    <x v="4037"/>
    <x v="0"/>
  </r>
  <r>
    <x v="3"/>
    <x v="6"/>
    <x v="4"/>
    <n v="39332.550000000003"/>
    <n v="43838.89"/>
    <n v="160.59"/>
    <n v="676.21"/>
    <x v="4038"/>
    <x v="0"/>
  </r>
  <r>
    <x v="10"/>
    <x v="1"/>
    <x v="6"/>
    <n v="37794.81"/>
    <n v="31849.599999999999"/>
    <n v="48.76"/>
    <n v="76.599999999999994"/>
    <x v="4039"/>
    <x v="1"/>
  </r>
  <r>
    <x v="13"/>
    <x v="2"/>
    <x v="5"/>
    <n v="32843.06"/>
    <n v="27504.95"/>
    <n v="143.86000000000001"/>
    <n v="491.46"/>
    <x v="4040"/>
    <x v="1"/>
  </r>
  <r>
    <x v="11"/>
    <x v="6"/>
    <x v="3"/>
    <n v="14284.62"/>
    <n v="13705.76"/>
    <n v="80.430000000000007"/>
    <n v="493.89"/>
    <x v="4041"/>
    <x v="0"/>
  </r>
  <r>
    <x v="10"/>
    <x v="3"/>
    <x v="7"/>
    <n v="31449.81"/>
    <n v="34344.230000000003"/>
    <n v="119.49"/>
    <n v="1207.32"/>
    <x v="4042"/>
    <x v="1"/>
  </r>
  <r>
    <x v="12"/>
    <x v="5"/>
    <x v="5"/>
    <n v="14721.03"/>
    <n v="15984.7"/>
    <n v="177.51"/>
    <n v="481.19"/>
    <x v="4043"/>
    <x v="0"/>
  </r>
  <r>
    <x v="5"/>
    <x v="6"/>
    <x v="5"/>
    <n v="17673.400000000001"/>
    <n v="21146.85"/>
    <n v="194.93"/>
    <n v="1373.6"/>
    <x v="4044"/>
    <x v="0"/>
  </r>
  <r>
    <x v="2"/>
    <x v="0"/>
    <x v="5"/>
    <n v="42043.14"/>
    <n v="36734.879999999997"/>
    <n v="66.680000000000007"/>
    <n v="1383.97"/>
    <x v="4045"/>
    <x v="0"/>
  </r>
  <r>
    <x v="6"/>
    <x v="5"/>
    <x v="0"/>
    <n v="35106.61"/>
    <n v="41960.33"/>
    <n v="100.15"/>
    <n v="163.09"/>
    <x v="4046"/>
    <x v="0"/>
  </r>
  <r>
    <x v="1"/>
    <x v="2"/>
    <x v="4"/>
    <n v="22413.83"/>
    <n v="18004.61"/>
    <n v="53.68"/>
    <n v="891.19"/>
    <x v="4047"/>
    <x v="1"/>
  </r>
  <r>
    <x v="16"/>
    <x v="2"/>
    <x v="3"/>
    <n v="20235.810000000001"/>
    <n v="16744.080000000002"/>
    <n v="108.17"/>
    <n v="94.52"/>
    <x v="4048"/>
    <x v="1"/>
  </r>
  <r>
    <x v="1"/>
    <x v="5"/>
    <x v="0"/>
    <n v="43600.25"/>
    <n v="51461.96"/>
    <n v="97.81"/>
    <n v="508.93"/>
    <x v="4049"/>
    <x v="0"/>
  </r>
  <r>
    <x v="19"/>
    <x v="0"/>
    <x v="7"/>
    <n v="45483.34"/>
    <n v="42243.95"/>
    <n v="160.54"/>
    <n v="1053.42"/>
    <x v="4050"/>
    <x v="0"/>
  </r>
  <r>
    <x v="14"/>
    <x v="3"/>
    <x v="6"/>
    <n v="12488.76"/>
    <n v="13219.64"/>
    <n v="27.03"/>
    <n v="710.49"/>
    <x v="4051"/>
    <x v="1"/>
  </r>
  <r>
    <x v="11"/>
    <x v="5"/>
    <x v="1"/>
    <n v="25919.77"/>
    <n v="26176.34"/>
    <n v="43.74"/>
    <n v="441.37"/>
    <x v="4052"/>
    <x v="0"/>
  </r>
  <r>
    <x v="19"/>
    <x v="4"/>
    <x v="7"/>
    <n v="38623.78"/>
    <n v="38544.07"/>
    <n v="166.34"/>
    <n v="652"/>
    <x v="4053"/>
    <x v="0"/>
  </r>
  <r>
    <x v="5"/>
    <x v="5"/>
    <x v="0"/>
    <n v="44733.13"/>
    <n v="45485.4"/>
    <n v="128.31"/>
    <n v="1014.79"/>
    <x v="4054"/>
    <x v="0"/>
  </r>
  <r>
    <x v="9"/>
    <x v="5"/>
    <x v="4"/>
    <n v="48731.01"/>
    <n v="51453.67"/>
    <n v="127.89"/>
    <n v="1282.07"/>
    <x v="4055"/>
    <x v="0"/>
  </r>
  <r>
    <x v="2"/>
    <x v="0"/>
    <x v="5"/>
    <n v="8253.32"/>
    <n v="8452.4699999999993"/>
    <n v="43.85"/>
    <n v="167.21"/>
    <x v="4056"/>
    <x v="0"/>
  </r>
  <r>
    <x v="19"/>
    <x v="3"/>
    <x v="1"/>
    <n v="41099.29"/>
    <n v="43634.85"/>
    <n v="148.06"/>
    <n v="1054.79"/>
    <x v="4057"/>
    <x v="1"/>
  </r>
  <r>
    <x v="12"/>
    <x v="6"/>
    <x v="4"/>
    <n v="25528.240000000002"/>
    <n v="26821.15"/>
    <n v="62.02"/>
    <n v="157.03"/>
    <x v="4058"/>
    <x v="0"/>
  </r>
  <r>
    <x v="10"/>
    <x v="5"/>
    <x v="0"/>
    <n v="41094.839999999997"/>
    <n v="38219.46"/>
    <n v="79.03"/>
    <n v="1211.31"/>
    <x v="4059"/>
    <x v="0"/>
  </r>
  <r>
    <x v="5"/>
    <x v="4"/>
    <x v="0"/>
    <n v="44135.77"/>
    <n v="44014.239999999998"/>
    <n v="170.31"/>
    <n v="190.75"/>
    <x v="4060"/>
    <x v="0"/>
  </r>
  <r>
    <x v="3"/>
    <x v="6"/>
    <x v="7"/>
    <n v="2748.15"/>
    <n v="2227.25"/>
    <n v="138.93"/>
    <n v="784.79"/>
    <x v="4061"/>
    <x v="0"/>
  </r>
  <r>
    <x v="12"/>
    <x v="4"/>
    <x v="5"/>
    <n v="19031.96"/>
    <n v="17002.43"/>
    <n v="174.25"/>
    <n v="1060.8900000000001"/>
    <x v="4062"/>
    <x v="0"/>
  </r>
  <r>
    <x v="16"/>
    <x v="2"/>
    <x v="4"/>
    <n v="38683.68"/>
    <n v="46155.58"/>
    <n v="103.97"/>
    <n v="785.29"/>
    <x v="4063"/>
    <x v="1"/>
  </r>
  <r>
    <x v="8"/>
    <x v="5"/>
    <x v="2"/>
    <n v="36669.199999999997"/>
    <n v="31771.48"/>
    <n v="142.11000000000001"/>
    <n v="354.57"/>
    <x v="4064"/>
    <x v="0"/>
  </r>
  <r>
    <x v="10"/>
    <x v="1"/>
    <x v="1"/>
    <n v="12289.15"/>
    <n v="13239.72"/>
    <n v="137.34"/>
    <n v="1037.97"/>
    <x v="4065"/>
    <x v="1"/>
  </r>
  <r>
    <x v="4"/>
    <x v="3"/>
    <x v="2"/>
    <n v="9720.84"/>
    <n v="10304.870000000001"/>
    <n v="40.11"/>
    <n v="116.33"/>
    <x v="4066"/>
    <x v="1"/>
  </r>
  <r>
    <x v="15"/>
    <x v="2"/>
    <x v="6"/>
    <n v="41009.81"/>
    <n v="44634.39"/>
    <n v="98.55"/>
    <n v="706.53"/>
    <x v="4067"/>
    <x v="1"/>
  </r>
  <r>
    <x v="5"/>
    <x v="5"/>
    <x v="6"/>
    <n v="1650.24"/>
    <n v="1546.86"/>
    <n v="47.2"/>
    <n v="442.62"/>
    <x v="4068"/>
    <x v="0"/>
  </r>
  <r>
    <x v="5"/>
    <x v="2"/>
    <x v="0"/>
    <n v="13158.48"/>
    <n v="14397.43"/>
    <n v="43.99"/>
    <n v="1323.82"/>
    <x v="4069"/>
    <x v="1"/>
  </r>
  <r>
    <x v="9"/>
    <x v="1"/>
    <x v="0"/>
    <n v="23481.71"/>
    <n v="19223.310000000001"/>
    <n v="73.28"/>
    <n v="828.05"/>
    <x v="4070"/>
    <x v="1"/>
  </r>
  <r>
    <x v="19"/>
    <x v="5"/>
    <x v="6"/>
    <n v="14619.47"/>
    <n v="14294.85"/>
    <n v="77.72"/>
    <n v="751.85"/>
    <x v="4071"/>
    <x v="0"/>
  </r>
  <r>
    <x v="15"/>
    <x v="4"/>
    <x v="6"/>
    <n v="19119.939999999999"/>
    <n v="22634.44"/>
    <n v="136.85"/>
    <n v="1050.8399999999999"/>
    <x v="4072"/>
    <x v="0"/>
  </r>
  <r>
    <x v="3"/>
    <x v="5"/>
    <x v="7"/>
    <n v="35575.75"/>
    <n v="32976.58"/>
    <n v="140.53"/>
    <n v="587.53"/>
    <x v="4073"/>
    <x v="0"/>
  </r>
  <r>
    <x v="9"/>
    <x v="4"/>
    <x v="0"/>
    <n v="34170.589999999997"/>
    <n v="34859.68"/>
    <n v="94.39"/>
    <n v="777.03"/>
    <x v="4074"/>
    <x v="0"/>
  </r>
  <r>
    <x v="2"/>
    <x v="4"/>
    <x v="7"/>
    <n v="49511.53"/>
    <n v="40027.800000000003"/>
    <n v="150.16999999999999"/>
    <n v="552.21"/>
    <x v="4075"/>
    <x v="0"/>
  </r>
  <r>
    <x v="14"/>
    <x v="1"/>
    <x v="2"/>
    <n v="43147.54"/>
    <n v="35382.31"/>
    <n v="43.19"/>
    <n v="843.07"/>
    <x v="4076"/>
    <x v="1"/>
  </r>
  <r>
    <x v="12"/>
    <x v="0"/>
    <x v="1"/>
    <n v="13160.74"/>
    <n v="15727.17"/>
    <n v="149.72999999999999"/>
    <n v="211.06"/>
    <x v="4077"/>
    <x v="0"/>
  </r>
  <r>
    <x v="4"/>
    <x v="1"/>
    <x v="5"/>
    <n v="5759.15"/>
    <n v="6427.88"/>
    <n v="168.77"/>
    <n v="1394.2"/>
    <x v="4078"/>
    <x v="1"/>
  </r>
  <r>
    <x v="13"/>
    <x v="0"/>
    <x v="5"/>
    <n v="12625.72"/>
    <n v="11788.01"/>
    <n v="175.12"/>
    <n v="1009.26"/>
    <x v="4079"/>
    <x v="0"/>
  </r>
  <r>
    <x v="3"/>
    <x v="6"/>
    <x v="2"/>
    <n v="15521.69"/>
    <n v="13453.46"/>
    <n v="46.46"/>
    <n v="314.37"/>
    <x v="4080"/>
    <x v="0"/>
  </r>
  <r>
    <x v="6"/>
    <x v="0"/>
    <x v="2"/>
    <n v="11084.93"/>
    <n v="12598.47"/>
    <n v="25.04"/>
    <n v="1345.63"/>
    <x v="4081"/>
    <x v="0"/>
  </r>
  <r>
    <x v="11"/>
    <x v="0"/>
    <x v="7"/>
    <n v="15583.63"/>
    <n v="13255.85"/>
    <n v="46.61"/>
    <n v="973.05"/>
    <x v="4082"/>
    <x v="0"/>
  </r>
  <r>
    <x v="7"/>
    <x v="2"/>
    <x v="7"/>
    <n v="9508.41"/>
    <n v="10582.75"/>
    <n v="20.66"/>
    <n v="48.13"/>
    <x v="4083"/>
    <x v="1"/>
  </r>
  <r>
    <x v="1"/>
    <x v="5"/>
    <x v="0"/>
    <n v="39348.870000000003"/>
    <n v="34608.370000000003"/>
    <n v="130.96"/>
    <n v="283.67"/>
    <x v="4084"/>
    <x v="0"/>
  </r>
  <r>
    <x v="12"/>
    <x v="3"/>
    <x v="3"/>
    <n v="24121.200000000001"/>
    <n v="28455.91"/>
    <n v="23.33"/>
    <n v="710.14"/>
    <x v="4085"/>
    <x v="1"/>
  </r>
  <r>
    <x v="4"/>
    <x v="1"/>
    <x v="0"/>
    <n v="4710.18"/>
    <n v="5007.17"/>
    <n v="121.85"/>
    <n v="315.22000000000003"/>
    <x v="4086"/>
    <x v="1"/>
  </r>
  <r>
    <x v="19"/>
    <x v="4"/>
    <x v="0"/>
    <n v="21411.4"/>
    <n v="21402.77"/>
    <n v="151.44"/>
    <n v="539.4"/>
    <x v="4087"/>
    <x v="0"/>
  </r>
  <r>
    <x v="7"/>
    <x v="0"/>
    <x v="1"/>
    <n v="14892.8"/>
    <n v="15282.22"/>
    <n v="80.87"/>
    <n v="1310.1099999999999"/>
    <x v="4088"/>
    <x v="0"/>
  </r>
  <r>
    <x v="19"/>
    <x v="6"/>
    <x v="7"/>
    <n v="39525.760000000002"/>
    <n v="40409.949999999997"/>
    <n v="47.56"/>
    <n v="1032.0899999999999"/>
    <x v="4089"/>
    <x v="0"/>
  </r>
  <r>
    <x v="14"/>
    <x v="0"/>
    <x v="7"/>
    <n v="42335.87"/>
    <n v="38012.230000000003"/>
    <n v="133.31"/>
    <n v="81.11"/>
    <x v="4090"/>
    <x v="0"/>
  </r>
  <r>
    <x v="12"/>
    <x v="5"/>
    <x v="4"/>
    <n v="41616.06"/>
    <n v="45467.27"/>
    <n v="198.75"/>
    <n v="971.5"/>
    <x v="4091"/>
    <x v="0"/>
  </r>
  <r>
    <x v="2"/>
    <x v="6"/>
    <x v="3"/>
    <n v="42992.46"/>
    <n v="47767.22"/>
    <n v="48.44"/>
    <n v="592.58000000000004"/>
    <x v="4092"/>
    <x v="0"/>
  </r>
  <r>
    <x v="13"/>
    <x v="5"/>
    <x v="7"/>
    <n v="2991.83"/>
    <n v="2960.43"/>
    <n v="53.02"/>
    <n v="146.91999999999999"/>
    <x v="4093"/>
    <x v="0"/>
  </r>
  <r>
    <x v="8"/>
    <x v="1"/>
    <x v="1"/>
    <n v="34343.360000000001"/>
    <n v="37433.1"/>
    <n v="137.02000000000001"/>
    <n v="467.65"/>
    <x v="4094"/>
    <x v="1"/>
  </r>
  <r>
    <x v="13"/>
    <x v="2"/>
    <x v="1"/>
    <n v="45324.58"/>
    <n v="48623.38"/>
    <n v="83.97"/>
    <n v="167.59"/>
    <x v="4095"/>
    <x v="1"/>
  </r>
  <r>
    <x v="19"/>
    <x v="2"/>
    <x v="1"/>
    <n v="26357.4"/>
    <n v="31374.01"/>
    <n v="110.76"/>
    <n v="189.93"/>
    <x v="4096"/>
    <x v="1"/>
  </r>
  <r>
    <x v="2"/>
    <x v="1"/>
    <x v="2"/>
    <n v="15916.02"/>
    <n v="14934.3"/>
    <n v="135.53"/>
    <n v="733.39"/>
    <x v="4097"/>
    <x v="1"/>
  </r>
  <r>
    <x v="16"/>
    <x v="4"/>
    <x v="4"/>
    <n v="31339.96"/>
    <n v="37294.58"/>
    <n v="181.56"/>
    <n v="604.77"/>
    <x v="4098"/>
    <x v="0"/>
  </r>
  <r>
    <x v="7"/>
    <x v="2"/>
    <x v="4"/>
    <n v="37116.04"/>
    <n v="32648.86"/>
    <n v="177.79"/>
    <n v="374.43"/>
    <x v="4099"/>
    <x v="1"/>
  </r>
  <r>
    <x v="5"/>
    <x v="4"/>
    <x v="0"/>
    <n v="36259.769999999997"/>
    <n v="37544.620000000003"/>
    <n v="55.69"/>
    <n v="1023.87"/>
    <x v="4100"/>
    <x v="0"/>
  </r>
  <r>
    <x v="12"/>
    <x v="1"/>
    <x v="5"/>
    <n v="14919.1"/>
    <n v="17084.2"/>
    <n v="132.51"/>
    <n v="803.19"/>
    <x v="4101"/>
    <x v="1"/>
  </r>
  <r>
    <x v="17"/>
    <x v="6"/>
    <x v="3"/>
    <n v="42030.89"/>
    <n v="45789.18"/>
    <n v="63.52"/>
    <n v="585.27"/>
    <x v="4102"/>
    <x v="0"/>
  </r>
  <r>
    <x v="1"/>
    <x v="6"/>
    <x v="5"/>
    <n v="30761.09"/>
    <n v="24828.6"/>
    <n v="79.05"/>
    <n v="576.35"/>
    <x v="4103"/>
    <x v="0"/>
  </r>
  <r>
    <x v="19"/>
    <x v="5"/>
    <x v="7"/>
    <n v="13002.52"/>
    <n v="15565.35"/>
    <n v="58.26"/>
    <n v="982.98"/>
    <x v="4104"/>
    <x v="0"/>
  </r>
  <r>
    <x v="11"/>
    <x v="0"/>
    <x v="1"/>
    <n v="15490.93"/>
    <n v="12642.13"/>
    <n v="159.05000000000001"/>
    <n v="375.62"/>
    <x v="4105"/>
    <x v="0"/>
  </r>
  <r>
    <x v="7"/>
    <x v="2"/>
    <x v="3"/>
    <n v="17821.64"/>
    <n v="16109.76"/>
    <n v="24.35"/>
    <n v="66.180000000000007"/>
    <x v="4106"/>
    <x v="1"/>
  </r>
  <r>
    <x v="9"/>
    <x v="4"/>
    <x v="2"/>
    <n v="883.58"/>
    <n v="732.83"/>
    <n v="125.68"/>
    <n v="376.86"/>
    <x v="4107"/>
    <x v="0"/>
  </r>
  <r>
    <x v="12"/>
    <x v="1"/>
    <x v="5"/>
    <n v="28088.1"/>
    <n v="24215.09"/>
    <n v="76.319999999999993"/>
    <n v="729.94"/>
    <x v="4108"/>
    <x v="1"/>
  </r>
  <r>
    <x v="2"/>
    <x v="3"/>
    <x v="6"/>
    <n v="24366.95"/>
    <n v="23847.84"/>
    <n v="29.73"/>
    <n v="1298.6300000000001"/>
    <x v="4109"/>
    <x v="1"/>
  </r>
  <r>
    <x v="18"/>
    <x v="1"/>
    <x v="1"/>
    <n v="48638.45"/>
    <n v="41147.199999999997"/>
    <n v="165.93"/>
    <n v="112.72"/>
    <x v="4110"/>
    <x v="1"/>
  </r>
  <r>
    <x v="14"/>
    <x v="3"/>
    <x v="2"/>
    <n v="25626.17"/>
    <n v="20892.25"/>
    <n v="168.75"/>
    <n v="850.52"/>
    <x v="4111"/>
    <x v="1"/>
  </r>
  <r>
    <x v="7"/>
    <x v="5"/>
    <x v="7"/>
    <n v="31434.87"/>
    <n v="37218.26"/>
    <n v="83.98"/>
    <n v="883.02"/>
    <x v="4112"/>
    <x v="0"/>
  </r>
  <r>
    <x v="8"/>
    <x v="4"/>
    <x v="1"/>
    <n v="3875.26"/>
    <n v="4171.74"/>
    <n v="111.03"/>
    <n v="984.53"/>
    <x v="4113"/>
    <x v="0"/>
  </r>
  <r>
    <x v="13"/>
    <x v="0"/>
    <x v="7"/>
    <n v="17731.47"/>
    <n v="19809.54"/>
    <n v="102.18"/>
    <n v="1019.24"/>
    <x v="4114"/>
    <x v="0"/>
  </r>
  <r>
    <x v="8"/>
    <x v="2"/>
    <x v="5"/>
    <n v="2267.0500000000002"/>
    <n v="2347.17"/>
    <n v="146.55000000000001"/>
    <n v="129.91"/>
    <x v="4115"/>
    <x v="1"/>
  </r>
  <r>
    <x v="16"/>
    <x v="1"/>
    <x v="3"/>
    <n v="27384.23"/>
    <n v="27460.01"/>
    <n v="166.87"/>
    <n v="1125.17"/>
    <x v="4116"/>
    <x v="1"/>
  </r>
  <r>
    <x v="3"/>
    <x v="1"/>
    <x v="6"/>
    <n v="37658.839999999997"/>
    <n v="44908.91"/>
    <n v="161.69999999999999"/>
    <n v="1057.6099999999999"/>
    <x v="4117"/>
    <x v="1"/>
  </r>
  <r>
    <x v="17"/>
    <x v="4"/>
    <x v="6"/>
    <n v="23944.71"/>
    <n v="20221.28"/>
    <n v="92.54"/>
    <n v="1107.6400000000001"/>
    <x v="4118"/>
    <x v="0"/>
  </r>
  <r>
    <x v="6"/>
    <x v="2"/>
    <x v="0"/>
    <n v="14270.47"/>
    <n v="16875.48"/>
    <n v="131.80000000000001"/>
    <n v="672.26"/>
    <x v="4119"/>
    <x v="1"/>
  </r>
  <r>
    <x v="17"/>
    <x v="3"/>
    <x v="7"/>
    <n v="10750.06"/>
    <n v="11143.47"/>
    <n v="194.86"/>
    <n v="539.34"/>
    <x v="4120"/>
    <x v="1"/>
  </r>
  <r>
    <x v="12"/>
    <x v="5"/>
    <x v="5"/>
    <n v="25760.32"/>
    <n v="24901.13"/>
    <n v="65.31"/>
    <n v="431.85"/>
    <x v="4121"/>
    <x v="0"/>
  </r>
  <r>
    <x v="3"/>
    <x v="2"/>
    <x v="4"/>
    <n v="31881.43"/>
    <n v="36280.050000000003"/>
    <n v="188.46"/>
    <n v="587.85"/>
    <x v="4122"/>
    <x v="1"/>
  </r>
  <r>
    <x v="17"/>
    <x v="4"/>
    <x v="1"/>
    <n v="24351.4"/>
    <n v="26008.75"/>
    <n v="74.06"/>
    <n v="350"/>
    <x v="4123"/>
    <x v="0"/>
  </r>
  <r>
    <x v="13"/>
    <x v="2"/>
    <x v="6"/>
    <n v="24170.61"/>
    <n v="24194.62"/>
    <n v="35.97"/>
    <n v="487.76"/>
    <x v="4124"/>
    <x v="1"/>
  </r>
  <r>
    <x v="4"/>
    <x v="0"/>
    <x v="4"/>
    <n v="20186.78"/>
    <n v="23092.05"/>
    <n v="74.13"/>
    <n v="457.32"/>
    <x v="4125"/>
    <x v="0"/>
  </r>
  <r>
    <x v="13"/>
    <x v="6"/>
    <x v="0"/>
    <n v="33030.51"/>
    <n v="30017"/>
    <n v="169.29"/>
    <n v="1212.1300000000001"/>
    <x v="4126"/>
    <x v="0"/>
  </r>
  <r>
    <x v="3"/>
    <x v="3"/>
    <x v="5"/>
    <n v="46890.11"/>
    <n v="50991.35"/>
    <n v="101.17"/>
    <n v="970.27"/>
    <x v="4127"/>
    <x v="1"/>
  </r>
  <r>
    <x v="2"/>
    <x v="1"/>
    <x v="4"/>
    <n v="41004.31"/>
    <n v="46604.29"/>
    <n v="25.18"/>
    <n v="647.16999999999996"/>
    <x v="4128"/>
    <x v="1"/>
  </r>
  <r>
    <x v="14"/>
    <x v="5"/>
    <x v="1"/>
    <n v="30750.799999999999"/>
    <n v="33432.300000000003"/>
    <n v="137.34"/>
    <n v="230.4"/>
    <x v="4129"/>
    <x v="0"/>
  </r>
  <r>
    <x v="5"/>
    <x v="5"/>
    <x v="6"/>
    <n v="30637.42"/>
    <n v="25279.55"/>
    <n v="174.6"/>
    <n v="1027.22"/>
    <x v="4130"/>
    <x v="0"/>
  </r>
  <r>
    <x v="14"/>
    <x v="1"/>
    <x v="5"/>
    <n v="34149.18"/>
    <n v="38842.47"/>
    <n v="101.9"/>
    <n v="942.49"/>
    <x v="4131"/>
    <x v="1"/>
  </r>
  <r>
    <x v="1"/>
    <x v="1"/>
    <x v="4"/>
    <n v="46815.5"/>
    <n v="42424.43"/>
    <n v="118.25"/>
    <n v="1051.3399999999999"/>
    <x v="4132"/>
    <x v="1"/>
  </r>
  <r>
    <x v="5"/>
    <x v="5"/>
    <x v="1"/>
    <n v="12513.65"/>
    <n v="10732.01"/>
    <n v="89.82"/>
    <n v="1376.59"/>
    <x v="4133"/>
    <x v="0"/>
  </r>
  <r>
    <x v="0"/>
    <x v="2"/>
    <x v="5"/>
    <n v="41819.440000000002"/>
    <n v="36925.57"/>
    <n v="196.26"/>
    <n v="813.71"/>
    <x v="4134"/>
    <x v="1"/>
  </r>
  <r>
    <x v="17"/>
    <x v="2"/>
    <x v="1"/>
    <n v="49107.7"/>
    <n v="50025.56"/>
    <n v="115.42"/>
    <n v="233.71"/>
    <x v="4135"/>
    <x v="1"/>
  </r>
  <r>
    <x v="19"/>
    <x v="2"/>
    <x v="5"/>
    <n v="42525.41"/>
    <n v="43267.76"/>
    <n v="95.59"/>
    <n v="1200.8599999999999"/>
    <x v="4136"/>
    <x v="1"/>
  </r>
  <r>
    <x v="4"/>
    <x v="2"/>
    <x v="7"/>
    <n v="11040.53"/>
    <n v="11278.52"/>
    <n v="83.92"/>
    <n v="172.33"/>
    <x v="4137"/>
    <x v="1"/>
  </r>
  <r>
    <x v="13"/>
    <x v="5"/>
    <x v="5"/>
    <n v="44081.72"/>
    <n v="44429.64"/>
    <n v="107.15"/>
    <n v="349.13"/>
    <x v="4138"/>
    <x v="0"/>
  </r>
  <r>
    <x v="14"/>
    <x v="2"/>
    <x v="1"/>
    <n v="35076.449999999997"/>
    <n v="35115.4"/>
    <n v="56.36"/>
    <n v="377.48"/>
    <x v="4139"/>
    <x v="1"/>
  </r>
  <r>
    <x v="12"/>
    <x v="1"/>
    <x v="1"/>
    <n v="20946.36"/>
    <n v="17515.05"/>
    <n v="161.72999999999999"/>
    <n v="517.33000000000004"/>
    <x v="4140"/>
    <x v="1"/>
  </r>
  <r>
    <x v="19"/>
    <x v="3"/>
    <x v="2"/>
    <n v="41633.949999999997"/>
    <n v="38231.15"/>
    <n v="168.63"/>
    <n v="563.08000000000004"/>
    <x v="4141"/>
    <x v="1"/>
  </r>
  <r>
    <x v="18"/>
    <x v="5"/>
    <x v="3"/>
    <n v="42467.040000000001"/>
    <n v="34601.29"/>
    <n v="38.39"/>
    <n v="1389.49"/>
    <x v="4142"/>
    <x v="0"/>
  </r>
  <r>
    <x v="11"/>
    <x v="0"/>
    <x v="3"/>
    <n v="30419.87"/>
    <n v="36046.03"/>
    <n v="27.9"/>
    <n v="1363.88"/>
    <x v="4143"/>
    <x v="0"/>
  </r>
  <r>
    <x v="11"/>
    <x v="6"/>
    <x v="7"/>
    <n v="28809.15"/>
    <n v="23817.33"/>
    <n v="114.87"/>
    <n v="189.05"/>
    <x v="4144"/>
    <x v="0"/>
  </r>
  <r>
    <x v="12"/>
    <x v="0"/>
    <x v="7"/>
    <n v="20245.330000000002"/>
    <n v="22805.62"/>
    <n v="167.95"/>
    <n v="635.17999999999995"/>
    <x v="4145"/>
    <x v="0"/>
  </r>
  <r>
    <x v="0"/>
    <x v="2"/>
    <x v="4"/>
    <n v="22703.51"/>
    <n v="24955.67"/>
    <n v="66.84"/>
    <n v="1357.71"/>
    <x v="4146"/>
    <x v="1"/>
  </r>
  <r>
    <x v="12"/>
    <x v="2"/>
    <x v="2"/>
    <n v="13326.03"/>
    <n v="11474.94"/>
    <n v="139.32"/>
    <n v="1018.74"/>
    <x v="4147"/>
    <x v="1"/>
  </r>
  <r>
    <x v="6"/>
    <x v="0"/>
    <x v="3"/>
    <n v="45581.29"/>
    <n v="37684.559999999998"/>
    <n v="29.71"/>
    <n v="394.29"/>
    <x v="4148"/>
    <x v="0"/>
  </r>
  <r>
    <x v="13"/>
    <x v="2"/>
    <x v="4"/>
    <n v="19686"/>
    <n v="21084.15"/>
    <n v="36.770000000000003"/>
    <n v="1092.68"/>
    <x v="4149"/>
    <x v="1"/>
  </r>
  <r>
    <x v="17"/>
    <x v="5"/>
    <x v="0"/>
    <n v="41191.760000000002"/>
    <n v="47097.13"/>
    <n v="40.08"/>
    <n v="550.15"/>
    <x v="4150"/>
    <x v="0"/>
  </r>
  <r>
    <x v="14"/>
    <x v="5"/>
    <x v="2"/>
    <n v="1532.37"/>
    <n v="1367.1"/>
    <n v="57.91"/>
    <n v="1060.6600000000001"/>
    <x v="4151"/>
    <x v="0"/>
  </r>
  <r>
    <x v="6"/>
    <x v="1"/>
    <x v="2"/>
    <n v="31688.19"/>
    <n v="25866.5"/>
    <n v="26.21"/>
    <n v="266.91000000000003"/>
    <x v="4152"/>
    <x v="1"/>
  </r>
  <r>
    <x v="6"/>
    <x v="3"/>
    <x v="7"/>
    <n v="32539.06"/>
    <n v="36744"/>
    <n v="159.49"/>
    <n v="52.6"/>
    <x v="4153"/>
    <x v="1"/>
  </r>
  <r>
    <x v="7"/>
    <x v="1"/>
    <x v="1"/>
    <n v="20894.32"/>
    <n v="20180.47"/>
    <n v="109.99"/>
    <n v="624.72"/>
    <x v="4154"/>
    <x v="1"/>
  </r>
  <r>
    <x v="0"/>
    <x v="2"/>
    <x v="6"/>
    <n v="18746.740000000002"/>
    <n v="17600.48"/>
    <n v="66.86"/>
    <n v="832.71"/>
    <x v="4155"/>
    <x v="1"/>
  </r>
  <r>
    <x v="14"/>
    <x v="2"/>
    <x v="5"/>
    <n v="44680.27"/>
    <n v="53062.49"/>
    <n v="140.02000000000001"/>
    <n v="904.94"/>
    <x v="4156"/>
    <x v="1"/>
  </r>
  <r>
    <x v="5"/>
    <x v="6"/>
    <x v="5"/>
    <n v="4100.72"/>
    <n v="3967.38"/>
    <n v="161.82"/>
    <n v="735.45"/>
    <x v="4157"/>
    <x v="0"/>
  </r>
  <r>
    <x v="18"/>
    <x v="6"/>
    <x v="4"/>
    <n v="10163.57"/>
    <n v="8929.2800000000007"/>
    <n v="44.65"/>
    <n v="667.06"/>
    <x v="4158"/>
    <x v="0"/>
  </r>
  <r>
    <x v="6"/>
    <x v="6"/>
    <x v="0"/>
    <n v="3193.99"/>
    <n v="3543.2"/>
    <n v="146.15"/>
    <n v="1089.03"/>
    <x v="4159"/>
    <x v="0"/>
  </r>
  <r>
    <x v="11"/>
    <x v="1"/>
    <x v="2"/>
    <n v="13520.49"/>
    <n v="12198.85"/>
    <n v="168.69"/>
    <n v="1060.3800000000001"/>
    <x v="4160"/>
    <x v="1"/>
  </r>
  <r>
    <x v="8"/>
    <x v="1"/>
    <x v="3"/>
    <n v="46515.03"/>
    <n v="45618.46"/>
    <n v="100.96"/>
    <n v="335.06"/>
    <x v="4161"/>
    <x v="1"/>
  </r>
  <r>
    <x v="16"/>
    <x v="3"/>
    <x v="2"/>
    <n v="39004.36"/>
    <n v="44355.91"/>
    <n v="58.31"/>
    <n v="896.32"/>
    <x v="4162"/>
    <x v="1"/>
  </r>
  <r>
    <x v="10"/>
    <x v="2"/>
    <x v="4"/>
    <n v="38139.33"/>
    <n v="41925"/>
    <n v="58.97"/>
    <n v="1053.52"/>
    <x v="4163"/>
    <x v="1"/>
  </r>
  <r>
    <x v="19"/>
    <x v="1"/>
    <x v="7"/>
    <n v="37878.43"/>
    <n v="45092.53"/>
    <n v="32.950000000000003"/>
    <n v="245.46"/>
    <x v="4164"/>
    <x v="1"/>
  </r>
  <r>
    <x v="15"/>
    <x v="5"/>
    <x v="4"/>
    <n v="49387.02"/>
    <n v="46708.71"/>
    <n v="129.97"/>
    <n v="774.46"/>
    <x v="4165"/>
    <x v="0"/>
  </r>
  <r>
    <x v="17"/>
    <x v="0"/>
    <x v="2"/>
    <n v="14842.05"/>
    <n v="15528.45"/>
    <n v="171.78"/>
    <n v="1382.56"/>
    <x v="4166"/>
    <x v="0"/>
  </r>
  <r>
    <x v="6"/>
    <x v="6"/>
    <x v="7"/>
    <n v="31713.3"/>
    <n v="27576.98"/>
    <n v="187.98"/>
    <n v="132.66999999999999"/>
    <x v="4167"/>
    <x v="0"/>
  </r>
  <r>
    <x v="10"/>
    <x v="1"/>
    <x v="0"/>
    <n v="2042.26"/>
    <n v="2256.48"/>
    <n v="78.13"/>
    <n v="212.94"/>
    <x v="4168"/>
    <x v="1"/>
  </r>
  <r>
    <x v="2"/>
    <x v="6"/>
    <x v="4"/>
    <n v="20302.830000000002"/>
    <n v="20726.29"/>
    <n v="159.93"/>
    <n v="839.95"/>
    <x v="4169"/>
    <x v="0"/>
  </r>
  <r>
    <x v="10"/>
    <x v="5"/>
    <x v="2"/>
    <n v="2712.29"/>
    <n v="2735.91"/>
    <n v="185.47"/>
    <n v="228.39"/>
    <x v="4170"/>
    <x v="0"/>
  </r>
  <r>
    <x v="1"/>
    <x v="5"/>
    <x v="3"/>
    <n v="39887.410000000003"/>
    <n v="35684.559999999998"/>
    <n v="126.56"/>
    <n v="992.7"/>
    <x v="4171"/>
    <x v="0"/>
  </r>
  <r>
    <x v="2"/>
    <x v="5"/>
    <x v="2"/>
    <n v="28451.49"/>
    <n v="34008.33"/>
    <n v="179.67"/>
    <n v="1075.42"/>
    <x v="4172"/>
    <x v="0"/>
  </r>
  <r>
    <x v="9"/>
    <x v="3"/>
    <x v="6"/>
    <n v="7125.82"/>
    <n v="6079.02"/>
    <n v="165.78"/>
    <n v="684.89"/>
    <x v="4173"/>
    <x v="1"/>
  </r>
  <r>
    <x v="12"/>
    <x v="6"/>
    <x v="4"/>
    <n v="42110.44"/>
    <n v="39772.839999999997"/>
    <n v="162.4"/>
    <n v="674.12"/>
    <x v="4174"/>
    <x v="0"/>
  </r>
  <r>
    <x v="0"/>
    <x v="5"/>
    <x v="5"/>
    <n v="23064.47"/>
    <n v="21332.400000000001"/>
    <n v="168.07"/>
    <n v="642.95000000000005"/>
    <x v="4175"/>
    <x v="0"/>
  </r>
  <r>
    <x v="3"/>
    <x v="3"/>
    <x v="0"/>
    <n v="32948.339999999997"/>
    <n v="27988.9"/>
    <n v="58.41"/>
    <n v="925.96"/>
    <x v="4176"/>
    <x v="1"/>
  </r>
  <r>
    <x v="8"/>
    <x v="5"/>
    <x v="5"/>
    <n v="29944.880000000001"/>
    <n v="34923.519999999997"/>
    <n v="28.65"/>
    <n v="260.73"/>
    <x v="4177"/>
    <x v="0"/>
  </r>
  <r>
    <x v="12"/>
    <x v="0"/>
    <x v="2"/>
    <n v="38709.379999999997"/>
    <n v="38601.9"/>
    <n v="163.77000000000001"/>
    <n v="740.53"/>
    <x v="4178"/>
    <x v="0"/>
  </r>
  <r>
    <x v="0"/>
    <x v="4"/>
    <x v="7"/>
    <n v="15382.11"/>
    <n v="14887.14"/>
    <n v="172.81"/>
    <n v="763.91"/>
    <x v="4179"/>
    <x v="0"/>
  </r>
  <r>
    <x v="15"/>
    <x v="3"/>
    <x v="5"/>
    <n v="16270.95"/>
    <n v="16900.740000000002"/>
    <n v="144.49"/>
    <n v="846.88"/>
    <x v="4180"/>
    <x v="1"/>
  </r>
  <r>
    <x v="0"/>
    <x v="1"/>
    <x v="4"/>
    <n v="8997.9500000000007"/>
    <n v="8132.68"/>
    <n v="165.36"/>
    <n v="585.41999999999996"/>
    <x v="4181"/>
    <x v="1"/>
  </r>
  <r>
    <x v="14"/>
    <x v="0"/>
    <x v="7"/>
    <n v="36423.94"/>
    <n v="37742.699999999997"/>
    <n v="70.959999999999994"/>
    <n v="183.99"/>
    <x v="4182"/>
    <x v="0"/>
  </r>
  <r>
    <x v="4"/>
    <x v="5"/>
    <x v="0"/>
    <n v="34844.76"/>
    <n v="28235.33"/>
    <n v="190.53"/>
    <n v="1239.9100000000001"/>
    <x v="4183"/>
    <x v="0"/>
  </r>
  <r>
    <x v="1"/>
    <x v="6"/>
    <x v="6"/>
    <n v="37903.21"/>
    <n v="39273.22"/>
    <n v="155.96"/>
    <n v="1215.47"/>
    <x v="4184"/>
    <x v="0"/>
  </r>
  <r>
    <x v="13"/>
    <x v="1"/>
    <x v="2"/>
    <n v="44003.89"/>
    <n v="35541.279999999999"/>
    <n v="93.26"/>
    <n v="1175.9100000000001"/>
    <x v="4185"/>
    <x v="1"/>
  </r>
  <r>
    <x v="7"/>
    <x v="6"/>
    <x v="5"/>
    <n v="14912.46"/>
    <n v="12840.38"/>
    <n v="34.049999999999997"/>
    <n v="160.05000000000001"/>
    <x v="4186"/>
    <x v="0"/>
  </r>
  <r>
    <x v="16"/>
    <x v="2"/>
    <x v="3"/>
    <n v="5164.03"/>
    <n v="5766.99"/>
    <n v="189.15"/>
    <n v="1245.9100000000001"/>
    <x v="4187"/>
    <x v="1"/>
  </r>
  <r>
    <x v="12"/>
    <x v="6"/>
    <x v="4"/>
    <n v="31602.42"/>
    <n v="25537.29"/>
    <n v="134.31"/>
    <n v="473.71"/>
    <x v="4188"/>
    <x v="0"/>
  </r>
  <r>
    <x v="9"/>
    <x v="5"/>
    <x v="6"/>
    <n v="37875.46"/>
    <n v="45347.88"/>
    <n v="143.31"/>
    <n v="725.96"/>
    <x v="4189"/>
    <x v="0"/>
  </r>
  <r>
    <x v="15"/>
    <x v="2"/>
    <x v="4"/>
    <n v="41910.99"/>
    <n v="47436.94"/>
    <n v="89.8"/>
    <n v="324.8"/>
    <x v="4190"/>
    <x v="1"/>
  </r>
  <r>
    <x v="3"/>
    <x v="5"/>
    <x v="3"/>
    <n v="40449.32"/>
    <n v="47696.47"/>
    <n v="197.31"/>
    <n v="168.32"/>
    <x v="4191"/>
    <x v="0"/>
  </r>
  <r>
    <x v="3"/>
    <x v="6"/>
    <x v="4"/>
    <n v="42442.57"/>
    <n v="45788.95"/>
    <n v="188.32"/>
    <n v="142.91"/>
    <x v="4192"/>
    <x v="0"/>
  </r>
  <r>
    <x v="18"/>
    <x v="1"/>
    <x v="1"/>
    <n v="19047.02"/>
    <n v="16267.32"/>
    <n v="170.58"/>
    <n v="272.33"/>
    <x v="4193"/>
    <x v="1"/>
  </r>
  <r>
    <x v="5"/>
    <x v="4"/>
    <x v="5"/>
    <n v="47749.55"/>
    <n v="39099.53"/>
    <n v="188.54"/>
    <n v="359.58"/>
    <x v="4194"/>
    <x v="0"/>
  </r>
  <r>
    <x v="16"/>
    <x v="4"/>
    <x v="7"/>
    <n v="49341.91"/>
    <n v="52775.19"/>
    <n v="106.29"/>
    <n v="906.36"/>
    <x v="4195"/>
    <x v="0"/>
  </r>
  <r>
    <x v="1"/>
    <x v="6"/>
    <x v="6"/>
    <n v="44590.66"/>
    <n v="45630.59"/>
    <n v="166.39"/>
    <n v="908.86"/>
    <x v="4196"/>
    <x v="0"/>
  </r>
  <r>
    <x v="16"/>
    <x v="0"/>
    <x v="1"/>
    <n v="31133.27"/>
    <n v="28268.89"/>
    <n v="23.93"/>
    <n v="457.91"/>
    <x v="4197"/>
    <x v="0"/>
  </r>
  <r>
    <x v="8"/>
    <x v="5"/>
    <x v="5"/>
    <n v="7225.77"/>
    <n v="7393.73"/>
    <n v="105.58"/>
    <n v="1247.06"/>
    <x v="4198"/>
    <x v="0"/>
  </r>
  <r>
    <x v="8"/>
    <x v="3"/>
    <x v="6"/>
    <n v="2886.99"/>
    <n v="3327"/>
    <n v="147.87"/>
    <n v="13.72"/>
    <x v="4199"/>
    <x v="1"/>
  </r>
  <r>
    <x v="3"/>
    <x v="6"/>
    <x v="3"/>
    <n v="12396.63"/>
    <n v="11857.8"/>
    <n v="135.94999999999999"/>
    <n v="820.55"/>
    <x v="4200"/>
    <x v="0"/>
  </r>
  <r>
    <x v="12"/>
    <x v="2"/>
    <x v="4"/>
    <n v="28316.47"/>
    <n v="30769.01"/>
    <n v="178.99"/>
    <n v="518.97"/>
    <x v="4201"/>
    <x v="1"/>
  </r>
  <r>
    <x v="9"/>
    <x v="3"/>
    <x v="5"/>
    <n v="34832.33"/>
    <n v="32198.66"/>
    <n v="198.47"/>
    <n v="1366.62"/>
    <x v="4202"/>
    <x v="1"/>
  </r>
  <r>
    <x v="9"/>
    <x v="6"/>
    <x v="2"/>
    <n v="2394.5700000000002"/>
    <n v="2590.56"/>
    <n v="183.97"/>
    <n v="1231.32"/>
    <x v="4203"/>
    <x v="0"/>
  </r>
  <r>
    <x v="7"/>
    <x v="0"/>
    <x v="3"/>
    <n v="12613.45"/>
    <n v="10764.24"/>
    <n v="101.54"/>
    <n v="391.98"/>
    <x v="4204"/>
    <x v="0"/>
  </r>
  <r>
    <x v="13"/>
    <x v="5"/>
    <x v="2"/>
    <n v="7913.03"/>
    <n v="8075.1"/>
    <n v="152.35"/>
    <n v="177.73"/>
    <x v="4205"/>
    <x v="0"/>
  </r>
  <r>
    <x v="18"/>
    <x v="2"/>
    <x v="6"/>
    <n v="32703.24"/>
    <n v="32320.61"/>
    <n v="73.56"/>
    <n v="1392.18"/>
    <x v="4206"/>
    <x v="1"/>
  </r>
  <r>
    <x v="14"/>
    <x v="4"/>
    <x v="3"/>
    <n v="34292.47"/>
    <n v="33457.33"/>
    <n v="148.49"/>
    <n v="158.13"/>
    <x v="4207"/>
    <x v="0"/>
  </r>
  <r>
    <x v="5"/>
    <x v="0"/>
    <x v="7"/>
    <n v="26061.19"/>
    <n v="29622.9"/>
    <n v="191.51"/>
    <n v="418.61"/>
    <x v="4208"/>
    <x v="0"/>
  </r>
  <r>
    <x v="18"/>
    <x v="3"/>
    <x v="0"/>
    <n v="23569.68"/>
    <n v="27289.4"/>
    <n v="199.15"/>
    <n v="1095.32"/>
    <x v="4209"/>
    <x v="1"/>
  </r>
  <r>
    <x v="16"/>
    <x v="6"/>
    <x v="4"/>
    <n v="5978.9"/>
    <n v="5833.47"/>
    <n v="41.22"/>
    <n v="937.24"/>
    <x v="4210"/>
    <x v="0"/>
  </r>
  <r>
    <x v="5"/>
    <x v="4"/>
    <x v="4"/>
    <n v="30127.25"/>
    <n v="28702.33"/>
    <n v="133.83000000000001"/>
    <n v="1256.67"/>
    <x v="4211"/>
    <x v="0"/>
  </r>
  <r>
    <x v="4"/>
    <x v="0"/>
    <x v="4"/>
    <n v="37711.58"/>
    <n v="44058.28"/>
    <n v="76.61"/>
    <n v="1261.04"/>
    <x v="4212"/>
    <x v="0"/>
  </r>
  <r>
    <x v="9"/>
    <x v="5"/>
    <x v="4"/>
    <n v="24498.79"/>
    <n v="28438.43"/>
    <n v="52.33"/>
    <n v="45.91"/>
    <x v="4213"/>
    <x v="0"/>
  </r>
  <r>
    <x v="9"/>
    <x v="6"/>
    <x v="7"/>
    <n v="26718.55"/>
    <n v="30067.32"/>
    <n v="117"/>
    <n v="371.31"/>
    <x v="4214"/>
    <x v="0"/>
  </r>
  <r>
    <x v="8"/>
    <x v="1"/>
    <x v="5"/>
    <n v="3719.16"/>
    <n v="3803.6"/>
    <n v="61.05"/>
    <n v="882.69"/>
    <x v="4215"/>
    <x v="1"/>
  </r>
  <r>
    <x v="8"/>
    <x v="6"/>
    <x v="6"/>
    <n v="12302.84"/>
    <n v="11330.03"/>
    <n v="64.8"/>
    <n v="889.93"/>
    <x v="4216"/>
    <x v="0"/>
  </r>
  <r>
    <x v="2"/>
    <x v="1"/>
    <x v="5"/>
    <n v="5457.06"/>
    <n v="5389.62"/>
    <n v="147.69999999999999"/>
    <n v="667.61"/>
    <x v="4217"/>
    <x v="1"/>
  </r>
  <r>
    <x v="16"/>
    <x v="0"/>
    <x v="3"/>
    <n v="40705.199999999997"/>
    <n v="40258.76"/>
    <n v="60.06"/>
    <n v="1009.32"/>
    <x v="4218"/>
    <x v="0"/>
  </r>
  <r>
    <x v="13"/>
    <x v="1"/>
    <x v="6"/>
    <n v="21309.4"/>
    <n v="17977.599999999999"/>
    <n v="161.31"/>
    <n v="811.37"/>
    <x v="4219"/>
    <x v="1"/>
  </r>
  <r>
    <x v="14"/>
    <x v="6"/>
    <x v="1"/>
    <n v="28455.74"/>
    <n v="28701.79"/>
    <n v="64.52"/>
    <n v="1270.2"/>
    <x v="4220"/>
    <x v="0"/>
  </r>
  <r>
    <x v="17"/>
    <x v="0"/>
    <x v="3"/>
    <n v="562.22"/>
    <n v="627.72"/>
    <n v="122.17"/>
    <n v="462.18"/>
    <x v="4221"/>
    <x v="0"/>
  </r>
  <r>
    <x v="7"/>
    <x v="1"/>
    <x v="3"/>
    <n v="29919.89"/>
    <n v="25147.81"/>
    <n v="32.57"/>
    <n v="1017.44"/>
    <x v="4222"/>
    <x v="1"/>
  </r>
  <r>
    <x v="13"/>
    <x v="5"/>
    <x v="5"/>
    <n v="40334.35"/>
    <n v="38795.4"/>
    <n v="50.85"/>
    <n v="985.08"/>
    <x v="4223"/>
    <x v="0"/>
  </r>
  <r>
    <x v="2"/>
    <x v="6"/>
    <x v="7"/>
    <n v="21625.02"/>
    <n v="23407.4"/>
    <n v="143.29"/>
    <n v="1267.24"/>
    <x v="4224"/>
    <x v="0"/>
  </r>
  <r>
    <x v="19"/>
    <x v="5"/>
    <x v="7"/>
    <n v="30450.77"/>
    <n v="30812.12"/>
    <n v="21.46"/>
    <n v="87.15"/>
    <x v="4225"/>
    <x v="0"/>
  </r>
  <r>
    <x v="6"/>
    <x v="2"/>
    <x v="7"/>
    <n v="8619.86"/>
    <n v="9439.1"/>
    <n v="74.56"/>
    <n v="1106.7"/>
    <x v="4226"/>
    <x v="1"/>
  </r>
  <r>
    <x v="14"/>
    <x v="4"/>
    <x v="1"/>
    <n v="24221.08"/>
    <n v="24937.45"/>
    <n v="144.93"/>
    <n v="814.89"/>
    <x v="4227"/>
    <x v="0"/>
  </r>
  <r>
    <x v="7"/>
    <x v="4"/>
    <x v="0"/>
    <n v="42649.16"/>
    <n v="45762.45"/>
    <n v="78.08"/>
    <n v="222.74"/>
    <x v="4228"/>
    <x v="0"/>
  </r>
  <r>
    <x v="3"/>
    <x v="3"/>
    <x v="5"/>
    <n v="22354.93"/>
    <n v="18257.96"/>
    <n v="27.61"/>
    <n v="690.29"/>
    <x v="4229"/>
    <x v="1"/>
  </r>
  <r>
    <x v="2"/>
    <x v="1"/>
    <x v="7"/>
    <n v="18850.259999999998"/>
    <n v="18542.54"/>
    <n v="167.04"/>
    <n v="946.56"/>
    <x v="4230"/>
    <x v="1"/>
  </r>
  <r>
    <x v="9"/>
    <x v="5"/>
    <x v="5"/>
    <n v="2047.11"/>
    <n v="2369.73"/>
    <n v="72.27"/>
    <n v="35.049999999999997"/>
    <x v="4231"/>
    <x v="0"/>
  </r>
  <r>
    <x v="13"/>
    <x v="2"/>
    <x v="7"/>
    <n v="30417.22"/>
    <n v="28835.35"/>
    <n v="25.72"/>
    <n v="680.5"/>
    <x v="4232"/>
    <x v="1"/>
  </r>
  <r>
    <x v="9"/>
    <x v="1"/>
    <x v="6"/>
    <n v="11890.66"/>
    <n v="13680.35"/>
    <n v="178.86"/>
    <n v="381.88"/>
    <x v="4233"/>
    <x v="1"/>
  </r>
  <r>
    <x v="10"/>
    <x v="1"/>
    <x v="0"/>
    <n v="41759.370000000003"/>
    <n v="35161.449999999997"/>
    <n v="92.07"/>
    <n v="1097.0899999999999"/>
    <x v="4234"/>
    <x v="1"/>
  </r>
  <r>
    <x v="19"/>
    <x v="1"/>
    <x v="4"/>
    <n v="29113.22"/>
    <n v="27117.15"/>
    <n v="21.72"/>
    <n v="725.76"/>
    <x v="4235"/>
    <x v="1"/>
  </r>
  <r>
    <x v="16"/>
    <x v="2"/>
    <x v="1"/>
    <n v="16069.8"/>
    <n v="16316.85"/>
    <n v="42.72"/>
    <n v="1354.29"/>
    <x v="4236"/>
    <x v="1"/>
  </r>
  <r>
    <x v="10"/>
    <x v="2"/>
    <x v="1"/>
    <n v="19085.740000000002"/>
    <n v="21107.47"/>
    <n v="168.14"/>
    <n v="872.11"/>
    <x v="4237"/>
    <x v="1"/>
  </r>
  <r>
    <x v="14"/>
    <x v="2"/>
    <x v="3"/>
    <n v="45330.2"/>
    <n v="45565.69"/>
    <n v="135.78"/>
    <n v="854.62"/>
    <x v="4238"/>
    <x v="1"/>
  </r>
  <r>
    <x v="2"/>
    <x v="0"/>
    <x v="0"/>
    <n v="24914.11"/>
    <n v="29706.21"/>
    <n v="32.57"/>
    <n v="1267.52"/>
    <x v="4239"/>
    <x v="0"/>
  </r>
  <r>
    <x v="1"/>
    <x v="0"/>
    <x v="4"/>
    <n v="6272.68"/>
    <n v="5946.07"/>
    <n v="165.54"/>
    <n v="148.68"/>
    <x v="4240"/>
    <x v="0"/>
  </r>
  <r>
    <x v="10"/>
    <x v="1"/>
    <x v="0"/>
    <n v="43846.87"/>
    <n v="44810.33"/>
    <n v="67.92"/>
    <n v="167.79"/>
    <x v="4241"/>
    <x v="1"/>
  </r>
  <r>
    <x v="19"/>
    <x v="5"/>
    <x v="3"/>
    <n v="13864.8"/>
    <n v="15565.97"/>
    <n v="47.7"/>
    <n v="909.74"/>
    <x v="4242"/>
    <x v="0"/>
  </r>
  <r>
    <x v="11"/>
    <x v="2"/>
    <x v="1"/>
    <n v="35127.949999999997"/>
    <n v="38873.69"/>
    <n v="186.21"/>
    <n v="877.4"/>
    <x v="4243"/>
    <x v="1"/>
  </r>
  <r>
    <x v="7"/>
    <x v="2"/>
    <x v="3"/>
    <n v="13534.93"/>
    <n v="12427.64"/>
    <n v="148.55000000000001"/>
    <n v="1189.8"/>
    <x v="4244"/>
    <x v="1"/>
  </r>
  <r>
    <x v="17"/>
    <x v="1"/>
    <x v="3"/>
    <n v="14779.69"/>
    <n v="12125.54"/>
    <n v="183.18"/>
    <n v="830.63"/>
    <x v="4245"/>
    <x v="1"/>
  </r>
  <r>
    <x v="2"/>
    <x v="5"/>
    <x v="7"/>
    <n v="12746.19"/>
    <n v="12488.54"/>
    <n v="119.42"/>
    <n v="553.49"/>
    <x v="4246"/>
    <x v="0"/>
  </r>
  <r>
    <x v="13"/>
    <x v="6"/>
    <x v="6"/>
    <n v="15449.15"/>
    <n v="12990.26"/>
    <n v="123.5"/>
    <n v="42.67"/>
    <x v="4247"/>
    <x v="0"/>
  </r>
  <r>
    <x v="8"/>
    <x v="3"/>
    <x v="4"/>
    <n v="37100.54"/>
    <n v="35853.129999999997"/>
    <n v="144.38"/>
    <n v="321.20999999999998"/>
    <x v="4248"/>
    <x v="1"/>
  </r>
  <r>
    <x v="5"/>
    <x v="0"/>
    <x v="7"/>
    <n v="35356.04"/>
    <n v="37868.53"/>
    <n v="76.959999999999994"/>
    <n v="458.31"/>
    <x v="4249"/>
    <x v="0"/>
  </r>
  <r>
    <x v="14"/>
    <x v="3"/>
    <x v="4"/>
    <n v="12930"/>
    <n v="13350.78"/>
    <n v="172.99"/>
    <n v="86.63"/>
    <x v="4250"/>
    <x v="1"/>
  </r>
  <r>
    <x v="16"/>
    <x v="3"/>
    <x v="7"/>
    <n v="13512.16"/>
    <n v="15702.23"/>
    <n v="168.7"/>
    <n v="406.53"/>
    <x v="4251"/>
    <x v="1"/>
  </r>
  <r>
    <x v="6"/>
    <x v="1"/>
    <x v="4"/>
    <n v="10642.53"/>
    <n v="9247.43"/>
    <n v="73.8"/>
    <n v="1201.1600000000001"/>
    <x v="4252"/>
    <x v="1"/>
  </r>
  <r>
    <x v="18"/>
    <x v="0"/>
    <x v="1"/>
    <n v="34493.480000000003"/>
    <n v="36121.71"/>
    <n v="196.8"/>
    <n v="118.39"/>
    <x v="4253"/>
    <x v="0"/>
  </r>
  <r>
    <x v="13"/>
    <x v="6"/>
    <x v="7"/>
    <n v="11092.49"/>
    <n v="10035"/>
    <n v="150.02000000000001"/>
    <n v="1215.76"/>
    <x v="4254"/>
    <x v="0"/>
  </r>
  <r>
    <x v="17"/>
    <x v="3"/>
    <x v="6"/>
    <n v="13338.14"/>
    <n v="12307.87"/>
    <n v="112.42"/>
    <n v="450.02"/>
    <x v="4255"/>
    <x v="1"/>
  </r>
  <r>
    <x v="16"/>
    <x v="6"/>
    <x v="6"/>
    <n v="25111.5"/>
    <n v="28295.66"/>
    <n v="190.76"/>
    <n v="1022.31"/>
    <x v="4256"/>
    <x v="0"/>
  </r>
  <r>
    <x v="0"/>
    <x v="2"/>
    <x v="5"/>
    <n v="1434.79"/>
    <n v="1521.97"/>
    <n v="98.79"/>
    <n v="1150.57"/>
    <x v="4257"/>
    <x v="1"/>
  </r>
  <r>
    <x v="0"/>
    <x v="3"/>
    <x v="7"/>
    <n v="17941.25"/>
    <n v="14499.25"/>
    <n v="165.11"/>
    <n v="492.54"/>
    <x v="4258"/>
    <x v="1"/>
  </r>
  <r>
    <x v="8"/>
    <x v="1"/>
    <x v="4"/>
    <n v="48372.88"/>
    <n v="48305"/>
    <n v="177.17"/>
    <n v="1289.27"/>
    <x v="4259"/>
    <x v="1"/>
  </r>
  <r>
    <x v="9"/>
    <x v="3"/>
    <x v="2"/>
    <n v="9666.4"/>
    <n v="9795.89"/>
    <n v="192.07"/>
    <n v="300.95999999999998"/>
    <x v="4260"/>
    <x v="1"/>
  </r>
  <r>
    <x v="5"/>
    <x v="5"/>
    <x v="1"/>
    <n v="10461.91"/>
    <n v="12442.68"/>
    <n v="39.159999999999997"/>
    <n v="874.9"/>
    <x v="4261"/>
    <x v="0"/>
  </r>
  <r>
    <x v="14"/>
    <x v="1"/>
    <x v="1"/>
    <n v="24836.07"/>
    <n v="23121.8"/>
    <n v="68.62"/>
    <n v="1310.94"/>
    <x v="4262"/>
    <x v="1"/>
  </r>
  <r>
    <x v="10"/>
    <x v="0"/>
    <x v="1"/>
    <n v="13807.04"/>
    <n v="11632.83"/>
    <n v="23.49"/>
    <n v="654.04999999999995"/>
    <x v="4263"/>
    <x v="0"/>
  </r>
  <r>
    <x v="10"/>
    <x v="1"/>
    <x v="1"/>
    <n v="49395.14"/>
    <n v="40327.449999999997"/>
    <n v="100.35"/>
    <n v="1122.9100000000001"/>
    <x v="4264"/>
    <x v="1"/>
  </r>
  <r>
    <x v="4"/>
    <x v="4"/>
    <x v="3"/>
    <n v="20942.04"/>
    <n v="18650.07"/>
    <n v="124.24"/>
    <n v="128.07"/>
    <x v="4265"/>
    <x v="0"/>
  </r>
  <r>
    <x v="6"/>
    <x v="0"/>
    <x v="4"/>
    <n v="10367.07"/>
    <n v="11883.66"/>
    <n v="128.72999999999999"/>
    <n v="462.9"/>
    <x v="4266"/>
    <x v="0"/>
  </r>
  <r>
    <x v="2"/>
    <x v="2"/>
    <x v="2"/>
    <n v="39760.39"/>
    <n v="38052.74"/>
    <n v="70.239999999999995"/>
    <n v="841.5"/>
    <x v="4267"/>
    <x v="1"/>
  </r>
  <r>
    <x v="2"/>
    <x v="3"/>
    <x v="1"/>
    <n v="47659.16"/>
    <n v="56031.37"/>
    <n v="89.22"/>
    <n v="1024.82"/>
    <x v="4268"/>
    <x v="1"/>
  </r>
  <r>
    <x v="11"/>
    <x v="1"/>
    <x v="3"/>
    <n v="14009.07"/>
    <n v="12256.59"/>
    <n v="145.34"/>
    <n v="1284.28"/>
    <x v="4269"/>
    <x v="1"/>
  </r>
  <r>
    <x v="11"/>
    <x v="0"/>
    <x v="4"/>
    <n v="43154.38"/>
    <n v="37000.11"/>
    <n v="175.09"/>
    <n v="1097.3499999999999"/>
    <x v="4270"/>
    <x v="0"/>
  </r>
  <r>
    <x v="1"/>
    <x v="2"/>
    <x v="5"/>
    <n v="21517.15"/>
    <n v="25165.97"/>
    <n v="61.64"/>
    <n v="511.25"/>
    <x v="4271"/>
    <x v="1"/>
  </r>
  <r>
    <x v="0"/>
    <x v="0"/>
    <x v="2"/>
    <n v="15479.16"/>
    <n v="16007.31"/>
    <n v="34.64"/>
    <n v="221.5"/>
    <x v="4272"/>
    <x v="0"/>
  </r>
  <r>
    <x v="3"/>
    <x v="4"/>
    <x v="2"/>
    <n v="7634.8"/>
    <n v="6920.6"/>
    <n v="152.62"/>
    <n v="819.72"/>
    <x v="4273"/>
    <x v="0"/>
  </r>
  <r>
    <x v="3"/>
    <x v="4"/>
    <x v="3"/>
    <n v="3715.38"/>
    <n v="4207.47"/>
    <n v="146.4"/>
    <n v="1024.27"/>
    <x v="4274"/>
    <x v="0"/>
  </r>
  <r>
    <x v="16"/>
    <x v="1"/>
    <x v="5"/>
    <n v="44914.43"/>
    <n v="37679.79"/>
    <n v="167.65"/>
    <n v="907.89"/>
    <x v="4275"/>
    <x v="1"/>
  </r>
  <r>
    <x v="19"/>
    <x v="2"/>
    <x v="7"/>
    <n v="48952.68"/>
    <n v="45037.440000000002"/>
    <n v="127.04"/>
    <n v="485.67"/>
    <x v="4276"/>
    <x v="1"/>
  </r>
  <r>
    <x v="15"/>
    <x v="2"/>
    <x v="5"/>
    <n v="18528.169999999998"/>
    <n v="15310.1"/>
    <n v="39.67"/>
    <n v="585.84"/>
    <x v="4277"/>
    <x v="1"/>
  </r>
  <r>
    <x v="9"/>
    <x v="5"/>
    <x v="5"/>
    <n v="6924.7"/>
    <n v="6480.12"/>
    <n v="81.489999999999995"/>
    <n v="812.17"/>
    <x v="4278"/>
    <x v="0"/>
  </r>
  <r>
    <x v="1"/>
    <x v="4"/>
    <x v="7"/>
    <n v="16533"/>
    <n v="13724.03"/>
    <n v="79.02"/>
    <n v="1017.5"/>
    <x v="4279"/>
    <x v="0"/>
  </r>
  <r>
    <x v="1"/>
    <x v="2"/>
    <x v="2"/>
    <n v="42686.47"/>
    <n v="35909.269999999997"/>
    <n v="131.08000000000001"/>
    <n v="932.12"/>
    <x v="4280"/>
    <x v="1"/>
  </r>
  <r>
    <x v="16"/>
    <x v="4"/>
    <x v="4"/>
    <n v="12735.64"/>
    <n v="14984.8"/>
    <n v="119.17"/>
    <n v="970.84"/>
    <x v="4281"/>
    <x v="0"/>
  </r>
  <r>
    <x v="0"/>
    <x v="0"/>
    <x v="2"/>
    <n v="46106.35"/>
    <n v="45513.19"/>
    <n v="80.87"/>
    <n v="231.28"/>
    <x v="4282"/>
    <x v="0"/>
  </r>
  <r>
    <x v="8"/>
    <x v="3"/>
    <x v="2"/>
    <n v="35892.199999999997"/>
    <n v="36287.72"/>
    <n v="154.65"/>
    <n v="183.52"/>
    <x v="4283"/>
    <x v="1"/>
  </r>
  <r>
    <x v="18"/>
    <x v="2"/>
    <x v="0"/>
    <n v="6482.29"/>
    <n v="6869.84"/>
    <n v="30.16"/>
    <n v="291.70999999999998"/>
    <x v="4284"/>
    <x v="1"/>
  </r>
  <r>
    <x v="5"/>
    <x v="6"/>
    <x v="2"/>
    <n v="21627.599999999999"/>
    <n v="24587.61"/>
    <n v="118.9"/>
    <n v="1069.58"/>
    <x v="4285"/>
    <x v="0"/>
  </r>
  <r>
    <x v="12"/>
    <x v="2"/>
    <x v="3"/>
    <n v="20092.05"/>
    <n v="18645.740000000002"/>
    <n v="24.02"/>
    <n v="317.2"/>
    <x v="4286"/>
    <x v="1"/>
  </r>
  <r>
    <x v="0"/>
    <x v="1"/>
    <x v="2"/>
    <n v="48373.39"/>
    <n v="50449.34"/>
    <n v="58.89"/>
    <n v="1328.37"/>
    <x v="4287"/>
    <x v="1"/>
  </r>
  <r>
    <x v="14"/>
    <x v="3"/>
    <x v="5"/>
    <n v="17324.62"/>
    <n v="20112.650000000001"/>
    <n v="140"/>
    <n v="243.99"/>
    <x v="4288"/>
    <x v="1"/>
  </r>
  <r>
    <x v="7"/>
    <x v="0"/>
    <x v="3"/>
    <n v="28539.63"/>
    <n v="27498.23"/>
    <n v="113.87"/>
    <n v="572.35"/>
    <x v="4289"/>
    <x v="0"/>
  </r>
  <r>
    <x v="8"/>
    <x v="0"/>
    <x v="2"/>
    <n v="20167.009999999998"/>
    <n v="18982.009999999998"/>
    <n v="61.78"/>
    <n v="651.99"/>
    <x v="4290"/>
    <x v="0"/>
  </r>
  <r>
    <x v="14"/>
    <x v="1"/>
    <x v="3"/>
    <n v="16309.24"/>
    <n v="13445.9"/>
    <n v="54.53"/>
    <n v="286.48"/>
    <x v="4291"/>
    <x v="1"/>
  </r>
  <r>
    <x v="2"/>
    <x v="0"/>
    <x v="1"/>
    <n v="39516.230000000003"/>
    <n v="43657.2"/>
    <n v="83.82"/>
    <n v="241.94"/>
    <x v="4292"/>
    <x v="0"/>
  </r>
  <r>
    <x v="10"/>
    <x v="2"/>
    <x v="7"/>
    <n v="6367.24"/>
    <n v="5602.06"/>
    <n v="136.13"/>
    <n v="857.6"/>
    <x v="4293"/>
    <x v="1"/>
  </r>
  <r>
    <x v="13"/>
    <x v="6"/>
    <x v="2"/>
    <n v="17786.740000000002"/>
    <n v="19470.900000000001"/>
    <n v="128.44"/>
    <n v="957.51"/>
    <x v="4294"/>
    <x v="0"/>
  </r>
  <r>
    <x v="14"/>
    <x v="2"/>
    <x v="4"/>
    <n v="26861.08"/>
    <n v="23432.21"/>
    <n v="107.89"/>
    <n v="853.88"/>
    <x v="4295"/>
    <x v="1"/>
  </r>
  <r>
    <x v="5"/>
    <x v="6"/>
    <x v="1"/>
    <n v="3236.77"/>
    <n v="3128.03"/>
    <n v="28.91"/>
    <n v="846.7"/>
    <x v="4296"/>
    <x v="0"/>
  </r>
  <r>
    <x v="5"/>
    <x v="6"/>
    <x v="3"/>
    <n v="46073"/>
    <n v="42721.58"/>
    <n v="142.01"/>
    <n v="582.04999999999995"/>
    <x v="4297"/>
    <x v="0"/>
  </r>
  <r>
    <x v="17"/>
    <x v="4"/>
    <x v="0"/>
    <n v="24411.49"/>
    <n v="22266.81"/>
    <n v="188.9"/>
    <n v="715.16"/>
    <x v="4298"/>
    <x v="0"/>
  </r>
  <r>
    <x v="3"/>
    <x v="3"/>
    <x v="2"/>
    <n v="11016.36"/>
    <n v="10330.11"/>
    <n v="199.71"/>
    <n v="1212.3"/>
    <x v="4299"/>
    <x v="1"/>
  </r>
  <r>
    <x v="19"/>
    <x v="4"/>
    <x v="6"/>
    <n v="18824.66"/>
    <n v="16221.22"/>
    <n v="121.56"/>
    <n v="1190.79"/>
    <x v="4300"/>
    <x v="0"/>
  </r>
  <r>
    <x v="6"/>
    <x v="3"/>
    <x v="5"/>
    <n v="30251.98"/>
    <n v="30485.18"/>
    <n v="155.22"/>
    <n v="673.12"/>
    <x v="4301"/>
    <x v="1"/>
  </r>
  <r>
    <x v="8"/>
    <x v="5"/>
    <x v="5"/>
    <n v="28188.81"/>
    <n v="25430.05"/>
    <n v="158.6"/>
    <n v="334.9"/>
    <x v="4302"/>
    <x v="0"/>
  </r>
  <r>
    <x v="4"/>
    <x v="4"/>
    <x v="3"/>
    <n v="28017.919999999998"/>
    <n v="33552.639999999999"/>
    <n v="132.71"/>
    <n v="226.82"/>
    <x v="4303"/>
    <x v="0"/>
  </r>
  <r>
    <x v="16"/>
    <x v="1"/>
    <x v="4"/>
    <n v="47128.3"/>
    <n v="42676.68"/>
    <n v="74.290000000000006"/>
    <n v="783.58"/>
    <x v="4304"/>
    <x v="1"/>
  </r>
  <r>
    <x v="5"/>
    <x v="2"/>
    <x v="2"/>
    <n v="29274.27"/>
    <n v="32530.11"/>
    <n v="131.41"/>
    <n v="472.82"/>
    <x v="4305"/>
    <x v="1"/>
  </r>
  <r>
    <x v="15"/>
    <x v="5"/>
    <x v="7"/>
    <n v="10846.69"/>
    <n v="11717.08"/>
    <n v="197.88"/>
    <n v="122.85"/>
    <x v="4306"/>
    <x v="0"/>
  </r>
  <r>
    <x v="13"/>
    <x v="2"/>
    <x v="5"/>
    <n v="20059.23"/>
    <n v="20402.650000000001"/>
    <n v="86.38"/>
    <n v="691.1"/>
    <x v="4307"/>
    <x v="1"/>
  </r>
  <r>
    <x v="10"/>
    <x v="4"/>
    <x v="7"/>
    <n v="23891.65"/>
    <n v="20701.810000000001"/>
    <n v="99.24"/>
    <n v="1111.73"/>
    <x v="4308"/>
    <x v="0"/>
  </r>
  <r>
    <x v="1"/>
    <x v="1"/>
    <x v="4"/>
    <n v="15955.86"/>
    <n v="15880.58"/>
    <n v="41.11"/>
    <n v="1178.6300000000001"/>
    <x v="4309"/>
    <x v="1"/>
  </r>
  <r>
    <x v="15"/>
    <x v="1"/>
    <x v="6"/>
    <n v="44822.55"/>
    <n v="49895.35"/>
    <n v="197.44"/>
    <n v="147.11000000000001"/>
    <x v="4310"/>
    <x v="1"/>
  </r>
  <r>
    <x v="19"/>
    <x v="0"/>
    <x v="1"/>
    <n v="4850.3"/>
    <n v="4607.66"/>
    <n v="39.08"/>
    <n v="1303.56"/>
    <x v="4311"/>
    <x v="0"/>
  </r>
  <r>
    <x v="16"/>
    <x v="6"/>
    <x v="3"/>
    <n v="12696.71"/>
    <n v="11643.15"/>
    <n v="112.93"/>
    <n v="1114.5899999999999"/>
    <x v="4312"/>
    <x v="0"/>
  </r>
  <r>
    <x v="16"/>
    <x v="3"/>
    <x v="7"/>
    <n v="44657.279999999999"/>
    <n v="35786.01"/>
    <n v="61.37"/>
    <n v="532.42999999999995"/>
    <x v="4313"/>
    <x v="1"/>
  </r>
  <r>
    <x v="2"/>
    <x v="4"/>
    <x v="1"/>
    <n v="33073.050000000003"/>
    <n v="27678.55"/>
    <n v="26.72"/>
    <n v="442.73"/>
    <x v="4314"/>
    <x v="0"/>
  </r>
  <r>
    <x v="18"/>
    <x v="3"/>
    <x v="0"/>
    <n v="6638.89"/>
    <n v="7472.43"/>
    <n v="190.81"/>
    <n v="859.16"/>
    <x v="4315"/>
    <x v="1"/>
  </r>
  <r>
    <x v="19"/>
    <x v="0"/>
    <x v="1"/>
    <n v="29636.36"/>
    <n v="24638.240000000002"/>
    <n v="102.09"/>
    <n v="576.05999999999995"/>
    <x v="4316"/>
    <x v="0"/>
  </r>
  <r>
    <x v="5"/>
    <x v="1"/>
    <x v="3"/>
    <n v="3118.62"/>
    <n v="2909.39"/>
    <n v="53.67"/>
    <n v="718.13"/>
    <x v="4317"/>
    <x v="1"/>
  </r>
  <r>
    <x v="3"/>
    <x v="0"/>
    <x v="0"/>
    <n v="22247.62"/>
    <n v="20257.28"/>
    <n v="174.26"/>
    <n v="816.6"/>
    <x v="4318"/>
    <x v="0"/>
  </r>
  <r>
    <x v="4"/>
    <x v="3"/>
    <x v="6"/>
    <n v="21206.07"/>
    <n v="22699.83"/>
    <n v="122.95"/>
    <n v="828.48"/>
    <x v="4319"/>
    <x v="1"/>
  </r>
  <r>
    <x v="0"/>
    <x v="0"/>
    <x v="3"/>
    <n v="1160.27"/>
    <n v="1158.3399999999999"/>
    <n v="162.82"/>
    <n v="862.09"/>
    <x v="4320"/>
    <x v="0"/>
  </r>
  <r>
    <x v="14"/>
    <x v="4"/>
    <x v="3"/>
    <n v="20437.009999999998"/>
    <n v="18175.82"/>
    <n v="141.35"/>
    <n v="1218.82"/>
    <x v="4321"/>
    <x v="0"/>
  </r>
  <r>
    <x v="4"/>
    <x v="2"/>
    <x v="1"/>
    <n v="26977.56"/>
    <n v="24530.02"/>
    <n v="193.92"/>
    <n v="341.15"/>
    <x v="4322"/>
    <x v="1"/>
  </r>
  <r>
    <x v="9"/>
    <x v="1"/>
    <x v="1"/>
    <n v="25659.439999999999"/>
    <n v="27457.72"/>
    <n v="59.04"/>
    <n v="560.91"/>
    <x v="4323"/>
    <x v="1"/>
  </r>
  <r>
    <x v="17"/>
    <x v="1"/>
    <x v="4"/>
    <n v="30588.9"/>
    <n v="31101.57"/>
    <n v="21.56"/>
    <n v="964.88"/>
    <x v="4324"/>
    <x v="1"/>
  </r>
  <r>
    <x v="9"/>
    <x v="1"/>
    <x v="2"/>
    <n v="42054.559999999998"/>
    <n v="40586.17"/>
    <n v="164.65"/>
    <n v="677.49"/>
    <x v="4325"/>
    <x v="1"/>
  </r>
  <r>
    <x v="4"/>
    <x v="0"/>
    <x v="0"/>
    <n v="20333.88"/>
    <n v="19202.66"/>
    <n v="29.37"/>
    <n v="694.96"/>
    <x v="4326"/>
    <x v="0"/>
  </r>
  <r>
    <x v="10"/>
    <x v="4"/>
    <x v="1"/>
    <n v="3695.8"/>
    <n v="3320.68"/>
    <n v="167.39"/>
    <n v="385.12"/>
    <x v="4327"/>
    <x v="0"/>
  </r>
  <r>
    <x v="17"/>
    <x v="3"/>
    <x v="0"/>
    <n v="5443.2"/>
    <n v="6472.66"/>
    <n v="91.07"/>
    <n v="781.44"/>
    <x v="4328"/>
    <x v="1"/>
  </r>
  <r>
    <x v="14"/>
    <x v="3"/>
    <x v="6"/>
    <n v="27555.01"/>
    <n v="32211.96"/>
    <n v="198.85"/>
    <n v="879.18"/>
    <x v="4329"/>
    <x v="1"/>
  </r>
  <r>
    <x v="3"/>
    <x v="2"/>
    <x v="2"/>
    <n v="17163.86"/>
    <n v="15214.37"/>
    <n v="93.25"/>
    <n v="795.91"/>
    <x v="4330"/>
    <x v="1"/>
  </r>
  <r>
    <x v="14"/>
    <x v="4"/>
    <x v="6"/>
    <n v="20127.91"/>
    <n v="23658.57"/>
    <n v="23.63"/>
    <n v="1318.56"/>
    <x v="4331"/>
    <x v="0"/>
  </r>
  <r>
    <x v="17"/>
    <x v="0"/>
    <x v="1"/>
    <n v="33616.769999999997"/>
    <n v="37461.32"/>
    <n v="96.66"/>
    <n v="793.41"/>
    <x v="4332"/>
    <x v="0"/>
  </r>
  <r>
    <x v="13"/>
    <x v="5"/>
    <x v="5"/>
    <n v="24828.02"/>
    <n v="28575.73"/>
    <n v="127.59"/>
    <n v="84.87"/>
    <x v="4333"/>
    <x v="0"/>
  </r>
  <r>
    <x v="5"/>
    <x v="4"/>
    <x v="0"/>
    <n v="39189.879999999997"/>
    <n v="31790.93"/>
    <n v="130.79"/>
    <n v="81.489999999999995"/>
    <x v="4334"/>
    <x v="0"/>
  </r>
  <r>
    <x v="0"/>
    <x v="0"/>
    <x v="6"/>
    <n v="18656.62"/>
    <n v="18849.189999999999"/>
    <n v="124.85"/>
    <n v="851.83"/>
    <x v="4335"/>
    <x v="0"/>
  </r>
  <r>
    <x v="15"/>
    <x v="6"/>
    <x v="1"/>
    <n v="41121.47"/>
    <n v="43606.7"/>
    <n v="79.56"/>
    <n v="644.19000000000005"/>
    <x v="4336"/>
    <x v="0"/>
  </r>
  <r>
    <x v="0"/>
    <x v="2"/>
    <x v="2"/>
    <n v="37510.620000000003"/>
    <n v="39567.06"/>
    <n v="163.63999999999999"/>
    <n v="483.55"/>
    <x v="4337"/>
    <x v="1"/>
  </r>
  <r>
    <x v="5"/>
    <x v="4"/>
    <x v="4"/>
    <n v="12159.07"/>
    <n v="10518.83"/>
    <n v="82.6"/>
    <n v="660.32"/>
    <x v="4338"/>
    <x v="0"/>
  </r>
  <r>
    <x v="9"/>
    <x v="3"/>
    <x v="5"/>
    <n v="34569.480000000003"/>
    <n v="40686.83"/>
    <n v="139.97999999999999"/>
    <n v="1130.72"/>
    <x v="4339"/>
    <x v="1"/>
  </r>
  <r>
    <x v="2"/>
    <x v="6"/>
    <x v="2"/>
    <n v="30427.46"/>
    <n v="33884"/>
    <n v="54.92"/>
    <n v="515.99"/>
    <x v="4340"/>
    <x v="0"/>
  </r>
  <r>
    <x v="12"/>
    <x v="2"/>
    <x v="7"/>
    <n v="4743.07"/>
    <n v="4114.13"/>
    <n v="114.16"/>
    <n v="344.64"/>
    <x v="4341"/>
    <x v="1"/>
  </r>
  <r>
    <x v="10"/>
    <x v="5"/>
    <x v="1"/>
    <n v="43200.15"/>
    <n v="41602.230000000003"/>
    <n v="156.1"/>
    <n v="73.260000000000005"/>
    <x v="4342"/>
    <x v="0"/>
  </r>
  <r>
    <x v="2"/>
    <x v="6"/>
    <x v="5"/>
    <n v="15846.89"/>
    <n v="15977.17"/>
    <n v="29.66"/>
    <n v="14.29"/>
    <x v="4343"/>
    <x v="0"/>
  </r>
  <r>
    <x v="5"/>
    <x v="5"/>
    <x v="1"/>
    <n v="31604.43"/>
    <n v="26619.06"/>
    <n v="94.24"/>
    <n v="1041.21"/>
    <x v="4344"/>
    <x v="0"/>
  </r>
  <r>
    <x v="19"/>
    <x v="5"/>
    <x v="3"/>
    <n v="16371.07"/>
    <n v="14569.73"/>
    <n v="47.48"/>
    <n v="750.16"/>
    <x v="4345"/>
    <x v="0"/>
  </r>
  <r>
    <x v="14"/>
    <x v="3"/>
    <x v="4"/>
    <n v="46119.45"/>
    <n v="49919.74"/>
    <n v="167.45"/>
    <n v="74.180000000000007"/>
    <x v="4346"/>
    <x v="1"/>
  </r>
  <r>
    <x v="4"/>
    <x v="4"/>
    <x v="2"/>
    <n v="45091.91"/>
    <n v="49126.26"/>
    <n v="25.51"/>
    <n v="1153.08"/>
    <x v="4347"/>
    <x v="0"/>
  </r>
  <r>
    <x v="1"/>
    <x v="3"/>
    <x v="0"/>
    <n v="19489.91"/>
    <n v="16282.94"/>
    <n v="74.42"/>
    <n v="741.77"/>
    <x v="4348"/>
    <x v="1"/>
  </r>
  <r>
    <x v="6"/>
    <x v="1"/>
    <x v="0"/>
    <n v="23277.06"/>
    <n v="22356.43"/>
    <n v="46.29"/>
    <n v="629.91"/>
    <x v="4349"/>
    <x v="1"/>
  </r>
  <r>
    <x v="5"/>
    <x v="6"/>
    <x v="1"/>
    <n v="24031.22"/>
    <n v="23043.58"/>
    <n v="126.36"/>
    <n v="266.97000000000003"/>
    <x v="4350"/>
    <x v="0"/>
  </r>
  <r>
    <x v="2"/>
    <x v="6"/>
    <x v="3"/>
    <n v="5422.74"/>
    <n v="5240.92"/>
    <n v="162.21"/>
    <n v="961.64"/>
    <x v="4351"/>
    <x v="0"/>
  </r>
  <r>
    <x v="14"/>
    <x v="4"/>
    <x v="7"/>
    <n v="21948.76"/>
    <n v="21902.54"/>
    <n v="30.5"/>
    <n v="31.37"/>
    <x v="4352"/>
    <x v="0"/>
  </r>
  <r>
    <x v="6"/>
    <x v="6"/>
    <x v="5"/>
    <n v="1081.28"/>
    <n v="1229.69"/>
    <n v="61.13"/>
    <n v="223.81"/>
    <x v="4353"/>
    <x v="0"/>
  </r>
  <r>
    <x v="6"/>
    <x v="1"/>
    <x v="1"/>
    <n v="14430.76"/>
    <n v="16888.060000000001"/>
    <n v="144.34"/>
    <n v="963.08"/>
    <x v="4354"/>
    <x v="1"/>
  </r>
  <r>
    <x v="13"/>
    <x v="5"/>
    <x v="1"/>
    <n v="44576.73"/>
    <n v="43740.2"/>
    <n v="197.32"/>
    <n v="901.66"/>
    <x v="4355"/>
    <x v="0"/>
  </r>
  <r>
    <x v="8"/>
    <x v="5"/>
    <x v="6"/>
    <n v="46520.88"/>
    <n v="39478.68"/>
    <n v="151.88"/>
    <n v="999.48"/>
    <x v="4356"/>
    <x v="0"/>
  </r>
  <r>
    <x v="6"/>
    <x v="1"/>
    <x v="1"/>
    <n v="31463.73"/>
    <n v="28077.99"/>
    <n v="132.09"/>
    <n v="726.58"/>
    <x v="4357"/>
    <x v="1"/>
  </r>
  <r>
    <x v="8"/>
    <x v="5"/>
    <x v="6"/>
    <n v="3453.37"/>
    <n v="3784.44"/>
    <n v="192.15"/>
    <n v="1086.8800000000001"/>
    <x v="4358"/>
    <x v="0"/>
  </r>
  <r>
    <x v="5"/>
    <x v="1"/>
    <x v="4"/>
    <n v="26277.31"/>
    <n v="30674.720000000001"/>
    <n v="20.75"/>
    <n v="656.63"/>
    <x v="4359"/>
    <x v="1"/>
  </r>
  <r>
    <x v="4"/>
    <x v="4"/>
    <x v="2"/>
    <n v="41442.17"/>
    <n v="49120.49"/>
    <n v="143.82"/>
    <n v="88.96"/>
    <x v="4360"/>
    <x v="0"/>
  </r>
  <r>
    <x v="4"/>
    <x v="4"/>
    <x v="7"/>
    <n v="7407.11"/>
    <n v="8434.11"/>
    <n v="65.06"/>
    <n v="946.68"/>
    <x v="4361"/>
    <x v="0"/>
  </r>
  <r>
    <x v="11"/>
    <x v="5"/>
    <x v="1"/>
    <n v="7622.58"/>
    <n v="6157.83"/>
    <n v="134.33000000000001"/>
    <n v="432.37"/>
    <x v="4362"/>
    <x v="0"/>
  </r>
  <r>
    <x v="11"/>
    <x v="1"/>
    <x v="3"/>
    <n v="30652.52"/>
    <n v="26069.74"/>
    <n v="76.599999999999994"/>
    <n v="112.13"/>
    <x v="4363"/>
    <x v="1"/>
  </r>
  <r>
    <x v="15"/>
    <x v="6"/>
    <x v="4"/>
    <n v="36153.21"/>
    <n v="36870.870000000003"/>
    <n v="176.39"/>
    <n v="1120.5899999999999"/>
    <x v="4364"/>
    <x v="0"/>
  </r>
  <r>
    <x v="4"/>
    <x v="2"/>
    <x v="0"/>
    <n v="11603.07"/>
    <n v="11644.19"/>
    <n v="26.14"/>
    <n v="140.02000000000001"/>
    <x v="4365"/>
    <x v="1"/>
  </r>
  <r>
    <x v="16"/>
    <x v="0"/>
    <x v="4"/>
    <n v="33343.15"/>
    <n v="26737.93"/>
    <n v="167.41"/>
    <n v="795.46"/>
    <x v="4366"/>
    <x v="0"/>
  </r>
  <r>
    <x v="1"/>
    <x v="2"/>
    <x v="7"/>
    <n v="11475.82"/>
    <n v="12885.65"/>
    <n v="136.27000000000001"/>
    <n v="20.81"/>
    <x v="4367"/>
    <x v="1"/>
  </r>
  <r>
    <x v="16"/>
    <x v="3"/>
    <x v="5"/>
    <n v="10072.959999999999"/>
    <n v="9513.0400000000009"/>
    <n v="181.16"/>
    <n v="27.82"/>
    <x v="4368"/>
    <x v="1"/>
  </r>
  <r>
    <x v="13"/>
    <x v="3"/>
    <x v="1"/>
    <n v="34364.949999999997"/>
    <n v="32364.26"/>
    <n v="80.989999999999995"/>
    <n v="117.11"/>
    <x v="4369"/>
    <x v="1"/>
  </r>
  <r>
    <x v="8"/>
    <x v="0"/>
    <x v="3"/>
    <n v="14796.52"/>
    <n v="16707.61"/>
    <n v="92.42"/>
    <n v="703.18"/>
    <x v="4370"/>
    <x v="0"/>
  </r>
  <r>
    <x v="7"/>
    <x v="6"/>
    <x v="7"/>
    <n v="23360.75"/>
    <n v="22195.26"/>
    <n v="180.18"/>
    <n v="362.85"/>
    <x v="4371"/>
    <x v="0"/>
  </r>
  <r>
    <x v="5"/>
    <x v="1"/>
    <x v="4"/>
    <n v="1011.68"/>
    <n v="919.94"/>
    <n v="37.25"/>
    <n v="956.73"/>
    <x v="4372"/>
    <x v="1"/>
  </r>
  <r>
    <x v="1"/>
    <x v="4"/>
    <x v="3"/>
    <n v="27660.959999999999"/>
    <n v="27545.69"/>
    <n v="74.290000000000006"/>
    <n v="471.86"/>
    <x v="4373"/>
    <x v="0"/>
  </r>
  <r>
    <x v="5"/>
    <x v="6"/>
    <x v="4"/>
    <n v="37063.699999999997"/>
    <n v="38958.870000000003"/>
    <n v="65.78"/>
    <n v="970.37"/>
    <x v="4374"/>
    <x v="0"/>
  </r>
  <r>
    <x v="15"/>
    <x v="3"/>
    <x v="5"/>
    <n v="9529.0300000000007"/>
    <n v="7712.48"/>
    <n v="29.71"/>
    <n v="205.53"/>
    <x v="4375"/>
    <x v="1"/>
  </r>
  <r>
    <x v="4"/>
    <x v="2"/>
    <x v="1"/>
    <n v="37980.82"/>
    <n v="40452.6"/>
    <n v="28.37"/>
    <n v="1076.3900000000001"/>
    <x v="4376"/>
    <x v="1"/>
  </r>
  <r>
    <x v="2"/>
    <x v="5"/>
    <x v="1"/>
    <n v="16122.55"/>
    <n v="16004.94"/>
    <n v="99.02"/>
    <n v="974.12"/>
    <x v="4377"/>
    <x v="0"/>
  </r>
  <r>
    <x v="2"/>
    <x v="0"/>
    <x v="7"/>
    <n v="20978.66"/>
    <n v="21563.279999999999"/>
    <n v="44.01"/>
    <n v="384.7"/>
    <x v="4378"/>
    <x v="0"/>
  </r>
  <r>
    <x v="9"/>
    <x v="2"/>
    <x v="3"/>
    <n v="22494.61"/>
    <n v="22123.439999999999"/>
    <n v="110.24"/>
    <n v="907.33"/>
    <x v="4379"/>
    <x v="1"/>
  </r>
  <r>
    <x v="3"/>
    <x v="2"/>
    <x v="5"/>
    <n v="21227.75"/>
    <n v="17377.689999999999"/>
    <n v="20.51"/>
    <n v="538.55999999999995"/>
    <x v="4380"/>
    <x v="1"/>
  </r>
  <r>
    <x v="6"/>
    <x v="5"/>
    <x v="1"/>
    <n v="39111.74"/>
    <n v="39806.89"/>
    <n v="51.92"/>
    <n v="863.99"/>
    <x v="4381"/>
    <x v="0"/>
  </r>
  <r>
    <x v="18"/>
    <x v="6"/>
    <x v="4"/>
    <n v="16164.38"/>
    <n v="17607.22"/>
    <n v="151.09"/>
    <n v="920.06"/>
    <x v="4382"/>
    <x v="0"/>
  </r>
  <r>
    <x v="14"/>
    <x v="2"/>
    <x v="3"/>
    <n v="15736.94"/>
    <n v="18485.23"/>
    <n v="42.93"/>
    <n v="675.35"/>
    <x v="4383"/>
    <x v="1"/>
  </r>
  <r>
    <x v="15"/>
    <x v="0"/>
    <x v="3"/>
    <n v="43821.86"/>
    <n v="39412.04"/>
    <n v="46.19"/>
    <n v="425.07"/>
    <x v="4384"/>
    <x v="0"/>
  </r>
  <r>
    <x v="17"/>
    <x v="1"/>
    <x v="3"/>
    <n v="37480.14"/>
    <n v="30030.39"/>
    <n v="167.72"/>
    <n v="498.14"/>
    <x v="4385"/>
    <x v="1"/>
  </r>
  <r>
    <x v="5"/>
    <x v="0"/>
    <x v="0"/>
    <n v="3823.85"/>
    <n v="4044.24"/>
    <n v="86.78"/>
    <n v="1173.69"/>
    <x v="4386"/>
    <x v="0"/>
  </r>
  <r>
    <x v="7"/>
    <x v="1"/>
    <x v="0"/>
    <n v="21318.41"/>
    <n v="25152.62"/>
    <n v="179.31"/>
    <n v="1114.25"/>
    <x v="4387"/>
    <x v="1"/>
  </r>
  <r>
    <x v="17"/>
    <x v="5"/>
    <x v="0"/>
    <n v="42859.72"/>
    <n v="50711.06"/>
    <n v="127.01"/>
    <n v="24.58"/>
    <x v="4388"/>
    <x v="0"/>
  </r>
  <r>
    <x v="13"/>
    <x v="4"/>
    <x v="1"/>
    <n v="43304.58"/>
    <n v="41725.589999999997"/>
    <n v="85"/>
    <n v="1108.78"/>
    <x v="4389"/>
    <x v="0"/>
  </r>
  <r>
    <x v="14"/>
    <x v="6"/>
    <x v="7"/>
    <n v="28093.54"/>
    <n v="27792.33"/>
    <n v="109.11"/>
    <n v="1386.45"/>
    <x v="4390"/>
    <x v="0"/>
  </r>
  <r>
    <x v="16"/>
    <x v="4"/>
    <x v="3"/>
    <n v="26293.200000000001"/>
    <n v="25146.6"/>
    <n v="105.94"/>
    <n v="1373.66"/>
    <x v="4391"/>
    <x v="0"/>
  </r>
  <r>
    <x v="1"/>
    <x v="6"/>
    <x v="3"/>
    <n v="21236.93"/>
    <n v="23525.599999999999"/>
    <n v="124.11"/>
    <n v="666.37"/>
    <x v="4392"/>
    <x v="0"/>
  </r>
  <r>
    <x v="12"/>
    <x v="2"/>
    <x v="6"/>
    <n v="7047.63"/>
    <n v="7770.09"/>
    <n v="192.1"/>
    <n v="1066.28"/>
    <x v="4393"/>
    <x v="1"/>
  </r>
  <r>
    <x v="15"/>
    <x v="0"/>
    <x v="7"/>
    <n v="26444.57"/>
    <n v="21751.45"/>
    <n v="122.56"/>
    <n v="831.79"/>
    <x v="4394"/>
    <x v="0"/>
  </r>
  <r>
    <x v="15"/>
    <x v="5"/>
    <x v="1"/>
    <n v="38866.800000000003"/>
    <n v="41263.43"/>
    <n v="24.9"/>
    <n v="644.33000000000004"/>
    <x v="4395"/>
    <x v="0"/>
  </r>
  <r>
    <x v="7"/>
    <x v="6"/>
    <x v="6"/>
    <n v="49872.89"/>
    <n v="52126.46"/>
    <n v="149.75"/>
    <n v="970.59"/>
    <x v="4396"/>
    <x v="0"/>
  </r>
  <r>
    <x v="10"/>
    <x v="1"/>
    <x v="7"/>
    <n v="574.78"/>
    <n v="680.3"/>
    <n v="75.400000000000006"/>
    <n v="1104.8699999999999"/>
    <x v="4397"/>
    <x v="1"/>
  </r>
  <r>
    <x v="12"/>
    <x v="1"/>
    <x v="1"/>
    <n v="6744.99"/>
    <n v="6123.36"/>
    <n v="28.23"/>
    <n v="1308.31"/>
    <x v="4398"/>
    <x v="1"/>
  </r>
  <r>
    <x v="18"/>
    <x v="2"/>
    <x v="3"/>
    <n v="25544.81"/>
    <n v="20534.78"/>
    <n v="83.1"/>
    <n v="254.13"/>
    <x v="4399"/>
    <x v="1"/>
  </r>
  <r>
    <x v="5"/>
    <x v="2"/>
    <x v="4"/>
    <n v="31227.83"/>
    <n v="27531.759999999998"/>
    <n v="175.43"/>
    <n v="426.57"/>
    <x v="4400"/>
    <x v="1"/>
  </r>
  <r>
    <x v="12"/>
    <x v="5"/>
    <x v="0"/>
    <n v="30956.74"/>
    <n v="31992.48"/>
    <n v="137.76"/>
    <n v="776.66"/>
    <x v="4401"/>
    <x v="0"/>
  </r>
  <r>
    <x v="7"/>
    <x v="2"/>
    <x v="7"/>
    <n v="34812.379999999997"/>
    <n v="40287.24"/>
    <n v="113.55"/>
    <n v="948.77"/>
    <x v="4402"/>
    <x v="1"/>
  </r>
  <r>
    <x v="7"/>
    <x v="3"/>
    <x v="2"/>
    <n v="6165.28"/>
    <n v="6649.18"/>
    <n v="59.55"/>
    <n v="587.30999999999995"/>
    <x v="4403"/>
    <x v="1"/>
  </r>
  <r>
    <x v="6"/>
    <x v="2"/>
    <x v="1"/>
    <n v="7564.96"/>
    <n v="8080.02"/>
    <n v="84.93"/>
    <n v="622.85"/>
    <x v="4404"/>
    <x v="1"/>
  </r>
  <r>
    <x v="12"/>
    <x v="5"/>
    <x v="0"/>
    <n v="39467.81"/>
    <n v="44238.51"/>
    <n v="160.81"/>
    <n v="1064.83"/>
    <x v="4405"/>
    <x v="0"/>
  </r>
  <r>
    <x v="2"/>
    <x v="5"/>
    <x v="2"/>
    <n v="2575.08"/>
    <n v="2948.07"/>
    <n v="144.91999999999999"/>
    <n v="761.84"/>
    <x v="4406"/>
    <x v="0"/>
  </r>
  <r>
    <x v="3"/>
    <x v="4"/>
    <x v="4"/>
    <n v="29641.32"/>
    <n v="30420.81"/>
    <n v="178.31"/>
    <n v="153.55000000000001"/>
    <x v="4407"/>
    <x v="0"/>
  </r>
  <r>
    <x v="13"/>
    <x v="3"/>
    <x v="4"/>
    <n v="44974.080000000002"/>
    <n v="51881.79"/>
    <n v="35.979999999999997"/>
    <n v="309.36"/>
    <x v="4408"/>
    <x v="1"/>
  </r>
  <r>
    <x v="16"/>
    <x v="0"/>
    <x v="2"/>
    <n v="49647.16"/>
    <n v="56893.55"/>
    <n v="144.88"/>
    <n v="884.84"/>
    <x v="4409"/>
    <x v="0"/>
  </r>
  <r>
    <x v="6"/>
    <x v="3"/>
    <x v="5"/>
    <n v="19391.400000000001"/>
    <n v="22473.119999999999"/>
    <n v="145.34"/>
    <n v="954.1"/>
    <x v="4410"/>
    <x v="1"/>
  </r>
  <r>
    <x v="0"/>
    <x v="3"/>
    <x v="0"/>
    <n v="22251.13"/>
    <n v="22714.85"/>
    <n v="64.89"/>
    <n v="1289.83"/>
    <x v="4411"/>
    <x v="1"/>
  </r>
  <r>
    <x v="0"/>
    <x v="5"/>
    <x v="6"/>
    <n v="7127.97"/>
    <n v="6705.08"/>
    <n v="20.71"/>
    <n v="697.57"/>
    <x v="4412"/>
    <x v="0"/>
  </r>
  <r>
    <x v="4"/>
    <x v="2"/>
    <x v="6"/>
    <n v="2719.91"/>
    <n v="2582.0100000000002"/>
    <n v="27.85"/>
    <n v="361.98"/>
    <x v="4413"/>
    <x v="1"/>
  </r>
  <r>
    <x v="9"/>
    <x v="3"/>
    <x v="6"/>
    <n v="43993.85"/>
    <n v="51377.53"/>
    <n v="93.19"/>
    <n v="827.64"/>
    <x v="4414"/>
    <x v="1"/>
  </r>
  <r>
    <x v="13"/>
    <x v="0"/>
    <x v="1"/>
    <n v="20260.04"/>
    <n v="18393.599999999999"/>
    <n v="116.36"/>
    <n v="1054"/>
    <x v="4415"/>
    <x v="0"/>
  </r>
  <r>
    <x v="18"/>
    <x v="3"/>
    <x v="6"/>
    <n v="36252.86"/>
    <n v="40806"/>
    <n v="124.33"/>
    <n v="948.36"/>
    <x v="4416"/>
    <x v="1"/>
  </r>
  <r>
    <x v="2"/>
    <x v="1"/>
    <x v="5"/>
    <n v="29993.64"/>
    <n v="26143.71"/>
    <n v="170.9"/>
    <n v="1395.33"/>
    <x v="4417"/>
    <x v="1"/>
  </r>
  <r>
    <x v="16"/>
    <x v="2"/>
    <x v="4"/>
    <n v="35565.43"/>
    <n v="32461.74"/>
    <n v="165.87"/>
    <n v="286.81"/>
    <x v="4418"/>
    <x v="1"/>
  </r>
  <r>
    <x v="1"/>
    <x v="5"/>
    <x v="0"/>
    <n v="22829.41"/>
    <n v="24110.26"/>
    <n v="40.64"/>
    <n v="900.54"/>
    <x v="4419"/>
    <x v="0"/>
  </r>
  <r>
    <x v="11"/>
    <x v="3"/>
    <x v="4"/>
    <n v="42109.96"/>
    <n v="38051.03"/>
    <n v="121.87"/>
    <n v="153.07"/>
    <x v="4420"/>
    <x v="1"/>
  </r>
  <r>
    <x v="7"/>
    <x v="0"/>
    <x v="5"/>
    <n v="22940.7"/>
    <n v="26488.41"/>
    <n v="25.23"/>
    <n v="74.819999999999993"/>
    <x v="4421"/>
    <x v="0"/>
  </r>
  <r>
    <x v="7"/>
    <x v="5"/>
    <x v="7"/>
    <n v="47715.07"/>
    <n v="47347.02"/>
    <n v="29.42"/>
    <n v="689.62"/>
    <x v="4422"/>
    <x v="0"/>
  </r>
  <r>
    <x v="2"/>
    <x v="4"/>
    <x v="3"/>
    <n v="11103.8"/>
    <n v="10173.77"/>
    <n v="70.209999999999994"/>
    <n v="490.84"/>
    <x v="4423"/>
    <x v="0"/>
  </r>
  <r>
    <x v="9"/>
    <x v="4"/>
    <x v="2"/>
    <n v="1114.54"/>
    <n v="1314.03"/>
    <n v="109.34"/>
    <n v="68.91"/>
    <x v="4424"/>
    <x v="0"/>
  </r>
  <r>
    <x v="17"/>
    <x v="5"/>
    <x v="2"/>
    <n v="5460.86"/>
    <n v="5639.52"/>
    <n v="53.64"/>
    <n v="187.44"/>
    <x v="4425"/>
    <x v="0"/>
  </r>
  <r>
    <x v="11"/>
    <x v="4"/>
    <x v="7"/>
    <n v="35406.82"/>
    <n v="38643.839999999997"/>
    <n v="104.87"/>
    <n v="154.72999999999999"/>
    <x v="4426"/>
    <x v="0"/>
  </r>
  <r>
    <x v="10"/>
    <x v="3"/>
    <x v="2"/>
    <n v="36311.050000000003"/>
    <n v="37535.07"/>
    <n v="153.46"/>
    <n v="255.12"/>
    <x v="4427"/>
    <x v="1"/>
  </r>
  <r>
    <x v="3"/>
    <x v="4"/>
    <x v="3"/>
    <n v="47669.1"/>
    <n v="41733.57"/>
    <n v="64.36"/>
    <n v="477.47"/>
    <x v="4428"/>
    <x v="0"/>
  </r>
  <r>
    <x v="5"/>
    <x v="4"/>
    <x v="7"/>
    <n v="10004.35"/>
    <n v="11998.56"/>
    <n v="118.36"/>
    <n v="1362.29"/>
    <x v="4429"/>
    <x v="0"/>
  </r>
  <r>
    <x v="5"/>
    <x v="0"/>
    <x v="4"/>
    <n v="10809.83"/>
    <n v="9014.74"/>
    <n v="34.659999999999997"/>
    <n v="121.14"/>
    <x v="4430"/>
    <x v="0"/>
  </r>
  <r>
    <x v="18"/>
    <x v="0"/>
    <x v="6"/>
    <n v="4275.46"/>
    <n v="4274.4799999999996"/>
    <n v="137.01"/>
    <n v="96.67"/>
    <x v="4431"/>
    <x v="0"/>
  </r>
  <r>
    <x v="4"/>
    <x v="1"/>
    <x v="2"/>
    <n v="1993.1"/>
    <n v="1653.46"/>
    <n v="149.71"/>
    <n v="1042.48"/>
    <x v="4432"/>
    <x v="1"/>
  </r>
  <r>
    <x v="12"/>
    <x v="2"/>
    <x v="6"/>
    <n v="37300.19"/>
    <n v="34241.74"/>
    <n v="117.96"/>
    <n v="1162.68"/>
    <x v="4433"/>
    <x v="1"/>
  </r>
  <r>
    <x v="3"/>
    <x v="1"/>
    <x v="1"/>
    <n v="5117.99"/>
    <n v="4340.83"/>
    <n v="148.16999999999999"/>
    <n v="860.14"/>
    <x v="4434"/>
    <x v="1"/>
  </r>
  <r>
    <x v="7"/>
    <x v="0"/>
    <x v="2"/>
    <n v="12616.07"/>
    <n v="13450.5"/>
    <n v="123.63"/>
    <n v="410.18"/>
    <x v="4435"/>
    <x v="0"/>
  </r>
  <r>
    <x v="9"/>
    <x v="1"/>
    <x v="6"/>
    <n v="22874.2"/>
    <n v="19013.91"/>
    <n v="128.93"/>
    <n v="952.95"/>
    <x v="4436"/>
    <x v="1"/>
  </r>
  <r>
    <x v="9"/>
    <x v="3"/>
    <x v="6"/>
    <n v="34920.22"/>
    <n v="41297.31"/>
    <n v="119.51"/>
    <n v="166.78"/>
    <x v="4437"/>
    <x v="1"/>
  </r>
  <r>
    <x v="3"/>
    <x v="4"/>
    <x v="3"/>
    <n v="6088.35"/>
    <n v="6794.92"/>
    <n v="101.67"/>
    <n v="1149.02"/>
    <x v="4438"/>
    <x v="0"/>
  </r>
  <r>
    <x v="0"/>
    <x v="2"/>
    <x v="2"/>
    <n v="20112.72"/>
    <n v="23111.23"/>
    <n v="182.53"/>
    <n v="397.74"/>
    <x v="4439"/>
    <x v="1"/>
  </r>
  <r>
    <x v="11"/>
    <x v="3"/>
    <x v="3"/>
    <n v="7001.67"/>
    <n v="6253.55"/>
    <n v="115.35"/>
    <n v="506.46"/>
    <x v="4440"/>
    <x v="1"/>
  </r>
  <r>
    <x v="5"/>
    <x v="1"/>
    <x v="3"/>
    <n v="25815.31"/>
    <n v="29076.17"/>
    <n v="192.98"/>
    <n v="173.91"/>
    <x v="4441"/>
    <x v="1"/>
  </r>
  <r>
    <x v="15"/>
    <x v="3"/>
    <x v="1"/>
    <n v="9741.44"/>
    <n v="10923.48"/>
    <n v="120.83"/>
    <n v="1136.78"/>
    <x v="4442"/>
    <x v="1"/>
  </r>
  <r>
    <x v="13"/>
    <x v="5"/>
    <x v="6"/>
    <n v="41721.49"/>
    <n v="41115.120000000003"/>
    <n v="24.6"/>
    <n v="567.16"/>
    <x v="4443"/>
    <x v="0"/>
  </r>
  <r>
    <x v="7"/>
    <x v="5"/>
    <x v="3"/>
    <n v="49192.28"/>
    <n v="59029.87"/>
    <n v="28.54"/>
    <n v="1290.93"/>
    <x v="4444"/>
    <x v="0"/>
  </r>
  <r>
    <x v="1"/>
    <x v="5"/>
    <x v="2"/>
    <n v="46625.67"/>
    <n v="48880.59"/>
    <n v="121.33"/>
    <n v="914.66"/>
    <x v="4445"/>
    <x v="0"/>
  </r>
  <r>
    <x v="4"/>
    <x v="6"/>
    <x v="1"/>
    <n v="8909.19"/>
    <n v="8804.1299999999992"/>
    <n v="159.94"/>
    <n v="1036.76"/>
    <x v="4446"/>
    <x v="0"/>
  </r>
  <r>
    <x v="8"/>
    <x v="4"/>
    <x v="4"/>
    <n v="16809.82"/>
    <n v="18628.91"/>
    <n v="20.83"/>
    <n v="1337.61"/>
    <x v="4447"/>
    <x v="0"/>
  </r>
  <r>
    <x v="3"/>
    <x v="2"/>
    <x v="2"/>
    <n v="40463.949999999997"/>
    <n v="38574.46"/>
    <n v="197.39"/>
    <n v="725.6"/>
    <x v="4448"/>
    <x v="1"/>
  </r>
  <r>
    <x v="4"/>
    <x v="6"/>
    <x v="4"/>
    <n v="11109.1"/>
    <n v="12458.95"/>
    <n v="71.05"/>
    <n v="1050.53"/>
    <x v="4449"/>
    <x v="0"/>
  </r>
  <r>
    <x v="19"/>
    <x v="0"/>
    <x v="7"/>
    <n v="3050.44"/>
    <n v="3309.9"/>
    <n v="27.19"/>
    <n v="749.25"/>
    <x v="4450"/>
    <x v="0"/>
  </r>
  <r>
    <x v="3"/>
    <x v="0"/>
    <x v="2"/>
    <n v="40180.370000000003"/>
    <n v="36904.959999999999"/>
    <n v="144.18"/>
    <n v="1353.6"/>
    <x v="4451"/>
    <x v="0"/>
  </r>
  <r>
    <x v="5"/>
    <x v="5"/>
    <x v="6"/>
    <n v="39804.76"/>
    <n v="38327.61"/>
    <n v="122.11"/>
    <n v="730.23"/>
    <x v="4452"/>
    <x v="0"/>
  </r>
  <r>
    <x v="6"/>
    <x v="4"/>
    <x v="1"/>
    <n v="12236.96"/>
    <n v="11797.57"/>
    <n v="169.76"/>
    <n v="257.61"/>
    <x v="4453"/>
    <x v="0"/>
  </r>
  <r>
    <x v="11"/>
    <x v="2"/>
    <x v="2"/>
    <n v="39089.47"/>
    <n v="43319.68"/>
    <n v="146"/>
    <n v="1208.04"/>
    <x v="4454"/>
    <x v="1"/>
  </r>
  <r>
    <x v="10"/>
    <x v="0"/>
    <x v="5"/>
    <n v="6050.53"/>
    <n v="5040.95"/>
    <n v="124.6"/>
    <n v="1083.6199999999999"/>
    <x v="4455"/>
    <x v="0"/>
  </r>
  <r>
    <x v="7"/>
    <x v="2"/>
    <x v="3"/>
    <n v="16404.78"/>
    <n v="16488.93"/>
    <n v="144.96"/>
    <n v="1258.6500000000001"/>
    <x v="4456"/>
    <x v="1"/>
  </r>
  <r>
    <x v="0"/>
    <x v="4"/>
    <x v="7"/>
    <n v="1098.79"/>
    <n v="1258.1300000000001"/>
    <n v="113.71"/>
    <n v="51.71"/>
    <x v="4457"/>
    <x v="0"/>
  </r>
  <r>
    <x v="11"/>
    <x v="0"/>
    <x v="2"/>
    <n v="13413.85"/>
    <n v="16060.04"/>
    <n v="153.19"/>
    <n v="1365.68"/>
    <x v="4458"/>
    <x v="0"/>
  </r>
  <r>
    <x v="6"/>
    <x v="2"/>
    <x v="3"/>
    <n v="18477.47"/>
    <n v="16169.26"/>
    <n v="189.68"/>
    <n v="116.27"/>
    <x v="4459"/>
    <x v="1"/>
  </r>
  <r>
    <x v="15"/>
    <x v="3"/>
    <x v="1"/>
    <n v="23781.08"/>
    <n v="20518.47"/>
    <n v="95.72"/>
    <n v="220.58"/>
    <x v="4460"/>
    <x v="1"/>
  </r>
  <r>
    <x v="11"/>
    <x v="5"/>
    <x v="5"/>
    <n v="24407.25"/>
    <n v="23085.93"/>
    <n v="27.03"/>
    <n v="965.22"/>
    <x v="4461"/>
    <x v="0"/>
  </r>
  <r>
    <x v="13"/>
    <x v="4"/>
    <x v="4"/>
    <n v="10143.42"/>
    <n v="8282.51"/>
    <n v="122.22"/>
    <n v="835.71"/>
    <x v="4462"/>
    <x v="0"/>
  </r>
  <r>
    <x v="12"/>
    <x v="2"/>
    <x v="1"/>
    <n v="42517.89"/>
    <n v="45806.9"/>
    <n v="40.380000000000003"/>
    <n v="1119.79"/>
    <x v="4463"/>
    <x v="1"/>
  </r>
  <r>
    <x v="12"/>
    <x v="5"/>
    <x v="5"/>
    <n v="24957.79"/>
    <n v="23552.71"/>
    <n v="44.93"/>
    <n v="734.5"/>
    <x v="4464"/>
    <x v="0"/>
  </r>
  <r>
    <x v="6"/>
    <x v="1"/>
    <x v="0"/>
    <n v="37787.32"/>
    <n v="41231.550000000003"/>
    <n v="83.06"/>
    <n v="222.81"/>
    <x v="4465"/>
    <x v="1"/>
  </r>
  <r>
    <x v="2"/>
    <x v="4"/>
    <x v="3"/>
    <n v="15418.31"/>
    <n v="14446.9"/>
    <n v="85.5"/>
    <n v="17.79"/>
    <x v="4466"/>
    <x v="0"/>
  </r>
  <r>
    <x v="16"/>
    <x v="2"/>
    <x v="2"/>
    <n v="23820.09"/>
    <n v="22406.26"/>
    <n v="123.31"/>
    <n v="1363.28"/>
    <x v="4467"/>
    <x v="1"/>
  </r>
  <r>
    <x v="19"/>
    <x v="2"/>
    <x v="2"/>
    <n v="38824.25"/>
    <n v="31165.16"/>
    <n v="89.32"/>
    <n v="1155.79"/>
    <x v="4468"/>
    <x v="1"/>
  </r>
  <r>
    <x v="10"/>
    <x v="2"/>
    <x v="2"/>
    <n v="38384.300000000003"/>
    <n v="41110.120000000003"/>
    <n v="155.28"/>
    <n v="301.83"/>
    <x v="4469"/>
    <x v="1"/>
  </r>
  <r>
    <x v="10"/>
    <x v="6"/>
    <x v="4"/>
    <n v="44864.56"/>
    <n v="46271.11"/>
    <n v="46.66"/>
    <n v="762.99"/>
    <x v="4470"/>
    <x v="0"/>
  </r>
  <r>
    <x v="12"/>
    <x v="2"/>
    <x v="0"/>
    <n v="26493.15"/>
    <n v="24338.43"/>
    <n v="68.05"/>
    <n v="893.81"/>
    <x v="4471"/>
    <x v="1"/>
  </r>
  <r>
    <x v="13"/>
    <x v="2"/>
    <x v="5"/>
    <n v="22081.35"/>
    <n v="21954.34"/>
    <n v="64.900000000000006"/>
    <n v="417.68"/>
    <x v="4472"/>
    <x v="1"/>
  </r>
  <r>
    <x v="8"/>
    <x v="1"/>
    <x v="4"/>
    <n v="5754.96"/>
    <n v="5176.17"/>
    <n v="138.03"/>
    <n v="876.07"/>
    <x v="4473"/>
    <x v="1"/>
  </r>
  <r>
    <x v="11"/>
    <x v="3"/>
    <x v="2"/>
    <n v="48061.2"/>
    <n v="40348.26"/>
    <n v="102.55"/>
    <n v="148.08000000000001"/>
    <x v="4474"/>
    <x v="1"/>
  </r>
  <r>
    <x v="4"/>
    <x v="0"/>
    <x v="2"/>
    <n v="22082.54"/>
    <n v="26283.89"/>
    <n v="146.74"/>
    <n v="1093.49"/>
    <x v="4475"/>
    <x v="0"/>
  </r>
  <r>
    <x v="7"/>
    <x v="3"/>
    <x v="0"/>
    <n v="14884.47"/>
    <n v="16805.560000000001"/>
    <n v="33.18"/>
    <n v="427.48"/>
    <x v="4476"/>
    <x v="1"/>
  </r>
  <r>
    <x v="1"/>
    <x v="2"/>
    <x v="2"/>
    <n v="6932.17"/>
    <n v="5755.96"/>
    <n v="98.51"/>
    <n v="862.35"/>
    <x v="4477"/>
    <x v="1"/>
  </r>
  <r>
    <x v="13"/>
    <x v="4"/>
    <x v="6"/>
    <n v="41164.11"/>
    <n v="44860.98"/>
    <n v="118.7"/>
    <n v="1045.49"/>
    <x v="4478"/>
    <x v="0"/>
  </r>
  <r>
    <x v="15"/>
    <x v="1"/>
    <x v="6"/>
    <n v="13640.73"/>
    <n v="12172.06"/>
    <n v="193.59"/>
    <n v="879.77"/>
    <x v="4479"/>
    <x v="1"/>
  </r>
  <r>
    <x v="7"/>
    <x v="5"/>
    <x v="0"/>
    <n v="21081.25"/>
    <n v="21851.24"/>
    <n v="52.68"/>
    <n v="492.72"/>
    <x v="4480"/>
    <x v="0"/>
  </r>
  <r>
    <x v="9"/>
    <x v="1"/>
    <x v="6"/>
    <n v="43266.7"/>
    <n v="45722.33"/>
    <n v="56.36"/>
    <n v="1289.02"/>
    <x v="4481"/>
    <x v="1"/>
  </r>
  <r>
    <x v="10"/>
    <x v="6"/>
    <x v="3"/>
    <n v="44297.88"/>
    <n v="49936.7"/>
    <n v="57.61"/>
    <n v="828.54"/>
    <x v="4482"/>
    <x v="0"/>
  </r>
  <r>
    <x v="2"/>
    <x v="5"/>
    <x v="7"/>
    <n v="16844.8"/>
    <n v="14205.02"/>
    <n v="104.13"/>
    <n v="726.49"/>
    <x v="4483"/>
    <x v="0"/>
  </r>
  <r>
    <x v="0"/>
    <x v="1"/>
    <x v="5"/>
    <n v="23374.75"/>
    <n v="20755.29"/>
    <n v="88.6"/>
    <n v="1282.72"/>
    <x v="4484"/>
    <x v="1"/>
  </r>
  <r>
    <x v="2"/>
    <x v="3"/>
    <x v="4"/>
    <n v="15446.96"/>
    <n v="14357.89"/>
    <n v="184.54"/>
    <n v="807.79"/>
    <x v="4485"/>
    <x v="1"/>
  </r>
  <r>
    <x v="16"/>
    <x v="2"/>
    <x v="7"/>
    <n v="38768.71"/>
    <n v="42416.9"/>
    <n v="164.11"/>
    <n v="228.2"/>
    <x v="4486"/>
    <x v="1"/>
  </r>
  <r>
    <x v="6"/>
    <x v="2"/>
    <x v="3"/>
    <n v="8414.7999999999993"/>
    <n v="9984.14"/>
    <n v="158.88"/>
    <n v="25.39"/>
    <x v="4487"/>
    <x v="1"/>
  </r>
  <r>
    <x v="9"/>
    <x v="2"/>
    <x v="3"/>
    <n v="44969.56"/>
    <n v="48115.31"/>
    <n v="178.15"/>
    <n v="330.28"/>
    <x v="4488"/>
    <x v="1"/>
  </r>
  <r>
    <x v="9"/>
    <x v="0"/>
    <x v="4"/>
    <n v="42832.47"/>
    <n v="39205.910000000003"/>
    <n v="172.02"/>
    <n v="1292.03"/>
    <x v="4489"/>
    <x v="0"/>
  </r>
  <r>
    <x v="6"/>
    <x v="6"/>
    <x v="2"/>
    <n v="15700.61"/>
    <n v="18354.830000000002"/>
    <n v="145.93"/>
    <n v="1318.08"/>
    <x v="4490"/>
    <x v="0"/>
  </r>
  <r>
    <x v="19"/>
    <x v="4"/>
    <x v="7"/>
    <n v="19268.21"/>
    <n v="17241.57"/>
    <n v="47.39"/>
    <n v="755.37"/>
    <x v="4491"/>
    <x v="0"/>
  </r>
  <r>
    <x v="2"/>
    <x v="4"/>
    <x v="4"/>
    <n v="25412.81"/>
    <n v="24517.81"/>
    <n v="53.13"/>
    <n v="905.82"/>
    <x v="4492"/>
    <x v="0"/>
  </r>
  <r>
    <x v="0"/>
    <x v="2"/>
    <x v="6"/>
    <n v="24491.1"/>
    <n v="28821.19"/>
    <n v="153.93"/>
    <n v="320"/>
    <x v="4493"/>
    <x v="1"/>
  </r>
  <r>
    <x v="5"/>
    <x v="4"/>
    <x v="6"/>
    <n v="3072.05"/>
    <n v="3486.72"/>
    <n v="93.1"/>
    <n v="509.61"/>
    <x v="4494"/>
    <x v="0"/>
  </r>
  <r>
    <x v="3"/>
    <x v="0"/>
    <x v="3"/>
    <n v="18698.62"/>
    <n v="20495.740000000002"/>
    <n v="199.8"/>
    <n v="245.4"/>
    <x v="4495"/>
    <x v="0"/>
  </r>
  <r>
    <x v="17"/>
    <x v="6"/>
    <x v="4"/>
    <n v="33887.03"/>
    <n v="32310.06"/>
    <n v="104.43"/>
    <n v="426.96"/>
    <x v="4496"/>
    <x v="0"/>
  </r>
  <r>
    <x v="14"/>
    <x v="3"/>
    <x v="3"/>
    <n v="12211.81"/>
    <n v="11994.85"/>
    <n v="66.66"/>
    <n v="1324.92"/>
    <x v="4497"/>
    <x v="1"/>
  </r>
  <r>
    <x v="12"/>
    <x v="1"/>
    <x v="6"/>
    <n v="38347.96"/>
    <n v="41285.160000000003"/>
    <n v="72.47"/>
    <n v="506.24"/>
    <x v="4498"/>
    <x v="1"/>
  </r>
  <r>
    <x v="14"/>
    <x v="4"/>
    <x v="6"/>
    <n v="21201.55"/>
    <n v="19115.21"/>
    <n v="52.05"/>
    <n v="542.78"/>
    <x v="4499"/>
    <x v="0"/>
  </r>
  <r>
    <x v="7"/>
    <x v="5"/>
    <x v="2"/>
    <n v="607.89"/>
    <n v="612.11"/>
    <n v="136.62"/>
    <n v="129.37"/>
    <x v="4500"/>
    <x v="0"/>
  </r>
  <r>
    <x v="18"/>
    <x v="6"/>
    <x v="2"/>
    <n v="35936.68"/>
    <n v="30314.9"/>
    <n v="140.07"/>
    <n v="78.16"/>
    <x v="4501"/>
    <x v="0"/>
  </r>
  <r>
    <x v="2"/>
    <x v="6"/>
    <x v="1"/>
    <n v="19452.21"/>
    <n v="23192.66"/>
    <n v="175.7"/>
    <n v="445.83"/>
    <x v="4502"/>
    <x v="0"/>
  </r>
  <r>
    <x v="12"/>
    <x v="2"/>
    <x v="2"/>
    <n v="37128.769999999997"/>
    <n v="31765.22"/>
    <n v="93.57"/>
    <n v="671.42"/>
    <x v="4503"/>
    <x v="1"/>
  </r>
  <r>
    <x v="13"/>
    <x v="0"/>
    <x v="0"/>
    <n v="45845.58"/>
    <n v="43305.89"/>
    <n v="53.95"/>
    <n v="1280.0899999999999"/>
    <x v="4504"/>
    <x v="0"/>
  </r>
  <r>
    <x v="14"/>
    <x v="2"/>
    <x v="4"/>
    <n v="8534.59"/>
    <n v="8703.64"/>
    <n v="43.65"/>
    <n v="487.73"/>
    <x v="4505"/>
    <x v="1"/>
  </r>
  <r>
    <x v="15"/>
    <x v="5"/>
    <x v="2"/>
    <n v="20087.93"/>
    <n v="23773.4"/>
    <n v="59.64"/>
    <n v="957.49"/>
    <x v="4506"/>
    <x v="0"/>
  </r>
  <r>
    <x v="10"/>
    <x v="4"/>
    <x v="5"/>
    <n v="15663.37"/>
    <n v="12969.3"/>
    <n v="45.44"/>
    <n v="1120.22"/>
    <x v="4507"/>
    <x v="0"/>
  </r>
  <r>
    <x v="4"/>
    <x v="0"/>
    <x v="6"/>
    <n v="21755.05"/>
    <n v="19070.82"/>
    <n v="145.69999999999999"/>
    <n v="1224.2"/>
    <x v="4508"/>
    <x v="0"/>
  </r>
  <r>
    <x v="9"/>
    <x v="3"/>
    <x v="0"/>
    <n v="17611.63"/>
    <n v="18603.78"/>
    <n v="142.77000000000001"/>
    <n v="154.37"/>
    <x v="4509"/>
    <x v="1"/>
  </r>
  <r>
    <x v="14"/>
    <x v="1"/>
    <x v="7"/>
    <n v="22620.3"/>
    <n v="21652.05"/>
    <n v="138.18"/>
    <n v="665.27"/>
    <x v="4510"/>
    <x v="1"/>
  </r>
  <r>
    <x v="12"/>
    <x v="2"/>
    <x v="0"/>
    <n v="16001.7"/>
    <n v="17823.32"/>
    <n v="107.75"/>
    <n v="755.37"/>
    <x v="4511"/>
    <x v="1"/>
  </r>
  <r>
    <x v="4"/>
    <x v="4"/>
    <x v="2"/>
    <n v="2912.85"/>
    <n v="2730"/>
    <n v="143.47"/>
    <n v="368.9"/>
    <x v="4512"/>
    <x v="0"/>
  </r>
  <r>
    <x v="14"/>
    <x v="5"/>
    <x v="0"/>
    <n v="24341.89"/>
    <n v="20010.29"/>
    <n v="79.66"/>
    <n v="1122.45"/>
    <x v="4513"/>
    <x v="0"/>
  </r>
  <r>
    <x v="6"/>
    <x v="1"/>
    <x v="3"/>
    <n v="21153.26"/>
    <n v="21898.79"/>
    <n v="144.72"/>
    <n v="1168.57"/>
    <x v="4514"/>
    <x v="1"/>
  </r>
  <r>
    <x v="19"/>
    <x v="5"/>
    <x v="0"/>
    <n v="16980.14"/>
    <n v="14139.82"/>
    <n v="156.05000000000001"/>
    <n v="1005.22"/>
    <x v="4515"/>
    <x v="0"/>
  </r>
  <r>
    <x v="8"/>
    <x v="5"/>
    <x v="4"/>
    <n v="39094.080000000002"/>
    <n v="37554.85"/>
    <n v="60.22"/>
    <n v="782.57"/>
    <x v="4516"/>
    <x v="0"/>
  </r>
  <r>
    <x v="13"/>
    <x v="1"/>
    <x v="6"/>
    <n v="10883.89"/>
    <n v="12004.85"/>
    <n v="77.59"/>
    <n v="687.98"/>
    <x v="4517"/>
    <x v="1"/>
  </r>
  <r>
    <x v="9"/>
    <x v="6"/>
    <x v="0"/>
    <n v="33202.629999999997"/>
    <n v="31071.35"/>
    <n v="177.83"/>
    <n v="446.38"/>
    <x v="4518"/>
    <x v="0"/>
  </r>
  <r>
    <x v="4"/>
    <x v="1"/>
    <x v="1"/>
    <n v="17404.36"/>
    <n v="16904.52"/>
    <n v="94.17"/>
    <n v="825.6"/>
    <x v="4519"/>
    <x v="1"/>
  </r>
  <r>
    <x v="8"/>
    <x v="4"/>
    <x v="5"/>
    <n v="33314.43"/>
    <n v="27333.06"/>
    <n v="145.56"/>
    <n v="1053.5899999999999"/>
    <x v="4520"/>
    <x v="0"/>
  </r>
  <r>
    <x v="12"/>
    <x v="6"/>
    <x v="5"/>
    <n v="21911.61"/>
    <n v="21742.45"/>
    <n v="31.31"/>
    <n v="637.73"/>
    <x v="4521"/>
    <x v="0"/>
  </r>
  <r>
    <x v="19"/>
    <x v="6"/>
    <x v="2"/>
    <n v="38769.449999999997"/>
    <n v="39650.620000000003"/>
    <n v="32.619999999999997"/>
    <n v="1091.58"/>
    <x v="4522"/>
    <x v="0"/>
  </r>
  <r>
    <x v="9"/>
    <x v="2"/>
    <x v="6"/>
    <n v="20356.45"/>
    <n v="21635.279999999999"/>
    <n v="32.200000000000003"/>
    <n v="928.58"/>
    <x v="4523"/>
    <x v="1"/>
  </r>
  <r>
    <x v="1"/>
    <x v="6"/>
    <x v="4"/>
    <n v="2485.8000000000002"/>
    <n v="2257.38"/>
    <n v="196.31"/>
    <n v="930.59"/>
    <x v="4524"/>
    <x v="0"/>
  </r>
  <r>
    <x v="19"/>
    <x v="0"/>
    <x v="2"/>
    <n v="17005.27"/>
    <n v="16808.36"/>
    <n v="79.33"/>
    <n v="665.99"/>
    <x v="4525"/>
    <x v="0"/>
  </r>
  <r>
    <x v="16"/>
    <x v="3"/>
    <x v="0"/>
    <n v="30718.53"/>
    <n v="30692.35"/>
    <n v="71.42"/>
    <n v="131.66999999999999"/>
    <x v="4526"/>
    <x v="1"/>
  </r>
  <r>
    <x v="16"/>
    <x v="5"/>
    <x v="3"/>
    <n v="14187.7"/>
    <n v="12177.46"/>
    <n v="182.9"/>
    <n v="571.63"/>
    <x v="4527"/>
    <x v="0"/>
  </r>
  <r>
    <x v="1"/>
    <x v="2"/>
    <x v="3"/>
    <n v="23321.82"/>
    <n v="26952.6"/>
    <n v="133.44"/>
    <n v="735.15"/>
    <x v="4528"/>
    <x v="1"/>
  </r>
  <r>
    <x v="17"/>
    <x v="1"/>
    <x v="0"/>
    <n v="20115.810000000001"/>
    <n v="21021.75"/>
    <n v="124.74"/>
    <n v="33.520000000000003"/>
    <x v="4529"/>
    <x v="1"/>
  </r>
  <r>
    <x v="7"/>
    <x v="6"/>
    <x v="3"/>
    <n v="32024.639999999999"/>
    <n v="30790.83"/>
    <n v="84.91"/>
    <n v="1389.61"/>
    <x v="4530"/>
    <x v="0"/>
  </r>
  <r>
    <x v="11"/>
    <x v="2"/>
    <x v="7"/>
    <n v="48787.45"/>
    <n v="57469.17"/>
    <n v="111.93"/>
    <n v="919.52"/>
    <x v="4531"/>
    <x v="1"/>
  </r>
  <r>
    <x v="11"/>
    <x v="6"/>
    <x v="7"/>
    <n v="36925.480000000003"/>
    <n v="31807.4"/>
    <n v="196.65"/>
    <n v="383.31"/>
    <x v="4532"/>
    <x v="0"/>
  </r>
  <r>
    <x v="18"/>
    <x v="6"/>
    <x v="6"/>
    <n v="43274.46"/>
    <n v="44367.94"/>
    <n v="107.63"/>
    <n v="339.88"/>
    <x v="4533"/>
    <x v="0"/>
  </r>
  <r>
    <x v="13"/>
    <x v="6"/>
    <x v="0"/>
    <n v="35824.19"/>
    <n v="39183.410000000003"/>
    <n v="169.7"/>
    <n v="1180.32"/>
    <x v="4534"/>
    <x v="0"/>
  </r>
  <r>
    <x v="14"/>
    <x v="3"/>
    <x v="3"/>
    <n v="42070.19"/>
    <n v="44375.44"/>
    <n v="103.24"/>
    <n v="1127.8599999999999"/>
    <x v="4535"/>
    <x v="1"/>
  </r>
  <r>
    <x v="18"/>
    <x v="5"/>
    <x v="1"/>
    <n v="1947.27"/>
    <n v="1969.97"/>
    <n v="176.55"/>
    <n v="637.49"/>
    <x v="4536"/>
    <x v="0"/>
  </r>
  <r>
    <x v="0"/>
    <x v="0"/>
    <x v="6"/>
    <n v="24548.23"/>
    <n v="22927.99"/>
    <n v="23.63"/>
    <n v="256.24"/>
    <x v="4537"/>
    <x v="0"/>
  </r>
  <r>
    <x v="4"/>
    <x v="5"/>
    <x v="7"/>
    <n v="19627.11"/>
    <n v="17656.79"/>
    <n v="146.52000000000001"/>
    <n v="126.74"/>
    <x v="4538"/>
    <x v="0"/>
  </r>
  <r>
    <x v="3"/>
    <x v="2"/>
    <x v="0"/>
    <n v="15155.89"/>
    <n v="17812.77"/>
    <n v="95.41"/>
    <n v="1243.55"/>
    <x v="4539"/>
    <x v="1"/>
  </r>
  <r>
    <x v="8"/>
    <x v="0"/>
    <x v="6"/>
    <n v="6031.18"/>
    <n v="5410.01"/>
    <n v="31.36"/>
    <n v="273.19"/>
    <x v="4540"/>
    <x v="0"/>
  </r>
  <r>
    <x v="16"/>
    <x v="0"/>
    <x v="3"/>
    <n v="37390.07"/>
    <n v="36986.97"/>
    <n v="53.46"/>
    <n v="928.69"/>
    <x v="4541"/>
    <x v="0"/>
  </r>
  <r>
    <x v="17"/>
    <x v="0"/>
    <x v="0"/>
    <n v="11625.88"/>
    <n v="11305.18"/>
    <n v="27.81"/>
    <n v="17.45"/>
    <x v="4542"/>
    <x v="0"/>
  </r>
  <r>
    <x v="9"/>
    <x v="1"/>
    <x v="2"/>
    <n v="31844.6"/>
    <n v="28277.58"/>
    <n v="168.62"/>
    <n v="779.34"/>
    <x v="4543"/>
    <x v="1"/>
  </r>
  <r>
    <x v="9"/>
    <x v="1"/>
    <x v="1"/>
    <n v="29791.77"/>
    <n v="34363.629999999997"/>
    <n v="170.28"/>
    <n v="639.17999999999995"/>
    <x v="4544"/>
    <x v="1"/>
  </r>
  <r>
    <x v="18"/>
    <x v="1"/>
    <x v="3"/>
    <n v="2849.62"/>
    <n v="2986.54"/>
    <n v="20.21"/>
    <n v="177.3"/>
    <x v="4545"/>
    <x v="1"/>
  </r>
  <r>
    <x v="9"/>
    <x v="2"/>
    <x v="4"/>
    <n v="16834.41"/>
    <n v="19328.03"/>
    <n v="50.06"/>
    <n v="1187.4000000000001"/>
    <x v="4546"/>
    <x v="1"/>
  </r>
  <r>
    <x v="13"/>
    <x v="2"/>
    <x v="1"/>
    <n v="23852.66"/>
    <n v="27457.11"/>
    <n v="41.4"/>
    <n v="170.52"/>
    <x v="4547"/>
    <x v="1"/>
  </r>
  <r>
    <x v="9"/>
    <x v="4"/>
    <x v="3"/>
    <n v="41121.800000000003"/>
    <n v="37089.42"/>
    <n v="134.05000000000001"/>
    <n v="494.02"/>
    <x v="4548"/>
    <x v="0"/>
  </r>
  <r>
    <x v="5"/>
    <x v="5"/>
    <x v="5"/>
    <n v="15544.31"/>
    <n v="14550.89"/>
    <n v="104.67"/>
    <n v="378.06"/>
    <x v="4549"/>
    <x v="0"/>
  </r>
  <r>
    <x v="8"/>
    <x v="0"/>
    <x v="0"/>
    <n v="47699.32"/>
    <n v="50363.8"/>
    <n v="198.64"/>
    <n v="300.52"/>
    <x v="4550"/>
    <x v="0"/>
  </r>
  <r>
    <x v="4"/>
    <x v="6"/>
    <x v="0"/>
    <n v="1204.73"/>
    <n v="1259.67"/>
    <n v="135.47"/>
    <n v="495.6"/>
    <x v="4551"/>
    <x v="0"/>
  </r>
  <r>
    <x v="5"/>
    <x v="6"/>
    <x v="1"/>
    <n v="8043.25"/>
    <n v="9336.34"/>
    <n v="41.03"/>
    <n v="1208.6199999999999"/>
    <x v="4552"/>
    <x v="0"/>
  </r>
  <r>
    <x v="17"/>
    <x v="1"/>
    <x v="6"/>
    <n v="1035.72"/>
    <n v="984.88"/>
    <n v="37.01"/>
    <n v="1166.98"/>
    <x v="4553"/>
    <x v="1"/>
  </r>
  <r>
    <x v="15"/>
    <x v="5"/>
    <x v="5"/>
    <n v="9253.3799999999992"/>
    <n v="8607.67"/>
    <n v="48.57"/>
    <n v="569.01"/>
    <x v="4554"/>
    <x v="0"/>
  </r>
  <r>
    <x v="7"/>
    <x v="3"/>
    <x v="4"/>
    <n v="33622.660000000003"/>
    <n v="37639.57"/>
    <n v="150.86000000000001"/>
    <n v="76.83"/>
    <x v="4555"/>
    <x v="1"/>
  </r>
  <r>
    <x v="0"/>
    <x v="1"/>
    <x v="1"/>
    <n v="31651.360000000001"/>
    <n v="26405.59"/>
    <n v="67.599999999999994"/>
    <n v="884.79"/>
    <x v="4556"/>
    <x v="1"/>
  </r>
  <r>
    <x v="11"/>
    <x v="6"/>
    <x v="6"/>
    <n v="17989.060000000001"/>
    <n v="20475.61"/>
    <n v="195.8"/>
    <n v="400.75"/>
    <x v="4557"/>
    <x v="0"/>
  </r>
  <r>
    <x v="2"/>
    <x v="4"/>
    <x v="4"/>
    <n v="18095.43"/>
    <n v="21226.57"/>
    <n v="166.18"/>
    <n v="1100.6099999999999"/>
    <x v="4558"/>
    <x v="0"/>
  </r>
  <r>
    <x v="4"/>
    <x v="1"/>
    <x v="7"/>
    <n v="22099.49"/>
    <n v="18873.66"/>
    <n v="175.5"/>
    <n v="1277.99"/>
    <x v="4559"/>
    <x v="1"/>
  </r>
  <r>
    <x v="0"/>
    <x v="3"/>
    <x v="7"/>
    <n v="48239.94"/>
    <n v="50223.97"/>
    <n v="158.19999999999999"/>
    <n v="1032.5999999999999"/>
    <x v="4560"/>
    <x v="1"/>
  </r>
  <r>
    <x v="0"/>
    <x v="0"/>
    <x v="6"/>
    <n v="49902.879999999997"/>
    <n v="53795.1"/>
    <n v="114.38"/>
    <n v="1286.43"/>
    <x v="4561"/>
    <x v="0"/>
  </r>
  <r>
    <x v="17"/>
    <x v="5"/>
    <x v="1"/>
    <n v="13833.6"/>
    <n v="14947.19"/>
    <n v="193.72"/>
    <n v="762.08"/>
    <x v="4562"/>
    <x v="0"/>
  </r>
  <r>
    <x v="12"/>
    <x v="6"/>
    <x v="1"/>
    <n v="28246.37"/>
    <n v="27153.02"/>
    <n v="93.73"/>
    <n v="1265.1600000000001"/>
    <x v="4563"/>
    <x v="0"/>
  </r>
  <r>
    <x v="0"/>
    <x v="2"/>
    <x v="0"/>
    <n v="24162.400000000001"/>
    <n v="19831.43"/>
    <n v="177.6"/>
    <n v="1092.6300000000001"/>
    <x v="4564"/>
    <x v="1"/>
  </r>
  <r>
    <x v="18"/>
    <x v="6"/>
    <x v="6"/>
    <n v="40155.35"/>
    <n v="47142.53"/>
    <n v="156.69999999999999"/>
    <n v="78.319999999999993"/>
    <x v="4565"/>
    <x v="0"/>
  </r>
  <r>
    <x v="6"/>
    <x v="4"/>
    <x v="6"/>
    <n v="26004.03"/>
    <n v="25273.67"/>
    <n v="67.069999999999993"/>
    <n v="166.31"/>
    <x v="4566"/>
    <x v="0"/>
  </r>
  <r>
    <x v="18"/>
    <x v="3"/>
    <x v="6"/>
    <n v="9049.1200000000008"/>
    <n v="7668.69"/>
    <n v="52.21"/>
    <n v="1111.26"/>
    <x v="4567"/>
    <x v="1"/>
  </r>
  <r>
    <x v="11"/>
    <x v="3"/>
    <x v="7"/>
    <n v="10519.94"/>
    <n v="11336.34"/>
    <n v="134.36000000000001"/>
    <n v="1201.6300000000001"/>
    <x v="4568"/>
    <x v="1"/>
  </r>
  <r>
    <x v="4"/>
    <x v="6"/>
    <x v="2"/>
    <n v="46663.86"/>
    <n v="45252.87"/>
    <n v="151.36000000000001"/>
    <n v="1020.74"/>
    <x v="4569"/>
    <x v="0"/>
  </r>
  <r>
    <x v="16"/>
    <x v="5"/>
    <x v="6"/>
    <n v="16288.16"/>
    <n v="18370.07"/>
    <n v="186.26"/>
    <n v="1369.24"/>
    <x v="4570"/>
    <x v="0"/>
  </r>
  <r>
    <x v="16"/>
    <x v="6"/>
    <x v="2"/>
    <n v="47786.37"/>
    <n v="40743.03"/>
    <n v="72.819999999999993"/>
    <n v="510.3"/>
    <x v="4571"/>
    <x v="0"/>
  </r>
  <r>
    <x v="5"/>
    <x v="3"/>
    <x v="1"/>
    <n v="34744.9"/>
    <n v="30622.04"/>
    <n v="98.46"/>
    <n v="546.29999999999995"/>
    <x v="4572"/>
    <x v="1"/>
  </r>
  <r>
    <x v="3"/>
    <x v="3"/>
    <x v="2"/>
    <n v="19279.87"/>
    <n v="20683.87"/>
    <n v="107.37"/>
    <n v="164.65"/>
    <x v="4573"/>
    <x v="1"/>
  </r>
  <r>
    <x v="5"/>
    <x v="5"/>
    <x v="3"/>
    <n v="31951.48"/>
    <n v="36597.78"/>
    <n v="79.03"/>
    <n v="1359.78"/>
    <x v="4574"/>
    <x v="0"/>
  </r>
  <r>
    <x v="5"/>
    <x v="1"/>
    <x v="0"/>
    <n v="32986.36"/>
    <n v="34639.82"/>
    <n v="60.94"/>
    <n v="873.46"/>
    <x v="4575"/>
    <x v="1"/>
  </r>
  <r>
    <x v="14"/>
    <x v="0"/>
    <x v="5"/>
    <n v="20510.13"/>
    <n v="17424.62"/>
    <n v="100.61"/>
    <n v="176.55"/>
    <x v="4576"/>
    <x v="0"/>
  </r>
  <r>
    <x v="0"/>
    <x v="1"/>
    <x v="0"/>
    <n v="40051.480000000003"/>
    <n v="39577.85"/>
    <n v="145.96"/>
    <n v="1369.91"/>
    <x v="4577"/>
    <x v="1"/>
  </r>
  <r>
    <x v="17"/>
    <x v="1"/>
    <x v="6"/>
    <n v="40755.53"/>
    <n v="45348.62"/>
    <n v="123.59"/>
    <n v="271.64999999999998"/>
    <x v="4578"/>
    <x v="1"/>
  </r>
  <r>
    <x v="8"/>
    <x v="5"/>
    <x v="0"/>
    <n v="4995.3599999999997"/>
    <n v="4604.68"/>
    <n v="58.01"/>
    <n v="1197.3"/>
    <x v="4579"/>
    <x v="0"/>
  </r>
  <r>
    <x v="15"/>
    <x v="3"/>
    <x v="7"/>
    <n v="39454.31"/>
    <n v="39951.72"/>
    <n v="104.91"/>
    <n v="1200.1500000000001"/>
    <x v="4580"/>
    <x v="1"/>
  </r>
  <r>
    <x v="11"/>
    <x v="4"/>
    <x v="1"/>
    <n v="38507.89"/>
    <n v="40945.620000000003"/>
    <n v="21.23"/>
    <n v="1350.85"/>
    <x v="4581"/>
    <x v="0"/>
  </r>
  <r>
    <x v="2"/>
    <x v="1"/>
    <x v="0"/>
    <n v="14359.43"/>
    <n v="15849.56"/>
    <n v="127.62"/>
    <n v="468.67"/>
    <x v="4582"/>
    <x v="1"/>
  </r>
  <r>
    <x v="19"/>
    <x v="0"/>
    <x v="7"/>
    <n v="13810.52"/>
    <n v="14005.96"/>
    <n v="93.6"/>
    <n v="651.87"/>
    <x v="4583"/>
    <x v="0"/>
  </r>
  <r>
    <x v="18"/>
    <x v="4"/>
    <x v="5"/>
    <n v="7791.46"/>
    <n v="8600.1"/>
    <n v="39.49"/>
    <n v="206.86"/>
    <x v="4584"/>
    <x v="0"/>
  </r>
  <r>
    <x v="1"/>
    <x v="3"/>
    <x v="4"/>
    <n v="10487.16"/>
    <n v="10653.06"/>
    <n v="57.36"/>
    <n v="1054.81"/>
    <x v="4585"/>
    <x v="1"/>
  </r>
  <r>
    <x v="15"/>
    <x v="0"/>
    <x v="0"/>
    <n v="21160.880000000001"/>
    <n v="23556.19"/>
    <n v="101.92"/>
    <n v="575.84"/>
    <x v="4586"/>
    <x v="0"/>
  </r>
  <r>
    <x v="11"/>
    <x v="0"/>
    <x v="3"/>
    <n v="20939.650000000001"/>
    <n v="22387.48"/>
    <n v="157.21"/>
    <n v="555.88"/>
    <x v="4587"/>
    <x v="0"/>
  </r>
  <r>
    <x v="9"/>
    <x v="3"/>
    <x v="6"/>
    <n v="5223.1400000000003"/>
    <n v="5743.53"/>
    <n v="48.44"/>
    <n v="1135.58"/>
    <x v="4588"/>
    <x v="1"/>
  </r>
  <r>
    <x v="18"/>
    <x v="0"/>
    <x v="0"/>
    <n v="35504.92"/>
    <n v="31774.81"/>
    <n v="146.69"/>
    <n v="200.15"/>
    <x v="4589"/>
    <x v="0"/>
  </r>
  <r>
    <x v="19"/>
    <x v="6"/>
    <x v="0"/>
    <n v="23158.51"/>
    <n v="22429.61"/>
    <n v="91.93"/>
    <n v="1278.8800000000001"/>
    <x v="4590"/>
    <x v="0"/>
  </r>
  <r>
    <x v="0"/>
    <x v="2"/>
    <x v="7"/>
    <n v="42006.8"/>
    <n v="42368.02"/>
    <n v="33.380000000000003"/>
    <n v="636.91999999999996"/>
    <x v="4591"/>
    <x v="1"/>
  </r>
  <r>
    <x v="11"/>
    <x v="4"/>
    <x v="0"/>
    <n v="43258.42"/>
    <n v="37950.980000000003"/>
    <n v="56.35"/>
    <n v="1339.74"/>
    <x v="4592"/>
    <x v="0"/>
  </r>
  <r>
    <x v="2"/>
    <x v="4"/>
    <x v="5"/>
    <n v="35962.339999999997"/>
    <n v="34399.03"/>
    <n v="160.46"/>
    <n v="371.69"/>
    <x v="4593"/>
    <x v="0"/>
  </r>
  <r>
    <x v="16"/>
    <x v="5"/>
    <x v="7"/>
    <n v="30280.23"/>
    <n v="31631.33"/>
    <n v="43.98"/>
    <n v="1197.03"/>
    <x v="4594"/>
    <x v="0"/>
  </r>
  <r>
    <x v="0"/>
    <x v="0"/>
    <x v="7"/>
    <n v="45488.89"/>
    <n v="52569.21"/>
    <n v="126.53"/>
    <n v="1278.17"/>
    <x v="4595"/>
    <x v="0"/>
  </r>
  <r>
    <x v="17"/>
    <x v="6"/>
    <x v="4"/>
    <n v="672.51"/>
    <n v="741.07"/>
    <n v="142.08000000000001"/>
    <n v="94.3"/>
    <x v="4596"/>
    <x v="0"/>
  </r>
  <r>
    <x v="9"/>
    <x v="2"/>
    <x v="1"/>
    <n v="10355.42"/>
    <n v="9724.6299999999992"/>
    <n v="182.31"/>
    <n v="38.82"/>
    <x v="4597"/>
    <x v="1"/>
  </r>
  <r>
    <x v="2"/>
    <x v="5"/>
    <x v="0"/>
    <n v="16837.169999999998"/>
    <n v="14297.95"/>
    <n v="112.62"/>
    <n v="501.37"/>
    <x v="4598"/>
    <x v="0"/>
  </r>
  <r>
    <x v="3"/>
    <x v="6"/>
    <x v="1"/>
    <n v="46265.68"/>
    <n v="38294.97"/>
    <n v="148.31"/>
    <n v="1120.6600000000001"/>
    <x v="4599"/>
    <x v="0"/>
  </r>
  <r>
    <x v="9"/>
    <x v="0"/>
    <x v="6"/>
    <n v="29303.89"/>
    <n v="31878.38"/>
    <n v="29.79"/>
    <n v="1115.4000000000001"/>
    <x v="4600"/>
    <x v="0"/>
  </r>
  <r>
    <x v="7"/>
    <x v="4"/>
    <x v="0"/>
    <n v="18642.509999999998"/>
    <n v="16976.66"/>
    <n v="116.01"/>
    <n v="300.13"/>
    <x v="4601"/>
    <x v="0"/>
  </r>
  <r>
    <x v="6"/>
    <x v="3"/>
    <x v="1"/>
    <n v="20177.39"/>
    <n v="19881.84"/>
    <n v="64.67"/>
    <n v="191.53"/>
    <x v="4602"/>
    <x v="1"/>
  </r>
  <r>
    <x v="1"/>
    <x v="0"/>
    <x v="3"/>
    <n v="4497.26"/>
    <n v="4340.2"/>
    <n v="58.48"/>
    <n v="1173.18"/>
    <x v="4603"/>
    <x v="0"/>
  </r>
  <r>
    <x v="14"/>
    <x v="5"/>
    <x v="7"/>
    <n v="26319.97"/>
    <n v="25169.7"/>
    <n v="112.48"/>
    <n v="425.19"/>
    <x v="4604"/>
    <x v="0"/>
  </r>
  <r>
    <x v="13"/>
    <x v="0"/>
    <x v="2"/>
    <n v="6677.64"/>
    <n v="7070.94"/>
    <n v="69.98"/>
    <n v="932.08"/>
    <x v="4605"/>
    <x v="0"/>
  </r>
  <r>
    <x v="19"/>
    <x v="3"/>
    <x v="7"/>
    <n v="14744.2"/>
    <n v="12073.93"/>
    <n v="162.52000000000001"/>
    <n v="414.5"/>
    <x v="4606"/>
    <x v="1"/>
  </r>
  <r>
    <x v="7"/>
    <x v="5"/>
    <x v="2"/>
    <n v="3330.42"/>
    <n v="2790.97"/>
    <n v="147.03"/>
    <n v="33.53"/>
    <x v="4607"/>
    <x v="0"/>
  </r>
  <r>
    <x v="6"/>
    <x v="1"/>
    <x v="2"/>
    <n v="22836.46"/>
    <n v="20920.04"/>
    <n v="64.959999999999994"/>
    <n v="820.66"/>
    <x v="4608"/>
    <x v="1"/>
  </r>
  <r>
    <x v="12"/>
    <x v="0"/>
    <x v="7"/>
    <n v="23264.75"/>
    <n v="25238.78"/>
    <n v="96.73"/>
    <n v="1064.52"/>
    <x v="4609"/>
    <x v="0"/>
  </r>
  <r>
    <x v="17"/>
    <x v="4"/>
    <x v="3"/>
    <n v="37820.839999999997"/>
    <n v="31751.279999999999"/>
    <n v="188.69"/>
    <n v="546.20000000000005"/>
    <x v="4610"/>
    <x v="0"/>
  </r>
  <r>
    <x v="4"/>
    <x v="1"/>
    <x v="3"/>
    <n v="42201.42"/>
    <n v="49235.91"/>
    <n v="84.23"/>
    <n v="205.94"/>
    <x v="4611"/>
    <x v="1"/>
  </r>
  <r>
    <x v="6"/>
    <x v="3"/>
    <x v="0"/>
    <n v="22500.01"/>
    <n v="21129.02"/>
    <n v="52.15"/>
    <n v="737.52"/>
    <x v="4612"/>
    <x v="1"/>
  </r>
  <r>
    <x v="5"/>
    <x v="1"/>
    <x v="5"/>
    <n v="16867.830000000002"/>
    <n v="19455.59"/>
    <n v="124.35"/>
    <n v="214.15"/>
    <x v="4613"/>
    <x v="1"/>
  </r>
  <r>
    <x v="14"/>
    <x v="5"/>
    <x v="1"/>
    <n v="43058.71"/>
    <n v="51219.63"/>
    <n v="31.1"/>
    <n v="961.1"/>
    <x v="4614"/>
    <x v="0"/>
  </r>
  <r>
    <x v="5"/>
    <x v="3"/>
    <x v="4"/>
    <n v="28541.94"/>
    <n v="29937.14"/>
    <n v="38.07"/>
    <n v="311.81"/>
    <x v="4615"/>
    <x v="1"/>
  </r>
  <r>
    <x v="5"/>
    <x v="2"/>
    <x v="6"/>
    <n v="5307.21"/>
    <n v="4368.62"/>
    <n v="82.8"/>
    <n v="967.12"/>
    <x v="4616"/>
    <x v="1"/>
  </r>
  <r>
    <x v="10"/>
    <x v="4"/>
    <x v="0"/>
    <n v="9322.17"/>
    <n v="11179.24"/>
    <n v="153.62"/>
    <n v="900.87"/>
    <x v="4617"/>
    <x v="0"/>
  </r>
  <r>
    <x v="18"/>
    <x v="1"/>
    <x v="3"/>
    <n v="33284.79"/>
    <n v="28126.49"/>
    <n v="138.44999999999999"/>
    <n v="1113.8699999999999"/>
    <x v="4618"/>
    <x v="1"/>
  </r>
  <r>
    <x v="1"/>
    <x v="0"/>
    <x v="7"/>
    <n v="34680"/>
    <n v="28045.7"/>
    <n v="160.94"/>
    <n v="690.05"/>
    <x v="4619"/>
    <x v="0"/>
  </r>
  <r>
    <x v="16"/>
    <x v="0"/>
    <x v="7"/>
    <n v="42830.12"/>
    <n v="47766.01"/>
    <n v="162.33000000000001"/>
    <n v="207.39"/>
    <x v="4620"/>
    <x v="0"/>
  </r>
  <r>
    <x v="3"/>
    <x v="5"/>
    <x v="5"/>
    <n v="11217.16"/>
    <n v="9051.7199999999993"/>
    <n v="138.97"/>
    <n v="1101.3699999999999"/>
    <x v="4621"/>
    <x v="0"/>
  </r>
  <r>
    <x v="2"/>
    <x v="5"/>
    <x v="6"/>
    <n v="7220.82"/>
    <n v="7643.14"/>
    <n v="116.18"/>
    <n v="969.65"/>
    <x v="4622"/>
    <x v="0"/>
  </r>
  <r>
    <x v="1"/>
    <x v="1"/>
    <x v="2"/>
    <n v="35663.599999999999"/>
    <n v="38690.79"/>
    <n v="43.77"/>
    <n v="467.77"/>
    <x v="4623"/>
    <x v="1"/>
  </r>
  <r>
    <x v="3"/>
    <x v="5"/>
    <x v="6"/>
    <n v="27667.38"/>
    <n v="28962.89"/>
    <n v="125.26"/>
    <n v="821.78"/>
    <x v="4624"/>
    <x v="0"/>
  </r>
  <r>
    <x v="3"/>
    <x v="3"/>
    <x v="1"/>
    <n v="31850.76"/>
    <n v="37235.910000000003"/>
    <n v="166.61"/>
    <n v="397.67"/>
    <x v="4625"/>
    <x v="1"/>
  </r>
  <r>
    <x v="5"/>
    <x v="5"/>
    <x v="0"/>
    <n v="2082.38"/>
    <n v="1845.54"/>
    <n v="85.73"/>
    <n v="333.79"/>
    <x v="4626"/>
    <x v="0"/>
  </r>
  <r>
    <x v="3"/>
    <x v="1"/>
    <x v="5"/>
    <n v="49249.34"/>
    <n v="46203.040000000001"/>
    <n v="130.9"/>
    <n v="554.41999999999996"/>
    <x v="4627"/>
    <x v="1"/>
  </r>
  <r>
    <x v="0"/>
    <x v="6"/>
    <x v="5"/>
    <n v="47066.77"/>
    <n v="42938.46"/>
    <n v="64.069999999999993"/>
    <n v="702.55"/>
    <x v="4628"/>
    <x v="0"/>
  </r>
  <r>
    <x v="5"/>
    <x v="5"/>
    <x v="3"/>
    <n v="20312.93"/>
    <n v="18227.93"/>
    <n v="100.56"/>
    <n v="1357.45"/>
    <x v="4629"/>
    <x v="0"/>
  </r>
  <r>
    <x v="7"/>
    <x v="5"/>
    <x v="4"/>
    <n v="17942.490000000002"/>
    <n v="15560.93"/>
    <n v="131.93"/>
    <n v="827.52"/>
    <x v="4630"/>
    <x v="0"/>
  </r>
  <r>
    <x v="11"/>
    <x v="5"/>
    <x v="0"/>
    <n v="4876.6499999999996"/>
    <n v="4178.05"/>
    <n v="35.1"/>
    <n v="752.3"/>
    <x v="4631"/>
    <x v="0"/>
  </r>
  <r>
    <x v="17"/>
    <x v="1"/>
    <x v="5"/>
    <n v="37365.339999999997"/>
    <n v="43081.43"/>
    <n v="150.77000000000001"/>
    <n v="237.06"/>
    <x v="4632"/>
    <x v="1"/>
  </r>
  <r>
    <x v="0"/>
    <x v="2"/>
    <x v="7"/>
    <n v="4270.43"/>
    <n v="5040.7"/>
    <n v="69.09"/>
    <n v="637.62"/>
    <x v="4633"/>
    <x v="1"/>
  </r>
  <r>
    <x v="2"/>
    <x v="0"/>
    <x v="3"/>
    <n v="39853.72"/>
    <n v="45320.14"/>
    <n v="148.62"/>
    <n v="1192.75"/>
    <x v="4634"/>
    <x v="0"/>
  </r>
  <r>
    <x v="14"/>
    <x v="2"/>
    <x v="2"/>
    <n v="47563.03"/>
    <n v="44152.92"/>
    <n v="50.81"/>
    <n v="1104.1500000000001"/>
    <x v="4635"/>
    <x v="1"/>
  </r>
  <r>
    <x v="15"/>
    <x v="2"/>
    <x v="6"/>
    <n v="29183.93"/>
    <n v="24719.3"/>
    <n v="182.49"/>
    <n v="156.88999999999999"/>
    <x v="4636"/>
    <x v="1"/>
  </r>
  <r>
    <x v="19"/>
    <x v="2"/>
    <x v="4"/>
    <n v="25255.13"/>
    <n v="21478.560000000001"/>
    <n v="128.32"/>
    <n v="458.67"/>
    <x v="4637"/>
    <x v="1"/>
  </r>
  <r>
    <x v="2"/>
    <x v="4"/>
    <x v="6"/>
    <n v="35026.379999999997"/>
    <n v="39926.44"/>
    <n v="190.84"/>
    <n v="453.26"/>
    <x v="4638"/>
    <x v="0"/>
  </r>
  <r>
    <x v="2"/>
    <x v="2"/>
    <x v="0"/>
    <n v="4781.4399999999996"/>
    <n v="4913.99"/>
    <n v="174.3"/>
    <n v="677.87"/>
    <x v="4639"/>
    <x v="1"/>
  </r>
  <r>
    <x v="0"/>
    <x v="4"/>
    <x v="2"/>
    <n v="25698.19"/>
    <n v="29519.119999999999"/>
    <n v="129.72"/>
    <n v="1215.2"/>
    <x v="4640"/>
    <x v="0"/>
  </r>
  <r>
    <x v="18"/>
    <x v="1"/>
    <x v="1"/>
    <n v="4292.1899999999996"/>
    <n v="4940.03"/>
    <n v="198.75"/>
    <n v="1073.1600000000001"/>
    <x v="4641"/>
    <x v="1"/>
  </r>
  <r>
    <x v="2"/>
    <x v="6"/>
    <x v="3"/>
    <n v="31178.13"/>
    <n v="27150.05"/>
    <n v="120.51"/>
    <n v="1065.1099999999999"/>
    <x v="4642"/>
    <x v="0"/>
  </r>
  <r>
    <x v="11"/>
    <x v="3"/>
    <x v="2"/>
    <n v="48884.83"/>
    <n v="49493.39"/>
    <n v="53.16"/>
    <n v="750.5"/>
    <x v="4643"/>
    <x v="1"/>
  </r>
  <r>
    <x v="5"/>
    <x v="1"/>
    <x v="3"/>
    <n v="37990.58"/>
    <n v="41710.730000000003"/>
    <n v="38.29"/>
    <n v="627.03"/>
    <x v="4644"/>
    <x v="1"/>
  </r>
  <r>
    <x v="10"/>
    <x v="1"/>
    <x v="6"/>
    <n v="31665.64"/>
    <n v="31253.42"/>
    <n v="107.86"/>
    <n v="315.01"/>
    <x v="4645"/>
    <x v="1"/>
  </r>
  <r>
    <x v="18"/>
    <x v="5"/>
    <x v="4"/>
    <n v="40014.07"/>
    <n v="38998.71"/>
    <n v="163.93"/>
    <n v="1084.75"/>
    <x v="4646"/>
    <x v="0"/>
  </r>
  <r>
    <x v="16"/>
    <x v="0"/>
    <x v="4"/>
    <n v="49545.19"/>
    <n v="52033.37"/>
    <n v="28.52"/>
    <n v="288.89999999999998"/>
    <x v="4647"/>
    <x v="0"/>
  </r>
  <r>
    <x v="1"/>
    <x v="2"/>
    <x v="1"/>
    <n v="25607.05"/>
    <n v="26209.52"/>
    <n v="172.27"/>
    <n v="624.95000000000005"/>
    <x v="4648"/>
    <x v="1"/>
  </r>
  <r>
    <x v="2"/>
    <x v="1"/>
    <x v="5"/>
    <n v="24563.9"/>
    <n v="20249.73"/>
    <n v="178.92"/>
    <n v="566.23"/>
    <x v="4649"/>
    <x v="1"/>
  </r>
  <r>
    <x v="19"/>
    <x v="2"/>
    <x v="1"/>
    <n v="7295.93"/>
    <n v="6657.76"/>
    <n v="166.02"/>
    <n v="366.41"/>
    <x v="4650"/>
    <x v="1"/>
  </r>
  <r>
    <x v="13"/>
    <x v="1"/>
    <x v="0"/>
    <n v="29204.959999999999"/>
    <n v="24683.22"/>
    <n v="85.66"/>
    <n v="870.28"/>
    <x v="4651"/>
    <x v="1"/>
  </r>
  <r>
    <x v="12"/>
    <x v="4"/>
    <x v="4"/>
    <n v="22938.77"/>
    <n v="26410.18"/>
    <n v="70.569999999999993"/>
    <n v="66.290000000000006"/>
    <x v="4652"/>
    <x v="0"/>
  </r>
  <r>
    <x v="16"/>
    <x v="4"/>
    <x v="0"/>
    <n v="31680.84"/>
    <n v="33876.11"/>
    <n v="104.42"/>
    <n v="1016.87"/>
    <x v="4653"/>
    <x v="0"/>
  </r>
  <r>
    <x v="0"/>
    <x v="2"/>
    <x v="5"/>
    <n v="35501.370000000003"/>
    <n v="36953.269999999997"/>
    <n v="198.19"/>
    <n v="1305.18"/>
    <x v="4654"/>
    <x v="1"/>
  </r>
  <r>
    <x v="19"/>
    <x v="0"/>
    <x v="4"/>
    <n v="49471.83"/>
    <n v="56098.82"/>
    <n v="50.52"/>
    <n v="735.68"/>
    <x v="4655"/>
    <x v="0"/>
  </r>
  <r>
    <x v="9"/>
    <x v="1"/>
    <x v="1"/>
    <n v="32441.69"/>
    <n v="30647.040000000001"/>
    <n v="116.98"/>
    <n v="585.25"/>
    <x v="4656"/>
    <x v="1"/>
  </r>
  <r>
    <x v="2"/>
    <x v="1"/>
    <x v="1"/>
    <n v="31959.38"/>
    <n v="32497.74"/>
    <n v="168.9"/>
    <n v="213.83"/>
    <x v="4657"/>
    <x v="1"/>
  </r>
  <r>
    <x v="19"/>
    <x v="6"/>
    <x v="0"/>
    <n v="35838.42"/>
    <n v="31091.49"/>
    <n v="98.54"/>
    <n v="1226.47"/>
    <x v="4658"/>
    <x v="0"/>
  </r>
  <r>
    <x v="16"/>
    <x v="4"/>
    <x v="3"/>
    <n v="49068.87"/>
    <n v="47258.54"/>
    <n v="139.01"/>
    <n v="202.79"/>
    <x v="4659"/>
    <x v="0"/>
  </r>
  <r>
    <x v="2"/>
    <x v="3"/>
    <x v="0"/>
    <n v="29925.45"/>
    <n v="31118.14"/>
    <n v="95.47"/>
    <n v="1136.32"/>
    <x v="4660"/>
    <x v="1"/>
  </r>
  <r>
    <x v="12"/>
    <x v="1"/>
    <x v="2"/>
    <n v="12152.83"/>
    <n v="13781.51"/>
    <n v="59.92"/>
    <n v="1186.71"/>
    <x v="4661"/>
    <x v="1"/>
  </r>
  <r>
    <x v="8"/>
    <x v="6"/>
    <x v="0"/>
    <n v="47893.14"/>
    <n v="45240.33"/>
    <n v="166.14"/>
    <n v="314.39999999999998"/>
    <x v="4662"/>
    <x v="0"/>
  </r>
  <r>
    <x v="15"/>
    <x v="5"/>
    <x v="7"/>
    <n v="49782.61"/>
    <n v="57744.19"/>
    <n v="35.82"/>
    <n v="250.73"/>
    <x v="4663"/>
    <x v="0"/>
  </r>
  <r>
    <x v="1"/>
    <x v="6"/>
    <x v="1"/>
    <n v="47003.82"/>
    <n v="46531.42"/>
    <n v="93.44"/>
    <n v="1258.97"/>
    <x v="4664"/>
    <x v="0"/>
  </r>
  <r>
    <x v="16"/>
    <x v="1"/>
    <x v="0"/>
    <n v="4052.81"/>
    <n v="3583.44"/>
    <n v="96.86"/>
    <n v="1363.66"/>
    <x v="4665"/>
    <x v="1"/>
  </r>
  <r>
    <x v="18"/>
    <x v="5"/>
    <x v="4"/>
    <n v="12756.11"/>
    <n v="13401.74"/>
    <n v="161.63999999999999"/>
    <n v="156.88999999999999"/>
    <x v="4666"/>
    <x v="0"/>
  </r>
  <r>
    <x v="11"/>
    <x v="4"/>
    <x v="2"/>
    <n v="16279.53"/>
    <n v="19028.32"/>
    <n v="157.65"/>
    <n v="1294.76"/>
    <x v="4667"/>
    <x v="0"/>
  </r>
  <r>
    <x v="15"/>
    <x v="0"/>
    <x v="5"/>
    <n v="4964.13"/>
    <n v="5528.95"/>
    <n v="179.26"/>
    <n v="1137.75"/>
    <x v="4668"/>
    <x v="0"/>
  </r>
  <r>
    <x v="16"/>
    <x v="5"/>
    <x v="1"/>
    <n v="39301.42"/>
    <n v="40486.01"/>
    <n v="22.46"/>
    <n v="128.6"/>
    <x v="4669"/>
    <x v="0"/>
  </r>
  <r>
    <x v="9"/>
    <x v="5"/>
    <x v="5"/>
    <n v="4707.93"/>
    <n v="4508"/>
    <n v="98.62"/>
    <n v="1379.34"/>
    <x v="4670"/>
    <x v="0"/>
  </r>
  <r>
    <x v="15"/>
    <x v="4"/>
    <x v="7"/>
    <n v="47313.98"/>
    <n v="47579.64"/>
    <n v="37.28"/>
    <n v="625.79"/>
    <x v="4671"/>
    <x v="0"/>
  </r>
  <r>
    <x v="1"/>
    <x v="2"/>
    <x v="4"/>
    <n v="26834.02"/>
    <n v="28019.55"/>
    <n v="134.12"/>
    <n v="1106.6600000000001"/>
    <x v="4672"/>
    <x v="1"/>
  </r>
  <r>
    <x v="11"/>
    <x v="4"/>
    <x v="6"/>
    <n v="10344.1"/>
    <n v="9857.6"/>
    <n v="105.41"/>
    <n v="1305.05"/>
    <x v="4673"/>
    <x v="0"/>
  </r>
  <r>
    <x v="2"/>
    <x v="2"/>
    <x v="5"/>
    <n v="45074.35"/>
    <n v="54083.25"/>
    <n v="177.56"/>
    <n v="537.67999999999995"/>
    <x v="4674"/>
    <x v="1"/>
  </r>
  <r>
    <x v="2"/>
    <x v="1"/>
    <x v="0"/>
    <n v="29670.13"/>
    <n v="30742.73"/>
    <n v="172.11"/>
    <n v="161.94"/>
    <x v="4675"/>
    <x v="1"/>
  </r>
  <r>
    <x v="17"/>
    <x v="0"/>
    <x v="5"/>
    <n v="8062.96"/>
    <n v="6608.43"/>
    <n v="139.07"/>
    <n v="529.69000000000005"/>
    <x v="4676"/>
    <x v="0"/>
  </r>
  <r>
    <x v="16"/>
    <x v="3"/>
    <x v="1"/>
    <n v="9355.9699999999993"/>
    <n v="9822.33"/>
    <n v="86.16"/>
    <n v="1361.33"/>
    <x v="4677"/>
    <x v="1"/>
  </r>
  <r>
    <x v="11"/>
    <x v="4"/>
    <x v="0"/>
    <n v="10249.280000000001"/>
    <n v="8745.2099999999991"/>
    <n v="23.77"/>
    <n v="1384.22"/>
    <x v="4678"/>
    <x v="0"/>
  </r>
  <r>
    <x v="0"/>
    <x v="1"/>
    <x v="6"/>
    <n v="47030.67"/>
    <n v="42346.44"/>
    <n v="192.88"/>
    <n v="883.32"/>
    <x v="4679"/>
    <x v="1"/>
  </r>
  <r>
    <x v="1"/>
    <x v="5"/>
    <x v="2"/>
    <n v="3365.39"/>
    <n v="3278.78"/>
    <n v="87.34"/>
    <n v="198.07"/>
    <x v="4680"/>
    <x v="0"/>
  </r>
  <r>
    <x v="14"/>
    <x v="3"/>
    <x v="2"/>
    <n v="11269.07"/>
    <n v="13498.84"/>
    <n v="38.35"/>
    <n v="1230.6500000000001"/>
    <x v="4681"/>
    <x v="1"/>
  </r>
  <r>
    <x v="19"/>
    <x v="3"/>
    <x v="6"/>
    <n v="17898.72"/>
    <n v="14550.68"/>
    <n v="75.37"/>
    <n v="545.64"/>
    <x v="4682"/>
    <x v="1"/>
  </r>
  <r>
    <x v="1"/>
    <x v="5"/>
    <x v="1"/>
    <n v="39451.22"/>
    <n v="41268.51"/>
    <n v="115.7"/>
    <n v="700.56"/>
    <x v="4683"/>
    <x v="0"/>
  </r>
  <r>
    <x v="15"/>
    <x v="4"/>
    <x v="4"/>
    <n v="27169.14"/>
    <n v="22294.880000000001"/>
    <n v="83.93"/>
    <n v="534.94000000000005"/>
    <x v="4684"/>
    <x v="0"/>
  </r>
  <r>
    <x v="18"/>
    <x v="3"/>
    <x v="6"/>
    <n v="17975.330000000002"/>
    <n v="19843.900000000001"/>
    <n v="167.86"/>
    <n v="371.59"/>
    <x v="4685"/>
    <x v="1"/>
  </r>
  <r>
    <x v="0"/>
    <x v="5"/>
    <x v="4"/>
    <n v="4529.47"/>
    <n v="3756.14"/>
    <n v="66.14"/>
    <n v="829.14"/>
    <x v="4686"/>
    <x v="0"/>
  </r>
  <r>
    <x v="12"/>
    <x v="3"/>
    <x v="2"/>
    <n v="46977.59"/>
    <n v="38449.129999999997"/>
    <n v="122.48"/>
    <n v="270.52"/>
    <x v="4687"/>
    <x v="1"/>
  </r>
  <r>
    <x v="12"/>
    <x v="2"/>
    <x v="3"/>
    <n v="36629.83"/>
    <n v="41345.519999999997"/>
    <n v="170.98"/>
    <n v="1394.89"/>
    <x v="4688"/>
    <x v="1"/>
  </r>
  <r>
    <x v="13"/>
    <x v="2"/>
    <x v="1"/>
    <n v="44685.41"/>
    <n v="50697.78"/>
    <n v="31.08"/>
    <n v="666.22"/>
    <x v="4689"/>
    <x v="1"/>
  </r>
  <r>
    <x v="16"/>
    <x v="6"/>
    <x v="5"/>
    <n v="33797.33"/>
    <n v="36879.699999999997"/>
    <n v="128.13"/>
    <n v="1351.74"/>
    <x v="4690"/>
    <x v="0"/>
  </r>
  <r>
    <x v="6"/>
    <x v="5"/>
    <x v="5"/>
    <n v="33889.65"/>
    <n v="30737.74"/>
    <n v="31.08"/>
    <n v="1377.9"/>
    <x v="4691"/>
    <x v="0"/>
  </r>
  <r>
    <x v="8"/>
    <x v="0"/>
    <x v="5"/>
    <n v="32671.47"/>
    <n v="34088.46"/>
    <n v="50.48"/>
    <n v="715.63"/>
    <x v="4692"/>
    <x v="0"/>
  </r>
  <r>
    <x v="11"/>
    <x v="1"/>
    <x v="4"/>
    <n v="10015.200000000001"/>
    <n v="11946.25"/>
    <n v="23.9"/>
    <n v="1220.3900000000001"/>
    <x v="4693"/>
    <x v="1"/>
  </r>
  <r>
    <x v="4"/>
    <x v="4"/>
    <x v="0"/>
    <n v="4019.68"/>
    <n v="3411.2"/>
    <n v="133.12"/>
    <n v="402.95"/>
    <x v="4694"/>
    <x v="0"/>
  </r>
  <r>
    <x v="9"/>
    <x v="1"/>
    <x v="4"/>
    <n v="2912.45"/>
    <n v="3297.05"/>
    <n v="140.49"/>
    <n v="819.3"/>
    <x v="4695"/>
    <x v="1"/>
  </r>
  <r>
    <x v="7"/>
    <x v="1"/>
    <x v="0"/>
    <n v="47424.14"/>
    <n v="52059.72"/>
    <n v="120.63"/>
    <n v="813.98"/>
    <x v="4696"/>
    <x v="1"/>
  </r>
  <r>
    <x v="6"/>
    <x v="1"/>
    <x v="0"/>
    <n v="13833.1"/>
    <n v="15670.87"/>
    <n v="21.07"/>
    <n v="934.88"/>
    <x v="4697"/>
    <x v="1"/>
  </r>
  <r>
    <x v="6"/>
    <x v="6"/>
    <x v="0"/>
    <n v="32583.11"/>
    <n v="32441.26"/>
    <n v="24.79"/>
    <n v="222.22"/>
    <x v="4698"/>
    <x v="0"/>
  </r>
  <r>
    <x v="11"/>
    <x v="5"/>
    <x v="4"/>
    <n v="29592.06"/>
    <n v="29260.03"/>
    <n v="110.94"/>
    <n v="824.14"/>
    <x v="4699"/>
    <x v="0"/>
  </r>
  <r>
    <x v="11"/>
    <x v="3"/>
    <x v="2"/>
    <n v="40479.949999999997"/>
    <n v="45457.05"/>
    <n v="146.15"/>
    <n v="768"/>
    <x v="4700"/>
    <x v="1"/>
  </r>
  <r>
    <x v="10"/>
    <x v="2"/>
    <x v="6"/>
    <n v="19435.29"/>
    <n v="17713.11"/>
    <n v="188.88"/>
    <n v="86.56"/>
    <x v="4701"/>
    <x v="1"/>
  </r>
  <r>
    <x v="17"/>
    <x v="3"/>
    <x v="2"/>
    <n v="21718.22"/>
    <n v="25018.76"/>
    <n v="147.72"/>
    <n v="634.49"/>
    <x v="4702"/>
    <x v="1"/>
  </r>
  <r>
    <x v="19"/>
    <x v="3"/>
    <x v="7"/>
    <n v="33486.25"/>
    <n v="35017.71"/>
    <n v="97.42"/>
    <n v="200.3"/>
    <x v="4703"/>
    <x v="1"/>
  </r>
  <r>
    <x v="2"/>
    <x v="6"/>
    <x v="5"/>
    <n v="14355.23"/>
    <n v="13064.2"/>
    <n v="115.01"/>
    <n v="38.200000000000003"/>
    <x v="4704"/>
    <x v="0"/>
  </r>
  <r>
    <x v="14"/>
    <x v="1"/>
    <x v="3"/>
    <n v="4458.37"/>
    <n v="5320.8"/>
    <n v="107.31"/>
    <n v="887.89"/>
    <x v="4705"/>
    <x v="1"/>
  </r>
  <r>
    <x v="3"/>
    <x v="5"/>
    <x v="4"/>
    <n v="36769.1"/>
    <n v="31633.83"/>
    <n v="170.35"/>
    <n v="159.41"/>
    <x v="4706"/>
    <x v="0"/>
  </r>
  <r>
    <x v="8"/>
    <x v="0"/>
    <x v="2"/>
    <n v="6464.98"/>
    <n v="6420.22"/>
    <n v="185.61"/>
    <n v="77.48"/>
    <x v="4707"/>
    <x v="0"/>
  </r>
  <r>
    <x v="12"/>
    <x v="1"/>
    <x v="3"/>
    <n v="12988.33"/>
    <n v="14462.26"/>
    <n v="179.56"/>
    <n v="722.51"/>
    <x v="4708"/>
    <x v="1"/>
  </r>
  <r>
    <x v="13"/>
    <x v="3"/>
    <x v="6"/>
    <n v="49203.54"/>
    <n v="48789.55"/>
    <n v="157.65"/>
    <n v="770.05"/>
    <x v="4709"/>
    <x v="1"/>
  </r>
  <r>
    <x v="17"/>
    <x v="4"/>
    <x v="3"/>
    <n v="43998.58"/>
    <n v="48056.49"/>
    <n v="21.23"/>
    <n v="356.48"/>
    <x v="4710"/>
    <x v="0"/>
  </r>
  <r>
    <x v="6"/>
    <x v="1"/>
    <x v="2"/>
    <n v="33815.51"/>
    <n v="36419.480000000003"/>
    <n v="51.61"/>
    <n v="1276.8399999999999"/>
    <x v="4711"/>
    <x v="1"/>
  </r>
  <r>
    <x v="8"/>
    <x v="5"/>
    <x v="3"/>
    <n v="9704.27"/>
    <n v="10030.84"/>
    <n v="48.19"/>
    <n v="223.5"/>
    <x v="4712"/>
    <x v="0"/>
  </r>
  <r>
    <x v="3"/>
    <x v="6"/>
    <x v="4"/>
    <n v="49271.3"/>
    <n v="46555.07"/>
    <n v="105.22"/>
    <n v="944.57"/>
    <x v="4713"/>
    <x v="0"/>
  </r>
  <r>
    <x v="9"/>
    <x v="6"/>
    <x v="4"/>
    <n v="10437.43"/>
    <n v="8905.98"/>
    <n v="130.87"/>
    <n v="951.7"/>
    <x v="4714"/>
    <x v="0"/>
  </r>
  <r>
    <x v="6"/>
    <x v="5"/>
    <x v="1"/>
    <n v="34322.22"/>
    <n v="39582.089999999997"/>
    <n v="64.75"/>
    <n v="1254.55"/>
    <x v="4715"/>
    <x v="0"/>
  </r>
  <r>
    <x v="19"/>
    <x v="2"/>
    <x v="1"/>
    <n v="16263.94"/>
    <n v="13066.74"/>
    <n v="146.13999999999999"/>
    <n v="532.67999999999995"/>
    <x v="4716"/>
    <x v="1"/>
  </r>
  <r>
    <x v="14"/>
    <x v="5"/>
    <x v="3"/>
    <n v="33599.83"/>
    <n v="39763.83"/>
    <n v="169.44"/>
    <n v="815.8"/>
    <x v="4717"/>
    <x v="0"/>
  </r>
  <r>
    <x v="16"/>
    <x v="4"/>
    <x v="3"/>
    <n v="9308.2199999999993"/>
    <n v="7605.26"/>
    <n v="129.57"/>
    <n v="861.81"/>
    <x v="4718"/>
    <x v="0"/>
  </r>
  <r>
    <x v="15"/>
    <x v="6"/>
    <x v="2"/>
    <n v="47506.32"/>
    <n v="44077.62"/>
    <n v="174.74"/>
    <n v="1333.24"/>
    <x v="4719"/>
    <x v="0"/>
  </r>
  <r>
    <x v="3"/>
    <x v="0"/>
    <x v="3"/>
    <n v="15275.11"/>
    <n v="14852.28"/>
    <n v="47.19"/>
    <n v="332.57"/>
    <x v="4720"/>
    <x v="0"/>
  </r>
  <r>
    <x v="17"/>
    <x v="4"/>
    <x v="6"/>
    <n v="4339.55"/>
    <n v="3612.6"/>
    <n v="89.44"/>
    <n v="159.97"/>
    <x v="4721"/>
    <x v="0"/>
  </r>
  <r>
    <x v="1"/>
    <x v="4"/>
    <x v="3"/>
    <n v="46852.41"/>
    <n v="43412.14"/>
    <n v="175.62"/>
    <n v="1155.7"/>
    <x v="4722"/>
    <x v="0"/>
  </r>
  <r>
    <x v="14"/>
    <x v="6"/>
    <x v="2"/>
    <n v="6084.82"/>
    <n v="5954.67"/>
    <n v="130.44999999999999"/>
    <n v="756.39"/>
    <x v="4723"/>
    <x v="0"/>
  </r>
  <r>
    <x v="13"/>
    <x v="1"/>
    <x v="7"/>
    <n v="49863.6"/>
    <n v="48160.79"/>
    <n v="93.37"/>
    <n v="456.04"/>
    <x v="4724"/>
    <x v="1"/>
  </r>
  <r>
    <x v="1"/>
    <x v="5"/>
    <x v="3"/>
    <n v="16017.19"/>
    <n v="13035.14"/>
    <n v="148.56"/>
    <n v="212.57"/>
    <x v="4725"/>
    <x v="0"/>
  </r>
  <r>
    <x v="5"/>
    <x v="5"/>
    <x v="4"/>
    <n v="8211.7000000000007"/>
    <n v="8134.4"/>
    <n v="104.72"/>
    <n v="337.39"/>
    <x v="4726"/>
    <x v="0"/>
  </r>
  <r>
    <x v="12"/>
    <x v="4"/>
    <x v="4"/>
    <n v="29421.119999999999"/>
    <n v="31400.82"/>
    <n v="161.43"/>
    <n v="988.66"/>
    <x v="4727"/>
    <x v="0"/>
  </r>
  <r>
    <x v="0"/>
    <x v="1"/>
    <x v="4"/>
    <n v="11494.16"/>
    <n v="9480.19"/>
    <n v="135.55000000000001"/>
    <n v="13.02"/>
    <x v="4728"/>
    <x v="1"/>
  </r>
  <r>
    <x v="18"/>
    <x v="0"/>
    <x v="0"/>
    <n v="24621.86"/>
    <n v="21888.82"/>
    <n v="193.12"/>
    <n v="1238.17"/>
    <x v="4729"/>
    <x v="0"/>
  </r>
  <r>
    <x v="5"/>
    <x v="1"/>
    <x v="1"/>
    <n v="39736.58"/>
    <n v="40836.99"/>
    <n v="181.15"/>
    <n v="260.3"/>
    <x v="4730"/>
    <x v="1"/>
  </r>
  <r>
    <x v="14"/>
    <x v="4"/>
    <x v="3"/>
    <n v="19182.27"/>
    <n v="22488.25"/>
    <n v="164.99"/>
    <n v="618.47"/>
    <x v="4731"/>
    <x v="0"/>
  </r>
  <r>
    <x v="5"/>
    <x v="2"/>
    <x v="1"/>
    <n v="24201.119999999999"/>
    <n v="25444.62"/>
    <n v="149.36000000000001"/>
    <n v="880.91"/>
    <x v="4732"/>
    <x v="1"/>
  </r>
  <r>
    <x v="0"/>
    <x v="2"/>
    <x v="7"/>
    <n v="21391.07"/>
    <n v="21174.67"/>
    <n v="60.25"/>
    <n v="562"/>
    <x v="4733"/>
    <x v="1"/>
  </r>
  <r>
    <x v="8"/>
    <x v="4"/>
    <x v="1"/>
    <n v="32429.599999999999"/>
    <n v="27834.54"/>
    <n v="89.23"/>
    <n v="479.02"/>
    <x v="4734"/>
    <x v="0"/>
  </r>
  <r>
    <x v="14"/>
    <x v="5"/>
    <x v="7"/>
    <n v="34148.49"/>
    <n v="28571.97"/>
    <n v="115.08"/>
    <n v="1255.52"/>
    <x v="4735"/>
    <x v="0"/>
  </r>
  <r>
    <x v="14"/>
    <x v="0"/>
    <x v="1"/>
    <n v="40309.07"/>
    <n v="38890.379999999997"/>
    <n v="131.29"/>
    <n v="692.55"/>
    <x v="4736"/>
    <x v="0"/>
  </r>
  <r>
    <x v="5"/>
    <x v="5"/>
    <x v="4"/>
    <n v="23760.35"/>
    <n v="27916.65"/>
    <n v="53.93"/>
    <n v="1209.25"/>
    <x v="4737"/>
    <x v="0"/>
  </r>
  <r>
    <x v="13"/>
    <x v="6"/>
    <x v="2"/>
    <n v="25155.81"/>
    <n v="23889.69"/>
    <n v="78.040000000000006"/>
    <n v="113.77"/>
    <x v="4738"/>
    <x v="0"/>
  </r>
  <r>
    <x v="18"/>
    <x v="5"/>
    <x v="6"/>
    <n v="12323.57"/>
    <n v="14126.47"/>
    <n v="55.61"/>
    <n v="517.26"/>
    <x v="4739"/>
    <x v="0"/>
  </r>
  <r>
    <x v="5"/>
    <x v="0"/>
    <x v="3"/>
    <n v="23809.33"/>
    <n v="25022.87"/>
    <n v="62.32"/>
    <n v="1104.05"/>
    <x v="4740"/>
    <x v="0"/>
  </r>
  <r>
    <x v="7"/>
    <x v="0"/>
    <x v="0"/>
    <n v="30648.13"/>
    <n v="29454.76"/>
    <n v="66.349999999999994"/>
    <n v="328.68"/>
    <x v="4741"/>
    <x v="0"/>
  </r>
  <r>
    <x v="11"/>
    <x v="6"/>
    <x v="1"/>
    <n v="36439.379999999997"/>
    <n v="43390.19"/>
    <n v="34.39"/>
    <n v="161.96"/>
    <x v="4742"/>
    <x v="0"/>
  </r>
  <r>
    <x v="7"/>
    <x v="5"/>
    <x v="6"/>
    <n v="24879.69"/>
    <n v="21462.2"/>
    <n v="157.13999999999999"/>
    <n v="945.37"/>
    <x v="4743"/>
    <x v="0"/>
  </r>
  <r>
    <x v="2"/>
    <x v="0"/>
    <x v="3"/>
    <n v="2899.9"/>
    <n v="3054.29"/>
    <n v="191.88"/>
    <n v="285.33999999999997"/>
    <x v="4744"/>
    <x v="0"/>
  </r>
  <r>
    <x v="0"/>
    <x v="3"/>
    <x v="7"/>
    <n v="15025.78"/>
    <n v="15189.24"/>
    <n v="133.36000000000001"/>
    <n v="598"/>
    <x v="4745"/>
    <x v="1"/>
  </r>
  <r>
    <x v="4"/>
    <x v="4"/>
    <x v="0"/>
    <n v="28866.29"/>
    <n v="32462.83"/>
    <n v="92.86"/>
    <n v="444.1"/>
    <x v="4746"/>
    <x v="0"/>
  </r>
  <r>
    <x v="18"/>
    <x v="1"/>
    <x v="4"/>
    <n v="36615.480000000003"/>
    <n v="30051.68"/>
    <n v="183.7"/>
    <n v="714.62"/>
    <x v="4747"/>
    <x v="1"/>
  </r>
  <r>
    <x v="2"/>
    <x v="6"/>
    <x v="6"/>
    <n v="7438.05"/>
    <n v="8013.88"/>
    <n v="132.9"/>
    <n v="639.86"/>
    <x v="4748"/>
    <x v="0"/>
  </r>
  <r>
    <x v="7"/>
    <x v="5"/>
    <x v="5"/>
    <n v="39808.6"/>
    <n v="42700.81"/>
    <n v="71.680000000000007"/>
    <n v="1161.99"/>
    <x v="4749"/>
    <x v="0"/>
  </r>
  <r>
    <x v="0"/>
    <x v="5"/>
    <x v="4"/>
    <n v="16549.79"/>
    <n v="15387.42"/>
    <n v="163.89"/>
    <n v="256.51"/>
    <x v="4750"/>
    <x v="0"/>
  </r>
  <r>
    <x v="11"/>
    <x v="5"/>
    <x v="4"/>
    <n v="17589.93"/>
    <n v="17704.919999999998"/>
    <n v="55.11"/>
    <n v="730.32"/>
    <x v="4751"/>
    <x v="0"/>
  </r>
  <r>
    <x v="10"/>
    <x v="4"/>
    <x v="3"/>
    <n v="31678.47"/>
    <n v="28501.17"/>
    <n v="64.69"/>
    <n v="188.34"/>
    <x v="4752"/>
    <x v="0"/>
  </r>
  <r>
    <x v="8"/>
    <x v="6"/>
    <x v="4"/>
    <n v="43728.47"/>
    <n v="35376.28"/>
    <n v="121.68"/>
    <n v="1072.19"/>
    <x v="4753"/>
    <x v="0"/>
  </r>
  <r>
    <x v="17"/>
    <x v="4"/>
    <x v="5"/>
    <n v="16309.66"/>
    <n v="14734.12"/>
    <n v="117.67"/>
    <n v="1290.51"/>
    <x v="4754"/>
    <x v="0"/>
  </r>
  <r>
    <x v="5"/>
    <x v="4"/>
    <x v="0"/>
    <n v="41045.65"/>
    <n v="48366.27"/>
    <n v="146.44999999999999"/>
    <n v="391.78"/>
    <x v="4755"/>
    <x v="0"/>
  </r>
  <r>
    <x v="7"/>
    <x v="4"/>
    <x v="5"/>
    <n v="41093.25"/>
    <n v="38246.33"/>
    <n v="62.06"/>
    <n v="1100.52"/>
    <x v="4756"/>
    <x v="0"/>
  </r>
  <r>
    <x v="7"/>
    <x v="3"/>
    <x v="1"/>
    <n v="1272.94"/>
    <n v="1162.1500000000001"/>
    <n v="46.61"/>
    <n v="474.04"/>
    <x v="4757"/>
    <x v="1"/>
  </r>
  <r>
    <x v="10"/>
    <x v="3"/>
    <x v="5"/>
    <n v="45457.1"/>
    <n v="53715.15"/>
    <n v="83.69"/>
    <n v="1103.5899999999999"/>
    <x v="4758"/>
    <x v="1"/>
  </r>
  <r>
    <x v="5"/>
    <x v="5"/>
    <x v="0"/>
    <n v="36219.97"/>
    <n v="29468.1"/>
    <n v="110.18"/>
    <n v="567.52"/>
    <x v="4759"/>
    <x v="0"/>
  </r>
  <r>
    <x v="16"/>
    <x v="1"/>
    <x v="6"/>
    <n v="16907.04"/>
    <n v="16406.2"/>
    <n v="28.41"/>
    <n v="276.76"/>
    <x v="4760"/>
    <x v="1"/>
  </r>
  <r>
    <x v="3"/>
    <x v="3"/>
    <x v="5"/>
    <n v="8544.6200000000008"/>
    <n v="9823.34"/>
    <n v="77.69"/>
    <n v="523.41"/>
    <x v="4761"/>
    <x v="1"/>
  </r>
  <r>
    <x v="11"/>
    <x v="1"/>
    <x v="3"/>
    <n v="7656.09"/>
    <n v="8767.08"/>
    <n v="116.73"/>
    <n v="668.48"/>
    <x v="4762"/>
    <x v="1"/>
  </r>
  <r>
    <x v="6"/>
    <x v="1"/>
    <x v="6"/>
    <n v="1056.3599999999999"/>
    <n v="1092.6199999999999"/>
    <n v="36.17"/>
    <n v="863.52"/>
    <x v="4763"/>
    <x v="1"/>
  </r>
  <r>
    <x v="2"/>
    <x v="5"/>
    <x v="6"/>
    <n v="22461.34"/>
    <n v="21525.279999999999"/>
    <n v="124.92"/>
    <n v="302.63"/>
    <x v="4764"/>
    <x v="0"/>
  </r>
  <r>
    <x v="12"/>
    <x v="0"/>
    <x v="1"/>
    <n v="25304.57"/>
    <n v="24182.49"/>
    <n v="197.73"/>
    <n v="841.73"/>
    <x v="4765"/>
    <x v="0"/>
  </r>
  <r>
    <x v="13"/>
    <x v="0"/>
    <x v="0"/>
    <n v="47590.1"/>
    <n v="51766.67"/>
    <n v="173.17"/>
    <n v="730.17"/>
    <x v="4766"/>
    <x v="0"/>
  </r>
  <r>
    <x v="2"/>
    <x v="5"/>
    <x v="4"/>
    <n v="1580"/>
    <n v="1370.7"/>
    <n v="42.5"/>
    <n v="797.76"/>
    <x v="4767"/>
    <x v="0"/>
  </r>
  <r>
    <x v="8"/>
    <x v="3"/>
    <x v="3"/>
    <n v="8603.66"/>
    <n v="9492.0499999999993"/>
    <n v="180.94"/>
    <n v="844.33"/>
    <x v="4768"/>
    <x v="1"/>
  </r>
  <r>
    <x v="3"/>
    <x v="6"/>
    <x v="3"/>
    <n v="6545"/>
    <n v="5540.07"/>
    <n v="68.25"/>
    <n v="815.51"/>
    <x v="4769"/>
    <x v="0"/>
  </r>
  <r>
    <x v="14"/>
    <x v="0"/>
    <x v="1"/>
    <n v="3919.77"/>
    <n v="4562.9799999999996"/>
    <n v="34.299999999999997"/>
    <n v="178.46"/>
    <x v="4770"/>
    <x v="0"/>
  </r>
  <r>
    <x v="18"/>
    <x v="5"/>
    <x v="3"/>
    <n v="1042.95"/>
    <n v="1207.9000000000001"/>
    <n v="57.72"/>
    <n v="314.14"/>
    <x v="4771"/>
    <x v="0"/>
  </r>
  <r>
    <x v="10"/>
    <x v="2"/>
    <x v="2"/>
    <n v="33238.1"/>
    <n v="39785.69"/>
    <n v="95.99"/>
    <n v="628.71"/>
    <x v="4772"/>
    <x v="1"/>
  </r>
  <r>
    <x v="4"/>
    <x v="3"/>
    <x v="4"/>
    <n v="1018.55"/>
    <n v="1113.3900000000001"/>
    <n v="80.91"/>
    <n v="629.54"/>
    <x v="4773"/>
    <x v="1"/>
  </r>
  <r>
    <x v="7"/>
    <x v="1"/>
    <x v="1"/>
    <n v="6861.18"/>
    <n v="6515.67"/>
    <n v="177.28"/>
    <n v="992.66"/>
    <x v="4774"/>
    <x v="1"/>
  </r>
  <r>
    <x v="19"/>
    <x v="4"/>
    <x v="1"/>
    <n v="14551.06"/>
    <n v="12081.08"/>
    <n v="107.7"/>
    <n v="738.52"/>
    <x v="4775"/>
    <x v="0"/>
  </r>
  <r>
    <x v="9"/>
    <x v="2"/>
    <x v="1"/>
    <n v="41492.82"/>
    <n v="42210.23"/>
    <n v="116.67"/>
    <n v="1212.8900000000001"/>
    <x v="4776"/>
    <x v="1"/>
  </r>
  <r>
    <x v="3"/>
    <x v="4"/>
    <x v="7"/>
    <n v="5040.46"/>
    <n v="4639.8999999999996"/>
    <n v="72.430000000000007"/>
    <n v="392.73"/>
    <x v="4777"/>
    <x v="0"/>
  </r>
  <r>
    <x v="18"/>
    <x v="2"/>
    <x v="2"/>
    <n v="47943.19"/>
    <n v="55889.29"/>
    <n v="115.49"/>
    <n v="880.02"/>
    <x v="4778"/>
    <x v="1"/>
  </r>
  <r>
    <x v="8"/>
    <x v="0"/>
    <x v="7"/>
    <n v="4161.03"/>
    <n v="4646.92"/>
    <n v="80.31"/>
    <n v="910.86"/>
    <x v="4779"/>
    <x v="0"/>
  </r>
  <r>
    <x v="8"/>
    <x v="6"/>
    <x v="0"/>
    <n v="21072.9"/>
    <n v="18403.169999999998"/>
    <n v="82.01"/>
    <n v="1333.12"/>
    <x v="4780"/>
    <x v="0"/>
  </r>
  <r>
    <x v="16"/>
    <x v="6"/>
    <x v="3"/>
    <n v="32673.37"/>
    <n v="35211.93"/>
    <n v="85.08"/>
    <n v="855.55"/>
    <x v="4781"/>
    <x v="0"/>
  </r>
  <r>
    <x v="0"/>
    <x v="0"/>
    <x v="5"/>
    <n v="8462.09"/>
    <n v="8775.27"/>
    <n v="46.95"/>
    <n v="739.11"/>
    <x v="4782"/>
    <x v="0"/>
  </r>
  <r>
    <x v="3"/>
    <x v="3"/>
    <x v="3"/>
    <n v="22568.53"/>
    <n v="19426.189999999999"/>
    <n v="34.78"/>
    <n v="337.57"/>
    <x v="4783"/>
    <x v="1"/>
  </r>
  <r>
    <x v="4"/>
    <x v="5"/>
    <x v="0"/>
    <n v="27620.400000000001"/>
    <n v="28761.71"/>
    <n v="46"/>
    <n v="356.51"/>
    <x v="4784"/>
    <x v="0"/>
  </r>
  <r>
    <x v="17"/>
    <x v="4"/>
    <x v="1"/>
    <n v="15199.18"/>
    <n v="15062.69"/>
    <n v="159.26"/>
    <n v="958.19"/>
    <x v="4785"/>
    <x v="0"/>
  </r>
  <r>
    <x v="0"/>
    <x v="5"/>
    <x v="3"/>
    <n v="18881.509999999998"/>
    <n v="15365.31"/>
    <n v="67.510000000000005"/>
    <n v="26.35"/>
    <x v="4786"/>
    <x v="0"/>
  </r>
  <r>
    <x v="8"/>
    <x v="1"/>
    <x v="0"/>
    <n v="43837.31"/>
    <n v="52355.28"/>
    <n v="39.83"/>
    <n v="726.66"/>
    <x v="4787"/>
    <x v="1"/>
  </r>
  <r>
    <x v="15"/>
    <x v="2"/>
    <x v="5"/>
    <n v="3551.88"/>
    <n v="3421.91"/>
    <n v="188.57"/>
    <n v="163.24"/>
    <x v="4788"/>
    <x v="1"/>
  </r>
  <r>
    <x v="14"/>
    <x v="2"/>
    <x v="0"/>
    <n v="24249.02"/>
    <n v="25360.3"/>
    <n v="68.540000000000006"/>
    <n v="327.16000000000003"/>
    <x v="4789"/>
    <x v="1"/>
  </r>
  <r>
    <x v="0"/>
    <x v="3"/>
    <x v="7"/>
    <n v="13016.6"/>
    <n v="11189.42"/>
    <n v="89.81"/>
    <n v="380.82"/>
    <x v="4790"/>
    <x v="1"/>
  </r>
  <r>
    <x v="14"/>
    <x v="1"/>
    <x v="2"/>
    <n v="40603.040000000001"/>
    <n v="45593.42"/>
    <n v="41.33"/>
    <n v="49.59"/>
    <x v="4791"/>
    <x v="1"/>
  </r>
  <r>
    <x v="16"/>
    <x v="3"/>
    <x v="3"/>
    <n v="36988.46"/>
    <n v="36817.82"/>
    <n v="64.52"/>
    <n v="975.59"/>
    <x v="4792"/>
    <x v="1"/>
  </r>
  <r>
    <x v="19"/>
    <x v="6"/>
    <x v="2"/>
    <n v="9874.6299999999992"/>
    <n v="9214.16"/>
    <n v="195.43"/>
    <n v="240.73"/>
    <x v="4793"/>
    <x v="0"/>
  </r>
  <r>
    <x v="7"/>
    <x v="5"/>
    <x v="6"/>
    <n v="45343.46"/>
    <n v="37547.980000000003"/>
    <n v="177.12"/>
    <n v="282.68"/>
    <x v="4794"/>
    <x v="0"/>
  </r>
  <r>
    <x v="16"/>
    <x v="5"/>
    <x v="1"/>
    <n v="16718.189999999999"/>
    <n v="15509.58"/>
    <n v="111.25"/>
    <n v="568.23"/>
    <x v="4795"/>
    <x v="0"/>
  </r>
  <r>
    <x v="13"/>
    <x v="4"/>
    <x v="2"/>
    <n v="36202.22"/>
    <n v="39794.18"/>
    <n v="26.47"/>
    <n v="79.08"/>
    <x v="4796"/>
    <x v="0"/>
  </r>
  <r>
    <x v="13"/>
    <x v="4"/>
    <x v="7"/>
    <n v="11210.4"/>
    <n v="11031.59"/>
    <n v="74.709999999999994"/>
    <n v="895.43"/>
    <x v="4797"/>
    <x v="0"/>
  </r>
  <r>
    <x v="14"/>
    <x v="1"/>
    <x v="2"/>
    <n v="28090.89"/>
    <n v="27605.03"/>
    <n v="59.51"/>
    <n v="897.04"/>
    <x v="4798"/>
    <x v="1"/>
  </r>
  <r>
    <x v="14"/>
    <x v="0"/>
    <x v="0"/>
    <n v="44697.57"/>
    <n v="45167.12"/>
    <n v="166.78"/>
    <n v="862.08"/>
    <x v="4799"/>
    <x v="0"/>
  </r>
  <r>
    <x v="15"/>
    <x v="1"/>
    <x v="6"/>
    <n v="30397.21"/>
    <n v="32529.22"/>
    <n v="164.45"/>
    <n v="384.01"/>
    <x v="4800"/>
    <x v="1"/>
  </r>
  <r>
    <x v="11"/>
    <x v="2"/>
    <x v="4"/>
    <n v="29863.47"/>
    <n v="33995.1"/>
    <n v="180.59"/>
    <n v="448.42"/>
    <x v="4801"/>
    <x v="1"/>
  </r>
  <r>
    <x v="9"/>
    <x v="4"/>
    <x v="3"/>
    <n v="39721.620000000003"/>
    <n v="40257.480000000003"/>
    <n v="166.04"/>
    <n v="760.78"/>
    <x v="4802"/>
    <x v="0"/>
  </r>
  <r>
    <x v="8"/>
    <x v="5"/>
    <x v="4"/>
    <n v="9405.1299999999992"/>
    <n v="10469.56"/>
    <n v="112.99"/>
    <n v="610.12"/>
    <x v="4803"/>
    <x v="0"/>
  </r>
  <r>
    <x v="18"/>
    <x v="6"/>
    <x v="7"/>
    <n v="26713.77"/>
    <n v="27185.5"/>
    <n v="161.9"/>
    <n v="1237.1600000000001"/>
    <x v="4804"/>
    <x v="0"/>
  </r>
  <r>
    <x v="6"/>
    <x v="6"/>
    <x v="3"/>
    <n v="36704.46"/>
    <n v="32559.23"/>
    <n v="69.5"/>
    <n v="862.88"/>
    <x v="4805"/>
    <x v="0"/>
  </r>
  <r>
    <x v="12"/>
    <x v="5"/>
    <x v="4"/>
    <n v="11952.27"/>
    <n v="11098.78"/>
    <n v="31.53"/>
    <n v="1030.51"/>
    <x v="4806"/>
    <x v="0"/>
  </r>
  <r>
    <x v="10"/>
    <x v="4"/>
    <x v="1"/>
    <n v="39421.129999999997"/>
    <n v="37027.49"/>
    <n v="21.86"/>
    <n v="901.98"/>
    <x v="4807"/>
    <x v="0"/>
  </r>
  <r>
    <x v="19"/>
    <x v="1"/>
    <x v="4"/>
    <n v="667.04"/>
    <n v="723.18"/>
    <n v="116.05"/>
    <n v="855.07"/>
    <x v="4808"/>
    <x v="1"/>
  </r>
  <r>
    <x v="14"/>
    <x v="3"/>
    <x v="1"/>
    <n v="10757.54"/>
    <n v="12190.96"/>
    <n v="62.42"/>
    <n v="1002.29"/>
    <x v="4809"/>
    <x v="1"/>
  </r>
  <r>
    <x v="7"/>
    <x v="1"/>
    <x v="4"/>
    <n v="18732.3"/>
    <n v="16899.36"/>
    <n v="134.05000000000001"/>
    <n v="705.09"/>
    <x v="4810"/>
    <x v="1"/>
  </r>
  <r>
    <x v="3"/>
    <x v="2"/>
    <x v="6"/>
    <n v="1914.02"/>
    <n v="2194.11"/>
    <n v="73.569999999999993"/>
    <n v="644.03"/>
    <x v="4811"/>
    <x v="1"/>
  </r>
  <r>
    <x v="19"/>
    <x v="0"/>
    <x v="6"/>
    <n v="21483.66"/>
    <n v="17967.18"/>
    <n v="177.66"/>
    <n v="1027.97"/>
    <x v="4812"/>
    <x v="0"/>
  </r>
  <r>
    <x v="6"/>
    <x v="2"/>
    <x v="2"/>
    <n v="49946.21"/>
    <n v="44175.06"/>
    <n v="136.91"/>
    <n v="114.6"/>
    <x v="4813"/>
    <x v="1"/>
  </r>
  <r>
    <x v="3"/>
    <x v="5"/>
    <x v="5"/>
    <n v="6212.51"/>
    <n v="7239.19"/>
    <n v="131.29"/>
    <n v="77.8"/>
    <x v="4814"/>
    <x v="0"/>
  </r>
  <r>
    <x v="5"/>
    <x v="4"/>
    <x v="5"/>
    <n v="49510.25"/>
    <n v="57519.3"/>
    <n v="181.94"/>
    <n v="864.67"/>
    <x v="4815"/>
    <x v="0"/>
  </r>
  <r>
    <x v="5"/>
    <x v="5"/>
    <x v="4"/>
    <n v="47129.75"/>
    <n v="50177.46"/>
    <n v="124.12"/>
    <n v="1279.24"/>
    <x v="4816"/>
    <x v="0"/>
  </r>
  <r>
    <x v="17"/>
    <x v="3"/>
    <x v="0"/>
    <n v="19512.89"/>
    <n v="22673"/>
    <n v="125.7"/>
    <n v="203.15"/>
    <x v="4817"/>
    <x v="1"/>
  </r>
  <r>
    <x v="10"/>
    <x v="0"/>
    <x v="2"/>
    <n v="16497.28"/>
    <n v="14226.2"/>
    <n v="154.87"/>
    <n v="663.3"/>
    <x v="4818"/>
    <x v="0"/>
  </r>
  <r>
    <x v="3"/>
    <x v="3"/>
    <x v="7"/>
    <n v="30320.54"/>
    <n v="34017.9"/>
    <n v="99.02"/>
    <n v="638.57000000000005"/>
    <x v="4819"/>
    <x v="1"/>
  </r>
  <r>
    <x v="16"/>
    <x v="5"/>
    <x v="3"/>
    <n v="47255.72"/>
    <n v="54127.33"/>
    <n v="121.91"/>
    <n v="402.4"/>
    <x v="4820"/>
    <x v="0"/>
  </r>
  <r>
    <x v="7"/>
    <x v="3"/>
    <x v="5"/>
    <n v="14103.65"/>
    <n v="12207.56"/>
    <n v="147.59"/>
    <n v="552.99"/>
    <x v="4821"/>
    <x v="1"/>
  </r>
  <r>
    <x v="5"/>
    <x v="5"/>
    <x v="4"/>
    <n v="5518.25"/>
    <n v="6170.28"/>
    <n v="120.02"/>
    <n v="673.23"/>
    <x v="4822"/>
    <x v="0"/>
  </r>
  <r>
    <x v="7"/>
    <x v="5"/>
    <x v="7"/>
    <n v="37173.949999999997"/>
    <n v="38377.01"/>
    <n v="34.72"/>
    <n v="1235.3900000000001"/>
    <x v="4823"/>
    <x v="0"/>
  </r>
  <r>
    <x v="10"/>
    <x v="2"/>
    <x v="5"/>
    <n v="16056.57"/>
    <n v="13556.44"/>
    <n v="48.71"/>
    <n v="699.83"/>
    <x v="4824"/>
    <x v="1"/>
  </r>
  <r>
    <x v="7"/>
    <x v="0"/>
    <x v="2"/>
    <n v="43182.89"/>
    <n v="42799.38"/>
    <n v="94.96"/>
    <n v="1289.6400000000001"/>
    <x v="4825"/>
    <x v="0"/>
  </r>
  <r>
    <x v="5"/>
    <x v="4"/>
    <x v="7"/>
    <n v="6713.85"/>
    <n v="6741.79"/>
    <n v="135.31"/>
    <n v="673.72"/>
    <x v="4826"/>
    <x v="0"/>
  </r>
  <r>
    <x v="14"/>
    <x v="6"/>
    <x v="3"/>
    <n v="8065.52"/>
    <n v="7887.22"/>
    <n v="122.62"/>
    <n v="1237.8900000000001"/>
    <x v="4827"/>
    <x v="0"/>
  </r>
  <r>
    <x v="12"/>
    <x v="1"/>
    <x v="7"/>
    <n v="25329.17"/>
    <n v="20287.27"/>
    <n v="141.22"/>
    <n v="697.69"/>
    <x v="4828"/>
    <x v="1"/>
  </r>
  <r>
    <x v="3"/>
    <x v="1"/>
    <x v="2"/>
    <n v="15099.47"/>
    <n v="15702.68"/>
    <n v="156.85"/>
    <n v="780.13"/>
    <x v="4829"/>
    <x v="1"/>
  </r>
  <r>
    <x v="14"/>
    <x v="1"/>
    <x v="6"/>
    <n v="30285.61"/>
    <n v="34430.51"/>
    <n v="189.56"/>
    <n v="826.89"/>
    <x v="4830"/>
    <x v="1"/>
  </r>
  <r>
    <x v="14"/>
    <x v="5"/>
    <x v="3"/>
    <n v="13471.66"/>
    <n v="15002.37"/>
    <n v="60.17"/>
    <n v="109.5"/>
    <x v="4831"/>
    <x v="0"/>
  </r>
  <r>
    <x v="1"/>
    <x v="1"/>
    <x v="4"/>
    <n v="45275.35"/>
    <n v="37831.82"/>
    <n v="103.89"/>
    <n v="1079.3399999999999"/>
    <x v="4832"/>
    <x v="1"/>
  </r>
  <r>
    <x v="3"/>
    <x v="1"/>
    <x v="3"/>
    <n v="16567.099999999999"/>
    <n v="16473.93"/>
    <n v="92.13"/>
    <n v="557.53"/>
    <x v="4833"/>
    <x v="1"/>
  </r>
  <r>
    <x v="19"/>
    <x v="6"/>
    <x v="7"/>
    <n v="6622.48"/>
    <n v="6811.8"/>
    <n v="21.41"/>
    <n v="693.34"/>
    <x v="4834"/>
    <x v="0"/>
  </r>
  <r>
    <x v="1"/>
    <x v="0"/>
    <x v="5"/>
    <n v="16879.87"/>
    <n v="15654.53"/>
    <n v="110.5"/>
    <n v="96.67"/>
    <x v="4835"/>
    <x v="0"/>
  </r>
  <r>
    <x v="6"/>
    <x v="0"/>
    <x v="2"/>
    <n v="25419.74"/>
    <n v="21521.64"/>
    <n v="71.209999999999994"/>
    <n v="1257.1400000000001"/>
    <x v="4836"/>
    <x v="0"/>
  </r>
  <r>
    <x v="2"/>
    <x v="4"/>
    <x v="6"/>
    <n v="39497.4"/>
    <n v="32599.41"/>
    <n v="63.46"/>
    <n v="231.18"/>
    <x v="4837"/>
    <x v="0"/>
  </r>
  <r>
    <x v="5"/>
    <x v="6"/>
    <x v="2"/>
    <n v="37020.22"/>
    <n v="40772.78"/>
    <n v="103.94"/>
    <n v="1083.31"/>
    <x v="4838"/>
    <x v="0"/>
  </r>
  <r>
    <x v="17"/>
    <x v="3"/>
    <x v="4"/>
    <n v="31221.599999999999"/>
    <n v="34554.54"/>
    <n v="162.65"/>
    <n v="574.63"/>
    <x v="4839"/>
    <x v="1"/>
  </r>
  <r>
    <x v="6"/>
    <x v="2"/>
    <x v="7"/>
    <n v="18014.05"/>
    <n v="15852.44"/>
    <n v="180.34"/>
    <n v="944.68"/>
    <x v="4840"/>
    <x v="1"/>
  </r>
  <r>
    <x v="9"/>
    <x v="0"/>
    <x v="7"/>
    <n v="8193.0499999999993"/>
    <n v="8727.09"/>
    <n v="109.95"/>
    <n v="348.55"/>
    <x v="4841"/>
    <x v="0"/>
  </r>
  <r>
    <x v="4"/>
    <x v="3"/>
    <x v="5"/>
    <n v="39440.620000000003"/>
    <n v="43051.91"/>
    <n v="82.83"/>
    <n v="1317.74"/>
    <x v="4842"/>
    <x v="1"/>
  </r>
  <r>
    <x v="3"/>
    <x v="6"/>
    <x v="2"/>
    <n v="46386.41"/>
    <n v="43676.29"/>
    <n v="137.25"/>
    <n v="971.79"/>
    <x v="4843"/>
    <x v="0"/>
  </r>
  <r>
    <x v="6"/>
    <x v="0"/>
    <x v="4"/>
    <n v="32792.410000000003"/>
    <n v="32698.720000000001"/>
    <n v="168.46"/>
    <n v="212.84"/>
    <x v="4844"/>
    <x v="0"/>
  </r>
  <r>
    <x v="17"/>
    <x v="5"/>
    <x v="7"/>
    <n v="25597.33"/>
    <n v="30002.61"/>
    <n v="66.94"/>
    <n v="1091.69"/>
    <x v="4845"/>
    <x v="0"/>
  </r>
  <r>
    <x v="8"/>
    <x v="3"/>
    <x v="0"/>
    <n v="38598.67"/>
    <n v="37070.92"/>
    <n v="185.59"/>
    <n v="884.49"/>
    <x v="4846"/>
    <x v="1"/>
  </r>
  <r>
    <x v="14"/>
    <x v="1"/>
    <x v="4"/>
    <n v="44297.49"/>
    <n v="44282.37"/>
    <n v="57.05"/>
    <n v="813.38"/>
    <x v="4847"/>
    <x v="1"/>
  </r>
  <r>
    <x v="16"/>
    <x v="6"/>
    <x v="7"/>
    <n v="33111.42"/>
    <n v="39369.699999999997"/>
    <n v="164.91"/>
    <n v="230.96"/>
    <x v="4848"/>
    <x v="0"/>
  </r>
  <r>
    <x v="4"/>
    <x v="6"/>
    <x v="4"/>
    <n v="21762.42"/>
    <n v="21727.81"/>
    <n v="37.18"/>
    <n v="1187.1400000000001"/>
    <x v="4849"/>
    <x v="0"/>
  </r>
  <r>
    <x v="15"/>
    <x v="4"/>
    <x v="5"/>
    <n v="19923.11"/>
    <n v="17562.599999999999"/>
    <n v="173.48"/>
    <n v="745.6"/>
    <x v="4850"/>
    <x v="0"/>
  </r>
  <r>
    <x v="0"/>
    <x v="1"/>
    <x v="0"/>
    <n v="8853.7099999999991"/>
    <n v="10483.39"/>
    <n v="188.06"/>
    <n v="664.73"/>
    <x v="4851"/>
    <x v="1"/>
  </r>
  <r>
    <x v="4"/>
    <x v="5"/>
    <x v="1"/>
    <n v="23188.93"/>
    <n v="23494.560000000001"/>
    <n v="117.77"/>
    <n v="1043.6500000000001"/>
    <x v="4852"/>
    <x v="0"/>
  </r>
  <r>
    <x v="14"/>
    <x v="1"/>
    <x v="2"/>
    <n v="14342.41"/>
    <n v="11795.32"/>
    <n v="196.2"/>
    <n v="555.71"/>
    <x v="4853"/>
    <x v="1"/>
  </r>
  <r>
    <x v="14"/>
    <x v="4"/>
    <x v="2"/>
    <n v="20022.830000000002"/>
    <n v="21093.19"/>
    <n v="161.79"/>
    <n v="1203.03"/>
    <x v="4854"/>
    <x v="0"/>
  </r>
  <r>
    <x v="17"/>
    <x v="2"/>
    <x v="0"/>
    <n v="32016.16"/>
    <n v="30111.200000000001"/>
    <n v="73.959999999999994"/>
    <n v="65.959999999999994"/>
    <x v="4855"/>
    <x v="1"/>
  </r>
  <r>
    <x v="2"/>
    <x v="5"/>
    <x v="2"/>
    <n v="14909.86"/>
    <n v="16461.12"/>
    <n v="38.659999999999997"/>
    <n v="376.84"/>
    <x v="4856"/>
    <x v="0"/>
  </r>
  <r>
    <x v="17"/>
    <x v="3"/>
    <x v="7"/>
    <n v="47238.43"/>
    <n v="44081.88"/>
    <n v="48.9"/>
    <n v="280.32"/>
    <x v="4857"/>
    <x v="1"/>
  </r>
  <r>
    <x v="4"/>
    <x v="1"/>
    <x v="7"/>
    <n v="40990.980000000003"/>
    <n v="40497.51"/>
    <n v="24.31"/>
    <n v="463.06"/>
    <x v="4858"/>
    <x v="1"/>
  </r>
  <r>
    <x v="18"/>
    <x v="2"/>
    <x v="4"/>
    <n v="48342.31"/>
    <n v="54488.55"/>
    <n v="61.5"/>
    <n v="1378.57"/>
    <x v="4859"/>
    <x v="1"/>
  </r>
  <r>
    <x v="3"/>
    <x v="6"/>
    <x v="5"/>
    <n v="27412.82"/>
    <n v="22801.73"/>
    <n v="184.82"/>
    <n v="232.83"/>
    <x v="4860"/>
    <x v="0"/>
  </r>
  <r>
    <x v="14"/>
    <x v="0"/>
    <x v="3"/>
    <n v="17108.77"/>
    <n v="14857.49"/>
    <n v="103.22"/>
    <n v="620.33000000000004"/>
    <x v="4861"/>
    <x v="0"/>
  </r>
  <r>
    <x v="16"/>
    <x v="3"/>
    <x v="0"/>
    <n v="40762.089999999997"/>
    <n v="45030.05"/>
    <n v="112.73"/>
    <n v="1283.53"/>
    <x v="4862"/>
    <x v="1"/>
  </r>
  <r>
    <x v="3"/>
    <x v="1"/>
    <x v="1"/>
    <n v="40765.370000000003"/>
    <n v="34446.239999999998"/>
    <n v="169.23"/>
    <n v="907.62"/>
    <x v="4863"/>
    <x v="1"/>
  </r>
  <r>
    <x v="8"/>
    <x v="2"/>
    <x v="7"/>
    <n v="27778.91"/>
    <n v="23145.16"/>
    <n v="105.48"/>
    <n v="782.65"/>
    <x v="4864"/>
    <x v="1"/>
  </r>
  <r>
    <x v="13"/>
    <x v="4"/>
    <x v="5"/>
    <n v="26032.71"/>
    <n v="27914.26"/>
    <n v="59.22"/>
    <n v="91.28"/>
    <x v="4865"/>
    <x v="0"/>
  </r>
  <r>
    <x v="0"/>
    <x v="0"/>
    <x v="5"/>
    <n v="900.67"/>
    <n v="917.74"/>
    <n v="168.02"/>
    <n v="216.36"/>
    <x v="4866"/>
    <x v="0"/>
  </r>
  <r>
    <x v="15"/>
    <x v="4"/>
    <x v="2"/>
    <n v="1268.5999999999999"/>
    <n v="1257.4000000000001"/>
    <n v="121.76"/>
    <n v="573.23"/>
    <x v="4867"/>
    <x v="0"/>
  </r>
  <r>
    <x v="3"/>
    <x v="1"/>
    <x v="5"/>
    <n v="39051.33"/>
    <n v="37515.629999999997"/>
    <n v="112.51"/>
    <n v="1128.01"/>
    <x v="4868"/>
    <x v="1"/>
  </r>
  <r>
    <x v="0"/>
    <x v="3"/>
    <x v="7"/>
    <n v="49147.86"/>
    <n v="56321.02"/>
    <n v="183.59"/>
    <n v="1395.51"/>
    <x v="4869"/>
    <x v="1"/>
  </r>
  <r>
    <x v="4"/>
    <x v="4"/>
    <x v="3"/>
    <n v="40906.29"/>
    <n v="44848.78"/>
    <n v="50.35"/>
    <n v="933.91"/>
    <x v="4870"/>
    <x v="0"/>
  </r>
  <r>
    <x v="16"/>
    <x v="3"/>
    <x v="4"/>
    <n v="29351.78"/>
    <n v="24462.85"/>
    <n v="197.13"/>
    <n v="1072.06"/>
    <x v="4871"/>
    <x v="1"/>
  </r>
  <r>
    <x v="4"/>
    <x v="0"/>
    <x v="6"/>
    <n v="23977.63"/>
    <n v="25526.1"/>
    <n v="58.49"/>
    <n v="1080.48"/>
    <x v="4872"/>
    <x v="0"/>
  </r>
  <r>
    <x v="14"/>
    <x v="0"/>
    <x v="1"/>
    <n v="31553.1"/>
    <n v="29944.06"/>
    <n v="86.61"/>
    <n v="1397.75"/>
    <x v="4873"/>
    <x v="0"/>
  </r>
  <r>
    <x v="8"/>
    <x v="3"/>
    <x v="0"/>
    <n v="14970.85"/>
    <n v="15563.82"/>
    <n v="145.72"/>
    <n v="1060.8699999999999"/>
    <x v="4874"/>
    <x v="1"/>
  </r>
  <r>
    <x v="12"/>
    <x v="1"/>
    <x v="0"/>
    <n v="45805.21"/>
    <n v="41400.33"/>
    <n v="36.53"/>
    <n v="402.4"/>
    <x v="4875"/>
    <x v="1"/>
  </r>
  <r>
    <x v="4"/>
    <x v="3"/>
    <x v="5"/>
    <n v="19242.47"/>
    <n v="16275.03"/>
    <n v="73.290000000000006"/>
    <n v="539.1"/>
    <x v="4876"/>
    <x v="1"/>
  </r>
  <r>
    <x v="1"/>
    <x v="4"/>
    <x v="3"/>
    <n v="25144.22"/>
    <n v="28765.81"/>
    <n v="24.34"/>
    <n v="539.27"/>
    <x v="4877"/>
    <x v="0"/>
  </r>
  <r>
    <x v="13"/>
    <x v="3"/>
    <x v="7"/>
    <n v="31031.85"/>
    <n v="28026.74"/>
    <n v="84.55"/>
    <n v="998.56"/>
    <x v="4878"/>
    <x v="1"/>
  </r>
  <r>
    <x v="6"/>
    <x v="1"/>
    <x v="3"/>
    <n v="21861.61"/>
    <n v="21387.279999999999"/>
    <n v="57.56"/>
    <n v="525.58000000000004"/>
    <x v="4879"/>
    <x v="1"/>
  </r>
  <r>
    <x v="7"/>
    <x v="2"/>
    <x v="3"/>
    <n v="26751.05"/>
    <n v="29812.25"/>
    <n v="187.89"/>
    <n v="1002.72"/>
    <x v="4880"/>
    <x v="1"/>
  </r>
  <r>
    <x v="11"/>
    <x v="4"/>
    <x v="7"/>
    <n v="28209.01"/>
    <n v="31943.64"/>
    <n v="122.47"/>
    <n v="153.4"/>
    <x v="4881"/>
    <x v="0"/>
  </r>
  <r>
    <x v="2"/>
    <x v="1"/>
    <x v="0"/>
    <n v="774.9"/>
    <n v="828.01"/>
    <n v="98.07"/>
    <n v="1038.1600000000001"/>
    <x v="4882"/>
    <x v="1"/>
  </r>
  <r>
    <x v="2"/>
    <x v="4"/>
    <x v="1"/>
    <n v="19787"/>
    <n v="19354.37"/>
    <n v="34.29"/>
    <n v="953.7"/>
    <x v="4883"/>
    <x v="0"/>
  </r>
  <r>
    <x v="10"/>
    <x v="0"/>
    <x v="7"/>
    <n v="37668.6"/>
    <n v="42234.27"/>
    <n v="162.25"/>
    <n v="39.83"/>
    <x v="4884"/>
    <x v="0"/>
  </r>
  <r>
    <x v="16"/>
    <x v="2"/>
    <x v="4"/>
    <n v="12845.61"/>
    <n v="12010.8"/>
    <n v="182.01"/>
    <n v="49.3"/>
    <x v="4885"/>
    <x v="1"/>
  </r>
  <r>
    <x v="18"/>
    <x v="2"/>
    <x v="6"/>
    <n v="27669.02"/>
    <n v="22227.77"/>
    <n v="194.11"/>
    <n v="501.96"/>
    <x v="4886"/>
    <x v="1"/>
  </r>
  <r>
    <x v="3"/>
    <x v="1"/>
    <x v="1"/>
    <n v="22616.21"/>
    <n v="23341.3"/>
    <n v="145.32"/>
    <n v="795.67"/>
    <x v="4887"/>
    <x v="1"/>
  </r>
  <r>
    <x v="11"/>
    <x v="5"/>
    <x v="6"/>
    <n v="2742.85"/>
    <n v="2688.34"/>
    <n v="21.97"/>
    <n v="694.62"/>
    <x v="4888"/>
    <x v="0"/>
  </r>
  <r>
    <x v="10"/>
    <x v="5"/>
    <x v="0"/>
    <n v="29731.200000000001"/>
    <n v="32140.93"/>
    <n v="156.41999999999999"/>
    <n v="1290.77"/>
    <x v="4889"/>
    <x v="0"/>
  </r>
  <r>
    <x v="2"/>
    <x v="0"/>
    <x v="7"/>
    <n v="15441.12"/>
    <n v="15740.11"/>
    <n v="121.86"/>
    <n v="1025.58"/>
    <x v="4890"/>
    <x v="0"/>
  </r>
  <r>
    <x v="6"/>
    <x v="1"/>
    <x v="4"/>
    <n v="20520.29"/>
    <n v="17776.849999999999"/>
    <n v="195.94"/>
    <n v="878.38"/>
    <x v="4891"/>
    <x v="1"/>
  </r>
  <r>
    <x v="15"/>
    <x v="1"/>
    <x v="4"/>
    <n v="4328.3100000000004"/>
    <n v="4270.03"/>
    <n v="78.760000000000005"/>
    <n v="977.54"/>
    <x v="4892"/>
    <x v="1"/>
  </r>
  <r>
    <x v="6"/>
    <x v="0"/>
    <x v="7"/>
    <n v="26816.63"/>
    <n v="21739.57"/>
    <n v="184.53"/>
    <n v="655.97"/>
    <x v="4893"/>
    <x v="0"/>
  </r>
  <r>
    <x v="8"/>
    <x v="0"/>
    <x v="3"/>
    <n v="9878.15"/>
    <n v="8967.73"/>
    <n v="50.87"/>
    <n v="1258.3599999999999"/>
    <x v="4894"/>
    <x v="0"/>
  </r>
  <r>
    <x v="14"/>
    <x v="1"/>
    <x v="4"/>
    <n v="15743.78"/>
    <n v="13878.75"/>
    <n v="119.34"/>
    <n v="1276.98"/>
    <x v="4895"/>
    <x v="1"/>
  </r>
  <r>
    <x v="6"/>
    <x v="2"/>
    <x v="5"/>
    <n v="45170.97"/>
    <n v="36197.040000000001"/>
    <n v="108.1"/>
    <n v="618.86"/>
    <x v="4896"/>
    <x v="1"/>
  </r>
  <r>
    <x v="18"/>
    <x v="5"/>
    <x v="1"/>
    <n v="45549.05"/>
    <n v="39531.64"/>
    <n v="122.17"/>
    <n v="678.52"/>
    <x v="4897"/>
    <x v="0"/>
  </r>
  <r>
    <x v="12"/>
    <x v="6"/>
    <x v="0"/>
    <n v="13664.52"/>
    <n v="13738.79"/>
    <n v="32.01"/>
    <n v="1166.68"/>
    <x v="4898"/>
    <x v="0"/>
  </r>
  <r>
    <x v="15"/>
    <x v="3"/>
    <x v="1"/>
    <n v="10996.23"/>
    <n v="11939.82"/>
    <n v="150.33000000000001"/>
    <n v="628.47"/>
    <x v="4899"/>
    <x v="1"/>
  </r>
  <r>
    <x v="15"/>
    <x v="5"/>
    <x v="0"/>
    <n v="21033.18"/>
    <n v="19354.7"/>
    <n v="142.30000000000001"/>
    <n v="457.37"/>
    <x v="4900"/>
    <x v="0"/>
  </r>
  <r>
    <x v="17"/>
    <x v="0"/>
    <x v="5"/>
    <n v="40916.949999999997"/>
    <n v="36728.449999999997"/>
    <n v="104.19"/>
    <n v="179.36"/>
    <x v="4901"/>
    <x v="0"/>
  </r>
  <r>
    <x v="15"/>
    <x v="5"/>
    <x v="1"/>
    <n v="23349.11"/>
    <n v="18721.66"/>
    <n v="91.48"/>
    <n v="1051.18"/>
    <x v="4902"/>
    <x v="0"/>
  </r>
  <r>
    <x v="4"/>
    <x v="5"/>
    <x v="6"/>
    <n v="22533.71"/>
    <n v="20760.009999999998"/>
    <n v="44.11"/>
    <n v="926.51"/>
    <x v="4903"/>
    <x v="0"/>
  </r>
  <r>
    <x v="16"/>
    <x v="1"/>
    <x v="1"/>
    <n v="9703.0400000000009"/>
    <n v="10265.17"/>
    <n v="112.27"/>
    <n v="516.48"/>
    <x v="4904"/>
    <x v="1"/>
  </r>
  <r>
    <x v="3"/>
    <x v="5"/>
    <x v="1"/>
    <n v="40051.760000000002"/>
    <n v="36062.019999999997"/>
    <n v="165.9"/>
    <n v="934.3"/>
    <x v="4905"/>
    <x v="0"/>
  </r>
  <r>
    <x v="3"/>
    <x v="2"/>
    <x v="6"/>
    <n v="48056.639999999999"/>
    <n v="42840.51"/>
    <n v="41.67"/>
    <n v="65.209999999999994"/>
    <x v="4906"/>
    <x v="1"/>
  </r>
  <r>
    <x v="11"/>
    <x v="5"/>
    <x v="0"/>
    <n v="4577.91"/>
    <n v="4783.99"/>
    <n v="74.87"/>
    <n v="1287.29"/>
    <x v="4907"/>
    <x v="0"/>
  </r>
  <r>
    <x v="19"/>
    <x v="4"/>
    <x v="1"/>
    <n v="8292.42"/>
    <n v="7515.12"/>
    <n v="33.090000000000003"/>
    <n v="872.74"/>
    <x v="4908"/>
    <x v="0"/>
  </r>
  <r>
    <x v="4"/>
    <x v="6"/>
    <x v="0"/>
    <n v="18287.46"/>
    <n v="20891.53"/>
    <n v="48.07"/>
    <n v="748.71"/>
    <x v="4909"/>
    <x v="0"/>
  </r>
  <r>
    <x v="10"/>
    <x v="0"/>
    <x v="1"/>
    <n v="46077.87"/>
    <n v="40197.25"/>
    <n v="103.27"/>
    <n v="635.96"/>
    <x v="4910"/>
    <x v="0"/>
  </r>
  <r>
    <x v="13"/>
    <x v="5"/>
    <x v="3"/>
    <n v="2023.43"/>
    <n v="2269.7199999999998"/>
    <n v="86.01"/>
    <n v="751.03"/>
    <x v="4911"/>
    <x v="0"/>
  </r>
  <r>
    <x v="11"/>
    <x v="6"/>
    <x v="2"/>
    <n v="24310.75"/>
    <n v="27198.959999999999"/>
    <n v="30.83"/>
    <n v="683.94"/>
    <x v="4912"/>
    <x v="0"/>
  </r>
  <r>
    <x v="15"/>
    <x v="6"/>
    <x v="4"/>
    <n v="48812.37"/>
    <n v="51448.93"/>
    <n v="97.27"/>
    <n v="419.89"/>
    <x v="4913"/>
    <x v="0"/>
  </r>
  <r>
    <x v="12"/>
    <x v="2"/>
    <x v="3"/>
    <n v="33360.769999999997"/>
    <n v="27292.27"/>
    <n v="169.06"/>
    <n v="1035.81"/>
    <x v="4914"/>
    <x v="1"/>
  </r>
  <r>
    <x v="6"/>
    <x v="5"/>
    <x v="2"/>
    <n v="26597.49"/>
    <n v="30591.08"/>
    <n v="35.58"/>
    <n v="142.02000000000001"/>
    <x v="4915"/>
    <x v="0"/>
  </r>
  <r>
    <x v="11"/>
    <x v="1"/>
    <x v="4"/>
    <n v="30563.439999999999"/>
    <n v="33735.760000000002"/>
    <n v="93.44"/>
    <n v="1035.8599999999999"/>
    <x v="4916"/>
    <x v="1"/>
  </r>
  <r>
    <x v="10"/>
    <x v="3"/>
    <x v="4"/>
    <n v="7310.4"/>
    <n v="7589.49"/>
    <n v="21.95"/>
    <n v="1189.45"/>
    <x v="4917"/>
    <x v="1"/>
  </r>
  <r>
    <x v="19"/>
    <x v="3"/>
    <x v="4"/>
    <n v="14383.99"/>
    <n v="12328.25"/>
    <n v="40.130000000000003"/>
    <n v="544.34"/>
    <x v="4918"/>
    <x v="1"/>
  </r>
  <r>
    <x v="2"/>
    <x v="5"/>
    <x v="2"/>
    <n v="38712.730000000003"/>
    <n v="37409.74"/>
    <n v="71.53"/>
    <n v="1104.69"/>
    <x v="4919"/>
    <x v="0"/>
  </r>
  <r>
    <x v="3"/>
    <x v="4"/>
    <x v="6"/>
    <n v="34613.71"/>
    <n v="33294.82"/>
    <n v="129.22999999999999"/>
    <n v="1187.6600000000001"/>
    <x v="4920"/>
    <x v="0"/>
  </r>
  <r>
    <x v="4"/>
    <x v="6"/>
    <x v="7"/>
    <n v="28546.73"/>
    <n v="32013.46"/>
    <n v="152.26"/>
    <n v="1236.2"/>
    <x v="4921"/>
    <x v="0"/>
  </r>
  <r>
    <x v="18"/>
    <x v="3"/>
    <x v="3"/>
    <n v="45578.99"/>
    <n v="53724.37"/>
    <n v="135.47"/>
    <n v="234.25"/>
    <x v="4922"/>
    <x v="1"/>
  </r>
  <r>
    <x v="0"/>
    <x v="4"/>
    <x v="2"/>
    <n v="1253.44"/>
    <n v="1330.44"/>
    <n v="76.06"/>
    <n v="1046.3599999999999"/>
    <x v="4923"/>
    <x v="0"/>
  </r>
  <r>
    <x v="0"/>
    <x v="6"/>
    <x v="6"/>
    <n v="29746.78"/>
    <n v="26264.07"/>
    <n v="146.32"/>
    <n v="1129.78"/>
    <x v="4924"/>
    <x v="0"/>
  </r>
  <r>
    <x v="3"/>
    <x v="1"/>
    <x v="0"/>
    <n v="1050.83"/>
    <n v="927.65"/>
    <n v="30.01"/>
    <n v="107"/>
    <x v="4925"/>
    <x v="1"/>
  </r>
  <r>
    <x v="5"/>
    <x v="4"/>
    <x v="4"/>
    <n v="3235.89"/>
    <n v="3766.53"/>
    <n v="171.14"/>
    <n v="509.96"/>
    <x v="4926"/>
    <x v="0"/>
  </r>
  <r>
    <x v="16"/>
    <x v="6"/>
    <x v="1"/>
    <n v="26023.48"/>
    <n v="21343.200000000001"/>
    <n v="177.97"/>
    <n v="739.38"/>
    <x v="4927"/>
    <x v="0"/>
  </r>
  <r>
    <x v="13"/>
    <x v="5"/>
    <x v="5"/>
    <n v="24719.7"/>
    <n v="27456.45"/>
    <n v="34.14"/>
    <n v="1166.6099999999999"/>
    <x v="4928"/>
    <x v="0"/>
  </r>
  <r>
    <x v="14"/>
    <x v="3"/>
    <x v="0"/>
    <n v="5026.34"/>
    <n v="4505.63"/>
    <n v="180.57"/>
    <n v="621.12"/>
    <x v="4929"/>
    <x v="1"/>
  </r>
  <r>
    <x v="3"/>
    <x v="0"/>
    <x v="0"/>
    <n v="28422.69"/>
    <n v="24747.99"/>
    <n v="66.73"/>
    <n v="265.49"/>
    <x v="4930"/>
    <x v="0"/>
  </r>
  <r>
    <x v="1"/>
    <x v="0"/>
    <x v="3"/>
    <n v="6059.1"/>
    <n v="5024.8599999999997"/>
    <n v="30.99"/>
    <n v="209.67"/>
    <x v="4931"/>
    <x v="0"/>
  </r>
  <r>
    <x v="4"/>
    <x v="4"/>
    <x v="2"/>
    <n v="22968.7"/>
    <n v="26508.6"/>
    <n v="74.55"/>
    <n v="956.4"/>
    <x v="4932"/>
    <x v="0"/>
  </r>
  <r>
    <x v="1"/>
    <x v="5"/>
    <x v="2"/>
    <n v="6642.26"/>
    <n v="6676.68"/>
    <n v="150.02000000000001"/>
    <n v="1122.96"/>
    <x v="4933"/>
    <x v="0"/>
  </r>
  <r>
    <x v="14"/>
    <x v="2"/>
    <x v="3"/>
    <n v="26355.09"/>
    <n v="23707.1"/>
    <n v="166.17"/>
    <n v="526.26"/>
    <x v="4934"/>
    <x v="1"/>
  </r>
  <r>
    <x v="4"/>
    <x v="5"/>
    <x v="1"/>
    <n v="39691.839999999997"/>
    <n v="40555.879999999997"/>
    <n v="29.57"/>
    <n v="1052.55"/>
    <x v="4935"/>
    <x v="0"/>
  </r>
  <r>
    <x v="3"/>
    <x v="1"/>
    <x v="2"/>
    <n v="10423.98"/>
    <n v="10154.950000000001"/>
    <n v="110.85"/>
    <n v="904.77"/>
    <x v="4936"/>
    <x v="1"/>
  </r>
  <r>
    <x v="4"/>
    <x v="1"/>
    <x v="2"/>
    <n v="13987.54"/>
    <n v="16784.34"/>
    <n v="160.47"/>
    <n v="49.9"/>
    <x v="4937"/>
    <x v="1"/>
  </r>
  <r>
    <x v="10"/>
    <x v="2"/>
    <x v="6"/>
    <n v="49354.39"/>
    <n v="40732.129999999997"/>
    <n v="145.56"/>
    <n v="993.5"/>
    <x v="4938"/>
    <x v="1"/>
  </r>
  <r>
    <x v="16"/>
    <x v="2"/>
    <x v="4"/>
    <n v="16354.7"/>
    <n v="14218.16"/>
    <n v="29.29"/>
    <n v="1296.1600000000001"/>
    <x v="4939"/>
    <x v="1"/>
  </r>
  <r>
    <x v="13"/>
    <x v="3"/>
    <x v="5"/>
    <n v="4773.8999999999996"/>
    <n v="5048.74"/>
    <n v="137.16"/>
    <n v="1380.39"/>
    <x v="4940"/>
    <x v="1"/>
  </r>
  <r>
    <x v="18"/>
    <x v="6"/>
    <x v="4"/>
    <n v="4959.9399999999996"/>
    <n v="4521.22"/>
    <n v="103.89"/>
    <n v="740.15"/>
    <x v="4941"/>
    <x v="0"/>
  </r>
  <r>
    <x v="0"/>
    <x v="6"/>
    <x v="0"/>
    <n v="33225.07"/>
    <n v="30909.64"/>
    <n v="160.74"/>
    <n v="1210.52"/>
    <x v="4942"/>
    <x v="0"/>
  </r>
  <r>
    <x v="16"/>
    <x v="6"/>
    <x v="1"/>
    <n v="9796.08"/>
    <n v="9485.67"/>
    <n v="148.85"/>
    <n v="609.99"/>
    <x v="4943"/>
    <x v="0"/>
  </r>
  <r>
    <x v="17"/>
    <x v="0"/>
    <x v="6"/>
    <n v="4326.7299999999996"/>
    <n v="3500.66"/>
    <n v="36.28"/>
    <n v="425.53"/>
    <x v="4944"/>
    <x v="0"/>
  </r>
  <r>
    <x v="8"/>
    <x v="6"/>
    <x v="6"/>
    <n v="8894.5"/>
    <n v="7220.35"/>
    <n v="122.53"/>
    <n v="272.36"/>
    <x v="4945"/>
    <x v="0"/>
  </r>
  <r>
    <x v="17"/>
    <x v="4"/>
    <x v="5"/>
    <n v="10396.75"/>
    <n v="9029.24"/>
    <n v="50.44"/>
    <n v="694.67"/>
    <x v="4946"/>
    <x v="0"/>
  </r>
  <r>
    <x v="9"/>
    <x v="5"/>
    <x v="7"/>
    <n v="33635.620000000003"/>
    <n v="37867.07"/>
    <n v="41.41"/>
    <n v="150.63"/>
    <x v="4947"/>
    <x v="0"/>
  </r>
  <r>
    <x v="8"/>
    <x v="6"/>
    <x v="4"/>
    <n v="44111.09"/>
    <n v="41739.25"/>
    <n v="145.05000000000001"/>
    <n v="717.61"/>
    <x v="4948"/>
    <x v="0"/>
  </r>
  <r>
    <x v="18"/>
    <x v="1"/>
    <x v="1"/>
    <n v="24389.200000000001"/>
    <n v="22916.51"/>
    <n v="42.54"/>
    <n v="727.53"/>
    <x v="4949"/>
    <x v="1"/>
  </r>
  <r>
    <x v="12"/>
    <x v="4"/>
    <x v="4"/>
    <n v="15536.9"/>
    <n v="16808.189999999999"/>
    <n v="133.63"/>
    <n v="814.42"/>
    <x v="4950"/>
    <x v="0"/>
  </r>
  <r>
    <x v="15"/>
    <x v="0"/>
    <x v="1"/>
    <n v="38634.33"/>
    <n v="40979.199999999997"/>
    <n v="20.84"/>
    <n v="899.24"/>
    <x v="4951"/>
    <x v="0"/>
  </r>
  <r>
    <x v="5"/>
    <x v="2"/>
    <x v="5"/>
    <n v="33417.69"/>
    <n v="38195.07"/>
    <n v="96.26"/>
    <n v="1398.6"/>
    <x v="4952"/>
    <x v="1"/>
  </r>
  <r>
    <x v="1"/>
    <x v="5"/>
    <x v="4"/>
    <n v="45420.52"/>
    <n v="45464.21"/>
    <n v="196.72"/>
    <n v="422.66"/>
    <x v="4953"/>
    <x v="0"/>
  </r>
  <r>
    <x v="3"/>
    <x v="5"/>
    <x v="1"/>
    <n v="23322.31"/>
    <n v="27573.1"/>
    <n v="84.24"/>
    <n v="942.96"/>
    <x v="4954"/>
    <x v="0"/>
  </r>
  <r>
    <x v="10"/>
    <x v="2"/>
    <x v="2"/>
    <n v="18301.61"/>
    <n v="15305.6"/>
    <n v="166.22"/>
    <n v="1368.68"/>
    <x v="4955"/>
    <x v="1"/>
  </r>
  <r>
    <x v="14"/>
    <x v="4"/>
    <x v="3"/>
    <n v="1788.61"/>
    <n v="2042.03"/>
    <n v="93.33"/>
    <n v="1199.5899999999999"/>
    <x v="4956"/>
    <x v="0"/>
  </r>
  <r>
    <x v="4"/>
    <x v="1"/>
    <x v="5"/>
    <n v="49492.05"/>
    <n v="40998.089999999997"/>
    <n v="50.81"/>
    <n v="335.3"/>
    <x v="4957"/>
    <x v="1"/>
  </r>
  <r>
    <x v="16"/>
    <x v="5"/>
    <x v="0"/>
    <n v="44681.18"/>
    <n v="45270.29"/>
    <n v="90.79"/>
    <n v="92.56"/>
    <x v="4958"/>
    <x v="0"/>
  </r>
  <r>
    <x v="14"/>
    <x v="1"/>
    <x v="4"/>
    <n v="46394.35"/>
    <n v="41792.65"/>
    <n v="77.59"/>
    <n v="1071.06"/>
    <x v="4959"/>
    <x v="1"/>
  </r>
  <r>
    <x v="13"/>
    <x v="0"/>
    <x v="7"/>
    <n v="19482.740000000002"/>
    <n v="21320.79"/>
    <n v="30.3"/>
    <n v="1053.99"/>
    <x v="4960"/>
    <x v="0"/>
  </r>
  <r>
    <x v="14"/>
    <x v="3"/>
    <x v="3"/>
    <n v="36005.360000000001"/>
    <n v="31410.97"/>
    <n v="111.78"/>
    <n v="120.03"/>
    <x v="4961"/>
    <x v="1"/>
  </r>
  <r>
    <x v="1"/>
    <x v="2"/>
    <x v="1"/>
    <n v="15185.55"/>
    <n v="14374.28"/>
    <n v="166.84"/>
    <n v="1226.47"/>
    <x v="4962"/>
    <x v="1"/>
  </r>
  <r>
    <x v="13"/>
    <x v="6"/>
    <x v="3"/>
    <n v="30540.22"/>
    <n v="27976.09"/>
    <n v="109"/>
    <n v="569.4"/>
    <x v="4963"/>
    <x v="0"/>
  </r>
  <r>
    <x v="14"/>
    <x v="6"/>
    <x v="3"/>
    <n v="2658.11"/>
    <n v="2269.6"/>
    <n v="137.54"/>
    <n v="1144.33"/>
    <x v="4964"/>
    <x v="0"/>
  </r>
  <r>
    <x v="1"/>
    <x v="2"/>
    <x v="7"/>
    <n v="14212.01"/>
    <n v="14161.88"/>
    <n v="94.42"/>
    <n v="539.65"/>
    <x v="4965"/>
    <x v="1"/>
  </r>
  <r>
    <x v="13"/>
    <x v="3"/>
    <x v="4"/>
    <n v="4778.57"/>
    <n v="3898.87"/>
    <n v="152.62"/>
    <n v="1308.47"/>
    <x v="4966"/>
    <x v="1"/>
  </r>
  <r>
    <x v="9"/>
    <x v="0"/>
    <x v="1"/>
    <n v="24982.19"/>
    <n v="21423.5"/>
    <n v="190.36"/>
    <n v="806.57"/>
    <x v="4967"/>
    <x v="0"/>
  </r>
  <r>
    <x v="19"/>
    <x v="5"/>
    <x v="1"/>
    <n v="9867.52"/>
    <n v="10616.89"/>
    <n v="193.95"/>
    <n v="355.22"/>
    <x v="4968"/>
    <x v="0"/>
  </r>
  <r>
    <x v="16"/>
    <x v="6"/>
    <x v="2"/>
    <n v="25719.66"/>
    <n v="23451.89"/>
    <n v="90.62"/>
    <n v="836.11"/>
    <x v="4969"/>
    <x v="0"/>
  </r>
  <r>
    <x v="7"/>
    <x v="2"/>
    <x v="5"/>
    <n v="2205.14"/>
    <n v="1966.44"/>
    <n v="97.16"/>
    <n v="162.25"/>
    <x v="4970"/>
    <x v="1"/>
  </r>
  <r>
    <x v="16"/>
    <x v="6"/>
    <x v="7"/>
    <n v="32589.56"/>
    <n v="36951.42"/>
    <n v="119.7"/>
    <n v="153.6"/>
    <x v="4971"/>
    <x v="0"/>
  </r>
  <r>
    <x v="3"/>
    <x v="1"/>
    <x v="7"/>
    <n v="8236.9500000000007"/>
    <n v="7306.92"/>
    <n v="28.16"/>
    <n v="313.2"/>
    <x v="4972"/>
    <x v="1"/>
  </r>
  <r>
    <x v="6"/>
    <x v="3"/>
    <x v="6"/>
    <n v="43604.59"/>
    <n v="43474.62"/>
    <n v="173.77"/>
    <n v="1328.97"/>
    <x v="4973"/>
    <x v="1"/>
  </r>
  <r>
    <x v="3"/>
    <x v="6"/>
    <x v="5"/>
    <n v="15276.34"/>
    <n v="15690.75"/>
    <n v="22.84"/>
    <n v="815.72"/>
    <x v="4974"/>
    <x v="0"/>
  </r>
  <r>
    <x v="15"/>
    <x v="2"/>
    <x v="5"/>
    <n v="21088.7"/>
    <n v="17571.099999999999"/>
    <n v="178.19"/>
    <n v="1192.2"/>
    <x v="4975"/>
    <x v="1"/>
  </r>
  <r>
    <x v="16"/>
    <x v="4"/>
    <x v="3"/>
    <n v="44473.73"/>
    <n v="44465.52"/>
    <n v="159.88999999999999"/>
    <n v="679.96"/>
    <x v="4976"/>
    <x v="0"/>
  </r>
  <r>
    <x v="8"/>
    <x v="0"/>
    <x v="1"/>
    <n v="43392.94"/>
    <n v="49097.64"/>
    <n v="109.67"/>
    <n v="98.37"/>
    <x v="4977"/>
    <x v="0"/>
  </r>
  <r>
    <x v="16"/>
    <x v="3"/>
    <x v="4"/>
    <n v="39686.449999999997"/>
    <n v="43305.99"/>
    <n v="63.98"/>
    <n v="1060.47"/>
    <x v="4978"/>
    <x v="1"/>
  </r>
  <r>
    <x v="12"/>
    <x v="4"/>
    <x v="3"/>
    <n v="44803.85"/>
    <n v="35993.32"/>
    <n v="71.86"/>
    <n v="176.48"/>
    <x v="4979"/>
    <x v="0"/>
  </r>
  <r>
    <x v="9"/>
    <x v="0"/>
    <x v="2"/>
    <n v="45200.78"/>
    <n v="42110.63"/>
    <n v="132.36000000000001"/>
    <n v="181.45"/>
    <x v="4980"/>
    <x v="0"/>
  </r>
  <r>
    <x v="2"/>
    <x v="4"/>
    <x v="2"/>
    <n v="22425.89"/>
    <n v="19728.689999999999"/>
    <n v="139.85"/>
    <n v="579.96"/>
    <x v="4981"/>
    <x v="0"/>
  </r>
  <r>
    <x v="7"/>
    <x v="4"/>
    <x v="0"/>
    <n v="46466.94"/>
    <n v="46343.29"/>
    <n v="182.33"/>
    <n v="640.21"/>
    <x v="4982"/>
    <x v="0"/>
  </r>
  <r>
    <x v="10"/>
    <x v="4"/>
    <x v="0"/>
    <n v="18801.21"/>
    <n v="18488.3"/>
    <n v="55.01"/>
    <n v="927.52"/>
    <x v="4983"/>
    <x v="0"/>
  </r>
  <r>
    <x v="6"/>
    <x v="0"/>
    <x v="3"/>
    <n v="7902.76"/>
    <n v="8000.18"/>
    <n v="38.51"/>
    <n v="1355.35"/>
    <x v="4984"/>
    <x v="0"/>
  </r>
  <r>
    <x v="9"/>
    <x v="2"/>
    <x v="2"/>
    <n v="9821.36"/>
    <n v="8333.6"/>
    <n v="50.23"/>
    <n v="60.53"/>
    <x v="4985"/>
    <x v="1"/>
  </r>
  <r>
    <x v="12"/>
    <x v="1"/>
    <x v="5"/>
    <n v="21611.84"/>
    <n v="19333.919999999998"/>
    <n v="129.82"/>
    <n v="391.78"/>
    <x v="4986"/>
    <x v="1"/>
  </r>
  <r>
    <x v="2"/>
    <x v="0"/>
    <x v="2"/>
    <n v="18154.900000000001"/>
    <n v="16980.32"/>
    <n v="105"/>
    <n v="23.82"/>
    <x v="4987"/>
    <x v="0"/>
  </r>
  <r>
    <x v="11"/>
    <x v="0"/>
    <x v="0"/>
    <n v="44319.58"/>
    <n v="37349.47"/>
    <n v="113.72"/>
    <n v="1378.23"/>
    <x v="4988"/>
    <x v="0"/>
  </r>
  <r>
    <x v="7"/>
    <x v="1"/>
    <x v="4"/>
    <n v="3925.48"/>
    <n v="4499.38"/>
    <n v="47.21"/>
    <n v="79.180000000000007"/>
    <x v="4989"/>
    <x v="1"/>
  </r>
  <r>
    <x v="6"/>
    <x v="5"/>
    <x v="6"/>
    <n v="21794.85"/>
    <n v="22964.45"/>
    <n v="90.37"/>
    <n v="726.54"/>
    <x v="4990"/>
    <x v="0"/>
  </r>
  <r>
    <x v="3"/>
    <x v="0"/>
    <x v="4"/>
    <n v="26583.09"/>
    <n v="23562.82"/>
    <n v="125.57"/>
    <n v="571.09"/>
    <x v="4991"/>
    <x v="0"/>
  </r>
  <r>
    <x v="5"/>
    <x v="4"/>
    <x v="5"/>
    <n v="48984.17"/>
    <n v="49978.44"/>
    <n v="28.07"/>
    <n v="1380.08"/>
    <x v="4992"/>
    <x v="0"/>
  </r>
  <r>
    <x v="3"/>
    <x v="5"/>
    <x v="5"/>
    <n v="42126.64"/>
    <n v="36406.75"/>
    <n v="144.30000000000001"/>
    <n v="1138.46"/>
    <x v="4993"/>
    <x v="0"/>
  </r>
  <r>
    <x v="1"/>
    <x v="2"/>
    <x v="1"/>
    <n v="39980.400000000001"/>
    <n v="37618.449999999997"/>
    <n v="32.340000000000003"/>
    <n v="27.08"/>
    <x v="4994"/>
    <x v="1"/>
  </r>
  <r>
    <x v="3"/>
    <x v="5"/>
    <x v="3"/>
    <n v="47524.74"/>
    <n v="48058.400000000001"/>
    <n v="77.41"/>
    <n v="1087.46"/>
    <x v="4995"/>
    <x v="0"/>
  </r>
  <r>
    <x v="0"/>
    <x v="5"/>
    <x v="3"/>
    <n v="32337.72"/>
    <n v="32705.08"/>
    <n v="194.35"/>
    <n v="1336.32"/>
    <x v="4996"/>
    <x v="0"/>
  </r>
  <r>
    <x v="5"/>
    <x v="4"/>
    <x v="4"/>
    <n v="20640.96"/>
    <n v="22485.33"/>
    <n v="21.04"/>
    <n v="16.13"/>
    <x v="4997"/>
    <x v="0"/>
  </r>
  <r>
    <x v="0"/>
    <x v="5"/>
    <x v="3"/>
    <n v="26566.639999999999"/>
    <n v="29357.57"/>
    <n v="197.14"/>
    <n v="1086.17"/>
    <x v="4998"/>
    <x v="0"/>
  </r>
  <r>
    <x v="3"/>
    <x v="3"/>
    <x v="7"/>
    <n v="8860.27"/>
    <n v="7360.38"/>
    <n v="51.5"/>
    <n v="879.67"/>
    <x v="4999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x v="0"/>
    <s v="Bakery Items"/>
    <x v="0"/>
    <x v="0"/>
    <n v="581663.97000000009"/>
    <n v="2126.9100000000003"/>
    <n v="12247.11"/>
    <n v="19390408.716868363"/>
  </r>
  <r>
    <x v="0"/>
    <s v="Bakery Items"/>
    <x v="1"/>
    <x v="1"/>
    <n v="265337.64"/>
    <n v="690.07"/>
    <n v="7592.6299999999992"/>
    <n v="9127281.0028149262"/>
  </r>
  <r>
    <x v="0"/>
    <s v="Beverages"/>
    <x v="0"/>
    <x v="2"/>
    <n v="436797.31999999995"/>
    <n v="2129.4699999999998"/>
    <n v="11640.349999999999"/>
    <n v="17406492.447938364"/>
  </r>
  <r>
    <x v="0"/>
    <s v="Beverages"/>
    <x v="1"/>
    <x v="3"/>
    <n v="175753.18000000002"/>
    <n v="818.78000000000009"/>
    <n v="5008.43"/>
    <n v="9065318.98210462"/>
  </r>
  <r>
    <x v="0"/>
    <s v="Dairy Products"/>
    <x v="0"/>
    <x v="4"/>
    <n v="198329.24"/>
    <n v="1303.49"/>
    <n v="9223.7999999999993"/>
    <n v="11207293.782044146"/>
  </r>
  <r>
    <x v="0"/>
    <s v="Dairy Products"/>
    <x v="1"/>
    <x v="5"/>
    <n v="244267.94999999995"/>
    <n v="1291.7600000000002"/>
    <n v="6355.38"/>
    <n v="10114469.76502387"/>
  </r>
  <r>
    <x v="0"/>
    <s v="Frozen Food"/>
    <x v="0"/>
    <x v="6"/>
    <n v="359851.24"/>
    <n v="1658.12"/>
    <n v="16362.53"/>
    <n v="17437937.75583493"/>
  </r>
  <r>
    <x v="0"/>
    <s v="Frozen Food"/>
    <x v="1"/>
    <x v="7"/>
    <n v="478195.23"/>
    <n v="2397.9599999999991"/>
    <n v="12074.240000000002"/>
    <n v="17194740.980815239"/>
  </r>
  <r>
    <x v="0"/>
    <s v="Fruits &amp; Vegetables"/>
    <x v="0"/>
    <x v="8"/>
    <n v="575843.53"/>
    <n v="1742.89"/>
    <n v="11793.01"/>
    <n v="18624962.078152731"/>
  </r>
  <r>
    <x v="0"/>
    <s v="Fruits &amp; Vegetables"/>
    <x v="1"/>
    <x v="9"/>
    <n v="468510.18"/>
    <n v="1588.52"/>
    <n v="10900.069999999998"/>
    <n v="13924253.086924277"/>
  </r>
  <r>
    <x v="0"/>
    <s v="Grains &amp; Cereals"/>
    <x v="0"/>
    <x v="10"/>
    <n v="445602.14999999991"/>
    <n v="2102.1799999999998"/>
    <n v="13650.100000000002"/>
    <n v="18400652.611703683"/>
  </r>
  <r>
    <x v="0"/>
    <s v="Grains &amp; Cereals"/>
    <x v="1"/>
    <x v="11"/>
    <n v="138593.94"/>
    <n v="1178.9000000000001"/>
    <n v="5351.63"/>
    <n v="9297618.132046517"/>
  </r>
  <r>
    <x v="0"/>
    <s v="Meat &amp; Seafood"/>
    <x v="0"/>
    <x v="12"/>
    <n v="698618.3"/>
    <n v="2559.4399999999996"/>
    <n v="14315.010000000004"/>
    <n v="22398536.985206384"/>
  </r>
  <r>
    <x v="0"/>
    <s v="Meat &amp; Seafood"/>
    <x v="1"/>
    <x v="13"/>
    <n v="120389.1"/>
    <n v="753.28"/>
    <n v="4989.1499999999996"/>
    <n v="6928304.6061113644"/>
  </r>
  <r>
    <x v="0"/>
    <s v="Prepared Food"/>
    <x v="0"/>
    <x v="14"/>
    <n v="663806.2300000001"/>
    <n v="2298.5800000000004"/>
    <n v="17372.759999999998"/>
    <n v="25158920.625539154"/>
  </r>
  <r>
    <x v="0"/>
    <s v="Prepared Food"/>
    <x v="1"/>
    <x v="15"/>
    <n v="281326.74000000005"/>
    <n v="1493.2799999999997"/>
    <n v="8287.4499999999989"/>
    <n v="13484311.094791267"/>
  </r>
  <r>
    <x v="1"/>
    <s v="Bakery Items"/>
    <x v="0"/>
    <x v="16"/>
    <n v="334199.51000000007"/>
    <n v="1344.03"/>
    <n v="7036.09"/>
    <n v="12704658.853507647"/>
  </r>
  <r>
    <x v="1"/>
    <s v="Bakery Items"/>
    <x v="1"/>
    <x v="17"/>
    <n v="478674.35999999993"/>
    <n v="2029.6200000000001"/>
    <n v="13116.08"/>
    <n v="16843781.872527063"/>
  </r>
  <r>
    <x v="1"/>
    <s v="Beverages"/>
    <x v="0"/>
    <x v="18"/>
    <n v="372094.89"/>
    <n v="1754.9399999999996"/>
    <n v="8966.4"/>
    <n v="15123606.665365092"/>
  </r>
  <r>
    <x v="1"/>
    <s v="Beverages"/>
    <x v="1"/>
    <x v="19"/>
    <n v="219273.83"/>
    <n v="871.67999999999984"/>
    <n v="7761.4"/>
    <n v="9115581.6844113991"/>
  </r>
  <r>
    <x v="1"/>
    <s v="Dairy Products"/>
    <x v="0"/>
    <x v="20"/>
    <n v="485167.89999999991"/>
    <n v="1770.41"/>
    <n v="13026.630000000001"/>
    <n v="17873702.702752598"/>
  </r>
  <r>
    <x v="1"/>
    <s v="Dairy Products"/>
    <x v="1"/>
    <x v="21"/>
    <n v="304468.91999999993"/>
    <n v="1290.6300000000001"/>
    <n v="8027.07"/>
    <n v="11116794.65980904"/>
  </r>
  <r>
    <x v="1"/>
    <s v="Frozen Food"/>
    <x v="0"/>
    <x v="22"/>
    <n v="376381.51999999996"/>
    <n v="1502.5600000000002"/>
    <n v="10559.97"/>
    <n v="15249927.688332576"/>
  </r>
  <r>
    <x v="1"/>
    <s v="Frozen Food"/>
    <x v="1"/>
    <x v="23"/>
    <n v="366308.76000000007"/>
    <n v="1264.5699999999997"/>
    <n v="7733.91"/>
    <n v="11407087.890390735"/>
  </r>
  <r>
    <x v="1"/>
    <s v="Fruits &amp; Vegetables"/>
    <x v="0"/>
    <x v="24"/>
    <n v="325732.26999999996"/>
    <n v="1701.49"/>
    <n v="12007.869999999999"/>
    <n v="16738438.252768775"/>
  </r>
  <r>
    <x v="1"/>
    <s v="Fruits &amp; Vegetables"/>
    <x v="1"/>
    <x v="25"/>
    <n v="511790.25999999989"/>
    <n v="2073.7200000000003"/>
    <n v="10572.009999999998"/>
    <n v="16130349.784509134"/>
  </r>
  <r>
    <x v="1"/>
    <s v="Grains &amp; Cereals"/>
    <x v="0"/>
    <x v="26"/>
    <n v="443171.46000000008"/>
    <n v="1663.95"/>
    <n v="9468.98"/>
    <n v="16152257.686751211"/>
  </r>
  <r>
    <x v="1"/>
    <s v="Grains &amp; Cereals"/>
    <x v="1"/>
    <x v="27"/>
    <n v="341934.83999999997"/>
    <n v="1833.3799999999999"/>
    <n v="10534.14"/>
    <n v="13291536.650552748"/>
  </r>
  <r>
    <x v="1"/>
    <s v="Meat &amp; Seafood"/>
    <x v="0"/>
    <x v="28"/>
    <n v="375571.76"/>
    <n v="1604.54"/>
    <n v="11224"/>
    <n v="16294712.264888605"/>
  </r>
  <r>
    <x v="1"/>
    <s v="Meat &amp; Seafood"/>
    <x v="1"/>
    <x v="29"/>
    <n v="220309.97999999998"/>
    <n v="1267.6399999999999"/>
    <n v="7519.0700000000006"/>
    <n v="9515124.1949635725"/>
  </r>
  <r>
    <x v="1"/>
    <s v="Prepared Food"/>
    <x v="0"/>
    <x v="30"/>
    <n v="493314.33999999997"/>
    <n v="1525.69"/>
    <n v="14372.62"/>
    <n v="19187572.074590821"/>
  </r>
  <r>
    <x v="1"/>
    <s v="Prepared Food"/>
    <x v="1"/>
    <x v="31"/>
    <n v="279394.51"/>
    <n v="1012.03"/>
    <n v="4206.79"/>
    <n v="10056945.339944875"/>
  </r>
  <r>
    <x v="2"/>
    <s v="Bakery Items"/>
    <x v="0"/>
    <x v="32"/>
    <n v="448301.86"/>
    <n v="1990.47"/>
    <n v="13604.049999999997"/>
    <n v="18021526.051040709"/>
  </r>
  <r>
    <x v="2"/>
    <s v="Bakery Items"/>
    <x v="1"/>
    <x v="33"/>
    <n v="352279.66"/>
    <n v="1101.98"/>
    <n v="10480.029999999999"/>
    <n v="13991554.673583178"/>
  </r>
  <r>
    <x v="2"/>
    <s v="Beverages"/>
    <x v="0"/>
    <x v="34"/>
    <n v="614596.85"/>
    <n v="2337.6"/>
    <n v="17232.480000000003"/>
    <n v="23339424.852473695"/>
  </r>
  <r>
    <x v="2"/>
    <s v="Beverages"/>
    <x v="1"/>
    <x v="35"/>
    <n v="133910.04"/>
    <n v="466.88"/>
    <n v="1910.09"/>
    <n v="3744001.2008570833"/>
  </r>
  <r>
    <x v="2"/>
    <s v="Dairy Products"/>
    <x v="0"/>
    <x v="36"/>
    <n v="298550.36"/>
    <n v="1460.15"/>
    <n v="9229.8799999999992"/>
    <n v="14204414.009519931"/>
  </r>
  <r>
    <x v="2"/>
    <s v="Dairy Products"/>
    <x v="1"/>
    <x v="37"/>
    <n v="402582.81"/>
    <n v="2023.93"/>
    <n v="12718.689999999999"/>
    <n v="17503992.834353156"/>
  </r>
  <r>
    <x v="2"/>
    <s v="Frozen Food"/>
    <x v="0"/>
    <x v="38"/>
    <n v="442299.6"/>
    <n v="2176.89"/>
    <n v="10705.46"/>
    <n v="19257746.595366716"/>
  </r>
  <r>
    <x v="2"/>
    <s v="Frozen Food"/>
    <x v="1"/>
    <x v="39"/>
    <n v="281122.8"/>
    <n v="1293.1100000000001"/>
    <n v="5718.0800000000008"/>
    <n v="10374608.726592189"/>
  </r>
  <r>
    <x v="2"/>
    <s v="Fruits &amp; Vegetables"/>
    <x v="0"/>
    <x v="40"/>
    <n v="479591.54"/>
    <n v="2479.3900000000003"/>
    <n v="14623.189999999999"/>
    <n v="21919968.933696222"/>
  </r>
  <r>
    <x v="2"/>
    <s v="Fruits &amp; Vegetables"/>
    <x v="1"/>
    <x v="41"/>
    <n v="320729.64"/>
    <n v="1449.6899999999998"/>
    <n v="10172.049999999999"/>
    <n v="13648145.545979924"/>
  </r>
  <r>
    <x v="2"/>
    <s v="Grains &amp; Cereals"/>
    <x v="0"/>
    <x v="42"/>
    <n v="380106.39"/>
    <n v="1739.4400000000003"/>
    <n v="12150.460000000001"/>
    <n v="17549969.830454733"/>
  </r>
  <r>
    <x v="2"/>
    <s v="Grains &amp; Cereals"/>
    <x v="1"/>
    <x v="43"/>
    <n v="352668.07000000007"/>
    <n v="1392.51"/>
    <n v="10037.26"/>
    <n v="13373570.81163867"/>
  </r>
  <r>
    <x v="2"/>
    <s v="Meat &amp; Seafood"/>
    <x v="0"/>
    <x v="44"/>
    <n v="290134.12"/>
    <n v="1289.0500000000002"/>
    <n v="7955.6500000000005"/>
    <n v="11295032.846104272"/>
  </r>
  <r>
    <x v="2"/>
    <s v="Meat &amp; Seafood"/>
    <x v="1"/>
    <x v="45"/>
    <n v="336843.24999999994"/>
    <n v="1727.58"/>
    <n v="12116.670000000002"/>
    <n v="15532636.513394991"/>
  </r>
  <r>
    <x v="2"/>
    <s v="Prepared Food"/>
    <x v="0"/>
    <x v="46"/>
    <n v="639197.71"/>
    <n v="2652"/>
    <n v="16610.579999999998"/>
    <n v="23377974.564856697"/>
  </r>
  <r>
    <x v="2"/>
    <s v="Prepared Food"/>
    <x v="1"/>
    <x v="47"/>
    <n v="522677.48999999993"/>
    <n v="2216.4699999999998"/>
    <n v="14200.359999999999"/>
    <n v="18707554.754379112"/>
  </r>
  <r>
    <x v="3"/>
    <s v="Bakery Items"/>
    <x v="0"/>
    <x v="48"/>
    <n v="713120.74"/>
    <n v="2762.0799999999995"/>
    <n v="17604.159999999996"/>
    <n v="24626724.563089024"/>
  </r>
  <r>
    <x v="3"/>
    <s v="Bakery Items"/>
    <x v="1"/>
    <x v="49"/>
    <n v="436446.93000000005"/>
    <n v="1693.15"/>
    <n v="9338.2500000000018"/>
    <n v="14927993.139409386"/>
  </r>
  <r>
    <x v="3"/>
    <s v="Beverages"/>
    <x v="0"/>
    <x v="50"/>
    <n v="572168.87"/>
    <n v="2880.5600000000004"/>
    <n v="17916.170000000002"/>
    <n v="24326047.44076737"/>
  </r>
  <r>
    <x v="3"/>
    <s v="Beverages"/>
    <x v="1"/>
    <x v="51"/>
    <n v="211284.77000000002"/>
    <n v="1075.92"/>
    <n v="9256.7300000000014"/>
    <n v="9538553.4161869474"/>
  </r>
  <r>
    <x v="3"/>
    <s v="Dairy Products"/>
    <x v="0"/>
    <x v="52"/>
    <n v="642360.79"/>
    <n v="2054.6800000000003"/>
    <n v="14406.34"/>
    <n v="18208610.559616394"/>
  </r>
  <r>
    <x v="3"/>
    <s v="Dairy Products"/>
    <x v="1"/>
    <x v="53"/>
    <n v="475710.27"/>
    <n v="1876.66"/>
    <n v="12398.950000000003"/>
    <n v="18430364.691180941"/>
  </r>
  <r>
    <x v="3"/>
    <s v="Frozen Food"/>
    <x v="0"/>
    <x v="54"/>
    <n v="368191.54000000004"/>
    <n v="2060.6400000000003"/>
    <n v="13263.849999999997"/>
    <n v="18257211.93673265"/>
  </r>
  <r>
    <x v="3"/>
    <s v="Frozen Food"/>
    <x v="1"/>
    <x v="55"/>
    <n v="144452.54"/>
    <n v="768.29"/>
    <n v="4522.8700000000008"/>
    <n v="7343028.7767149955"/>
  </r>
  <r>
    <x v="3"/>
    <s v="Fruits &amp; Vegetables"/>
    <x v="0"/>
    <x v="56"/>
    <n v="391524.98999999993"/>
    <n v="1654.0599999999997"/>
    <n v="10874.470000000003"/>
    <n v="15424232.053769285"/>
  </r>
  <r>
    <x v="3"/>
    <s v="Fruits &amp; Vegetables"/>
    <x v="1"/>
    <x v="57"/>
    <n v="305123.44"/>
    <n v="1187.48"/>
    <n v="9726.0600000000013"/>
    <n v="12578453.101814171"/>
  </r>
  <r>
    <x v="3"/>
    <s v="Grains &amp; Cereals"/>
    <x v="0"/>
    <x v="58"/>
    <n v="336972"/>
    <n v="1368.0900000000001"/>
    <n v="8591.4"/>
    <n v="11819622.059886705"/>
  </r>
  <r>
    <x v="3"/>
    <s v="Grains &amp; Cereals"/>
    <x v="1"/>
    <x v="59"/>
    <n v="389555.48"/>
    <n v="1315.6900000000003"/>
    <n v="11011.66"/>
    <n v="13591869.556414779"/>
  </r>
  <r>
    <x v="3"/>
    <s v="Meat &amp; Seafood"/>
    <x v="0"/>
    <x v="60"/>
    <n v="598200.64"/>
    <n v="2354.27"/>
    <n v="14492.070000000002"/>
    <n v="22282296.554239303"/>
  </r>
  <r>
    <x v="3"/>
    <s v="Meat &amp; Seafood"/>
    <x v="1"/>
    <x v="61"/>
    <n v="399212.28999999992"/>
    <n v="1845.5800000000002"/>
    <n v="11915.219999999998"/>
    <n v="14333103.956043437"/>
  </r>
  <r>
    <x v="3"/>
    <s v="Prepared Food"/>
    <x v="0"/>
    <x v="62"/>
    <n v="482016.50000000006"/>
    <n v="1735.42"/>
    <n v="10274.4"/>
    <n v="17437297.375682414"/>
  </r>
  <r>
    <x v="3"/>
    <s v="Prepared Food"/>
    <x v="1"/>
    <x v="63"/>
    <n v="327559.37"/>
    <n v="1388.9"/>
    <n v="9471.82"/>
    <n v="11564128.443089444"/>
  </r>
  <r>
    <x v="4"/>
    <s v="Bakery Items"/>
    <x v="0"/>
    <x v="64"/>
    <n v="470905.12"/>
    <n v="2696.9100000000008"/>
    <n v="14401.949999999999"/>
    <n v="21267010.73518458"/>
  </r>
  <r>
    <x v="4"/>
    <s v="Bakery Items"/>
    <x v="1"/>
    <x v="65"/>
    <n v="253868.00000000003"/>
    <n v="1305.6199999999999"/>
    <n v="12434.87"/>
    <n v="12892345.662324606"/>
  </r>
  <r>
    <x v="4"/>
    <s v="Beverages"/>
    <x v="0"/>
    <x v="66"/>
    <n v="320145.23999999993"/>
    <n v="1241.1599999999999"/>
    <n v="11492.58"/>
    <n v="12794708.678559067"/>
  </r>
  <r>
    <x v="4"/>
    <s v="Beverages"/>
    <x v="1"/>
    <x v="67"/>
    <n v="333103.76999999996"/>
    <n v="1430.2300000000002"/>
    <n v="8352.3700000000008"/>
    <n v="12527349.771168785"/>
  </r>
  <r>
    <x v="4"/>
    <s v="Dairy Products"/>
    <x v="0"/>
    <x v="68"/>
    <n v="506917.24"/>
    <n v="2292.8000000000002"/>
    <n v="17082.440000000002"/>
    <n v="19524063.797843762"/>
  </r>
  <r>
    <x v="4"/>
    <s v="Dairy Products"/>
    <x v="1"/>
    <x v="69"/>
    <n v="346003.06"/>
    <n v="1377.7500000000002"/>
    <n v="6610.8899999999994"/>
    <n v="12253813.981514527"/>
  </r>
  <r>
    <x v="4"/>
    <s v="Frozen Food"/>
    <x v="0"/>
    <x v="70"/>
    <n v="467632.62999999995"/>
    <n v="1801.1699999999998"/>
    <n v="13807.7"/>
    <n v="18071674.64785561"/>
  </r>
  <r>
    <x v="4"/>
    <s v="Frozen Food"/>
    <x v="1"/>
    <x v="71"/>
    <n v="448794.43999999994"/>
    <n v="1889.4099999999999"/>
    <n v="9547.51"/>
    <n v="16681127.163488338"/>
  </r>
  <r>
    <x v="4"/>
    <s v="Fruits &amp; Vegetables"/>
    <x v="0"/>
    <x v="72"/>
    <n v="506588.66999999993"/>
    <n v="2487.4799999999996"/>
    <n v="14118.990000000002"/>
    <n v="21642369.767064121"/>
  </r>
  <r>
    <x v="4"/>
    <s v="Fruits &amp; Vegetables"/>
    <x v="1"/>
    <x v="73"/>
    <n v="247994.95"/>
    <n v="990.58999999999992"/>
    <n v="8237.11"/>
    <n v="10431004.1981968"/>
  </r>
  <r>
    <x v="4"/>
    <s v="Grains &amp; Cereals"/>
    <x v="0"/>
    <x v="74"/>
    <n v="723485.08000000007"/>
    <n v="3000.06"/>
    <n v="19218.79"/>
    <n v="25300950.369554516"/>
  </r>
  <r>
    <x v="4"/>
    <s v="Grains &amp; Cereals"/>
    <x v="1"/>
    <x v="75"/>
    <n v="142573.91999999998"/>
    <n v="517.87"/>
    <n v="3101.24"/>
    <n v="5243277.4569709012"/>
  </r>
  <r>
    <x v="4"/>
    <s v="Meat &amp; Seafood"/>
    <x v="0"/>
    <x v="76"/>
    <n v="587123.14000000013"/>
    <n v="2966.7699999999995"/>
    <n v="16514.86"/>
    <n v="28012735.94748899"/>
  </r>
  <r>
    <x v="4"/>
    <s v="Meat &amp; Seafood"/>
    <x v="1"/>
    <x v="77"/>
    <n v="362545.61000000004"/>
    <n v="1614.1200000000001"/>
    <n v="8532.6099999999988"/>
    <n v="15154107.546140125"/>
  </r>
  <r>
    <x v="4"/>
    <s v="Prepared Food"/>
    <x v="0"/>
    <x v="78"/>
    <n v="513925.66000000003"/>
    <n v="2210.5600000000004"/>
    <n v="20575.04"/>
    <n v="23352050.488499213"/>
  </r>
  <r>
    <x v="4"/>
    <s v="Prepared Food"/>
    <x v="1"/>
    <x v="79"/>
    <n v="289217.03000000003"/>
    <n v="1275.6100000000001"/>
    <n v="6882.3700000000008"/>
    <n v="10931266.11558976"/>
  </r>
  <r>
    <x v="5"/>
    <s v="Bakery Items"/>
    <x v="0"/>
    <x v="80"/>
    <n v="339237.64"/>
    <n v="1398.73"/>
    <n v="8599.58"/>
    <n v="14006245.673473971"/>
  </r>
  <r>
    <x v="5"/>
    <s v="Bakery Items"/>
    <x v="1"/>
    <x v="81"/>
    <n v="303993.39"/>
    <n v="1607.47"/>
    <n v="10093.650000000001"/>
    <n v="13507942.576274516"/>
  </r>
  <r>
    <x v="5"/>
    <s v="Beverages"/>
    <x v="0"/>
    <x v="82"/>
    <n v="580150.24"/>
    <n v="2389.0700000000002"/>
    <n v="18224.439999999999"/>
    <n v="23805516.511515323"/>
  </r>
  <r>
    <x v="5"/>
    <s v="Beverages"/>
    <x v="1"/>
    <x v="83"/>
    <n v="271882.33999999997"/>
    <n v="1018.2900000000001"/>
    <n v="7074.2599999999993"/>
    <n v="9401180.9563360084"/>
  </r>
  <r>
    <x v="5"/>
    <s v="Dairy Products"/>
    <x v="0"/>
    <x v="84"/>
    <n v="459180.56000000006"/>
    <n v="2292.6999999999998"/>
    <n v="12926.850000000002"/>
    <n v="16885115.438915495"/>
  </r>
  <r>
    <x v="5"/>
    <s v="Dairy Products"/>
    <x v="1"/>
    <x v="85"/>
    <n v="464118.93"/>
    <n v="2180.1"/>
    <n v="14168.67"/>
    <n v="17634508.380714349"/>
  </r>
  <r>
    <x v="5"/>
    <s v="Frozen Food"/>
    <x v="0"/>
    <x v="86"/>
    <n v="544881.97"/>
    <n v="1696.0800000000002"/>
    <n v="10543.980000000001"/>
    <n v="15891312.077471402"/>
  </r>
  <r>
    <x v="5"/>
    <s v="Frozen Food"/>
    <x v="1"/>
    <x v="87"/>
    <n v="334238.28000000003"/>
    <n v="1367.4"/>
    <n v="8723.9499999999989"/>
    <n v="13361959.732087545"/>
  </r>
  <r>
    <x v="5"/>
    <s v="Fruits &amp; Vegetables"/>
    <x v="0"/>
    <x v="88"/>
    <n v="257146.63999999996"/>
    <n v="1143.9699999999998"/>
    <n v="6304.0399999999991"/>
    <n v="11231585.813487124"/>
  </r>
  <r>
    <x v="5"/>
    <s v="Fruits &amp; Vegetables"/>
    <x v="1"/>
    <x v="89"/>
    <n v="371336.18000000011"/>
    <n v="1308.9199999999998"/>
    <n v="11783.36"/>
    <n v="13828479.169242168"/>
  </r>
  <r>
    <x v="5"/>
    <s v="Grains &amp; Cereals"/>
    <x v="0"/>
    <x v="90"/>
    <n v="366540.24999999994"/>
    <n v="1917.5799999999997"/>
    <n v="11315.199999999997"/>
    <n v="15702817.19849542"/>
  </r>
  <r>
    <x v="5"/>
    <s v="Grains &amp; Cereals"/>
    <x v="1"/>
    <x v="91"/>
    <n v="320566.75"/>
    <n v="1262.0800000000002"/>
    <n v="6577.2"/>
    <n v="12699319.656463422"/>
  </r>
  <r>
    <x v="5"/>
    <s v="Meat &amp; Seafood"/>
    <x v="0"/>
    <x v="92"/>
    <n v="484906.78"/>
    <n v="2099.12"/>
    <n v="9344.0899999999983"/>
    <n v="15701780.954923211"/>
  </r>
  <r>
    <x v="5"/>
    <s v="Meat &amp; Seafood"/>
    <x v="1"/>
    <x v="93"/>
    <n v="301394.34999999998"/>
    <n v="1141.51"/>
    <n v="9181.1200000000008"/>
    <n v="10990754.646602869"/>
  </r>
  <r>
    <x v="5"/>
    <s v="Prepared Food"/>
    <x v="0"/>
    <x v="94"/>
    <n v="435313.61"/>
    <n v="1734.2300000000002"/>
    <n v="12446.16"/>
    <n v="15670957.874570338"/>
  </r>
  <r>
    <x v="5"/>
    <s v="Prepared Food"/>
    <x v="1"/>
    <x v="95"/>
    <n v="409079.56"/>
    <n v="2197.0600000000004"/>
    <n v="11238.83"/>
    <n v="15041878.716951812"/>
  </r>
  <r>
    <x v="6"/>
    <s v="Bakery Items"/>
    <x v="0"/>
    <x v="96"/>
    <n v="559029.02"/>
    <n v="2663.0800000000004"/>
    <n v="18495.620000000003"/>
    <n v="24454644.602729209"/>
  </r>
  <r>
    <x v="6"/>
    <s v="Bakery Items"/>
    <x v="1"/>
    <x v="97"/>
    <n v="236270.22999999998"/>
    <n v="1369.03"/>
    <n v="7338.8600000000006"/>
    <n v="10234757.568303945"/>
  </r>
  <r>
    <x v="6"/>
    <s v="Beverages"/>
    <x v="0"/>
    <x v="98"/>
    <n v="598093.76000000013"/>
    <n v="3550.5"/>
    <n v="18835.82"/>
    <n v="28637995.008779995"/>
  </r>
  <r>
    <x v="6"/>
    <s v="Beverages"/>
    <x v="1"/>
    <x v="99"/>
    <n v="418488.91999999987"/>
    <n v="1823.7599999999998"/>
    <n v="12582.33"/>
    <n v="16536898.09107702"/>
  </r>
  <r>
    <x v="6"/>
    <s v="Dairy Products"/>
    <x v="0"/>
    <x v="100"/>
    <n v="533344.11"/>
    <n v="2748.61"/>
    <n v="16489.8"/>
    <n v="24195354.625108328"/>
  </r>
  <r>
    <x v="6"/>
    <s v="Dairy Products"/>
    <x v="1"/>
    <x v="101"/>
    <n v="217864.43000000002"/>
    <n v="1607.63"/>
    <n v="9947.4500000000007"/>
    <n v="11740337.473732453"/>
  </r>
  <r>
    <x v="6"/>
    <s v="Frozen Food"/>
    <x v="0"/>
    <x v="102"/>
    <n v="414382.7"/>
    <n v="2370.9600000000005"/>
    <n v="11002.9"/>
    <n v="16550979.19957724"/>
  </r>
  <r>
    <x v="6"/>
    <s v="Frozen Food"/>
    <x v="1"/>
    <x v="103"/>
    <n v="405789.08"/>
    <n v="1814.69"/>
    <n v="12798.93"/>
    <n v="18030117.724218119"/>
  </r>
  <r>
    <x v="6"/>
    <s v="Fruits &amp; Vegetables"/>
    <x v="0"/>
    <x v="104"/>
    <n v="600074.81999999995"/>
    <n v="2697.2799999999997"/>
    <n v="16034.730000000003"/>
    <n v="24320802.802966639"/>
  </r>
  <r>
    <x v="6"/>
    <s v="Fruits &amp; Vegetables"/>
    <x v="1"/>
    <x v="105"/>
    <n v="353531.94"/>
    <n v="1942.4400000000003"/>
    <n v="11362.3"/>
    <n v="17563787.554574687"/>
  </r>
  <r>
    <x v="6"/>
    <s v="Grains &amp; Cereals"/>
    <x v="0"/>
    <x v="106"/>
    <n v="572337.30000000005"/>
    <n v="1806.1"/>
    <n v="9272.4500000000007"/>
    <n v="18638556.577268083"/>
  </r>
  <r>
    <x v="6"/>
    <s v="Grains &amp; Cereals"/>
    <x v="1"/>
    <x v="107"/>
    <n v="213706.44"/>
    <n v="1006.3199999999999"/>
    <n v="6349.0499999999993"/>
    <n v="7884864.8660326824"/>
  </r>
  <r>
    <x v="6"/>
    <s v="Meat &amp; Seafood"/>
    <x v="0"/>
    <x v="108"/>
    <n v="384724.49"/>
    <n v="1797.6500000000003"/>
    <n v="14477.220000000003"/>
    <n v="16322862.873467661"/>
  </r>
  <r>
    <x v="6"/>
    <s v="Meat &amp; Seafood"/>
    <x v="1"/>
    <x v="109"/>
    <n v="195510.72999999998"/>
    <n v="1062.02"/>
    <n v="6849.31"/>
    <n v="9538343.2140406575"/>
  </r>
  <r>
    <x v="6"/>
    <s v="Prepared Food"/>
    <x v="0"/>
    <x v="110"/>
    <n v="438273.70999999996"/>
    <n v="2494.6299999999997"/>
    <n v="16004.510000000004"/>
    <n v="19833657.625923656"/>
  </r>
  <r>
    <x v="6"/>
    <s v="Prepared Food"/>
    <x v="1"/>
    <x v="111"/>
    <n v="589298.26"/>
    <n v="2459"/>
    <n v="13252.010000000002"/>
    <n v="21797611.824076913"/>
  </r>
  <r>
    <x v="7"/>
    <s v="Bakery Items"/>
    <x v="0"/>
    <x v="112"/>
    <n v="479837.24999999994"/>
    <n v="1468.0799999999997"/>
    <n v="11944.89"/>
    <n v="15448350.19263305"/>
  </r>
  <r>
    <x v="7"/>
    <s v="Bakery Items"/>
    <x v="1"/>
    <x v="113"/>
    <n v="308092.39999999997"/>
    <n v="1093.3899999999999"/>
    <n v="8643.619999999999"/>
    <n v="11755547.420759834"/>
  </r>
  <r>
    <x v="7"/>
    <s v="Beverages"/>
    <x v="0"/>
    <x v="114"/>
    <n v="693920.20000000019"/>
    <n v="3030.8099999999995"/>
    <n v="21397.08"/>
    <n v="26160531.36019738"/>
  </r>
  <r>
    <x v="7"/>
    <s v="Beverages"/>
    <x v="1"/>
    <x v="115"/>
    <n v="451662.18000000005"/>
    <n v="1529.13"/>
    <n v="10188.240000000002"/>
    <n v="17636718.771988653"/>
  </r>
  <r>
    <x v="7"/>
    <s v="Dairy Products"/>
    <x v="0"/>
    <x v="116"/>
    <n v="510880.69999999995"/>
    <n v="2671.6800000000003"/>
    <n v="14891.55"/>
    <n v="22193389.849286638"/>
  </r>
  <r>
    <x v="7"/>
    <s v="Dairy Products"/>
    <x v="1"/>
    <x v="117"/>
    <n v="184291.33"/>
    <n v="748.03000000000009"/>
    <n v="4159.5399999999991"/>
    <n v="7928685.5724511938"/>
  </r>
  <r>
    <x v="7"/>
    <s v="Frozen Food"/>
    <x v="0"/>
    <x v="118"/>
    <n v="537036.9"/>
    <n v="2121.2199999999998"/>
    <n v="14046.94"/>
    <n v="19397595.562777545"/>
  </r>
  <r>
    <x v="7"/>
    <s v="Frozen Food"/>
    <x v="1"/>
    <x v="119"/>
    <n v="282608.98000000004"/>
    <n v="1425.06"/>
    <n v="10009.619999999999"/>
    <n v="12786820.663211877"/>
  </r>
  <r>
    <x v="7"/>
    <s v="Fruits &amp; Vegetables"/>
    <x v="0"/>
    <x v="120"/>
    <n v="516216.67000000004"/>
    <n v="2596.73"/>
    <n v="15063.150000000005"/>
    <n v="22620595.061109945"/>
  </r>
  <r>
    <x v="7"/>
    <s v="Fruits &amp; Vegetables"/>
    <x v="1"/>
    <x v="121"/>
    <n v="336582.14999999997"/>
    <n v="1648.21"/>
    <n v="9262.08"/>
    <n v="13508113.592468407"/>
  </r>
  <r>
    <x v="7"/>
    <s v="Grains &amp; Cereals"/>
    <x v="0"/>
    <x v="122"/>
    <n v="303648.61"/>
    <n v="2099.2099999999996"/>
    <n v="12915.340000000002"/>
    <n v="17486884.626143154"/>
  </r>
  <r>
    <x v="7"/>
    <s v="Grains &amp; Cereals"/>
    <x v="1"/>
    <x v="123"/>
    <n v="211199.65"/>
    <n v="1029.07"/>
    <n v="7267.85"/>
    <n v="9020101.19330265"/>
  </r>
  <r>
    <x v="7"/>
    <s v="Meat &amp; Seafood"/>
    <x v="0"/>
    <x v="124"/>
    <n v="434802.4"/>
    <n v="1828.8999999999999"/>
    <n v="13506.140000000001"/>
    <n v="18379685.157184225"/>
  </r>
  <r>
    <x v="7"/>
    <s v="Meat &amp; Seafood"/>
    <x v="1"/>
    <x v="125"/>
    <n v="270656.74000000005"/>
    <n v="965.8"/>
    <n v="4306.32"/>
    <n v="8257420.7681241184"/>
  </r>
  <r>
    <x v="7"/>
    <s v="Prepared Food"/>
    <x v="0"/>
    <x v="126"/>
    <n v="433155.61000000004"/>
    <n v="1962.0100000000002"/>
    <n v="12280.82"/>
    <n v="18064494.856729072"/>
  </r>
  <r>
    <x v="7"/>
    <s v="Prepared Food"/>
    <x v="1"/>
    <x v="127"/>
    <n v="305757.37"/>
    <n v="1773.7599999999998"/>
    <n v="10366.23"/>
    <n v="16211595.297967531"/>
  </r>
  <r>
    <x v="8"/>
    <s v="Bakery Items"/>
    <x v="0"/>
    <x v="128"/>
    <n v="306277.05000000005"/>
    <n v="1316.54"/>
    <n v="8025.29"/>
    <n v="12142262.087510489"/>
  </r>
  <r>
    <x v="8"/>
    <s v="Bakery Items"/>
    <x v="1"/>
    <x v="129"/>
    <n v="413083.99000000011"/>
    <n v="2050.5399999999995"/>
    <n v="12088.720000000001"/>
    <n v="18107709.775005102"/>
  </r>
  <r>
    <x v="8"/>
    <s v="Beverages"/>
    <x v="0"/>
    <x v="130"/>
    <n v="649296.18000000005"/>
    <n v="2192.9599999999996"/>
    <n v="15493.650000000001"/>
    <n v="22646483.604957435"/>
  </r>
  <r>
    <x v="8"/>
    <s v="Beverages"/>
    <x v="1"/>
    <x v="131"/>
    <n v="476234.19999999995"/>
    <n v="1714.9600000000005"/>
    <n v="12412.21"/>
    <n v="17348440.317123152"/>
  </r>
  <r>
    <x v="8"/>
    <s v="Dairy Products"/>
    <x v="0"/>
    <x v="132"/>
    <n v="556882.25000000012"/>
    <n v="1657.93"/>
    <n v="12582.900000000001"/>
    <n v="18734786.826730009"/>
  </r>
  <r>
    <x v="8"/>
    <s v="Dairy Products"/>
    <x v="1"/>
    <x v="133"/>
    <n v="336563.04000000004"/>
    <n v="1496.71"/>
    <n v="9946.64"/>
    <n v="14741028.669060556"/>
  </r>
  <r>
    <x v="8"/>
    <s v="Frozen Food"/>
    <x v="0"/>
    <x v="134"/>
    <n v="424310.12999999989"/>
    <n v="1785.6100000000001"/>
    <n v="12919.530000000002"/>
    <n v="14781214.994067917"/>
  </r>
  <r>
    <x v="8"/>
    <s v="Frozen Food"/>
    <x v="1"/>
    <x v="135"/>
    <n v="322297.64"/>
    <n v="1146.75"/>
    <n v="8445.8599999999988"/>
    <n v="12878496.136110421"/>
  </r>
  <r>
    <x v="8"/>
    <s v="Fruits &amp; Vegetables"/>
    <x v="0"/>
    <x v="136"/>
    <n v="484634.93"/>
    <n v="1632.8700000000001"/>
    <n v="11598.359999999997"/>
    <n v="17356471.843793057"/>
  </r>
  <r>
    <x v="8"/>
    <s v="Fruits &amp; Vegetables"/>
    <x v="1"/>
    <x v="137"/>
    <n v="284835.65999999997"/>
    <n v="1451.85"/>
    <n v="8724.0899999999983"/>
    <n v="13953358.637303935"/>
  </r>
  <r>
    <x v="8"/>
    <s v="Grains &amp; Cereals"/>
    <x v="0"/>
    <x v="138"/>
    <n v="281837.58999999997"/>
    <n v="1185.08"/>
    <n v="5711.64"/>
    <n v="11552854.352040473"/>
  </r>
  <r>
    <x v="8"/>
    <s v="Grains &amp; Cereals"/>
    <x v="1"/>
    <x v="139"/>
    <n v="247449.38"/>
    <n v="1094.4200000000003"/>
    <n v="6868.2100000000009"/>
    <n v="9178436.696171049"/>
  </r>
  <r>
    <x v="8"/>
    <s v="Meat &amp; Seafood"/>
    <x v="0"/>
    <x v="140"/>
    <n v="323040.31"/>
    <n v="2256.84"/>
    <n v="12258.07"/>
    <n v="16186046.141192663"/>
  </r>
  <r>
    <x v="8"/>
    <s v="Meat &amp; Seafood"/>
    <x v="1"/>
    <x v="141"/>
    <n v="479776.91000000003"/>
    <n v="1847.39"/>
    <n v="12424.33"/>
    <n v="15798567.108224344"/>
  </r>
  <r>
    <x v="8"/>
    <s v="Prepared Food"/>
    <x v="0"/>
    <x v="142"/>
    <n v="443197.30999999994"/>
    <n v="1727.95"/>
    <n v="13353.929999999998"/>
    <n v="16684074.696203979"/>
  </r>
  <r>
    <x v="8"/>
    <s v="Prepared Food"/>
    <x v="1"/>
    <x v="143"/>
    <n v="246039.11"/>
    <n v="1021.32"/>
    <n v="7324.02"/>
    <n v="9393715.100583639"/>
  </r>
  <r>
    <x v="9"/>
    <s v="Bakery Items"/>
    <x v="0"/>
    <x v="144"/>
    <n v="367581.89"/>
    <n v="2133.2399999999998"/>
    <n v="13459.849999999999"/>
    <n v="18137560.012913004"/>
  </r>
  <r>
    <x v="9"/>
    <s v="Bakery Items"/>
    <x v="1"/>
    <x v="145"/>
    <n v="391993.49"/>
    <n v="2008.6400000000003"/>
    <n v="10694.289999999997"/>
    <n v="15800898.696088843"/>
  </r>
  <r>
    <x v="9"/>
    <s v="Beverages"/>
    <x v="0"/>
    <x v="146"/>
    <n v="325144.15999999997"/>
    <n v="1678.21"/>
    <n v="8617.7199999999993"/>
    <n v="15265216.608350517"/>
  </r>
  <r>
    <x v="9"/>
    <s v="Beverages"/>
    <x v="1"/>
    <x v="147"/>
    <n v="350732.4"/>
    <n v="1579.9399999999998"/>
    <n v="9550.84"/>
    <n v="13580818.971257767"/>
  </r>
  <r>
    <x v="9"/>
    <s v="Dairy Products"/>
    <x v="0"/>
    <x v="148"/>
    <n v="498831.30000000005"/>
    <n v="2419.75"/>
    <n v="13393.590000000002"/>
    <n v="20205183.799470946"/>
  </r>
  <r>
    <x v="9"/>
    <s v="Dairy Products"/>
    <x v="1"/>
    <x v="149"/>
    <n v="382772.71000000008"/>
    <n v="1859.73"/>
    <n v="11785.29"/>
    <n v="15481878.762321614"/>
  </r>
  <r>
    <x v="9"/>
    <s v="Frozen Food"/>
    <x v="0"/>
    <x v="150"/>
    <n v="122227.98"/>
    <n v="679.06"/>
    <n v="5225.79"/>
    <n v="5846316.8213228835"/>
  </r>
  <r>
    <x v="9"/>
    <s v="Frozen Food"/>
    <x v="1"/>
    <x v="151"/>
    <n v="278572.15000000002"/>
    <n v="927.28000000000009"/>
    <n v="7886.04"/>
    <n v="9189778.9872285537"/>
  </r>
  <r>
    <x v="9"/>
    <s v="Fruits &amp; Vegetables"/>
    <x v="0"/>
    <x v="152"/>
    <n v="345307.04"/>
    <n v="1729.96"/>
    <n v="10313.16"/>
    <n v="13996882.902655968"/>
  </r>
  <r>
    <x v="9"/>
    <s v="Fruits &amp; Vegetables"/>
    <x v="1"/>
    <x v="153"/>
    <n v="409352.67000000004"/>
    <n v="1969.7799999999997"/>
    <n v="11957.35"/>
    <n v="18397169.95199725"/>
  </r>
  <r>
    <x v="9"/>
    <s v="Grains &amp; Cereals"/>
    <x v="0"/>
    <x v="154"/>
    <n v="374680.59"/>
    <n v="2009.5299999999997"/>
    <n v="13497.37"/>
    <n v="20968293.374177109"/>
  </r>
  <r>
    <x v="9"/>
    <s v="Grains &amp; Cereals"/>
    <x v="1"/>
    <x v="155"/>
    <n v="376202.86000000004"/>
    <n v="1482.4099999999999"/>
    <n v="10364.410000000002"/>
    <n v="15003609.164349495"/>
  </r>
  <r>
    <x v="9"/>
    <s v="Meat &amp; Seafood"/>
    <x v="0"/>
    <x v="156"/>
    <n v="568208.3899999999"/>
    <n v="2342.15"/>
    <n v="12130.09"/>
    <n v="21263487.984079141"/>
  </r>
  <r>
    <x v="9"/>
    <s v="Meat &amp; Seafood"/>
    <x v="1"/>
    <x v="157"/>
    <n v="402725.02000000008"/>
    <n v="1279.98"/>
    <n v="7856.0000000000009"/>
    <n v="11750533.393541031"/>
  </r>
  <r>
    <x v="9"/>
    <s v="Prepared Food"/>
    <x v="0"/>
    <x v="158"/>
    <n v="384736.54"/>
    <n v="1765.1100000000001"/>
    <n v="10928.109999999997"/>
    <n v="16631323.587126609"/>
  </r>
  <r>
    <x v="9"/>
    <s v="Prepared Food"/>
    <x v="1"/>
    <x v="159"/>
    <n v="627256.29999999993"/>
    <n v="2519.9"/>
    <n v="14804.91"/>
    <n v="23067094.150232419"/>
  </r>
  <r>
    <x v="10"/>
    <s v="Bakery Items"/>
    <x v="0"/>
    <x v="160"/>
    <n v="398823.63000000006"/>
    <n v="1985.8"/>
    <n v="12376.100000000002"/>
    <n v="17525298.780854251"/>
  </r>
  <r>
    <x v="10"/>
    <s v="Bakery Items"/>
    <x v="1"/>
    <x v="161"/>
    <n v="244805.93"/>
    <n v="1159.6200000000001"/>
    <n v="6164.8899999999994"/>
    <n v="7685793.8906725068"/>
  </r>
  <r>
    <x v="10"/>
    <s v="Beverages"/>
    <x v="0"/>
    <x v="162"/>
    <n v="749156.02000000014"/>
    <n v="2843.4900000000007"/>
    <n v="16660.470000000005"/>
    <n v="24978105.743244078"/>
  </r>
  <r>
    <x v="10"/>
    <s v="Beverages"/>
    <x v="1"/>
    <x v="163"/>
    <n v="355857.01"/>
    <n v="1019.44"/>
    <n v="7966.7599999999993"/>
    <n v="12388224.079090757"/>
  </r>
  <r>
    <x v="10"/>
    <s v="Dairy Products"/>
    <x v="0"/>
    <x v="164"/>
    <n v="348404.79999999993"/>
    <n v="1732.8799999999997"/>
    <n v="7102.1399999999985"/>
    <n v="14141773.266500385"/>
  </r>
  <r>
    <x v="10"/>
    <s v="Dairy Products"/>
    <x v="1"/>
    <x v="165"/>
    <n v="243467.61"/>
    <n v="1152.1299999999999"/>
    <n v="5231"/>
    <n v="9075939.2896530814"/>
  </r>
  <r>
    <x v="10"/>
    <s v="Frozen Food"/>
    <x v="0"/>
    <x v="166"/>
    <n v="380038.75000000006"/>
    <n v="2450.7000000000003"/>
    <n v="16076.67"/>
    <n v="21295798.883986555"/>
  </r>
  <r>
    <x v="10"/>
    <s v="Frozen Food"/>
    <x v="1"/>
    <x v="167"/>
    <n v="324786.55"/>
    <n v="1052.8900000000001"/>
    <n v="7552.19"/>
    <n v="11807255.675322911"/>
  </r>
  <r>
    <x v="10"/>
    <s v="Fruits &amp; Vegetables"/>
    <x v="0"/>
    <x v="168"/>
    <n v="263096.90999999997"/>
    <n v="1401.9999999999998"/>
    <n v="8677.32"/>
    <n v="11820398.012770733"/>
  </r>
  <r>
    <x v="10"/>
    <s v="Fruits &amp; Vegetables"/>
    <x v="1"/>
    <x v="169"/>
    <n v="330335.18999999994"/>
    <n v="1586.8"/>
    <n v="10219.529999999999"/>
    <n v="12960409.854291487"/>
  </r>
  <r>
    <x v="10"/>
    <s v="Grains &amp; Cereals"/>
    <x v="0"/>
    <x v="170"/>
    <n v="478613.17"/>
    <n v="2047.5799999999997"/>
    <n v="13136.939999999997"/>
    <n v="22175607.04573299"/>
  </r>
  <r>
    <x v="10"/>
    <s v="Grains &amp; Cereals"/>
    <x v="1"/>
    <x v="171"/>
    <n v="264345.78000000009"/>
    <n v="1472.2599999999998"/>
    <n v="12040.73"/>
    <n v="13395679.839406909"/>
  </r>
  <r>
    <x v="10"/>
    <s v="Meat &amp; Seafood"/>
    <x v="0"/>
    <x v="172"/>
    <n v="431236.61999999982"/>
    <n v="1656.27"/>
    <n v="13046.450000000003"/>
    <n v="15948003.447218437"/>
  </r>
  <r>
    <x v="10"/>
    <s v="Meat &amp; Seafood"/>
    <x v="1"/>
    <x v="173"/>
    <n v="267873.23"/>
    <n v="1220.5300000000002"/>
    <n v="6718.74"/>
    <n v="10105865.365323465"/>
  </r>
  <r>
    <x v="10"/>
    <s v="Prepared Food"/>
    <x v="0"/>
    <x v="174"/>
    <n v="551458.75"/>
    <n v="2285.6999999999998"/>
    <n v="17890.129999999997"/>
    <n v="23889427.07231776"/>
  </r>
  <r>
    <x v="10"/>
    <s v="Prepared Food"/>
    <x v="1"/>
    <x v="175"/>
    <n v="251663.23000000004"/>
    <n v="1186.7599999999998"/>
    <n v="5661.5500000000011"/>
    <n v="10285823.625303937"/>
  </r>
  <r>
    <x v="11"/>
    <s v="Bakery Items"/>
    <x v="0"/>
    <x v="176"/>
    <n v="360822.45000000007"/>
    <n v="1218.97"/>
    <n v="6625.34"/>
    <n v="11520222.377862705"/>
  </r>
  <r>
    <x v="11"/>
    <s v="Bakery Items"/>
    <x v="1"/>
    <x v="177"/>
    <n v="319380.27"/>
    <n v="1415.25"/>
    <n v="6669.4700000000012"/>
    <n v="11205598.942293046"/>
  </r>
  <r>
    <x v="11"/>
    <s v="Beverages"/>
    <x v="0"/>
    <x v="178"/>
    <n v="387302.97000000003"/>
    <n v="2188.4800000000005"/>
    <n v="13938.869999999999"/>
    <n v="19790825.040665187"/>
  </r>
  <r>
    <x v="11"/>
    <s v="Beverages"/>
    <x v="1"/>
    <x v="179"/>
    <n v="442459.42999999993"/>
    <n v="1893.44"/>
    <n v="14738.160000000002"/>
    <n v="17830066.815171916"/>
  </r>
  <r>
    <x v="11"/>
    <s v="Dairy Products"/>
    <x v="0"/>
    <x v="180"/>
    <n v="257189.36000000004"/>
    <n v="1634.6900000000003"/>
    <n v="13316.46"/>
    <n v="13563935.900807945"/>
  </r>
  <r>
    <x v="11"/>
    <s v="Dairy Products"/>
    <x v="1"/>
    <x v="181"/>
    <n v="500769.11999999994"/>
    <n v="2112.86"/>
    <n v="16898.069999999996"/>
    <n v="19361523.149691269"/>
  </r>
  <r>
    <x v="11"/>
    <s v="Frozen Food"/>
    <x v="0"/>
    <x v="182"/>
    <n v="520780.49000000005"/>
    <n v="1754.8700000000003"/>
    <n v="12070.500000000002"/>
    <n v="17002003.20410328"/>
  </r>
  <r>
    <x v="11"/>
    <s v="Frozen Food"/>
    <x v="1"/>
    <x v="183"/>
    <n v="269789.8"/>
    <n v="1309.0999999999997"/>
    <n v="8291.4500000000007"/>
    <n v="11250517.680751009"/>
  </r>
  <r>
    <x v="11"/>
    <s v="Fruits &amp; Vegetables"/>
    <x v="0"/>
    <x v="184"/>
    <n v="276749.45"/>
    <n v="1486.56"/>
    <n v="8751.5499999999993"/>
    <n v="11412447.252965717"/>
  </r>
  <r>
    <x v="11"/>
    <s v="Fruits &amp; Vegetables"/>
    <x v="1"/>
    <x v="185"/>
    <n v="373093.88999999996"/>
    <n v="1657.9399999999996"/>
    <n v="9096.6200000000008"/>
    <n v="14829047.968428269"/>
  </r>
  <r>
    <x v="11"/>
    <s v="Grains &amp; Cereals"/>
    <x v="0"/>
    <x v="186"/>
    <n v="434391.6"/>
    <n v="1684.7699999999998"/>
    <n v="10752.91"/>
    <n v="14323483.00224033"/>
  </r>
  <r>
    <x v="11"/>
    <s v="Grains &amp; Cereals"/>
    <x v="1"/>
    <x v="187"/>
    <n v="314330.84000000003"/>
    <n v="1193.04"/>
    <n v="7049.8799999999992"/>
    <n v="11539993.831233758"/>
  </r>
  <r>
    <x v="11"/>
    <s v="Meat &amp; Seafood"/>
    <x v="0"/>
    <x v="188"/>
    <n v="516378.29999999993"/>
    <n v="2196.25"/>
    <n v="12564.099999999999"/>
    <n v="18251986.462638553"/>
  </r>
  <r>
    <x v="11"/>
    <s v="Meat &amp; Seafood"/>
    <x v="1"/>
    <x v="189"/>
    <n v="390335.88"/>
    <n v="1831.69"/>
    <n v="12014.929999999998"/>
    <n v="16780027.649116285"/>
  </r>
  <r>
    <x v="11"/>
    <s v="Prepared Food"/>
    <x v="0"/>
    <x v="190"/>
    <n v="607652.23"/>
    <n v="2397.19"/>
    <n v="17074"/>
    <n v="21469749.520561598"/>
  </r>
  <r>
    <x v="11"/>
    <s v="Prepared Food"/>
    <x v="1"/>
    <x v="191"/>
    <n v="605051.19999999995"/>
    <n v="1700.9900000000002"/>
    <n v="11563.099999999999"/>
    <n v="20814179.751653109"/>
  </r>
  <r>
    <x v="12"/>
    <s v="Bakery Items"/>
    <x v="0"/>
    <x v="192"/>
    <n v="469607.40000000008"/>
    <n v="2636.72"/>
    <n v="17116.53"/>
    <n v="21083358.420633264"/>
  </r>
  <r>
    <x v="12"/>
    <s v="Bakery Items"/>
    <x v="1"/>
    <x v="193"/>
    <n v="327502.14"/>
    <n v="1325.94"/>
    <n v="6527.5300000000007"/>
    <n v="10925121.609102516"/>
  </r>
  <r>
    <x v="12"/>
    <s v="Beverages"/>
    <x v="0"/>
    <x v="194"/>
    <n v="430656.86000000004"/>
    <n v="1769.3300000000004"/>
    <n v="12093.24"/>
    <n v="16819283.571963385"/>
  </r>
  <r>
    <x v="12"/>
    <s v="Beverages"/>
    <x v="1"/>
    <x v="195"/>
    <n v="294108.13"/>
    <n v="1409.6200000000001"/>
    <n v="8826.2400000000016"/>
    <n v="12312989.38805555"/>
  </r>
  <r>
    <x v="12"/>
    <s v="Dairy Products"/>
    <x v="0"/>
    <x v="196"/>
    <n v="295828.66000000003"/>
    <n v="1827.7099999999998"/>
    <n v="9394.5400000000009"/>
    <n v="14808629.220337307"/>
  </r>
  <r>
    <x v="12"/>
    <s v="Dairy Products"/>
    <x v="1"/>
    <x v="197"/>
    <n v="370228.44000000006"/>
    <n v="1342.32"/>
    <n v="11371.920000000002"/>
    <n v="12281768.003217354"/>
  </r>
  <r>
    <x v="12"/>
    <s v="Frozen Food"/>
    <x v="0"/>
    <x v="198"/>
    <n v="450607.51"/>
    <n v="1796.56"/>
    <n v="11729.49"/>
    <n v="17767604.334277079"/>
  </r>
  <r>
    <x v="12"/>
    <s v="Frozen Food"/>
    <x v="1"/>
    <x v="199"/>
    <n v="142487.94999999998"/>
    <n v="862.31000000000006"/>
    <n v="7800.2800000000007"/>
    <n v="8045988.9809800731"/>
  </r>
  <r>
    <x v="12"/>
    <s v="Fruits &amp; Vegetables"/>
    <x v="0"/>
    <x v="200"/>
    <n v="276789.62"/>
    <n v="1214.8900000000003"/>
    <n v="7450.86"/>
    <n v="9621281.7835162636"/>
  </r>
  <r>
    <x v="12"/>
    <s v="Fruits &amp; Vegetables"/>
    <x v="1"/>
    <x v="201"/>
    <n v="463917.18000000017"/>
    <n v="2252.65"/>
    <n v="16300.85"/>
    <n v="22100567.044676609"/>
  </r>
  <r>
    <x v="12"/>
    <s v="Grains &amp; Cereals"/>
    <x v="0"/>
    <x v="202"/>
    <n v="249413.96999999997"/>
    <n v="1037.1299999999999"/>
    <n v="7211.2999999999993"/>
    <n v="11156786.955139032"/>
  </r>
  <r>
    <x v="12"/>
    <s v="Grains &amp; Cereals"/>
    <x v="1"/>
    <x v="203"/>
    <n v="255007.23"/>
    <n v="1007.5899999999999"/>
    <n v="6791.2399999999989"/>
    <n v="10544233.137624409"/>
  </r>
  <r>
    <x v="12"/>
    <s v="Meat &amp; Seafood"/>
    <x v="0"/>
    <x v="204"/>
    <n v="398078.58"/>
    <n v="1694.89"/>
    <n v="8280.98"/>
    <n v="14309442.862768095"/>
  </r>
  <r>
    <x v="12"/>
    <s v="Meat &amp; Seafood"/>
    <x v="1"/>
    <x v="205"/>
    <n v="549673.7300000001"/>
    <n v="2002.3299999999997"/>
    <n v="16128.999999999998"/>
    <n v="20315523.609734844"/>
  </r>
  <r>
    <x v="12"/>
    <s v="Prepared Food"/>
    <x v="0"/>
    <x v="206"/>
    <n v="436653.73"/>
    <n v="2276.7900000000004"/>
    <n v="11041.77"/>
    <n v="18826476.437376373"/>
  </r>
  <r>
    <x v="12"/>
    <s v="Prepared Food"/>
    <x v="1"/>
    <x v="207"/>
    <n v="402989.61000000004"/>
    <n v="1988.83"/>
    <n v="12310.900000000001"/>
    <n v="15861875.21020399"/>
  </r>
  <r>
    <x v="13"/>
    <s v="Bakery Items"/>
    <x v="0"/>
    <x v="208"/>
    <n v="330551.15000000002"/>
    <n v="1708.24"/>
    <n v="7863.4"/>
    <n v="13829505.851682335"/>
  </r>
  <r>
    <x v="13"/>
    <s v="Bakery Items"/>
    <x v="1"/>
    <x v="209"/>
    <n v="503375.10000000003"/>
    <n v="1809.4700000000003"/>
    <n v="13579.98"/>
    <n v="15225357.522990508"/>
  </r>
  <r>
    <x v="13"/>
    <s v="Beverages"/>
    <x v="0"/>
    <x v="210"/>
    <n v="448080.54000000004"/>
    <n v="1888.04"/>
    <n v="11469.179999999998"/>
    <n v="16884982.234444145"/>
  </r>
  <r>
    <x v="13"/>
    <s v="Beverages"/>
    <x v="1"/>
    <x v="211"/>
    <n v="266025.12"/>
    <n v="1811.5499999999995"/>
    <n v="10561.159999999998"/>
    <n v="13832976.062477907"/>
  </r>
  <r>
    <x v="13"/>
    <s v="Dairy Products"/>
    <x v="0"/>
    <x v="212"/>
    <n v="563613.95999999985"/>
    <n v="2002.4100000000003"/>
    <n v="15630.59"/>
    <n v="21303430.511802897"/>
  </r>
  <r>
    <x v="13"/>
    <s v="Dairy Products"/>
    <x v="1"/>
    <x v="213"/>
    <n v="402326.63000000006"/>
    <n v="1914.7100000000003"/>
    <n v="8688.4500000000007"/>
    <n v="15546766.790614061"/>
  </r>
  <r>
    <x v="13"/>
    <s v="Frozen Food"/>
    <x v="0"/>
    <x v="214"/>
    <n v="381158.98999999993"/>
    <n v="2067.3199999999997"/>
    <n v="11660.75"/>
    <n v="16236141.232334496"/>
  </r>
  <r>
    <x v="13"/>
    <s v="Frozen Food"/>
    <x v="1"/>
    <x v="215"/>
    <n v="216398.87"/>
    <n v="1211.83"/>
    <n v="7062.15"/>
    <n v="10135896.276066815"/>
  </r>
  <r>
    <x v="13"/>
    <s v="Fruits &amp; Vegetables"/>
    <x v="0"/>
    <x v="216"/>
    <n v="263458.53000000003"/>
    <n v="1193.26"/>
    <n v="10026.709999999999"/>
    <n v="12199993.860187167"/>
  </r>
  <r>
    <x v="13"/>
    <s v="Fruits &amp; Vegetables"/>
    <x v="1"/>
    <x v="217"/>
    <n v="263949.86"/>
    <n v="1173.74"/>
    <n v="9497.6200000000008"/>
    <n v="11579277.547188653"/>
  </r>
  <r>
    <x v="13"/>
    <s v="Grains &amp; Cereals"/>
    <x v="0"/>
    <x v="218"/>
    <n v="354963.11"/>
    <n v="1204.8300000000002"/>
    <n v="7726.5800000000008"/>
    <n v="12562793.461670831"/>
  </r>
  <r>
    <x v="13"/>
    <s v="Grains &amp; Cereals"/>
    <x v="1"/>
    <x v="219"/>
    <n v="294943.31999999995"/>
    <n v="1177.3499999999999"/>
    <n v="7971.7300000000005"/>
    <n v="9903140.4714558218"/>
  </r>
  <r>
    <x v="13"/>
    <s v="Meat &amp; Seafood"/>
    <x v="0"/>
    <x v="220"/>
    <n v="441717.04"/>
    <n v="2098.09"/>
    <n v="11495.949999999997"/>
    <n v="18005794.134486772"/>
  </r>
  <r>
    <x v="13"/>
    <s v="Meat &amp; Seafood"/>
    <x v="1"/>
    <x v="221"/>
    <n v="287867.23000000004"/>
    <n v="1592.7900000000002"/>
    <n v="10925.3"/>
    <n v="15742033.437767617"/>
  </r>
  <r>
    <x v="13"/>
    <s v="Prepared Food"/>
    <x v="0"/>
    <x v="222"/>
    <n v="775769.87999999989"/>
    <n v="3346.7299999999996"/>
    <n v="16264.74"/>
    <n v="27904408.536379792"/>
  </r>
  <r>
    <x v="13"/>
    <s v="Prepared Food"/>
    <x v="1"/>
    <x v="223"/>
    <n v="222986.99"/>
    <n v="1165.8999999999999"/>
    <n v="5590.59"/>
    <n v="10120064.649196984"/>
  </r>
  <r>
    <x v="14"/>
    <s v="Bakery Items"/>
    <x v="0"/>
    <x v="224"/>
    <n v="461266.24"/>
    <n v="1643.0200000000002"/>
    <n v="11881.2"/>
    <n v="18975130.247920249"/>
  </r>
  <r>
    <x v="14"/>
    <s v="Bakery Items"/>
    <x v="1"/>
    <x v="225"/>
    <n v="367782.74"/>
    <n v="1744.2400000000002"/>
    <n v="9202.5399999999991"/>
    <n v="14287949.423182771"/>
  </r>
  <r>
    <x v="14"/>
    <s v="Beverages"/>
    <x v="0"/>
    <x v="226"/>
    <n v="512241.61"/>
    <n v="1949.1299999999999"/>
    <n v="13890.900000000003"/>
    <n v="16164883.29546663"/>
  </r>
  <r>
    <x v="14"/>
    <s v="Beverages"/>
    <x v="1"/>
    <x v="227"/>
    <n v="384221.27"/>
    <n v="1846.87"/>
    <n v="13132.05"/>
    <n v="15403211.072997008"/>
  </r>
  <r>
    <x v="14"/>
    <s v="Dairy Products"/>
    <x v="0"/>
    <x v="228"/>
    <n v="325874.83999999991"/>
    <n v="1619.76"/>
    <n v="9072.98"/>
    <n v="13792038.911199944"/>
  </r>
  <r>
    <x v="14"/>
    <s v="Dairy Products"/>
    <x v="1"/>
    <x v="229"/>
    <n v="174581.92"/>
    <n v="828.04"/>
    <n v="4801.3999999999996"/>
    <n v="6988725.1011397317"/>
  </r>
  <r>
    <x v="14"/>
    <s v="Frozen Food"/>
    <x v="0"/>
    <x v="230"/>
    <n v="359941.41"/>
    <n v="1631.35"/>
    <n v="11887.54"/>
    <n v="14886859.473362861"/>
  </r>
  <r>
    <x v="14"/>
    <s v="Frozen Food"/>
    <x v="1"/>
    <x v="231"/>
    <n v="230425.36"/>
    <n v="1169.1299999999999"/>
    <n v="9427.65"/>
    <n v="10807437.748746177"/>
  </r>
  <r>
    <x v="14"/>
    <s v="Fruits &amp; Vegetables"/>
    <x v="0"/>
    <x v="232"/>
    <n v="495412.08"/>
    <n v="2513.1800000000003"/>
    <n v="9609.82"/>
    <n v="19782662.847914942"/>
  </r>
  <r>
    <x v="14"/>
    <s v="Fruits &amp; Vegetables"/>
    <x v="1"/>
    <x v="233"/>
    <n v="401961.29999999993"/>
    <n v="1266.73"/>
    <n v="9262.4900000000016"/>
    <n v="12441049.64364651"/>
  </r>
  <r>
    <x v="14"/>
    <s v="Grains &amp; Cereals"/>
    <x v="0"/>
    <x v="234"/>
    <n v="606063.9"/>
    <n v="2543.86"/>
    <n v="16582.39"/>
    <n v="25831502.188434992"/>
  </r>
  <r>
    <x v="14"/>
    <s v="Grains &amp; Cereals"/>
    <x v="1"/>
    <x v="235"/>
    <n v="304166.85000000003"/>
    <n v="1828.73"/>
    <n v="10953.880000000003"/>
    <n v="14517532.192764379"/>
  </r>
  <r>
    <x v="14"/>
    <s v="Meat &amp; Seafood"/>
    <x v="0"/>
    <x v="236"/>
    <n v="512456.18999999994"/>
    <n v="1811.88"/>
    <n v="13153.09"/>
    <n v="18039980.929061383"/>
  </r>
  <r>
    <x v="14"/>
    <s v="Meat &amp; Seafood"/>
    <x v="1"/>
    <x v="237"/>
    <n v="265818.03999999998"/>
    <n v="1479.1200000000001"/>
    <n v="9959.7800000000007"/>
    <n v="13945834.866525447"/>
  </r>
  <r>
    <x v="14"/>
    <s v="Prepared Food"/>
    <x v="0"/>
    <x v="238"/>
    <n v="314455.45"/>
    <n v="996.05"/>
    <n v="10755.200000000003"/>
    <n v="12784042.648205806"/>
  </r>
  <r>
    <x v="14"/>
    <s v="Prepared Food"/>
    <x v="1"/>
    <x v="239"/>
    <n v="343233.24999999994"/>
    <n v="1483.3899999999999"/>
    <n v="9215.7199999999993"/>
    <n v="15203556.817126278"/>
  </r>
  <r>
    <x v="15"/>
    <s v="Bakery Items"/>
    <x v="0"/>
    <x v="240"/>
    <n v="257353.11"/>
    <n v="2032.8700000000001"/>
    <n v="12613.13"/>
    <n v="17830539.118838489"/>
  </r>
  <r>
    <x v="15"/>
    <s v="Bakery Items"/>
    <x v="1"/>
    <x v="241"/>
    <n v="240048.84"/>
    <n v="1653.7000000000003"/>
    <n v="8484.8799999999992"/>
    <n v="12620718.173934814"/>
  </r>
  <r>
    <x v="15"/>
    <s v="Beverages"/>
    <x v="0"/>
    <x v="242"/>
    <n v="550300.57999999996"/>
    <n v="1986.1100000000001"/>
    <n v="11775.99"/>
    <n v="20230355.462394882"/>
  </r>
  <r>
    <x v="15"/>
    <s v="Beverages"/>
    <x v="1"/>
    <x v="243"/>
    <n v="246739.85000000003"/>
    <n v="1656.22"/>
    <n v="8840.9999999999982"/>
    <n v="12492971.814306039"/>
  </r>
  <r>
    <x v="15"/>
    <s v="Dairy Products"/>
    <x v="0"/>
    <x v="244"/>
    <n v="429136.13000000006"/>
    <n v="2017.3700000000001"/>
    <n v="11465.76"/>
    <n v="18527474.90153724"/>
  </r>
  <r>
    <x v="15"/>
    <s v="Dairy Products"/>
    <x v="1"/>
    <x v="245"/>
    <n v="305503.49000000005"/>
    <n v="1180.96"/>
    <n v="8704.1200000000008"/>
    <n v="11915048.710156566"/>
  </r>
  <r>
    <x v="15"/>
    <s v="Frozen Food"/>
    <x v="0"/>
    <x v="246"/>
    <n v="509549.4599999999"/>
    <n v="2273.67"/>
    <n v="12571.389999999998"/>
    <n v="21247968.903602816"/>
  </r>
  <r>
    <x v="15"/>
    <s v="Frozen Food"/>
    <x v="1"/>
    <x v="247"/>
    <n v="427725.54"/>
    <n v="1489.7199999999998"/>
    <n v="9230.7899999999991"/>
    <n v="15605829.844298437"/>
  </r>
  <r>
    <x v="15"/>
    <s v="Fruits &amp; Vegetables"/>
    <x v="0"/>
    <x v="248"/>
    <n v="554610.69000000006"/>
    <n v="2175.71"/>
    <n v="14220"/>
    <n v="21222339.859985601"/>
  </r>
  <r>
    <x v="15"/>
    <s v="Fruits &amp; Vegetables"/>
    <x v="1"/>
    <x v="249"/>
    <n v="329537.85000000003"/>
    <n v="1153.47"/>
    <n v="4579.66"/>
    <n v="11269870.349471776"/>
  </r>
  <r>
    <x v="15"/>
    <s v="Grains &amp; Cereals"/>
    <x v="0"/>
    <x v="250"/>
    <n v="438126.36000000004"/>
    <n v="2232.4499999999998"/>
    <n v="15563.570000000003"/>
    <n v="18448575.907675713"/>
  </r>
  <r>
    <x v="15"/>
    <s v="Grains &amp; Cereals"/>
    <x v="1"/>
    <x v="251"/>
    <n v="278922.13"/>
    <n v="1220.6499999999999"/>
    <n v="7071.44"/>
    <n v="9536960.5549270436"/>
  </r>
  <r>
    <x v="15"/>
    <s v="Meat &amp; Seafood"/>
    <x v="0"/>
    <x v="252"/>
    <n v="162526.29"/>
    <n v="858.6"/>
    <n v="3515.01"/>
    <n v="7237559.017856448"/>
  </r>
  <r>
    <x v="15"/>
    <s v="Meat &amp; Seafood"/>
    <x v="1"/>
    <x v="253"/>
    <n v="164615.72"/>
    <n v="880.3"/>
    <n v="5814.38"/>
    <n v="7950443.3354760697"/>
  </r>
  <r>
    <x v="15"/>
    <s v="Prepared Food"/>
    <x v="0"/>
    <x v="254"/>
    <n v="420413.24999999994"/>
    <n v="2477.9899999999998"/>
    <n v="16334.880000000001"/>
    <n v="20447458.103275638"/>
  </r>
  <r>
    <x v="15"/>
    <s v="Prepared Food"/>
    <x v="1"/>
    <x v="255"/>
    <n v="322978.46999999997"/>
    <n v="1976.76"/>
    <n v="12687.96"/>
    <n v="15056206.388684029"/>
  </r>
  <r>
    <x v="16"/>
    <s v="Bakery Items"/>
    <x v="0"/>
    <x v="256"/>
    <n v="358180.01999999996"/>
    <n v="1858.0599999999997"/>
    <n v="15676.09"/>
    <n v="20390370.946586825"/>
  </r>
  <r>
    <x v="16"/>
    <s v="Bakery Items"/>
    <x v="1"/>
    <x v="257"/>
    <n v="366668.51999999996"/>
    <n v="1895.1499999999999"/>
    <n v="12675.31"/>
    <n v="16001141.558398839"/>
  </r>
  <r>
    <x v="16"/>
    <s v="Beverages"/>
    <x v="0"/>
    <x v="258"/>
    <n v="442358.69"/>
    <n v="1776.86"/>
    <n v="9822.2900000000009"/>
    <n v="16053327.795925358"/>
  </r>
  <r>
    <x v="16"/>
    <s v="Beverages"/>
    <x v="1"/>
    <x v="259"/>
    <n v="332333.46999999997"/>
    <n v="1274.9499999999998"/>
    <n v="8643.5999999999985"/>
    <n v="10761334.772770867"/>
  </r>
  <r>
    <x v="16"/>
    <s v="Dairy Products"/>
    <x v="0"/>
    <x v="260"/>
    <n v="415144.56000000006"/>
    <n v="2030.21"/>
    <n v="15336.360000000002"/>
    <n v="21933783.78536199"/>
  </r>
  <r>
    <x v="16"/>
    <s v="Dairy Products"/>
    <x v="1"/>
    <x v="261"/>
    <n v="279583.15000000002"/>
    <n v="1276.6300000000001"/>
    <n v="7714.7099999999991"/>
    <n v="12298566.23645938"/>
  </r>
  <r>
    <x v="16"/>
    <s v="Frozen Food"/>
    <x v="0"/>
    <x v="262"/>
    <n v="495045.43"/>
    <n v="1277.54"/>
    <n v="12194.52"/>
    <n v="16444119.187183857"/>
  </r>
  <r>
    <x v="16"/>
    <s v="Frozen Food"/>
    <x v="1"/>
    <x v="263"/>
    <n v="491645.52999999991"/>
    <n v="1973.8599999999997"/>
    <n v="15699.349999999999"/>
    <n v="17649462.683023676"/>
  </r>
  <r>
    <x v="16"/>
    <s v="Fruits &amp; Vegetables"/>
    <x v="0"/>
    <x v="264"/>
    <n v="464158.09"/>
    <n v="1940.8200000000002"/>
    <n v="12489.980000000001"/>
    <n v="17319272.668263353"/>
  </r>
  <r>
    <x v="16"/>
    <s v="Fruits &amp; Vegetables"/>
    <x v="1"/>
    <x v="265"/>
    <n v="357262.95999999996"/>
    <n v="1677.8900000000003"/>
    <n v="8278.4699999999993"/>
    <n v="14086341.536648845"/>
  </r>
  <r>
    <x v="16"/>
    <s v="Grains &amp; Cereals"/>
    <x v="0"/>
    <x v="266"/>
    <n v="610600.82999999996"/>
    <n v="2492.7800000000002"/>
    <n v="15423.569999999998"/>
    <n v="23079479.784945577"/>
  </r>
  <r>
    <x v="16"/>
    <s v="Grains &amp; Cereals"/>
    <x v="1"/>
    <x v="267"/>
    <n v="211285.79"/>
    <n v="1004.53"/>
    <n v="5837.63"/>
    <n v="8781561.8174162377"/>
  </r>
  <r>
    <x v="16"/>
    <s v="Meat &amp; Seafood"/>
    <x v="0"/>
    <x v="268"/>
    <n v="591048.63"/>
    <n v="2326.21"/>
    <n v="17045.440000000002"/>
    <n v="22158998.303773519"/>
  </r>
  <r>
    <x v="16"/>
    <s v="Meat &amp; Seafood"/>
    <x v="1"/>
    <x v="269"/>
    <n v="229005.32"/>
    <n v="986.22000000000014"/>
    <n v="9841.84"/>
    <n v="11552131.400508726"/>
  </r>
  <r>
    <x v="16"/>
    <s v="Prepared Food"/>
    <x v="0"/>
    <x v="270"/>
    <n v="619697.37999999989"/>
    <n v="2666.4800000000005"/>
    <n v="20170.32"/>
    <n v="26075315.104983468"/>
  </r>
  <r>
    <x v="16"/>
    <s v="Prepared Food"/>
    <x v="1"/>
    <x v="271"/>
    <n v="561134"/>
    <n v="1893.0900000000004"/>
    <n v="11715.560000000001"/>
    <n v="18817642.806818914"/>
  </r>
  <r>
    <x v="17"/>
    <s v="Bakery Items"/>
    <x v="0"/>
    <x v="272"/>
    <n v="492423.08000000007"/>
    <n v="1565.37"/>
    <n v="14176.130000000001"/>
    <n v="18934798.587716118"/>
  </r>
  <r>
    <x v="17"/>
    <s v="Bakery Items"/>
    <x v="1"/>
    <x v="273"/>
    <n v="322973.88"/>
    <n v="1743.7500000000002"/>
    <n v="10294.75"/>
    <n v="14921796.211506441"/>
  </r>
  <r>
    <x v="17"/>
    <s v="Beverages"/>
    <x v="0"/>
    <x v="274"/>
    <n v="719509.5"/>
    <n v="2637.39"/>
    <n v="13919.03"/>
    <n v="23663132.225748952"/>
  </r>
  <r>
    <x v="17"/>
    <s v="Beverages"/>
    <x v="1"/>
    <x v="275"/>
    <n v="244750.60000000003"/>
    <n v="1248.5600000000002"/>
    <n v="6354.0700000000006"/>
    <n v="10808626.139595427"/>
  </r>
  <r>
    <x v="17"/>
    <s v="Dairy Products"/>
    <x v="0"/>
    <x v="276"/>
    <n v="315863.27999999997"/>
    <n v="1454.51"/>
    <n v="8309.66"/>
    <n v="11943881.272363443"/>
  </r>
  <r>
    <x v="17"/>
    <s v="Dairy Products"/>
    <x v="1"/>
    <x v="277"/>
    <n v="261692.91"/>
    <n v="890.21"/>
    <n v="6108.83"/>
    <n v="7983148.8165059229"/>
  </r>
  <r>
    <x v="17"/>
    <s v="Frozen Food"/>
    <x v="0"/>
    <x v="278"/>
    <n v="584110.34"/>
    <n v="2477.7299999999996"/>
    <n v="17486.170000000006"/>
    <n v="21049388.460264802"/>
  </r>
  <r>
    <x v="17"/>
    <s v="Frozen Food"/>
    <x v="1"/>
    <x v="279"/>
    <n v="232134.50999999998"/>
    <n v="999.68"/>
    <n v="6397.0700000000006"/>
    <n v="8224514.5627152454"/>
  </r>
  <r>
    <x v="17"/>
    <s v="Fruits &amp; Vegetables"/>
    <x v="0"/>
    <x v="280"/>
    <n v="513779.78"/>
    <n v="1808.38"/>
    <n v="15377.989999999996"/>
    <n v="18254092.728724781"/>
  </r>
  <r>
    <x v="17"/>
    <s v="Fruits &amp; Vegetables"/>
    <x v="1"/>
    <x v="281"/>
    <n v="339989.85"/>
    <n v="1385.35"/>
    <n v="10706.289999999999"/>
    <n v="14313220.538232848"/>
  </r>
  <r>
    <x v="17"/>
    <s v="Grains &amp; Cereals"/>
    <x v="0"/>
    <x v="282"/>
    <n v="460465.38999999996"/>
    <n v="2173.4399999999996"/>
    <n v="10919.43"/>
    <n v="17296493.987974171"/>
  </r>
  <r>
    <x v="17"/>
    <s v="Grains &amp; Cereals"/>
    <x v="1"/>
    <x v="283"/>
    <n v="468450.33000000007"/>
    <n v="1849.7000000000003"/>
    <n v="15667.489999999998"/>
    <n v="17893696.449657537"/>
  </r>
  <r>
    <x v="17"/>
    <s v="Meat &amp; Seafood"/>
    <x v="0"/>
    <x v="284"/>
    <n v="511892.61999999988"/>
    <n v="1926.31"/>
    <n v="13209.730000000003"/>
    <n v="17865685.97662954"/>
  </r>
  <r>
    <x v="17"/>
    <s v="Meat &amp; Seafood"/>
    <x v="1"/>
    <x v="285"/>
    <n v="401453.52"/>
    <n v="1095.22"/>
    <n v="8851.84"/>
    <n v="12323268.681705041"/>
  </r>
  <r>
    <x v="17"/>
    <s v="Prepared Food"/>
    <x v="0"/>
    <x v="286"/>
    <n v="369069.55999999994"/>
    <n v="1769.4899999999998"/>
    <n v="10545.519999999999"/>
    <n v="15786263.80069248"/>
  </r>
  <r>
    <x v="17"/>
    <s v="Prepared Food"/>
    <x v="1"/>
    <x v="287"/>
    <n v="571001.47"/>
    <n v="2085.23"/>
    <n v="12463.140000000003"/>
    <n v="21501103.514430787"/>
  </r>
  <r>
    <x v="18"/>
    <s v="Bakery Items"/>
    <x v="0"/>
    <x v="288"/>
    <n v="355250.97000000003"/>
    <n v="2023.8500000000001"/>
    <n v="10611"/>
    <n v="16297103.64372134"/>
  </r>
  <r>
    <x v="18"/>
    <s v="Bakery Items"/>
    <x v="1"/>
    <x v="289"/>
    <n v="251006.78"/>
    <n v="1679.97"/>
    <n v="9588.98"/>
    <n v="13133703.482823325"/>
  </r>
  <r>
    <x v="18"/>
    <s v="Beverages"/>
    <x v="0"/>
    <x v="290"/>
    <n v="386960.31"/>
    <n v="1501.35"/>
    <n v="9916.0300000000007"/>
    <n v="14265803.952712692"/>
  </r>
  <r>
    <x v="18"/>
    <s v="Beverages"/>
    <x v="1"/>
    <x v="291"/>
    <n v="333542.56000000006"/>
    <n v="1465.97"/>
    <n v="6936.52"/>
    <n v="13242229.98744344"/>
  </r>
  <r>
    <x v="18"/>
    <s v="Dairy Products"/>
    <x v="0"/>
    <x v="292"/>
    <n v="377319.90000000008"/>
    <n v="1279.55"/>
    <n v="12839.110000000002"/>
    <n v="17152252.031511288"/>
  </r>
  <r>
    <x v="18"/>
    <s v="Dairy Products"/>
    <x v="1"/>
    <x v="293"/>
    <n v="417473.86"/>
    <n v="1177.74"/>
    <n v="10228.730000000001"/>
    <n v="12910912.849312283"/>
  </r>
  <r>
    <x v="18"/>
    <s v="Frozen Food"/>
    <x v="0"/>
    <x v="294"/>
    <n v="433997.54"/>
    <n v="1468.2400000000002"/>
    <n v="15368.769999999997"/>
    <n v="15916157.477148354"/>
  </r>
  <r>
    <x v="18"/>
    <s v="Frozen Food"/>
    <x v="1"/>
    <x v="295"/>
    <n v="499113.53999999992"/>
    <n v="2194.17"/>
    <n v="11770.439999999999"/>
    <n v="16201855.302891757"/>
  </r>
  <r>
    <x v="18"/>
    <s v="Fruits &amp; Vegetables"/>
    <x v="0"/>
    <x v="296"/>
    <n v="366158.49"/>
    <n v="1401.2"/>
    <n v="8559.9699999999993"/>
    <n v="14045391.856594019"/>
  </r>
  <r>
    <x v="18"/>
    <s v="Fruits &amp; Vegetables"/>
    <x v="1"/>
    <x v="297"/>
    <n v="291187.15000000002"/>
    <n v="990.34999999999991"/>
    <n v="10237.75"/>
    <n v="14557220.088889807"/>
  </r>
  <r>
    <x v="18"/>
    <s v="Grains &amp; Cereals"/>
    <x v="0"/>
    <x v="298"/>
    <n v="244357.79"/>
    <n v="933.98000000000013"/>
    <n v="8343.7100000000009"/>
    <n v="12993579.230559321"/>
  </r>
  <r>
    <x v="18"/>
    <s v="Grains &amp; Cereals"/>
    <x v="1"/>
    <x v="299"/>
    <n v="296002.61"/>
    <n v="1408.1299999999999"/>
    <n v="14584.440000000002"/>
    <n v="16041974.72349862"/>
  </r>
  <r>
    <x v="18"/>
    <s v="Meat &amp; Seafood"/>
    <x v="0"/>
    <x v="300"/>
    <n v="309745.17999999993"/>
    <n v="1349.97"/>
    <n v="8374.0399999999991"/>
    <n v="11979935.911420725"/>
  </r>
  <r>
    <x v="18"/>
    <s v="Meat &amp; Seafood"/>
    <x v="1"/>
    <x v="301"/>
    <n v="204070.61999999997"/>
    <n v="1238.8400000000001"/>
    <n v="11434.119999999999"/>
    <n v="10788361.300600026"/>
  </r>
  <r>
    <x v="18"/>
    <s v="Prepared Food"/>
    <x v="0"/>
    <x v="302"/>
    <n v="389822.97000000009"/>
    <n v="1462.26"/>
    <n v="11833.81"/>
    <n v="16126232.440668494"/>
  </r>
  <r>
    <x v="18"/>
    <s v="Prepared Food"/>
    <x v="1"/>
    <x v="303"/>
    <n v="590395.24000000011"/>
    <n v="2708.8300000000004"/>
    <n v="15433.55"/>
    <n v="24989048.291909635"/>
  </r>
  <r>
    <x v="19"/>
    <s v="Bakery Items"/>
    <x v="0"/>
    <x v="304"/>
    <n v="476678.77000000008"/>
    <n v="1781.0099999999998"/>
    <n v="9359.0799999999963"/>
    <n v="18379986.442302786"/>
  </r>
  <r>
    <x v="19"/>
    <s v="Bakery Items"/>
    <x v="1"/>
    <x v="305"/>
    <n v="592278.7699999999"/>
    <n v="2022.39"/>
    <n v="14025.359999999999"/>
    <n v="18403677.293425765"/>
  </r>
  <r>
    <x v="19"/>
    <s v="Beverages"/>
    <x v="0"/>
    <x v="306"/>
    <n v="190712.51"/>
    <n v="916.06"/>
    <n v="4123.57"/>
    <n v="7398858.5486438973"/>
  </r>
  <r>
    <x v="19"/>
    <s v="Beverages"/>
    <x v="1"/>
    <x v="307"/>
    <n v="409129.46"/>
    <n v="1763.47"/>
    <n v="12317.770000000002"/>
    <n v="15487073.551923132"/>
  </r>
  <r>
    <x v="19"/>
    <s v="Dairy Products"/>
    <x v="0"/>
    <x v="308"/>
    <n v="603023.27999999991"/>
    <n v="3123.61"/>
    <n v="15849.600000000002"/>
    <n v="25766217.226878703"/>
  </r>
  <r>
    <x v="19"/>
    <s v="Dairy Products"/>
    <x v="1"/>
    <x v="309"/>
    <n v="287344.89999999997"/>
    <n v="1568.54"/>
    <n v="8855.7199999999993"/>
    <n v="13408563.096740248"/>
  </r>
  <r>
    <x v="19"/>
    <s v="Frozen Food"/>
    <x v="0"/>
    <x v="310"/>
    <n v="379824.32"/>
    <n v="1451.49"/>
    <n v="13317.799999999997"/>
    <n v="15985326.292160548"/>
  </r>
  <r>
    <x v="19"/>
    <s v="Frozen Food"/>
    <x v="1"/>
    <x v="311"/>
    <n v="451444.94999999995"/>
    <n v="2313.4299999999998"/>
    <n v="16999.89"/>
    <n v="20369307.589626782"/>
  </r>
  <r>
    <x v="19"/>
    <s v="Fruits &amp; Vegetables"/>
    <x v="0"/>
    <x v="312"/>
    <n v="573036.59"/>
    <n v="2714.9999999999995"/>
    <n v="15671.169999999998"/>
    <n v="20565428.008388653"/>
  </r>
  <r>
    <x v="19"/>
    <s v="Fruits &amp; Vegetables"/>
    <x v="1"/>
    <x v="313"/>
    <n v="331099.55000000005"/>
    <n v="1245.22"/>
    <n v="10299.76"/>
    <n v="11627025.589832053"/>
  </r>
  <r>
    <x v="19"/>
    <s v="Grains &amp; Cereals"/>
    <x v="0"/>
    <x v="314"/>
    <n v="305303.76"/>
    <n v="1435.44"/>
    <n v="10607.74"/>
    <n v="13934538.484573131"/>
  </r>
  <r>
    <x v="19"/>
    <s v="Grains &amp; Cereals"/>
    <x v="1"/>
    <x v="315"/>
    <n v="240830.91999999998"/>
    <n v="1658.91"/>
    <n v="10383.64"/>
    <n v="14188096.991310915"/>
  </r>
  <r>
    <x v="19"/>
    <s v="Meat &amp; Seafood"/>
    <x v="0"/>
    <x v="316"/>
    <n v="459202.74"/>
    <n v="1367.1"/>
    <n v="11539.250000000002"/>
    <n v="15170001.470946753"/>
  </r>
  <r>
    <x v="19"/>
    <s v="Meat &amp; Seafood"/>
    <x v="1"/>
    <x v="317"/>
    <n v="422538.60000000003"/>
    <n v="1795.7699999999998"/>
    <n v="11722.369999999997"/>
    <n v="18100481.443455327"/>
  </r>
  <r>
    <x v="19"/>
    <s v="Prepared Food"/>
    <x v="0"/>
    <x v="318"/>
    <n v="398715.26"/>
    <n v="2003.63"/>
    <n v="12224.51"/>
    <n v="15212717.802693844"/>
  </r>
  <r>
    <x v="19"/>
    <s v="Prepared Food"/>
    <x v="1"/>
    <x v="319"/>
    <n v="318959.06"/>
    <n v="1564.22"/>
    <n v="8462.7999999999993"/>
    <n v="13420444.7088714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036E1-E350-4B9E-9D62-BE5D48DDC95A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H325" firstHeaderRow="0" firstDataRow="1" firstDataCol="3"/>
  <pivotFields count="9">
    <pivotField axis="axisRow" compact="0" outline="0" showAll="0" defaultSubtotal="0">
      <items count="20">
        <item x="15"/>
        <item x="0"/>
        <item x="10"/>
        <item x="16"/>
        <item x="5"/>
        <item x="3"/>
        <item x="2"/>
        <item x="4"/>
        <item x="1"/>
        <item x="12"/>
        <item x="8"/>
        <item x="14"/>
        <item x="18"/>
        <item x="11"/>
        <item x="7"/>
        <item x="17"/>
        <item x="13"/>
        <item x="19"/>
        <item x="6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4"/>
        <item x="0"/>
        <item x="6"/>
        <item x="5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8">
        <item x="7"/>
        <item x="3"/>
        <item x="2"/>
        <item x="6"/>
        <item x="0"/>
        <item x="5"/>
        <item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5000">
        <item x="2626"/>
        <item x="2562"/>
        <item x="991"/>
        <item x="4022"/>
        <item x="2509"/>
        <item x="408"/>
        <item x="4828"/>
        <item x="2397"/>
        <item x="2596"/>
        <item x="856"/>
        <item x="4385"/>
        <item x="4896"/>
        <item x="4313"/>
        <item x="1048"/>
        <item x="3673"/>
        <item x="2277"/>
        <item x="1572"/>
        <item x="3837"/>
        <item x="1683"/>
        <item x="3186"/>
        <item x="1499"/>
        <item x="4902"/>
        <item x="3503"/>
        <item x="4366"/>
        <item x="884"/>
        <item x="3791"/>
        <item x="790"/>
        <item x="2765"/>
        <item x="1156"/>
        <item x="2492"/>
        <item x="1738"/>
        <item x="2721"/>
        <item x="4468"/>
        <item x="3986"/>
        <item x="533"/>
        <item x="1030"/>
        <item x="2406"/>
        <item x="1304"/>
        <item x="781"/>
        <item x="4047"/>
        <item x="1779"/>
        <item x="4886"/>
        <item x="4979"/>
        <item x="4716"/>
        <item x="863"/>
        <item x="2631"/>
        <item x="3849"/>
        <item x="1470"/>
        <item x="4399"/>
        <item x="1400"/>
        <item x="1681"/>
        <item x="3547"/>
        <item x="2459"/>
        <item x="1502"/>
        <item x="2043"/>
        <item x="868"/>
        <item x="300"/>
        <item x="1085"/>
        <item x="1868"/>
        <item x="572"/>
        <item x="2239"/>
        <item x="2834"/>
        <item x="3813"/>
        <item x="2149"/>
        <item x="369"/>
        <item x="3094"/>
        <item x="493"/>
        <item x="18"/>
        <item x="881"/>
        <item x="696"/>
        <item x="636"/>
        <item x="2952"/>
        <item x="1819"/>
        <item x="923"/>
        <item x="3150"/>
        <item x="2210"/>
        <item x="1239"/>
        <item x="3565"/>
        <item x="1909"/>
        <item x="2119"/>
        <item x="2488"/>
        <item x="3362"/>
        <item x="3138"/>
        <item x="2863"/>
        <item x="3092"/>
        <item x="2479"/>
        <item x="405"/>
        <item x="4621"/>
        <item x="3674"/>
        <item x="2362"/>
        <item x="2558"/>
        <item x="4103"/>
        <item x="460"/>
        <item x="464"/>
        <item x="1465"/>
        <item x="574"/>
        <item x="4185"/>
        <item x="4362"/>
        <item x="3943"/>
        <item x="4188"/>
        <item x="2265"/>
        <item x="4258"/>
        <item x="2615"/>
        <item x="3794"/>
        <item x="4075"/>
        <item x="2068"/>
        <item x="3867"/>
        <item x="4619"/>
        <item x="3886"/>
        <item x="3926"/>
        <item x="2501"/>
        <item x="4753"/>
        <item x="4944"/>
        <item x="618"/>
        <item x="3414"/>
        <item x="1496"/>
        <item x="4375"/>
        <item x="3175"/>
        <item x="376"/>
        <item x="1925"/>
        <item x="2855"/>
        <item x="3573"/>
        <item x="756"/>
        <item x="3296"/>
        <item x="3728"/>
        <item x="4183"/>
        <item x="199"/>
        <item x="4061"/>
        <item x="3199"/>
        <item x="2035"/>
        <item x="503"/>
        <item x="2311"/>
        <item x="4893"/>
        <item x="3393"/>
        <item x="98"/>
        <item x="1150"/>
        <item x="2052"/>
        <item x="519"/>
        <item x="1282"/>
        <item x="4334"/>
        <item x="2605"/>
        <item x="3338"/>
        <item x="2772"/>
        <item x="2183"/>
        <item x="4945"/>
        <item x="2165"/>
        <item x="2969"/>
        <item x="2646"/>
        <item x="3991"/>
        <item x="3805"/>
        <item x="1172"/>
        <item x="1542"/>
        <item x="2101"/>
        <item x="282"/>
        <item x="3576"/>
        <item x="1412"/>
        <item x="4682"/>
        <item x="2075"/>
        <item x="3948"/>
        <item x="3059"/>
        <item x="1996"/>
        <item x="3690"/>
        <item x="1397"/>
        <item x="2468"/>
        <item x="49"/>
        <item x="2486"/>
        <item x="914"/>
        <item x="4759"/>
        <item x="4786"/>
        <item x="2029"/>
        <item x="4725"/>
        <item x="3799"/>
        <item x="2634"/>
        <item x="837"/>
        <item x="202"/>
        <item x="864"/>
        <item x="3499"/>
        <item x="2242"/>
        <item x="4142"/>
        <item x="657"/>
        <item x="2836"/>
        <item x="598"/>
        <item x="1268"/>
        <item x="3634"/>
        <item x="3030"/>
        <item x="859"/>
        <item x="3423"/>
        <item x="3879"/>
        <item x="4111"/>
        <item x="2547"/>
        <item x="3040"/>
        <item x="52"/>
        <item x="3854"/>
        <item x="3049"/>
        <item x="986"/>
        <item x="1805"/>
        <item x="2146"/>
        <item x="4966"/>
        <item x="1887"/>
        <item x="3043"/>
        <item x="1747"/>
        <item x="4105"/>
        <item x="2707"/>
        <item x="3379"/>
        <item x="2342"/>
        <item x="4152"/>
        <item x="980"/>
        <item x="4264"/>
        <item x="672"/>
        <item x="1552"/>
        <item x="974"/>
        <item x="4462"/>
        <item x="2945"/>
        <item x="286"/>
        <item x="4229"/>
        <item x="1464"/>
        <item x="25"/>
        <item x="1874"/>
        <item x="4718"/>
        <item x="1810"/>
        <item x="1999"/>
        <item x="3262"/>
        <item x="2886"/>
        <item x="662"/>
        <item x="2655"/>
        <item x="2975"/>
        <item x="3979"/>
        <item x="1126"/>
        <item x="3426"/>
        <item x="3137"/>
        <item x="4914"/>
        <item x="842"/>
        <item x="242"/>
        <item x="3780"/>
        <item x="1670"/>
        <item x="4687"/>
        <item x="3178"/>
        <item x="4380"/>
        <item x="4070"/>
        <item x="3007"/>
        <item x="2673"/>
        <item x="4194"/>
        <item x="4606"/>
        <item x="1363"/>
        <item x="2987"/>
        <item x="4023"/>
        <item x="2102"/>
        <item x="3179"/>
        <item x="577"/>
        <item x="2432"/>
        <item x="806"/>
        <item x="2871"/>
        <item x="95"/>
        <item x="4676"/>
        <item x="2234"/>
        <item x="4076"/>
        <item x="2288"/>
        <item x="4927"/>
        <item x="820"/>
        <item x="404"/>
        <item x="4245"/>
        <item x="2520"/>
        <item x="2608"/>
        <item x="4520"/>
        <item x="2181"/>
        <item x="4684"/>
        <item x="744"/>
        <item x="495"/>
        <item x="4747"/>
        <item x="4564"/>
        <item x="3995"/>
        <item x="2058"/>
        <item x="586"/>
        <item x="142"/>
        <item x="2083"/>
        <item x="1659"/>
        <item x="4513"/>
        <item x="3482"/>
        <item x="1817"/>
        <item x="3612"/>
        <item x="4853"/>
        <item x="4394"/>
        <item x="2262"/>
        <item x="695"/>
        <item x="560"/>
        <item x="4037"/>
        <item x="285"/>
        <item x="1177"/>
        <item x="2933"/>
        <item x="3707"/>
        <item x="886"/>
        <item x="1273"/>
        <item x="4616"/>
        <item x="680"/>
        <item x="1769"/>
        <item x="2811"/>
        <item x="320"/>
        <item x="3934"/>
        <item x="305"/>
        <item x="762"/>
        <item x="2540"/>
        <item x="2780"/>
        <item x="1454"/>
        <item x="2870"/>
        <item x="584"/>
        <item x="534"/>
        <item x="3831"/>
        <item x="1650"/>
        <item x="3821"/>
        <item x="421"/>
        <item x="2222"/>
        <item x="2885"/>
        <item x="4649"/>
        <item x="4291"/>
        <item x="1899"/>
        <item x="2317"/>
        <item x="1676"/>
        <item x="1704"/>
        <item x="4728"/>
        <item x="3973"/>
        <item x="2027"/>
        <item x="4130"/>
        <item x="1538"/>
        <item x="276"/>
        <item x="4938"/>
        <item x="2121"/>
        <item x="4837"/>
        <item x="3941"/>
        <item x="289"/>
        <item x="2913"/>
        <item x="3905"/>
        <item x="3158"/>
        <item x="3533"/>
        <item x="992"/>
        <item x="1214"/>
        <item x="4277"/>
        <item x="3994"/>
        <item x="3662"/>
        <item x="1111"/>
        <item x="1515"/>
        <item x="3506"/>
        <item x="4144"/>
        <item x="4148"/>
        <item x="69"/>
        <item x="2388"/>
        <item x="2381"/>
        <item x="1842"/>
        <item x="1421"/>
        <item x="1945"/>
        <item x="4048"/>
        <item x="4599"/>
        <item x="1398"/>
        <item x="1550"/>
        <item x="2684"/>
        <item x="4507"/>
        <item x="4794"/>
        <item x="2696"/>
        <item x="4957"/>
        <item x="2033"/>
        <item x="3321"/>
        <item x="1881"/>
        <item x="1372"/>
        <item x="436"/>
        <item x="2791"/>
        <item x="3843"/>
        <item x="2091"/>
        <item x="2045"/>
        <item x="4686"/>
        <item x="4931"/>
        <item x="4107"/>
        <item x="505"/>
        <item x="4432"/>
        <item x="1533"/>
        <item x="2767"/>
        <item x="2209"/>
        <item x="2383"/>
        <item x="4279"/>
        <item x="3796"/>
        <item x="1990"/>
        <item x="2238"/>
        <item x="4775"/>
        <item x="3754"/>
        <item x="2808"/>
        <item x="2329"/>
        <item x="4477"/>
        <item x="869"/>
        <item x="3005"/>
        <item x="3639"/>
        <item x="1790"/>
        <item x="1139"/>
        <item x="4999"/>
        <item x="3168"/>
        <item x="1632"/>
        <item x="2330"/>
        <item x="2272"/>
        <item x="1675"/>
        <item x="82"/>
        <item x="290"/>
        <item x="4436"/>
        <item x="2307"/>
        <item x="2007"/>
        <item x="1245"/>
        <item x="390"/>
        <item x="4316"/>
        <item x="2899"/>
        <item x="732"/>
        <item x="3026"/>
        <item x="4860"/>
        <item x="387"/>
        <item x="655"/>
        <item x="1120"/>
        <item x="1787"/>
        <item x="2154"/>
        <item x="1774"/>
        <item x="640"/>
        <item x="2185"/>
        <item x="4721"/>
        <item x="1920"/>
        <item x="4515"/>
        <item x="918"/>
        <item x="2286"/>
        <item x="2983"/>
        <item x="4455"/>
        <item x="840"/>
        <item x="4864"/>
        <item x="4975"/>
        <item x="1319"/>
        <item x="4871"/>
        <item x="1781"/>
        <item x="2410"/>
        <item x="2838"/>
        <item x="2077"/>
        <item x="3752"/>
        <item x="4430"/>
        <item x="3019"/>
        <item x="1950"/>
        <item x="1684"/>
        <item x="4556"/>
        <item x="776"/>
        <item x="443"/>
        <item x="2624"/>
        <item x="833"/>
        <item x="3864"/>
        <item x="107"/>
        <item x="2357"/>
        <item x="4348"/>
        <item x="4832"/>
        <item x="3334"/>
        <item x="1255"/>
        <item x="3402"/>
        <item x="1888"/>
        <item x="1203"/>
        <item x="51"/>
        <item x="4140"/>
        <item x="2784"/>
        <item x="4955"/>
        <item x="4812"/>
        <item x="593"/>
        <item x="3227"/>
        <item x="2777"/>
        <item x="4735"/>
        <item x="75"/>
        <item x="4314"/>
        <item x="2676"/>
        <item x="3912"/>
        <item x="3529"/>
        <item x="2763"/>
        <item x="3089"/>
        <item x="4040"/>
        <item x="2754"/>
        <item x="1178"/>
        <item x="4607"/>
        <item x="2493"/>
        <item x="3694"/>
        <item x="2649"/>
        <item x="1973"/>
        <item x="1991"/>
        <item x="3648"/>
        <item x="3487"/>
        <item x="545"/>
        <item x="1302"/>
        <item x="1456"/>
        <item x="2394"/>
        <item x="4275"/>
        <item x="283"/>
        <item x="1007"/>
        <item x="2851"/>
        <item x="4036"/>
        <item x="4610"/>
        <item x="4474"/>
        <item x="3921"/>
        <item x="686"/>
        <item x="2232"/>
        <item x="2296"/>
        <item x="45"/>
        <item x="2668"/>
        <item x="3063"/>
        <item x="2009"/>
        <item x="1919"/>
        <item x="2526"/>
        <item x="2736"/>
        <item x="542"/>
        <item x="4222"/>
        <item x="3333"/>
        <item x="2847"/>
        <item x="205"/>
        <item x="3623"/>
        <item x="2124"/>
        <item x="4247"/>
        <item x="1035"/>
        <item x="4280"/>
        <item x="1664"/>
        <item x="1001"/>
        <item x="3149"/>
        <item x="1301"/>
        <item x="3605"/>
        <item x="716"/>
        <item x="309"/>
        <item x="2657"/>
        <item x="1247"/>
        <item x="4234"/>
        <item x="2382"/>
        <item x="78"/>
        <item x="2805"/>
        <item x="4344"/>
        <item x="4263"/>
        <item x="3496"/>
        <item x="2770"/>
        <item x="3139"/>
        <item x="2263"/>
        <item x="1953"/>
        <item x="4039"/>
        <item x="4988"/>
        <item x="573"/>
        <item x="468"/>
        <item x="2471"/>
        <item x="1518"/>
        <item x="2391"/>
        <item x="2321"/>
        <item x="4483"/>
        <item x="3616"/>
        <item x="817"/>
        <item x="4501"/>
        <item x="1108"/>
        <item x="4219"/>
        <item x="3945"/>
        <item x="117"/>
        <item x="2779"/>
        <item x="2431"/>
        <item x="1856"/>
        <item x="370"/>
        <item x="20"/>
        <item x="3703"/>
        <item x="394"/>
        <item x="4824"/>
        <item x="768"/>
        <item x="4118"/>
        <item x="1062"/>
        <item x="933"/>
        <item x="3607"/>
        <item x="4863"/>
        <item x="4618"/>
        <item x="3524"/>
        <item x="2032"/>
        <item x="4651"/>
        <item x="2346"/>
        <item x="44"/>
        <item x="3046"/>
        <item x="3554"/>
        <item x="4876"/>
        <item x="1338"/>
        <item x="3745"/>
        <item x="2189"/>
        <item x="4110"/>
        <item x="2246"/>
        <item x="1986"/>
        <item x="981"/>
        <item x="97"/>
        <item x="4769"/>
        <item x="824"/>
        <item x="1445"/>
        <item x="1343"/>
        <item x="4836"/>
        <item x="3960"/>
        <item x="4636"/>
        <item x="1505"/>
        <item x="2138"/>
        <item x="1589"/>
        <item x="1847"/>
        <item x="3441"/>
        <item x="3816"/>
        <item x="2988"/>
        <item x="2904"/>
        <item x="3896"/>
        <item x="1804"/>
        <item x="4567"/>
        <item x="703"/>
        <item x="3770"/>
        <item x="3274"/>
        <item x="2737"/>
        <item x="279"/>
        <item x="3367"/>
        <item x="4434"/>
        <item x="2378"/>
        <item x="2481"/>
        <item x="1627"/>
        <item x="4985"/>
        <item x="836"/>
        <item x="960"/>
        <item x="4356"/>
        <item x="4694"/>
        <item x="1212"/>
        <item x="1555"/>
        <item x="1922"/>
        <item x="442"/>
        <item x="3470"/>
        <item x="687"/>
        <item x="4598"/>
        <item x="3978"/>
        <item x="1211"/>
        <item x="1280"/>
        <item x="3865"/>
        <item x="1712"/>
        <item x="3815"/>
        <item x="4176"/>
        <item x="2896"/>
        <item x="3611"/>
        <item x="441"/>
        <item x="3893"/>
        <item x="4576"/>
        <item x="805"/>
        <item x="2923"/>
        <item x="733"/>
        <item x="2120"/>
        <item x="1831"/>
        <item x="1830"/>
        <item x="4637"/>
        <item x="4363"/>
        <item x="723"/>
        <item x="3385"/>
        <item x="4082"/>
        <item x="515"/>
        <item x="1461"/>
        <item x="3173"/>
        <item x="1231"/>
        <item x="995"/>
        <item x="2816"/>
        <item x="329"/>
        <item x="4010"/>
        <item x="3074"/>
        <item x="3923"/>
        <item x="2700"/>
        <item x="3056"/>
        <item x="409"/>
        <item x="1277"/>
        <item x="728"/>
        <item x="196"/>
        <item x="907"/>
        <item x="3022"/>
        <item x="521"/>
        <item x="3428"/>
        <item x="3452"/>
        <item x="3368"/>
        <item x="3811"/>
        <item x="4571"/>
        <item x="1487"/>
        <item x="1143"/>
        <item x="1531"/>
        <item x="845"/>
        <item x="3133"/>
        <item x="2107"/>
        <item x="1910"/>
        <item x="1293"/>
        <item x="4173"/>
        <item x="178"/>
        <item x="3408"/>
        <item x="2425"/>
        <item x="4678"/>
        <item x="4714"/>
        <item x="4204"/>
        <item x="2575"/>
        <item x="3342"/>
        <item x="2424"/>
        <item x="4964"/>
        <item x="3403"/>
        <item x="466"/>
        <item x="4559"/>
        <item x="3985"/>
        <item x="4193"/>
        <item x="1977"/>
        <item x="782"/>
        <item x="3585"/>
        <item x="4001"/>
        <item x="909"/>
        <item x="3505"/>
        <item x="1408"/>
        <item x="3495"/>
        <item x="3345"/>
        <item x="3103"/>
        <item x="2370"/>
        <item x="2964"/>
        <item x="2568"/>
        <item x="1044"/>
        <item x="1438"/>
        <item x="4503"/>
        <item x="3559"/>
        <item x="3792"/>
        <item x="1049"/>
        <item x="1610"/>
        <item x="3279"/>
        <item x="1332"/>
        <item x="3090"/>
        <item x="1361"/>
        <item x="832"/>
        <item x="3444"/>
        <item x="194"/>
        <item x="1170"/>
        <item x="4631"/>
        <item x="673"/>
        <item x="697"/>
        <item x="2595"/>
        <item x="354"/>
        <item x="4918"/>
        <item x="1493"/>
        <item x="2858"/>
        <item x="2079"/>
        <item x="4270"/>
        <item x="2430"/>
        <item x="1138"/>
        <item x="4967"/>
        <item x="4133"/>
        <item x="1469"/>
        <item x="3927"/>
        <item x="1891"/>
        <item x="3658"/>
        <item x="1278"/>
        <item x="725"/>
        <item x="4734"/>
        <item x="4527"/>
        <item x="2364"/>
        <item x="208"/>
        <item x="3613"/>
        <item x="2247"/>
        <item x="2607"/>
        <item x="444"/>
        <item x="3277"/>
        <item x="2874"/>
        <item x="3453"/>
        <item x="3855"/>
        <item x="3288"/>
        <item x="425"/>
        <item x="4790"/>
        <item x="3631"/>
        <item x="14"/>
        <item x="2966"/>
        <item x="891"/>
        <item x="1853"/>
        <item x="3292"/>
        <item x="1327"/>
        <item x="724"/>
        <item x="4706"/>
        <item x="1980"/>
        <item x="1616"/>
        <item x="353"/>
        <item x="423"/>
        <item x="2820"/>
        <item x="3332"/>
        <item x="4783"/>
        <item x="1828"/>
        <item x="943"/>
        <item x="4186"/>
        <item x="148"/>
        <item x="4147"/>
        <item x="2803"/>
        <item x="475"/>
        <item x="207"/>
        <item x="4532"/>
        <item x="3486"/>
        <item x="1230"/>
        <item x="119"/>
        <item x="4300"/>
        <item x="874"/>
        <item x="1636"/>
        <item x="2134"/>
        <item x="935"/>
        <item x="4108"/>
        <item x="1647"/>
        <item x="4818"/>
        <item x="1259"/>
        <item x="2478"/>
        <item x="4743"/>
        <item x="4460"/>
        <item x="3243"/>
        <item x="1488"/>
        <item x="2961"/>
        <item x="3365"/>
        <item x="3264"/>
        <item x="2097"/>
        <item x="93"/>
        <item x="3777"/>
        <item x="11"/>
        <item x="1603"/>
        <item x="1852"/>
        <item x="587"/>
        <item x="2722"/>
        <item x="206"/>
        <item x="1827"/>
        <item x="4993"/>
        <item x="3562"/>
        <item x="1196"/>
        <item x="2148"/>
        <item x="1451"/>
        <item x="1060"/>
        <item x="1279"/>
        <item x="3672"/>
        <item x="2153"/>
        <item x="3095"/>
        <item x="1129"/>
        <item x="4338"/>
        <item x="2235"/>
        <item x="3205"/>
        <item x="816"/>
        <item x="3578"/>
        <item x="1557"/>
        <item x="4821"/>
        <item x="3818"/>
        <item x="4007"/>
        <item x="3419"/>
        <item x="2375"/>
        <item x="2682"/>
        <item x="255"/>
        <item x="1392"/>
        <item x="210"/>
        <item x="66"/>
        <item x="4891"/>
        <item x="4064"/>
        <item x="4308"/>
        <item x="2041"/>
        <item x="156"/>
        <item x="799"/>
        <item x="4080"/>
        <item x="2671"/>
        <item x="2581"/>
        <item x="730"/>
        <item x="1585"/>
        <item x="2023"/>
        <item x="1744"/>
        <item x="428"/>
        <item x="4630"/>
        <item x="1554"/>
        <item x="4341"/>
        <item x="1038"/>
        <item x="4767"/>
        <item x="4658"/>
        <item x="1782"/>
        <item x="3553"/>
        <item x="2906"/>
        <item x="79"/>
        <item x="2781"/>
        <item x="4897"/>
        <item x="2639"/>
        <item x="154"/>
        <item x="4861"/>
        <item x="4946"/>
        <item x="930"/>
        <item x="3835"/>
        <item x="4252"/>
        <item x="1135"/>
        <item x="3226"/>
        <item x="4939"/>
        <item x="310"/>
        <item x="4167"/>
        <item x="755"/>
        <item x="3330"/>
        <item x="2674"/>
        <item x="3400"/>
        <item x="6"/>
        <item x="3038"/>
        <item x="3242"/>
        <item x="3383"/>
        <item x="2504"/>
        <item x="708"/>
        <item x="2205"/>
        <item x="2738"/>
        <item x="1504"/>
        <item x="887"/>
        <item x="4930"/>
        <item x="4642"/>
        <item x="3140"/>
        <item x="1353"/>
        <item x="3836"/>
        <item x="3727"/>
        <item x="1727"/>
        <item x="2622"/>
        <item x="1914"/>
        <item x="3891"/>
        <item x="4417"/>
        <item x="1913"/>
        <item x="2685"/>
        <item x="484"/>
        <item x="3764"/>
        <item x="2016"/>
        <item x="190"/>
        <item x="1242"/>
        <item x="4295"/>
        <item x="4910"/>
        <item x="4961"/>
        <item x="1285"/>
        <item x="2125"/>
        <item x="2711"/>
        <item x="1714"/>
        <item x="92"/>
        <item x="4780"/>
        <item x="214"/>
        <item x="853"/>
        <item x="2268"/>
        <item x="3285"/>
        <item x="2947"/>
        <item x="301"/>
        <item x="4045"/>
        <item x="115"/>
        <item x="24"/>
        <item x="2613"/>
        <item x="3371"/>
        <item x="3266"/>
        <item x="2449"/>
        <item x="4269"/>
        <item x="4459"/>
        <item x="2297"/>
        <item x="244"/>
        <item x="3099"/>
        <item x="3955"/>
        <item x="4428"/>
        <item x="1776"/>
        <item x="1498"/>
        <item x="3842"/>
        <item x="3"/>
        <item x="3735"/>
        <item x="3318"/>
        <item x="37"/>
        <item x="1968"/>
        <item x="3911"/>
        <item x="3507"/>
        <item x="4508"/>
        <item x="2666"/>
        <item x="3376"/>
        <item x="3724"/>
        <item x="2291"/>
        <item x="337"/>
        <item x="3532"/>
        <item x="2641"/>
        <item x="3567"/>
        <item x="2214"/>
        <item x="4592"/>
        <item x="2104"/>
        <item x="1286"/>
        <item x="2640"/>
        <item x="3142"/>
        <item x="2827"/>
        <item x="802"/>
        <item x="647"/>
        <item x="1269"/>
        <item x="3832"/>
        <item x="2977"/>
        <item x="197"/>
        <item x="628"/>
        <item x="4028"/>
        <item x="2734"/>
        <item x="3829"/>
        <item x="3122"/>
        <item x="3933"/>
        <item x="4158"/>
        <item x="3558"/>
        <item x="962"/>
        <item x="3980"/>
        <item x="2420"/>
        <item x="2900"/>
        <item x="3650"/>
        <item x="4084"/>
        <item x="1244"/>
        <item x="889"/>
        <item x="473"/>
        <item x="4099"/>
        <item x="1845"/>
        <item x="807"/>
        <item x="4981"/>
        <item x="1668"/>
        <item x="4293"/>
        <item x="2320"/>
        <item x="2848"/>
        <item x="4840"/>
        <item x="2427"/>
        <item x="538"/>
        <item x="2571"/>
        <item x="1207"/>
        <item x="2500"/>
        <item x="3045"/>
        <item x="4035"/>
        <item x="979"/>
        <item x="2258"/>
        <item x="2252"/>
        <item x="293"/>
        <item x="4572"/>
        <item x="1267"/>
        <item x="4850"/>
        <item x="4895"/>
        <item x="3125"/>
        <item x="4400"/>
        <item x="3054"/>
        <item x="1719"/>
        <item x="1917"/>
        <item x="3399"/>
        <item x="1377"/>
        <item x="3209"/>
        <item x="1039"/>
        <item x="693"/>
        <item x="3670"/>
        <item x="2089"/>
        <item x="2537"/>
        <item x="3060"/>
        <item x="4925"/>
        <item x="4924"/>
        <item x="4134"/>
        <item x="2716"/>
        <item x="3665"/>
        <item x="2467"/>
        <item x="2423"/>
        <item x="1352"/>
        <item x="3448"/>
        <item x="3982"/>
        <item x="3998"/>
        <item x="2740"/>
        <item x="3628"/>
        <item x="3165"/>
        <item x="4665"/>
        <item x="1396"/>
        <item x="1758"/>
        <item x="1865"/>
        <item x="4813"/>
        <item x="1839"/>
        <item x="3340"/>
        <item x="2304"/>
        <item x="3939"/>
        <item x="1299"/>
        <item x="2786"/>
        <item x="1607"/>
        <item x="1558"/>
        <item x="3531"/>
        <item x="3929"/>
        <item x="184"/>
        <item x="4626"/>
        <item x="76"/>
        <item x="3127"/>
        <item x="4991"/>
        <item x="2505"/>
        <item x="4330"/>
        <item x="3241"/>
        <item x="939"/>
        <item x="983"/>
        <item x="1649"/>
        <item x="3645"/>
        <item x="1391"/>
        <item x="3207"/>
        <item x="1901"/>
        <item x="4805"/>
        <item x="4972"/>
        <item x="3614"/>
        <item x="3287"/>
        <item x="1528"/>
        <item x="2203"/>
        <item x="2161"/>
        <item x="2872"/>
        <item x="582"/>
        <item x="4484"/>
        <item x="4543"/>
        <item x="1875"/>
        <item x="2632"/>
        <item x="967"/>
        <item x="2591"/>
        <item x="1123"/>
        <item x="357"/>
        <item x="4004"/>
        <item x="671"/>
        <item x="3171"/>
        <item x="3571"/>
        <item x="509"/>
        <item x="3153"/>
        <item x="741"/>
        <item x="1402"/>
        <item x="2047"/>
        <item x="4729"/>
        <item x="315"/>
        <item x="3269"/>
        <item x="1642"/>
        <item x="4321"/>
        <item x="575"/>
        <item x="685"/>
        <item x="1682"/>
        <item x="2752"/>
        <item x="2390"/>
        <item x="4345"/>
        <item x="2156"/>
        <item x="2579"/>
        <item x="233"/>
        <item x="2726"/>
        <item x="4265"/>
        <item x="2108"/>
        <item x="182"/>
        <item x="2941"/>
        <item x="2690"/>
        <item x="3248"/>
        <item x="2825"/>
        <item x="3669"/>
        <item x="1818"/>
        <item x="1672"/>
        <item x="3187"/>
        <item x="1416"/>
        <item x="1483"/>
        <item x="2959"/>
        <item x="1562"/>
        <item x="4906"/>
        <item x="2293"/>
        <item x="4970"/>
        <item x="994"/>
        <item x="2301"/>
        <item x="3100"/>
        <item x="1663"/>
        <item x="4151"/>
        <item x="613"/>
        <item x="612"/>
        <item x="374"/>
        <item x="3078"/>
        <item x="4479"/>
        <item x="3194"/>
        <item x="4357"/>
        <item x="1153"/>
        <item x="517"/>
        <item x="2687"/>
        <item x="4440"/>
        <item x="138"/>
        <item x="1159"/>
        <item x="474"/>
        <item x="1517"/>
        <item x="1773"/>
        <item x="4062"/>
        <item x="1040"/>
        <item x="482"/>
        <item x="2793"/>
        <item x="1337"/>
        <item x="1666"/>
        <item x="3488"/>
        <item x="2325"/>
        <item x="2147"/>
        <item x="3789"/>
        <item x="829"/>
        <item x="2141"/>
        <item x="630"/>
        <item x="3001"/>
        <item x="546"/>
        <item x="4986"/>
        <item x="4171"/>
        <item x="1595"/>
        <item x="2762"/>
        <item x="4491"/>
        <item x="2839"/>
        <item x="4589"/>
        <item x="1796"/>
        <item x="2769"/>
        <item x="3541"/>
        <item x="2912"/>
        <item x="3276"/>
        <item x="2937"/>
        <item x="3253"/>
        <item x="74"/>
        <item x="3946"/>
        <item x="1826"/>
        <item x="763"/>
        <item x="262"/>
        <item x="1534"/>
        <item x="2266"/>
        <item x="2392"/>
        <item x="3954"/>
        <item x="1582"/>
        <item x="882"/>
        <item x="4929"/>
        <item x="1807"/>
        <item x="3993"/>
        <item x="501"/>
        <item x="3083"/>
        <item x="1047"/>
        <item x="860"/>
        <item x="1614"/>
        <item x="4540"/>
        <item x="1583"/>
        <item x="1835"/>
        <item x="650"/>
        <item x="2463"/>
        <item x="2498"/>
        <item x="3445"/>
        <item x="4629"/>
        <item x="1954"/>
        <item x="4901"/>
        <item x="1052"/>
        <item x="3157"/>
        <item x="821"/>
        <item x="4090"/>
        <item x="385"/>
        <item x="2081"/>
        <item x="3343"/>
        <item x="726"/>
        <item x="2725"/>
        <item x="2706"/>
        <item x="1042"/>
        <item x="3405"/>
        <item x="1121"/>
        <item x="956"/>
        <item x="4327"/>
        <item x="3284"/>
        <item x="1958"/>
        <item x="3603"/>
        <item x="2192"/>
        <item x="350"/>
        <item x="531"/>
        <item x="4384"/>
        <item x="2298"/>
        <item x="3525"/>
        <item x="4473"/>
        <item x="4934"/>
        <item x="2620"/>
        <item x="4024"/>
        <item x="1964"/>
        <item x="3009"/>
        <item x="2354"/>
        <item x="4538"/>
        <item x="4752"/>
        <item x="2422"/>
        <item x="822"/>
        <item x="2810"/>
        <item x="3698"/>
        <item x="804"/>
        <item x="2017"/>
        <item x="1224"/>
        <item x="3148"/>
        <item x="2413"/>
        <item x="3087"/>
        <item x="3730"/>
        <item x="4905"/>
        <item x="4679"/>
        <item x="731"/>
        <item x="865"/>
        <item x="2598"/>
        <item x="3907"/>
        <item x="2771"/>
        <item x="1238"/>
        <item x="4959"/>
        <item x="1581"/>
        <item x="2875"/>
        <item x="2513"/>
        <item x="3740"/>
        <item x="959"/>
        <item x="989"/>
        <item x="2529"/>
        <item x="2110"/>
        <item x="893"/>
        <item x="3689"/>
        <item x="4499"/>
        <item x="57"/>
        <item x="338"/>
        <item x="3058"/>
        <item x="4548"/>
        <item x="2934"/>
        <item x="318"/>
        <item x="227"/>
        <item x="2368"/>
        <item x="4302"/>
        <item x="4810"/>
        <item x="4160"/>
        <item x="2890"/>
        <item x="1457"/>
        <item x="2166"/>
        <item x="1101"/>
        <item x="1648"/>
        <item x="1388"/>
        <item x="2993"/>
        <item x="4878"/>
        <item x="3174"/>
        <item x="2196"/>
        <item x="4754"/>
        <item x="2433"/>
        <item x="99"/>
        <item x="873"/>
        <item x="4420"/>
        <item x="472"/>
        <item x="1428"/>
        <item x="2600"/>
        <item x="4875"/>
        <item x="4181"/>
        <item x="2136"/>
        <item x="4106"/>
        <item x="764"/>
        <item x="1943"/>
        <item x="2648"/>
        <item x="3101"/>
        <item x="585"/>
        <item x="1580"/>
        <item x="3700"/>
        <item x="1837"/>
        <item x="4254"/>
        <item x="322"/>
        <item x="3720"/>
        <item x="2630"/>
        <item x="2275"/>
        <item x="1732"/>
        <item x="2069"/>
        <item x="3647"/>
        <item x="2145"/>
        <item x="1004"/>
        <item x="1915"/>
        <item x="3052"/>
        <item x="4304"/>
        <item x="1736"/>
        <item x="1529"/>
        <item x="252"/>
        <item x="557"/>
        <item x="3736"/>
        <item x="4132"/>
        <item x="550"/>
        <item x="4908"/>
        <item x="2446"/>
        <item x="830"/>
        <item x="4273"/>
        <item x="1140"/>
        <item x="1344"/>
        <item x="2046"/>
        <item x="4691"/>
        <item x="2757"/>
        <item x="1364"/>
        <item x="1873"/>
        <item x="463"/>
        <item x="3475"/>
        <item x="181"/>
        <item x="1127"/>
        <item x="3377"/>
        <item x="415"/>
        <item x="2730"/>
        <item x="1249"/>
        <item x="786"/>
        <item x="410"/>
        <item x="3261"/>
        <item x="1503"/>
        <item x="2021"/>
        <item x="433"/>
        <item x="1253"/>
        <item x="4894"/>
        <item x="4398"/>
        <item x="4415"/>
        <item x="2216"/>
        <item x="1099"/>
        <item x="4197"/>
        <item x="621"/>
        <item x="4524"/>
        <item x="698"/>
        <item x="2139"/>
        <item x="1960"/>
        <item x="1974"/>
        <item x="3877"/>
        <item x="3610"/>
        <item x="2396"/>
        <item x="3097"/>
        <item x="4126"/>
        <item x="4000"/>
        <item x="46"/>
        <item x="3583"/>
        <item x="2042"/>
        <item x="480"/>
        <item x="2284"/>
        <item x="3135"/>
        <item x="4322"/>
        <item x="19"/>
        <item x="4372"/>
        <item x="589"/>
        <item x="3291"/>
        <item x="651"/>
        <item x="3231"/>
        <item x="1829"/>
        <item x="608"/>
        <item x="2155"/>
        <item x="344"/>
        <item x="172"/>
        <item x="4704"/>
        <item x="2377"/>
        <item x="1441"/>
        <item x="4318"/>
        <item x="1164"/>
        <item x="4601"/>
        <item x="77"/>
        <item x="1116"/>
        <item x="383"/>
        <item x="3492"/>
        <item x="3215"/>
        <item x="3320"/>
        <item x="3422"/>
        <item x="4701"/>
        <item x="2878"/>
        <item x="1261"/>
        <item x="3528"/>
        <item x="4941"/>
        <item x="2106"/>
        <item x="1472"/>
        <item x="4969"/>
        <item x="4298"/>
        <item x="718"/>
        <item x="3167"/>
        <item x="3989"/>
        <item x="4628"/>
        <item x="1994"/>
        <item x="2931"/>
        <item x="3593"/>
        <item x="788"/>
        <item x="4650"/>
        <item x="950"/>
        <item x="3510"/>
        <item x="2151"/>
        <item x="4418"/>
        <item x="3574"/>
        <item x="2744"/>
        <item x="2712"/>
        <item x="3881"/>
        <item x="4757"/>
        <item x="1735"/>
        <item x="1532"/>
        <item x="231"/>
        <item x="784"/>
        <item x="1346"/>
        <item x="373"/>
        <item x="302"/>
        <item x="1717"/>
        <item x="1310"/>
        <item x="3310"/>
        <item x="3391"/>
        <item x="3208"/>
        <item x="616"/>
        <item x="1740"/>
        <item x="3299"/>
        <item x="1718"/>
        <item x="1125"/>
        <item x="3766"/>
        <item x="2627"/>
        <item x="1365"/>
        <item x="2535"/>
        <item x="2782"/>
        <item x="4489"/>
        <item x="3649"/>
        <item x="3309"/>
        <item x="661"/>
        <item x="55"/>
        <item x="1546"/>
        <item x="4963"/>
        <item x="159"/>
        <item x="4608"/>
        <item x="1323"/>
        <item x="4423"/>
        <item x="3024"/>
        <item x="2998"/>
        <item x="3622"/>
        <item x="1169"/>
        <item x="1895"/>
        <item x="36"/>
        <item x="2039"/>
        <item x="2294"/>
        <item x="61"/>
        <item x="2536"/>
        <item x="4312"/>
        <item x="789"/>
        <item x="455"/>
        <item x="2366"/>
        <item x="912"/>
        <item x="3969"/>
        <item x="554"/>
        <item x="3820"/>
        <item x="4433"/>
        <item x="4244"/>
        <item x="4141"/>
        <item x="543"/>
        <item x="1022"/>
        <item x="470"/>
        <item x="3935"/>
        <item x="2"/>
        <item x="4451"/>
        <item x="4471"/>
        <item x="3866"/>
        <item x="681"/>
        <item x="100"/>
        <item x="1011"/>
        <item x="2922"/>
        <item x="4276"/>
        <item x="1290"/>
        <item x="1667"/>
        <item x="643"/>
        <item x="4900"/>
        <item x="314"/>
        <item x="39"/>
        <item x="2525"/>
        <item x="4777"/>
        <item x="3747"/>
        <item x="1997"/>
        <item x="2905"/>
        <item x="773"/>
        <item x="2917"/>
        <item x="4216"/>
        <item x="2060"/>
        <item x="3676"/>
        <item x="2625"/>
        <item x="313"/>
        <item x="3619"/>
        <item x="2957"/>
        <item x="4903"/>
        <item x="2774"/>
        <item x="1494"/>
        <item x="4579"/>
        <item x="3918"/>
        <item x="1114"/>
        <item x="331"/>
        <item x="1897"/>
        <item x="1601"/>
        <item x="413"/>
        <item x="2681"/>
        <item x="4255"/>
        <item x="2623"/>
        <item x="904"/>
        <item x="3992"/>
        <item x="3211"/>
        <item x="1780"/>
        <item x="3035"/>
        <item x="1825"/>
        <item x="2764"/>
        <item x="1931"/>
        <item x="711"/>
        <item x="4202"/>
        <item x="2188"/>
        <item x="3254"/>
        <item x="2790"/>
        <item x="3782"/>
        <item x="105"/>
        <item x="961"/>
        <item x="683"/>
        <item x="4175"/>
        <item x="2916"/>
        <item x="2020"/>
        <item x="1511"/>
        <item x="1345"/>
        <item x="1523"/>
        <item x="1190"/>
        <item x="2207"/>
        <item x="3357"/>
        <item x="2469"/>
        <item x="1838"/>
        <item x="844"/>
        <item x="1166"/>
        <item x="857"/>
        <item x="2629"/>
        <item x="4722"/>
        <item x="536"/>
        <item x="2011"/>
        <item x="3546"/>
        <item x="4073"/>
        <item x="747"/>
        <item x="1223"/>
        <item x="514"/>
        <item x="3112"/>
        <item x="4297"/>
        <item x="2672"/>
        <item x="1889"/>
        <item x="4835"/>
        <item x="2113"/>
        <item x="2477"/>
        <item x="3600"/>
        <item x="2702"/>
        <item x="4795"/>
        <item x="2271"/>
        <item x="4719"/>
        <item x="3577"/>
        <item x="1173"/>
        <item x="4286"/>
        <item x="2495"/>
        <item x="4635"/>
        <item x="2636"/>
        <item x="2001"/>
        <item x="1497"/>
        <item x="1370"/>
        <item x="491"/>
        <item x="4806"/>
        <item x="3381"/>
        <item x="2831"/>
        <item x="888"/>
        <item x="4050"/>
        <item x="1696"/>
        <item x="391"/>
        <item x="2753"/>
        <item x="1157"/>
        <item x="3457"/>
        <item x="435"/>
        <item x="2723"/>
        <item x="1053"/>
        <item x="3890"/>
        <item x="4485"/>
        <item x="3755"/>
        <item x="722"/>
        <item x="4750"/>
        <item x="1387"/>
        <item x="3714"/>
        <item x="4059"/>
        <item x="3349"/>
        <item x="2796"/>
        <item x="2324"/>
        <item x="1088"/>
        <item x="2352"/>
        <item x="4554"/>
        <item x="4942"/>
        <item x="3681"/>
        <item x="1418"/>
        <item x="3347"/>
        <item x="3223"/>
        <item x="4756"/>
        <item x="1793"/>
        <item x="4262"/>
        <item x="656"/>
        <item x="27"/>
        <item x="4235"/>
        <item x="3534"/>
        <item x="109"/>
        <item x="4980"/>
        <item x="535"/>
        <item x="2708"/>
        <item x="2844"/>
        <item x="1799"/>
        <item x="1571"/>
        <item x="3070"/>
        <item x="1209"/>
        <item x="2548"/>
        <item x="195"/>
        <item x="1630"/>
        <item x="2253"/>
        <item x="2103"/>
        <item x="1587"/>
        <item x="3608"/>
        <item x="552"/>
        <item x="3195"/>
        <item x="2979"/>
        <item x="4317"/>
        <item x="3462"/>
        <item x="4793"/>
        <item x="4857"/>
        <item x="2531"/>
        <item x="431"/>
        <item x="3246"/>
        <item x="4079"/>
        <item x="2164"/>
        <item x="690"/>
        <item x="4537"/>
        <item x="2386"/>
        <item x="2038"/>
        <item x="1743"/>
        <item x="3518"/>
        <item x="867"/>
        <item x="3904"/>
        <item x="2585"/>
        <item x="1862"/>
        <item x="3545"/>
        <item x="737"/>
        <item x="3595"/>
        <item x="1665"/>
        <item x="3530"/>
        <item x="1073"/>
        <item x="4885"/>
        <item x="3116"/>
        <item x="1439"/>
        <item x="4987"/>
        <item x="2067"/>
        <item x="3493"/>
        <item x="1809"/>
        <item x="2056"/>
        <item x="3104"/>
        <item x="483"/>
        <item x="1417"/>
        <item x="4278"/>
        <item x="4518"/>
        <item x="5"/>
        <item x="4015"/>
        <item x="1590"/>
        <item x="3920"/>
        <item x="4549"/>
        <item x="3406"/>
        <item x="445"/>
        <item x="3172"/>
        <item x="1453"/>
        <item x="1646"/>
        <item x="3053"/>
        <item x="88"/>
        <item x="2718"/>
        <item x="1935"/>
        <item x="1844"/>
        <item x="1225"/>
        <item x="454"/>
        <item x="1858"/>
        <item x="3772"/>
        <item x="4466"/>
        <item x="815"/>
        <item x="4512"/>
        <item x="2989"/>
        <item x="1662"/>
        <item x="2439"/>
        <item x="4068"/>
        <item x="1832"/>
        <item x="1041"/>
        <item x="3305"/>
        <item x="335"/>
        <item x="2395"/>
        <item x="2747"/>
        <item x="2344"/>
        <item x="982"/>
        <item x="4299"/>
        <item x="2115"/>
        <item x="4627"/>
        <item x="2351"/>
        <item x="2306"/>
        <item x="4097"/>
        <item x="1969"/>
        <item x="247"/>
        <item x="1132"/>
        <item x="4155"/>
        <item x="168"/>
        <item x="4612"/>
        <item x="4597"/>
        <item x="4807"/>
        <item x="56"/>
        <item x="895"/>
        <item x="677"/>
        <item x="4949"/>
        <item x="3697"/>
        <item x="1754"/>
        <item x="1771"/>
        <item x="3894"/>
        <item x="3996"/>
        <item x="3908"/>
        <item x="1155"/>
        <item x="2817"/>
        <item x="4855"/>
        <item x="246"/>
        <item x="576"/>
        <item x="4467"/>
        <item x="4412"/>
        <item x="2745"/>
        <item x="1326"/>
        <item x="2233"/>
        <item x="2645"/>
        <item x="4994"/>
        <item x="2129"/>
        <item x="4290"/>
        <item x="714"/>
        <item x="392"/>
        <item x="785"/>
        <item x="3915"/>
        <item x="4843"/>
        <item x="2255"/>
        <item x="1440"/>
        <item x="1124"/>
        <item x="3132"/>
        <item x="4369"/>
        <item x="3434"/>
        <item x="1411"/>
        <item x="2312"/>
        <item x="659"/>
        <item x="64"/>
        <item x="2717"/>
        <item x="3602"/>
        <item x="1423"/>
        <item x="2323"/>
        <item x="175"/>
        <item x="1188"/>
        <item x="1637"/>
        <item x="4464"/>
        <item x="1291"/>
        <item x="2418"/>
        <item x="854"/>
        <item x="1342"/>
        <item x="607"/>
        <item x="2929"/>
        <item x="2173"/>
        <item x="2828"/>
        <item x="4326"/>
        <item x="4368"/>
        <item x="3466"/>
        <item x="4174"/>
        <item x="4504"/>
        <item x="4662"/>
        <item x="609"/>
        <item x="4656"/>
        <item x="559"/>
        <item x="3412"/>
        <item x="2000"/>
        <item x="4713"/>
        <item x="1792"/>
        <item x="377"/>
        <item x="3637"/>
        <item x="3685"/>
        <item x="360"/>
        <item x="2901"/>
        <item x="38"/>
        <item x="1165"/>
        <item x="4165"/>
        <item x="908"/>
        <item x="4461"/>
        <item x="287"/>
        <item x="218"/>
        <item x="16"/>
        <item x="2910"/>
        <item x="4948"/>
        <item x="2949"/>
        <item x="699"/>
        <item x="702"/>
        <item x="4962"/>
        <item x="2877"/>
        <item x="2662"/>
        <item x="783"/>
        <item x="3847"/>
        <item x="1501"/>
        <item x="3306"/>
        <item x="1949"/>
        <item x="258"/>
        <item x="1756"/>
        <item x="3124"/>
        <item x="1447"/>
        <item x="3235"/>
        <item x="1596"/>
        <item x="451"/>
        <item x="3803"/>
        <item x="3494"/>
        <item x="4240"/>
        <item x="2746"/>
        <item x="4232"/>
        <item x="3252"/>
        <item x="311"/>
        <item x="3062"/>
        <item x="496"/>
        <item x="2244"/>
        <item x="3017"/>
        <item x="3416"/>
        <item x="825"/>
        <item x="4873"/>
        <item x="1575"/>
        <item x="280"/>
        <item x="4413"/>
        <item x="894"/>
        <item x="3163"/>
        <item x="3061"/>
        <item x="4774"/>
        <item x="4738"/>
        <item x="1027"/>
        <item x="4311"/>
        <item x="3778"/>
        <item x="1082"/>
        <item x="1957"/>
        <item x="4371"/>
        <item x="3535"/>
        <item x="2893"/>
        <item x="1369"/>
        <item x="432"/>
        <item x="3667"/>
        <item x="2519"/>
        <item x="3656"/>
        <item x="2163"/>
        <item x="4553"/>
        <item x="2213"/>
        <item x="3065"/>
        <item x="949"/>
        <item x="2285"/>
        <item x="1766"/>
        <item x="1335"/>
        <item x="459"/>
        <item x="1237"/>
        <item x="1075"/>
        <item x="922"/>
        <item x="602"/>
        <item x="2932"/>
        <item x="1702"/>
        <item x="3824"/>
        <item x="4211"/>
        <item x="4673"/>
        <item x="4448"/>
        <item x="3464"/>
        <item x="921"/>
        <item x="4496"/>
        <item x="1813"/>
        <item x="165"/>
        <item x="2412"/>
        <item x="3963"/>
        <item x="524"/>
        <item x="3435"/>
        <item x="3882"/>
        <item x="3164"/>
        <item x="2739"/>
        <item x="1777"/>
        <item x="529"/>
        <item x="1864"/>
        <item x="2694"/>
        <item x="3958"/>
        <item x="3353"/>
        <item x="2085"/>
        <item x="2116"/>
        <item x="1192"/>
        <item x="3395"/>
        <item x="3407"/>
        <item x="3275"/>
        <item x="2140"/>
        <item x="1307"/>
        <item x="2367"/>
        <item x="2981"/>
        <item x="2299"/>
        <item x="926"/>
        <item x="3380"/>
        <item x="4765"/>
        <item x="3919"/>
        <item x="850"/>
        <item x="1478"/>
        <item x="2111"/>
        <item x="2510"/>
        <item x="579"/>
        <item x="4604"/>
        <item x="7"/>
        <item x="4391"/>
        <item x="4593"/>
        <item x="4200"/>
        <item x="2322"/>
        <item x="4017"/>
        <item x="1154"/>
        <item x="1264"/>
        <item x="1168"/>
        <item x="270"/>
        <item x="141"/>
        <item x="2057"/>
        <item x="1018"/>
        <item x="3126"/>
        <item x="4267"/>
        <item x="2429"/>
        <item x="4510"/>
        <item x="3983"/>
        <item x="3903"/>
        <item x="4670"/>
        <item x="2660"/>
        <item x="1198"/>
        <item x="3436"/>
        <item x="2454"/>
        <item x="2560"/>
        <item x="1144"/>
        <item x="4764"/>
        <item x="588"/>
        <item x="2514"/>
        <item x="3105"/>
        <item x="2678"/>
        <item x="2066"/>
        <item x="4350"/>
        <item x="1160"/>
        <item x="2223"/>
        <item x="3121"/>
        <item x="4041"/>
        <item x="2864"/>
        <item x="539"/>
        <item x="4011"/>
        <item x="631"/>
        <item x="1118"/>
        <item x="706"/>
        <item x="2389"/>
        <item x="4846"/>
        <item x="4349"/>
        <item x="1733"/>
        <item x="112"/>
        <item x="4516"/>
        <item x="645"/>
        <item x="4868"/>
        <item x="2384"/>
        <item x="153"/>
        <item x="3120"/>
        <item x="4741"/>
        <item x="2804"/>
        <item x="450"/>
        <item x="3636"/>
        <item x="3853"/>
        <item x="4563"/>
        <item x="2054"/>
        <item x="4530"/>
        <item x="604"/>
        <item x="637"/>
        <item x="3042"/>
        <item x="4223"/>
        <item x="1404"/>
        <item x="4920"/>
        <item x="3189"/>
        <item x="3660"/>
        <item x="3768"/>
        <item x="3833"/>
        <item x="2175"/>
        <item x="2434"/>
        <item x="3719"/>
        <item x="3359"/>
        <item x="4452"/>
        <item x="4342"/>
        <item x="4659"/>
        <item x="3790"/>
        <item x="4788"/>
        <item x="1407"/>
        <item x="1854"/>
        <item x="2939"/>
        <item x="4289"/>
        <item x="4389"/>
        <item x="2270"/>
        <item x="2014"/>
        <item x="308"/>
        <item x="597"/>
        <item x="1609"/>
        <item x="3200"/>
        <item x="4453"/>
        <item x="885"/>
        <item x="3369"/>
        <item x="3940"/>
        <item x="1272"/>
        <item x="3889"/>
        <item x="676"/>
        <item x="4492"/>
        <item x="3550"/>
        <item x="4736"/>
        <item x="2380"/>
        <item x="4603"/>
        <item x="4325"/>
        <item x="3255"/>
        <item x="1110"/>
        <item x="457"/>
        <item x="2372"/>
        <item x="177"/>
        <item x="1078"/>
        <item x="3084"/>
        <item x="2544"/>
        <item x="2489"/>
        <item x="3561"/>
        <item x="3947"/>
        <item x="527"/>
        <item x="4154"/>
        <item x="4724"/>
        <item x="2385"/>
        <item x="812"/>
        <item x="1521"/>
        <item x="264"/>
        <item x="720"/>
        <item x="619"/>
        <item x="2438"/>
        <item x="556"/>
        <item x="4919"/>
        <item x="4248"/>
        <item x="4296"/>
        <item x="3652"/>
        <item x="2599"/>
        <item x="4351"/>
        <item x="3335"/>
        <item x="2002"/>
        <item x="3152"/>
        <item x="4121"/>
        <item x="3411"/>
        <item x="1083"/>
        <item x="1634"/>
        <item x="2341"/>
        <item x="3107"/>
        <item x="1016"/>
        <item x="4157"/>
        <item x="1765"/>
        <item x="1789"/>
        <item x="1490"/>
        <item x="2539"/>
        <item x="4179"/>
        <item x="548"/>
        <item x="317"/>
        <item x="617"/>
        <item x="2328"/>
        <item x="563"/>
        <item x="3010"/>
        <item x="4943"/>
        <item x="3430"/>
        <item x="1594"/>
        <item x="2709"/>
        <item x="2013"/>
        <item x="4590"/>
        <item x="458"/>
        <item x="2417"/>
        <item x="972"/>
        <item x="2200"/>
        <item x="1892"/>
        <item x="1715"/>
        <item x="2309"/>
        <item x="750"/>
        <item x="2447"/>
        <item x="2031"/>
        <item x="8"/>
        <item x="4569"/>
        <item x="0"/>
        <item x="3875"/>
        <item x="1029"/>
        <item x="4760"/>
        <item x="3439"/>
        <item x="892"/>
        <item x="920"/>
        <item x="3899"/>
        <item x="3461"/>
        <item x="121"/>
        <item x="1506"/>
        <item x="1705"/>
        <item x="1579"/>
        <item x="2976"/>
        <item x="2167"/>
        <item x="675"/>
        <item x="2006"/>
        <item x="2254"/>
        <item x="4519"/>
        <item x="507"/>
        <item x="3544"/>
        <item x="213"/>
        <item x="3258"/>
        <item x="1932"/>
        <item x="3483"/>
        <item x="2350"/>
        <item x="2642"/>
        <item x="2072"/>
        <item x="808"/>
        <item x="1508"/>
        <item x="4566"/>
        <item x="1938"/>
        <item x="4720"/>
        <item x="4542"/>
        <item x="328"/>
        <item x="2992"/>
        <item x="3802"/>
        <item x="3180"/>
        <item x="2580"/>
        <item x="1348"/>
        <item x="2400"/>
        <item x="147"/>
        <item x="1561"/>
        <item x="103"/>
        <item x="3387"/>
        <item x="3108"/>
        <item x="2137"/>
        <item x="823"/>
        <item x="3822"/>
        <item x="2034"/>
        <item x="1921"/>
        <item x="1669"/>
        <item x="2405"/>
        <item x="1089"/>
        <item x="3447"/>
        <item x="3774"/>
        <item x="2348"/>
        <item x="4936"/>
        <item x="1095"/>
        <item x="4680"/>
        <item x="2927"/>
        <item x="3191"/>
        <item x="2004"/>
        <item x="2538"/>
        <item x="4646"/>
        <item x="3469"/>
        <item x="1024"/>
        <item x="2445"/>
        <item x="160"/>
        <item x="3109"/>
        <item x="500"/>
        <item x="977"/>
        <item x="925"/>
        <item x="4207"/>
        <item x="4210"/>
        <item x="2158"/>
        <item x="3968"/>
        <item x="2921"/>
        <item x="910"/>
        <item x="2050"/>
        <item x="1468"/>
        <item x="3213"/>
        <item x="3237"/>
        <item x="849"/>
        <item x="3372"/>
        <item x="3161"/>
        <item x="4016"/>
        <item x="12"/>
        <item x="1924"/>
        <item x="3117"/>
        <item x="4071"/>
        <item x="4827"/>
        <item x="1867"/>
        <item x="4883"/>
        <item x="757"/>
        <item x="4879"/>
        <item x="3957"/>
        <item x="2541"/>
        <item x="4723"/>
        <item x="4109"/>
        <item x="692"/>
        <item x="368"/>
        <item x="715"/>
        <item x="3181"/>
        <item x="3759"/>
        <item x="239"/>
        <item x="3131"/>
        <item x="2240"/>
        <item x="1560"/>
        <item x="4246"/>
        <item x="2895"/>
        <item x="3922"/>
        <item x="4888"/>
        <item x="848"/>
        <item x="3967"/>
        <item x="1728"/>
        <item x="3456"/>
        <item x="1972"/>
        <item x="4161"/>
        <item x="398"/>
        <item x="1933"/>
        <item x="1767"/>
        <item x="4355"/>
        <item x="2569"/>
        <item x="639"/>
        <item x="2290"/>
        <item x="1731"/>
        <item x="603"/>
        <item x="3807"/>
        <item x="2635"/>
        <item x="50"/>
        <item x="3781"/>
        <item x="3489"/>
        <item x="530"/>
        <item x="4497"/>
        <item x="1778"/>
        <item x="1093"/>
        <item x="3096"/>
        <item x="1399"/>
        <item x="3961"/>
        <item x="4014"/>
        <item x="4798"/>
        <item x="3297"/>
        <item x="1258"/>
        <item x="1640"/>
        <item x="1545"/>
        <item x="1033"/>
        <item x="2040"/>
        <item x="2940"/>
        <item x="3987"/>
        <item x="73"/>
        <item x="622"/>
        <item x="819"/>
        <item x="1904"/>
        <item x="1389"/>
        <item x="1927"/>
        <item x="4983"/>
        <item x="108"/>
        <item x="3785"/>
        <item x="4379"/>
        <item x="1620"/>
        <item x="2857"/>
        <item x="3874"/>
        <item x="2584"/>
        <item x="4230"/>
        <item x="2228"/>
        <item x="1386"/>
        <item x="4797"/>
        <item x="2511"/>
        <item x="3312"/>
        <item x="906"/>
        <item x="2025"/>
        <item x="2612"/>
        <item x="1512"/>
        <item x="3762"/>
        <item x="3675"/>
        <item x="1229"/>
        <item x="883"/>
        <item x="3924"/>
        <item x="878"/>
        <item x="4602"/>
        <item x="688"/>
        <item x="4443"/>
        <item x="96"/>
        <item x="2269"/>
        <item x="780"/>
        <item x="3932"/>
        <item x="65"/>
        <item x="1014"/>
        <item x="1136"/>
        <item x="1759"/>
        <item x="1902"/>
        <item x="3071"/>
        <item x="4892"/>
        <item x="1034"/>
        <item x="2088"/>
        <item x="1158"/>
        <item x="2677"/>
        <item x="59"/>
        <item x="2278"/>
        <item x="3098"/>
        <item x="847"/>
        <item x="4645"/>
        <item x="3329"/>
        <item x="4282"/>
        <item x="2619"/>
        <item x="4217"/>
        <item x="2824"/>
        <item x="1500"/>
        <item x="4858"/>
        <item x="422"/>
        <item x="1084"/>
        <item x="1563"/>
        <item x="4577"/>
        <item x="4446"/>
        <item x="4206"/>
        <item x="3397"/>
        <item x="2327"/>
        <item x="2891"/>
        <item x="4525"/>
        <item x="3711"/>
        <item x="2795"/>
        <item x="2778"/>
        <item x="1998"/>
        <item x="3190"/>
        <item x="3801"/>
        <item x="4699"/>
        <item x="3757"/>
        <item x="571"/>
        <item x="1549"/>
        <item x="1509"/>
        <item x="3459"/>
        <item x="4218"/>
        <item x="3216"/>
        <item x="4541"/>
        <item x="1097"/>
        <item x="4390"/>
        <item x="880"/>
        <item x="4093"/>
        <item x="1474"/>
        <item x="2204"/>
        <item x="1824"/>
        <item x="1357"/>
        <item x="4733"/>
        <item x="1908"/>
        <item x="4664"/>
        <item x="3206"/>
        <item x="169"/>
        <item x="1263"/>
        <item x="2336"/>
        <item x="3197"/>
        <item x="4726"/>
        <item x="2528"/>
        <item x="1713"/>
        <item x="511"/>
        <item x="3048"/>
        <item x="4785"/>
        <item x="3041"/>
        <item x="2876"/>
        <item x="4825"/>
        <item x="3433"/>
        <item x="4867"/>
        <item x="506"/>
        <item x="2218"/>
        <item x="2472"/>
        <item x="1028"/>
        <item x="2715"/>
        <item x="4709"/>
        <item x="1315"/>
        <item x="176"/>
        <item x="1566"/>
        <item x="4018"/>
        <item x="378"/>
        <item x="827"/>
        <item x="1349"/>
        <item x="3783"/>
        <item x="765"/>
        <item x="1928"/>
        <item x="1918"/>
        <item x="758"/>
        <item x="2552"/>
        <item x="4521"/>
        <item x="4422"/>
        <item x="1876"/>
        <item x="137"/>
        <item x="2978"/>
        <item x="449"/>
        <item x="3892"/>
        <item x="3883"/>
        <item x="4377"/>
        <item x="2302"/>
        <item x="3812"/>
        <item x="2259"/>
        <item x="3314"/>
        <item x="4707"/>
        <item x="3002"/>
        <item x="3868"/>
        <item x="2854"/>
        <item x="3263"/>
        <item x="1091"/>
        <item x="479"/>
        <item x="1896"/>
        <item x="3504"/>
        <item x="2713"/>
        <item x="2160"/>
        <item x="2363"/>
        <item x="4472"/>
        <item x="2724"/>
        <item x="1540"/>
        <item x="4833"/>
        <item x="397"/>
        <item x="2956"/>
        <item x="499"/>
        <item x="1374"/>
        <item x="1898"/>
        <item x="2515"/>
        <item x="615"/>
        <item x="294"/>
        <item x="797"/>
        <item x="447"/>
        <item x="4309"/>
        <item x="3726"/>
        <item x="4792"/>
        <item x="3245"/>
        <item x="366"/>
        <item x="3421"/>
        <item x="3750"/>
        <item x="4698"/>
        <item x="1210"/>
        <item x="4373"/>
        <item x="2919"/>
        <item x="968"/>
        <item x="3037"/>
        <item x="778"/>
        <item x="186"/>
        <item x="2727"/>
        <item x="489"/>
        <item x="4965"/>
        <item x="2968"/>
        <item x="263"/>
        <item x="1941"/>
        <item x="537"/>
        <item x="1021"/>
        <item x="3682"/>
        <item x="54"/>
        <item x="4973"/>
        <item x="2090"/>
        <item x="1023"/>
        <item x="2883"/>
        <item x="325"/>
        <item x="4844"/>
        <item x="2559"/>
        <item x="4178"/>
        <item x="4060"/>
        <item x="2859"/>
        <item x="4982"/>
        <item x="1786"/>
        <item x="1710"/>
        <item x="3581"/>
        <item x="1604"/>
        <item x="4352"/>
        <item x="3250"/>
        <item x="4053"/>
        <item x="3758"/>
        <item x="2159"/>
        <item x="3876"/>
        <item x="4320"/>
        <item x="1446"/>
        <item x="4849"/>
        <item x="1760"/>
        <item x="1185"/>
        <item x="3702"/>
        <item x="3169"/>
        <item x="4259"/>
        <item x="2086"/>
        <item x="3729"/>
        <item x="1133"/>
        <item x="4526"/>
        <item x="2994"/>
        <item x="1967"/>
        <item x="4019"/>
        <item x="2403"/>
        <item x="1130"/>
        <item x="291"/>
        <item x="855"/>
        <item x="2972"/>
        <item x="4087"/>
        <item x="4847"/>
        <item x="566"/>
        <item x="4431"/>
        <item x="4976"/>
        <item x="3396"/>
        <item x="2305"/>
        <item x="1946"/>
        <item x="2114"/>
        <item x="710"/>
        <item x="2179"/>
        <item x="1588"/>
        <item x="1814"/>
        <item x="2691"/>
        <item x="1066"/>
        <item x="393"/>
        <item x="2044"/>
        <item x="1797"/>
        <item x="2251"/>
        <item x="3429"/>
        <item x="4953"/>
        <item x="4124"/>
        <item x="1631"/>
        <item x="4139"/>
        <item x="1866"/>
        <item x="1784"/>
        <item x="3497"/>
        <item x="2458"/>
        <item x="2497"/>
        <item x="1079"/>
        <item x="1043"/>
        <item x="476"/>
        <item x="3587"/>
        <item x="3914"/>
        <item x="3119"/>
        <item x="899"/>
        <item x="2985"/>
        <item x="771"/>
        <item x="2888"/>
        <item x="2191"/>
        <item x="2473"/>
        <item x="826"/>
        <item x="4116"/>
        <item x="2692"/>
        <item x="3303"/>
        <item x="3884"/>
        <item x="3432"/>
        <item x="901"/>
        <item x="775"/>
        <item x="578"/>
        <item x="3718"/>
        <item x="1194"/>
        <item x="964"/>
        <item x="1460"/>
        <item x="4365"/>
        <item x="448"/>
        <item x="3021"/>
        <item x="2614"/>
        <item x="3872"/>
        <item x="4826"/>
        <item x="3569"/>
        <item x="30"/>
        <item x="565"/>
        <item x="157"/>
        <item x="774"/>
        <item x="2261"/>
        <item x="1573"/>
        <item x="3413"/>
        <item x="3300"/>
        <item x="3374"/>
        <item x="931"/>
        <item x="3621"/>
        <item x="1256"/>
        <item x="665"/>
        <item x="2127"/>
        <item x="522"/>
        <item x="1058"/>
        <item x="4456"/>
        <item x="3572"/>
        <item x="4933"/>
        <item x="4238"/>
        <item x="1911"/>
        <item x="1459"/>
        <item x="1884"/>
        <item x="4898"/>
        <item x="818"/>
        <item x="2440"/>
        <item x="2819"/>
        <item x="4671"/>
        <item x="1598"/>
        <item x="4002"/>
        <item x="143"/>
        <item x="4751"/>
        <item x="2096"/>
        <item x="1366"/>
        <item x="4500"/>
        <item x="1823"/>
        <item x="3704"/>
        <item x="3308"/>
        <item x="3629"/>
        <item x="388"/>
        <item x="427"/>
        <item x="1191"/>
        <item x="3219"/>
        <item x="4301"/>
        <item x="3394"/>
        <item x="998"/>
        <item x="4138"/>
        <item x="89"/>
        <item x="3952"/>
        <item x="4343"/>
        <item x="3315"/>
        <item x="3251"/>
        <item x="2543"/>
        <item x="3068"/>
        <item x="4591"/>
        <item x="4220"/>
        <item x="4170"/>
        <item x="1100"/>
        <item x="135"/>
        <item x="1151"/>
        <item x="3951"/>
        <item x="1006"/>
        <item x="2759"/>
        <item x="292"/>
        <item x="1152"/>
        <item x="1639"/>
        <item x="2758"/>
        <item x="940"/>
        <item x="1015"/>
        <item x="4052"/>
        <item x="3838"/>
        <item x="1553"/>
        <item x="1002"/>
        <item x="1215"/>
        <item x="3373"/>
        <item x="2807"/>
        <item x="3304"/>
        <item x="1359"/>
        <item x="3500"/>
        <item x="1077"/>
        <item x="4335"/>
        <item x="42"/>
        <item x="4799"/>
        <item x="953"/>
        <item x="236"/>
        <item x="2506"/>
        <item x="1316"/>
        <item x="2776"/>
        <item x="2379"/>
        <item x="4745"/>
        <item x="2117"/>
        <item x="2954"/>
        <item x="2399"/>
        <item x="4283"/>
        <item x="3256"/>
        <item x="4995"/>
        <item x="670"/>
        <item x="4996"/>
        <item x="3324"/>
        <item x="1934"/>
        <item x="498"/>
        <item x="4536"/>
        <item x="620"/>
        <item x="3627"/>
        <item x="4225"/>
        <item x="2592"/>
        <item x="2190"/>
        <item x="2003"/>
        <item x="201"/>
        <item x="3540"/>
        <item x="71"/>
        <item x="3354"/>
        <item x="2407"/>
        <item x="4984"/>
        <item x="4643"/>
        <item x="944"/>
        <item x="3538"/>
        <item x="4580"/>
        <item x="1481"/>
        <item x="1597"/>
        <item x="684"/>
        <item x="1544"/>
        <item x="2310"/>
        <item x="2589"/>
        <item x="4852"/>
        <item x="4958"/>
        <item x="3028"/>
        <item x="606"/>
        <item x="1262"/>
        <item x="1724"/>
        <item x="528"/>
        <item x="139"/>
        <item x="4260"/>
        <item x="3317"/>
        <item x="4802"/>
        <item x="1537"/>
        <item x="3942"/>
        <item x="3184"/>
        <item x="595"/>
        <item x="705"/>
        <item x="111"/>
        <item x="4583"/>
        <item x="1306"/>
        <item x="3136"/>
        <item x="3145"/>
        <item x="1880"/>
        <item x="2908"/>
        <item x="1142"/>
        <item x="1051"/>
        <item x="2686"/>
        <item x="1057"/>
        <item x="23"/>
        <item x="2482"/>
        <item x="2958"/>
        <item x="2217"/>
        <item x="1467"/>
        <item x="3075"/>
        <item x="4236"/>
        <item x="2549"/>
        <item x="10"/>
        <item x="1054"/>
        <item x="4585"/>
        <item x="426"/>
        <item x="644"/>
        <item x="1485"/>
        <item x="2802"/>
        <item x="1578"/>
        <item x="2313"/>
        <item x="2415"/>
        <item x="3997"/>
        <item x="230"/>
        <item x="1716"/>
        <item x="2597"/>
        <item x="4324"/>
        <item x="3771"/>
        <item x="4054"/>
        <item x="4657"/>
        <item x="1836"/>
        <item x="1385"/>
        <item x="4307"/>
        <item x="3222"/>
        <item x="3029"/>
        <item x="128"/>
        <item x="4776"/>
        <item x="2376"/>
        <item x="626"/>
        <item x="4136"/>
        <item x="3404"/>
        <item x="2728"/>
        <item x="1591"/>
        <item x="2436"/>
        <item x="4804"/>
        <item x="4381"/>
        <item x="2358"/>
        <item x="2566"/>
        <item x="2177"/>
        <item x="2508"/>
        <item x="2840"/>
        <item x="760"/>
        <item x="4135"/>
        <item x="4866"/>
        <item x="3856"/>
        <item x="1742"/>
        <item x="1287"/>
        <item x="3733"/>
        <item x="4890"/>
        <item x="911"/>
        <item x="3659"/>
        <item x="1857"/>
        <item x="4505"/>
        <item x="4364"/>
        <item x="1113"/>
        <item x="1371"/>
        <item x="2823"/>
        <item x="3511"/>
        <item x="3537"/>
        <item x="2881"/>
        <item x="4074"/>
        <item x="772"/>
        <item x="2835"/>
        <item x="3962"/>
        <item x="4992"/>
        <item x="1745"/>
        <item x="1619"/>
        <item x="375"/>
        <item x="420"/>
        <item x="4205"/>
        <item x="1432"/>
        <item x="166"/>
        <item x="843"/>
        <item x="518"/>
        <item x="3032"/>
        <item x="3844"/>
        <item x="4411"/>
        <item x="1635"/>
        <item x="4169"/>
        <item x="2157"/>
        <item x="3236"/>
        <item x="348"/>
        <item x="1401"/>
        <item x="1430"/>
        <item x="1227"/>
        <item x="4137"/>
        <item x="2005"/>
        <item x="1119"/>
        <item x="2873"/>
        <item x="916"/>
        <item x="4935"/>
        <item x="4241"/>
        <item x="1246"/>
        <item x="3965"/>
        <item x="151"/>
        <item x="3004"/>
        <item x="63"/>
        <item x="4089"/>
        <item x="91"/>
        <item x="3081"/>
        <item x="2865"/>
        <item x="1486"/>
        <item x="1860"/>
        <item x="3316"/>
        <item x="4215"/>
        <item x="4522"/>
        <item x="1409"/>
        <item x="2208"/>
        <item x="2659"/>
        <item x="229"/>
        <item x="488"/>
        <item x="4198"/>
        <item x="4196"/>
        <item x="1137"/>
        <item x="497"/>
        <item x="796"/>
        <item x="4648"/>
        <item x="633"/>
        <item x="987"/>
        <item x="966"/>
        <item x="2100"/>
        <item x="858"/>
        <item x="2249"/>
        <item x="1833"/>
        <item x="1707"/>
        <item x="3085"/>
        <item x="3465"/>
        <item x="1626"/>
        <item x="4056"/>
        <item x="2806"/>
        <item x="3392"/>
        <item x="3225"/>
        <item x="2586"/>
        <item x="831"/>
        <item x="3906"/>
        <item x="1360"/>
        <item x="3366"/>
        <item x="361"/>
        <item x="4533"/>
        <item x="2170"/>
        <item x="3146"/>
        <item x="1318"/>
        <item x="3620"/>
        <item x="249"/>
        <item x="3721"/>
        <item x="2550"/>
        <item x="4088"/>
        <item x="3027"/>
        <item x="4407"/>
        <item x="568"/>
        <item x="971"/>
        <item x="3472"/>
        <item x="3008"/>
        <item x="1274"/>
        <item x="1492"/>
        <item x="2162"/>
        <item x="3077"/>
        <item x="1703"/>
        <item x="3949"/>
        <item x="4974"/>
        <item x="35"/>
        <item x="1709"/>
        <item x="4021"/>
        <item x="2695"/>
        <item x="3114"/>
        <item x="3460"/>
        <item x="4730"/>
        <item x="1313"/>
        <item x="4639"/>
        <item x="3863"/>
        <item x="1570"/>
        <item x="4378"/>
        <item x="1877"/>
        <item x="1221"/>
        <item x="1869"/>
        <item x="3348"/>
        <item x="1522"/>
        <item x="2618"/>
        <item x="4834"/>
        <item x="1966"/>
        <item x="145"/>
        <item x="3579"/>
        <item x="2267"/>
        <item x="2897"/>
        <item x="3642"/>
        <item x="3900"/>
        <item x="3739"/>
        <item x="2143"/>
        <item x="4227"/>
        <item x="508"/>
        <item x="3519"/>
        <item x="1265"/>
        <item x="3484"/>
        <item x="144"/>
        <item x="3228"/>
        <item x="4669"/>
        <item x="90"/>
        <item x="403"/>
        <item x="3282"/>
        <item x="3455"/>
        <item x="652"/>
        <item x="123"/>
        <item x="3502"/>
        <item x="2295"/>
        <item x="1314"/>
        <item x="3111"/>
        <item x="2456"/>
        <item x="1104"/>
        <item x="1141"/>
        <item x="424"/>
        <item x="1661"/>
        <item x="2451"/>
        <item x="4470"/>
        <item x="1271"/>
        <item x="753"/>
        <item x="3617"/>
        <item x="2628"/>
        <item x="3154"/>
        <item x="777"/>
        <item x="1988"/>
        <item x="272"/>
        <item x="2019"/>
        <item x="4887"/>
        <item x="3937"/>
        <item x="281"/>
        <item x="4823"/>
        <item x="198"/>
        <item x="4250"/>
        <item x="364"/>
        <item x="3013"/>
        <item x="1674"/>
        <item x="2502"/>
        <item x="4425"/>
        <item x="1798"/>
        <item x="2180"/>
        <item x="28"/>
        <item x="53"/>
        <item x="2879"/>
        <item x="4401"/>
        <item x="1907"/>
        <item x="4712"/>
        <item x="4427"/>
        <item x="1894"/>
        <item x="2176"/>
        <item x="1768"/>
        <item x="965"/>
        <item x="3725"/>
        <item x="395"/>
        <item x="2928"/>
        <item x="2225"/>
        <item x="4272"/>
        <item x="3731"/>
        <item x="1122"/>
        <item x="3517"/>
        <item x="1687"/>
        <item x="4763"/>
        <item x="1593"/>
        <item x="1186"/>
        <item x="3220"/>
        <item x="3106"/>
        <item x="1937"/>
        <item x="15"/>
        <item x="4514"/>
        <item x="1171"/>
        <item x="2554"/>
        <item x="4115"/>
        <item x="4100"/>
        <item x="3633"/>
        <item x="113"/>
        <item x="1427"/>
        <item x="3575"/>
        <item x="3151"/>
        <item x="3102"/>
        <item x="2012"/>
        <item x="525"/>
        <item x="3910"/>
        <item x="1455"/>
        <item x="3776"/>
        <item x="3440"/>
        <item x="4184"/>
        <item x="4675"/>
        <item x="3804"/>
        <item x="3323"/>
        <item x="4182"/>
        <item x="3916"/>
        <item x="2573"/>
        <item x="3294"/>
        <item x="2565"/>
        <item x="4480"/>
        <item x="1065"/>
        <item x="4120"/>
        <item x="2925"/>
        <item x="746"/>
        <item x="3666"/>
        <item x="523"/>
        <item x="4782"/>
        <item x="1298"/>
        <item x="2036"/>
        <item x="3716"/>
        <item x="3378"/>
        <item x="3709"/>
        <item x="3723"/>
        <item x="3080"/>
        <item x="1535"/>
        <item x="4917"/>
        <item x="1162"/>
        <item x="1982"/>
        <item x="1473"/>
        <item x="3268"/>
        <item x="2197"/>
        <item x="3640"/>
        <item x="3073"/>
        <item x="4180"/>
        <item x="1698"/>
        <item x="1841"/>
        <item x="467"/>
        <item x="1179"/>
        <item x="3476"/>
        <item x="3830"/>
        <item x="3516"/>
        <item x="4874"/>
        <item x="4660"/>
        <item x="4829"/>
        <item x="3490"/>
        <item x="4003"/>
        <item x="2248"/>
        <item x="326"/>
        <item x="429"/>
        <item x="1087"/>
        <item x="266"/>
        <item x="1859"/>
        <item x="125"/>
        <item x="411"/>
        <item x="1480"/>
        <item x="1317"/>
        <item x="1226"/>
        <item x="4654"/>
        <item x="1970"/>
        <item x="641"/>
        <item x="131"/>
        <item x="1762"/>
        <item x="1086"/>
        <item x="4560"/>
        <item x="955"/>
        <item x="2982"/>
        <item x="3898"/>
        <item x="2499"/>
        <item x="2398"/>
        <item x="669"/>
        <item x="4784"/>
        <item x="41"/>
        <item x="1527"/>
        <item x="1443"/>
        <item x="1437"/>
        <item x="2334"/>
        <item x="1734"/>
        <item x="3283"/>
        <item x="3880"/>
        <item x="183"/>
        <item x="4005"/>
        <item x="700"/>
        <item x="4287"/>
        <item x="2476"/>
        <item x="653"/>
        <item x="223"/>
        <item x="58"/>
        <item x="3800"/>
        <item x="1329"/>
        <item x="2794"/>
        <item x="2652"/>
        <item x="4692"/>
        <item x="3592"/>
        <item x="2663"/>
        <item x="719"/>
        <item x="993"/>
        <item x="520"/>
        <item x="791"/>
        <item x="3655"/>
        <item x="1281"/>
        <item x="4672"/>
        <item x="1450"/>
        <item x="1195"/>
        <item x="150"/>
        <item x="1201"/>
        <item x="879"/>
        <item x="2853"/>
        <item x="4594"/>
        <item x="3566"/>
        <item x="2775"/>
        <item x="2814"/>
        <item x="4907"/>
        <item x="2315"/>
        <item x="4529"/>
        <item x="136"/>
        <item x="2178"/>
        <item x="2118"/>
        <item x="3290"/>
        <item x="4396"/>
        <item x="2201"/>
        <item x="31"/>
        <item x="2308"/>
        <item x="3230"/>
        <item x="4551"/>
        <item x="1331"/>
        <item x="4703"/>
        <item x="2152"/>
        <item x="2903"/>
        <item x="4789"/>
        <item x="4683"/>
        <item x="2030"/>
        <item x="4166"/>
        <item x="3950"/>
        <item x="2026"/>
        <item x="801"/>
        <item x="2474"/>
        <item x="4624"/>
        <item x="3302"/>
        <item x="1109"/>
        <item x="513"/>
        <item x="1294"/>
        <item x="4253"/>
        <item x="898"/>
        <item x="828"/>
        <item x="3051"/>
        <item x="1574"/>
        <item x="2453"/>
        <item x="481"/>
        <item x="2109"/>
        <item x="3536"/>
        <item x="4545"/>
        <item x="999"/>
        <item x="1673"/>
        <item x="4445"/>
        <item x="1163"/>
        <item x="4615"/>
        <item x="2131"/>
        <item x="1429"/>
        <item x="188"/>
        <item x="2022"/>
        <item x="3763"/>
        <item x="1656"/>
        <item x="2699"/>
        <item x="1297"/>
        <item x="1187"/>
        <item x="1240"/>
        <item x="4677"/>
        <item x="3588"/>
        <item x="1989"/>
        <item x="2602"/>
        <item x="4575"/>
        <item x="4647"/>
        <item x="2339"/>
        <item x="187"/>
        <item x="4666"/>
        <item x="2215"/>
        <item x="4058"/>
        <item x="3825"/>
        <item x="2532"/>
        <item x="2572"/>
        <item x="4740"/>
        <item x="1948"/>
        <item x="2130"/>
        <item x="4374"/>
        <item x="3212"/>
        <item x="3301"/>
        <item x="4732"/>
        <item x="1105"/>
        <item x="245"/>
        <item x="3450"/>
        <item x="3020"/>
        <item x="2973"/>
        <item x="2245"/>
        <item x="3767"/>
        <item x="3257"/>
        <item x="1008"/>
        <item x="2169"/>
        <item x="341"/>
        <item x="547"/>
        <item x="3066"/>
        <item x="3182"/>
        <item x="2524"/>
        <item x="2821"/>
        <item x="2078"/>
        <item x="2182"/>
        <item x="3839"/>
        <item x="306"/>
        <item x="1424"/>
        <item x="1376"/>
        <item x="4744"/>
        <item x="2898"/>
        <item x="1061"/>
        <item x="4854"/>
        <item x="3609"/>
        <item x="4990"/>
        <item x="1036"/>
        <item x="2126"/>
        <item x="21"/>
        <item x="1204"/>
        <item x="4913"/>
        <item x="3221"/>
        <item x="1956"/>
        <item x="605"/>
        <item x="2669"/>
        <item x="4535"/>
        <item x="146"/>
        <item x="4337"/>
        <item x="2996"/>
        <item x="1600"/>
        <item x="1458"/>
        <item x="976"/>
        <item x="3841"/>
        <item x="1489"/>
        <item x="2829"/>
        <item x="2856"/>
        <item x="3828"/>
        <item x="897"/>
        <item x="2761"/>
        <item x="3871"/>
        <item x="4550"/>
        <item x="4055"/>
        <item x="84"/>
        <item x="216"/>
        <item x="4419"/>
        <item x="555"/>
        <item x="4509"/>
        <item x="3156"/>
        <item x="1871"/>
        <item x="4481"/>
        <item x="3427"/>
        <item x="851"/>
        <item x="2701"/>
        <item x="3591"/>
        <item x="4012"/>
        <item x="179"/>
        <item x="1069"/>
        <item x="2516"/>
        <item x="1330"/>
        <item x="2787"/>
        <item x="4940"/>
        <item x="4386"/>
        <item x="642"/>
        <item x="4904"/>
        <item x="3129"/>
        <item x="3677"/>
        <item x="838"/>
        <item x="2345"/>
        <item x="2842"/>
        <item x="1556"/>
        <item x="1936"/>
        <item x="1651"/>
        <item x="204"/>
        <item x="4622"/>
        <item x="4051"/>
        <item x="2195"/>
        <item x="3425"/>
        <item x="4605"/>
        <item x="3563"/>
        <item x="412"/>
        <item x="1444"/>
        <item x="2970"/>
        <item x="1050"/>
        <item x="1843"/>
        <item x="1834"/>
        <item x="742"/>
        <item x="2264"/>
        <item x="2435"/>
        <item x="4284"/>
        <item x="1426"/>
        <item x="4066"/>
        <item x="3170"/>
        <item x="3596"/>
        <item x="2355"/>
        <item x="269"/>
        <item x="2751"/>
        <item x="2037"/>
        <item x="4336"/>
        <item x="67"/>
        <item x="2644"/>
        <item x="189"/>
        <item x="3827"/>
        <item x="133"/>
        <item x="4951"/>
        <item x="2332"/>
        <item x="4257"/>
        <item x="1625"/>
        <item x="2174"/>
        <item x="3664"/>
        <item x="259"/>
        <item x="1886"/>
        <item x="941"/>
        <item x="2944"/>
        <item x="3953"/>
        <item x="3193"/>
        <item x="4923"/>
        <item x="1167"/>
        <item x="1912"/>
        <item x="3361"/>
        <item x="4395"/>
        <item x="4057"/>
        <item x="3144"/>
        <item x="3798"/>
        <item x="1180"/>
        <item x="1484"/>
        <item x="2466"/>
        <item x="814"/>
        <item x="1055"/>
        <item x="469"/>
        <item x="3944"/>
        <item x="3846"/>
        <item x="3722"/>
        <item x="372"/>
        <item x="4523"/>
        <item x="1145"/>
        <item x="2062"/>
        <item x="4086"/>
        <item x="1324"/>
        <item x="1056"/>
        <item x="4581"/>
        <item x="1692"/>
        <item x="2281"/>
        <item x="4006"/>
        <item x="3513"/>
        <item x="1222"/>
        <item x="3551"/>
        <item x="1482"/>
        <item x="707"/>
        <item x="3437"/>
        <item x="2462"/>
        <item x="180"/>
        <item x="3018"/>
        <item x="1340"/>
        <item x="1442"/>
        <item x="4872"/>
        <item x="4816"/>
        <item x="2563"/>
        <item x="2303"/>
        <item x="3375"/>
        <item x="3478"/>
        <item x="4376"/>
        <item x="1339"/>
        <item x="4841"/>
        <item x="346"/>
        <item x="2729"/>
        <item x="1270"/>
        <item x="1197"/>
        <item x="2229"/>
        <item x="228"/>
        <item x="203"/>
        <item x="4435"/>
        <item x="861"/>
        <item x="2460"/>
        <item x="1017"/>
        <item x="751"/>
        <item x="1885"/>
        <item x="2869"/>
        <item x="2503"/>
        <item x="902"/>
        <item x="1855"/>
        <item x="2999"/>
        <item x="304"/>
        <item x="297"/>
        <item x="4727"/>
        <item x="759"/>
        <item x="3693"/>
        <item x="1803"/>
        <item x="600"/>
        <item x="1189"/>
        <item x="870"/>
        <item x="3555"/>
        <item x="1763"/>
        <item x="3363"/>
        <item x="4123"/>
        <item x="2577"/>
        <item x="4404"/>
        <item x="852"/>
        <item x="752"/>
        <item x="3446"/>
        <item x="2832"/>
        <item x="3775"/>
        <item x="4882"/>
        <item x="1495"/>
        <item x="709"/>
        <item x="3185"/>
        <item x="1750"/>
        <item x="2448"/>
        <item x="260"/>
        <item x="1395"/>
        <item x="256"/>
        <item x="3635"/>
        <item x="134"/>
        <item x="4587"/>
        <item x="2617"/>
        <item x="4653"/>
        <item x="3327"/>
        <item x="1618"/>
        <item x="1795"/>
        <item x="336"/>
        <item x="1347"/>
        <item x="1092"/>
        <item x="4195"/>
        <item x="3931"/>
        <item x="2487"/>
        <item x="736"/>
        <item x="342"/>
        <item x="4488"/>
        <item x="110"/>
        <item x="4323"/>
        <item x="3057"/>
        <item x="1182"/>
        <item x="4800"/>
        <item x="1241"/>
        <item x="2202"/>
        <item x="4319"/>
        <item x="2963"/>
        <item x="2594"/>
        <item x="3851"/>
        <item x="2742"/>
        <item x="1147"/>
        <item x="2542"/>
        <item x="4469"/>
        <item x="4149"/>
        <item x="4249"/>
        <item x="2546"/>
        <item x="2455"/>
        <item x="875"/>
        <item x="3859"/>
        <item x="382"/>
        <item x="1737"/>
        <item x="2936"/>
        <item x="2112"/>
        <item x="3079"/>
        <item x="3217"/>
        <item x="34"/>
        <item x="2741"/>
        <item x="2521"/>
        <item x="614"/>
        <item x="2257"/>
        <item x="1305"/>
        <item x="3388"/>
        <item x="1251"/>
        <item x="1410"/>
        <item x="1341"/>
        <item x="4865"/>
        <item x="1064"/>
        <item x="1059"/>
        <item x="541"/>
        <item x="321"/>
        <item x="4749"/>
        <item x="3706"/>
        <item x="4095"/>
        <item x="4573"/>
        <item x="3229"/>
        <item x="1821"/>
        <item x="4228"/>
        <item x="679"/>
        <item x="1219"/>
        <item x="3895"/>
        <item x="1879"/>
        <item x="3003"/>
        <item x="2661"/>
        <item x="1903"/>
        <item x="1757"/>
        <item x="810"/>
        <item x="2822"/>
        <item x="3196"/>
        <item x="1009"/>
        <item x="2698"/>
        <item x="1507"/>
        <item x="3938"/>
        <item x="226"/>
        <item x="2483"/>
        <item x="1693"/>
        <item x="3817"/>
        <item x="937"/>
        <item x="3076"/>
        <item x="3477"/>
        <item x="2186"/>
        <item x="1513"/>
        <item x="3350"/>
        <item x="3232"/>
        <item x="1284"/>
        <item x="526"/>
        <item x="1905"/>
        <item x="327"/>
        <item x="4968"/>
        <item x="2365"/>
        <item x="1074"/>
        <item x="1380"/>
        <item x="549"/>
        <item x="970"/>
        <item x="1071"/>
        <item x="4113"/>
        <item x="872"/>
        <item x="4498"/>
        <item x="2442"/>
        <item x="3415"/>
        <item x="841"/>
        <item x="406"/>
        <item x="2545"/>
        <item x="3999"/>
        <item x="4711"/>
        <item x="3273"/>
        <item x="1063"/>
        <item x="3632"/>
        <item x="4065"/>
        <item x="4463"/>
        <item x="4748"/>
        <item x="2801"/>
        <item x="1536"/>
        <item x="4568"/>
        <item x="3188"/>
        <item x="3928"/>
        <item x="4781"/>
        <item x="1176"/>
        <item x="4561"/>
        <item x="540"/>
        <item x="296"/>
        <item x="3870"/>
        <item x="2731"/>
        <item x="1812"/>
        <item x="161"/>
        <item x="2237"/>
        <item x="2018"/>
        <item x="4403"/>
        <item x="1671"/>
        <item x="3218"/>
        <item x="3966"/>
        <item x="3773"/>
        <item x="4192"/>
        <item x="3814"/>
        <item x="2889"/>
        <item x="770"/>
        <item x="3925"/>
        <item x="333"/>
        <item x="1643"/>
        <item x="896"/>
        <item x="238"/>
        <item x="1602"/>
        <item x="3917"/>
        <item x="1149"/>
        <item x="4306"/>
        <item x="355"/>
        <item x="4013"/>
        <item x="4562"/>
        <item x="3198"/>
        <item x="3808"/>
        <item x="267"/>
        <item x="1405"/>
        <item x="48"/>
        <item x="2084"/>
        <item x="2279"/>
        <item x="2373"/>
        <item x="4889"/>
        <item x="3512"/>
        <item x="1390"/>
        <item x="1107"/>
        <item x="2008"/>
        <item x="1233"/>
        <item x="120"/>
        <item x="4950"/>
        <item x="4203"/>
        <item x="3717"/>
        <item x="3638"/>
        <item x="3761"/>
        <item x="2938"/>
        <item x="251"/>
        <item x="4346"/>
        <item x="4224"/>
        <item x="646"/>
        <item x="2421"/>
        <item x="1976"/>
        <item x="2338"/>
        <item x="2703"/>
        <item x="3398"/>
        <item x="3975"/>
        <item x="1753"/>
        <item x="3806"/>
        <item x="2920"/>
        <item x="3337"/>
        <item x="1005"/>
        <item x="1220"/>
        <item x="140"/>
        <item x="3888"/>
        <item x="2098"/>
        <item x="3036"/>
        <item x="4808"/>
        <item x="2241"/>
        <item x="80"/>
        <item x="1955"/>
        <item x="1576"/>
        <item x="3618"/>
        <item x="3678"/>
        <item x="1367"/>
        <item x="4609"/>
        <item x="4623"/>
        <item x="3355"/>
        <item x="903"/>
        <item x="4450"/>
        <item x="3044"/>
        <item x="3123"/>
        <item x="779"/>
        <item x="1368"/>
        <item x="2946"/>
        <item x="1568"/>
        <item x="3568"/>
        <item x="1808"/>
        <item x="3249"/>
        <item x="1657"/>
        <item x="4899"/>
        <item x="4043"/>
        <item x="2095"/>
        <item x="114"/>
        <item x="2335"/>
        <item x="1013"/>
        <item x="3902"/>
        <item x="3064"/>
        <item x="2997"/>
        <item x="4201"/>
        <item x="2243"/>
        <item x="2766"/>
        <item x="2930"/>
        <item x="155"/>
        <item x="2748"/>
        <item x="1623"/>
        <item x="1959"/>
        <item x="3977"/>
        <item x="4129"/>
        <item x="3307"/>
        <item x="2971"/>
        <item x="4127"/>
        <item x="3661"/>
        <item x="2080"/>
        <item x="2610"/>
        <item x="635"/>
        <item x="4766"/>
        <item x="4600"/>
        <item x="3560"/>
        <item x="1979"/>
        <item x="3663"/>
        <item x="1325"/>
        <item x="3016"/>
        <item x="4067"/>
        <item x="2171"/>
        <item x="2401"/>
        <item x="3006"/>
        <item x="1677"/>
        <item x="43"/>
        <item x="561"/>
        <item x="4382"/>
        <item x="1406"/>
        <item x="4997"/>
        <item x="465"/>
        <item x="3972"/>
        <item x="4102"/>
        <item x="846"/>
        <item x="4347"/>
        <item x="3683"/>
        <item x="2815"/>
        <item x="4478"/>
        <item x="1491"/>
        <item x="2227"/>
        <item x="4094"/>
        <item x="2419"/>
        <item x="689"/>
        <item x="729"/>
        <item x="102"/>
        <item x="1962"/>
        <item x="1652"/>
        <item x="277"/>
        <item x="2283"/>
        <item x="1685"/>
        <item x="407"/>
        <item x="3823"/>
        <item x="4465"/>
        <item x="232"/>
        <item x="4690"/>
        <item x="4978"/>
        <item x="209"/>
        <item x="4426"/>
        <item x="2408"/>
        <item x="2522"/>
        <item x="4842"/>
        <item x="162"/>
        <item x="1783"/>
        <item x="1878"/>
        <item x="3384"/>
        <item x="273"/>
        <item x="1257"/>
        <item x="4042"/>
        <item x="4710"/>
        <item x="72"/>
        <item x="3265"/>
        <item x="3449"/>
        <item x="4091"/>
        <item x="2664"/>
        <item x="1477"/>
        <item x="2826"/>
        <item x="1978"/>
        <item x="1971"/>
        <item x="4773"/>
        <item x="1629"/>
        <item x="2015"/>
        <item x="3271"/>
        <item x="1617"/>
        <item x="3351"/>
        <item x="803"/>
        <item x="3710"/>
        <item x="599"/>
        <item x="4534"/>
        <item x="3584"/>
        <item x="1384"/>
        <item x="917"/>
        <item x="225"/>
        <item x="4486"/>
        <item x="478"/>
        <item x="4069"/>
        <item x="984"/>
        <item x="2749"/>
        <item x="4960"/>
        <item x="2683"/>
        <item x="2679"/>
        <item x="1321"/>
        <item x="4294"/>
        <item x="3176"/>
        <item x="3293"/>
        <item x="738"/>
        <item x="1788"/>
        <item x="4226"/>
        <item x="3259"/>
        <item x="2588"/>
        <item x="234"/>
        <item x="124"/>
        <item x="2230"/>
        <item x="3651"/>
        <item x="2705"/>
        <item x="2884"/>
        <item x="1112"/>
        <item x="440"/>
        <item x="1939"/>
        <item x="3858"/>
        <item x="1730"/>
        <item x="4358"/>
        <item x="4495"/>
        <item x="3014"/>
        <item x="2773"/>
        <item x="996"/>
        <item x="4870"/>
        <item x="2485"/>
        <item x="1802"/>
        <item x="2416"/>
        <item x="456"/>
        <item x="2428"/>
        <item x="3326"/>
        <item x="3244"/>
        <item x="3976"/>
        <item x="4696"/>
        <item x="2048"/>
        <item x="1746"/>
        <item x="624"/>
        <item x="4644"/>
        <item x="485"/>
        <item x="2984"/>
        <item x="1739"/>
        <item x="3539"/>
        <item x="2092"/>
        <item x="1653"/>
        <item x="3239"/>
        <item x="3501"/>
        <item x="1350"/>
        <item x="316"/>
        <item x="371"/>
        <item x="4146"/>
        <item x="2326"/>
        <item x="4796"/>
        <item x="4163"/>
        <item x="1772"/>
        <item x="2494"/>
        <item x="4588"/>
        <item x="3224"/>
        <item x="502"/>
        <item x="3970"/>
        <item x="957"/>
        <item x="564"/>
        <item x="2443"/>
        <item x="3715"/>
        <item x="2220"/>
        <item x="2300"/>
        <item x="1995"/>
        <item x="3590"/>
        <item x="2710"/>
        <item x="4838"/>
        <item x="704"/>
        <item x="2071"/>
        <item x="2609"/>
        <item x="3624"/>
        <item x="1206"/>
        <item x="33"/>
        <item x="158"/>
        <item x="4596"/>
        <item x="2457"/>
        <item x="3691"/>
        <item x="129"/>
        <item x="4393"/>
        <item x="767"/>
        <item x="1514"/>
        <item x="1381"/>
        <item x="1622"/>
        <item x="4517"/>
        <item x="126"/>
        <item x="1106"/>
        <item x="3788"/>
        <item x="1012"/>
        <item x="3025"/>
        <item x="2611"/>
        <item x="1584"/>
        <item x="299"/>
        <item x="4768"/>
        <item x="1434"/>
        <item x="1940"/>
        <item x="330"/>
        <item x="3570"/>
        <item x="4582"/>
        <item x="4584"/>
        <item x="4916"/>
        <item x="4685"/>
        <item x="558"/>
        <item x="4856"/>
        <item x="3869"/>
        <item x="2593"/>
        <item x="356"/>
        <item x="3604"/>
        <item x="1985"/>
        <item x="4862"/>
        <item x="1208"/>
        <item x="4292"/>
        <item x="3000"/>
        <item x="288"/>
        <item x="3280"/>
        <item x="4168"/>
        <item x="1393"/>
        <item x="4998"/>
        <item x="2280"/>
        <item x="2553"/>
        <item x="674"/>
        <item x="978"/>
        <item x="3564"/>
        <item x="2360"/>
        <item x="4237"/>
        <item x="583"/>
        <item x="1362"/>
        <item x="3485"/>
        <item x="2833"/>
        <item x="3033"/>
        <item x="2409"/>
        <item x="3233"/>
        <item x="2128"/>
        <item x="4243"/>
        <item x="4839"/>
        <item x="1722"/>
        <item x="1751"/>
        <item x="2441"/>
        <item x="2507"/>
        <item x="419"/>
        <item x="3420"/>
        <item x="1654"/>
        <item x="2942"/>
        <item x="2578"/>
        <item x="795"/>
        <item x="3779"/>
        <item x="1010"/>
        <item x="3438"/>
        <item x="1254"/>
        <item x="4392"/>
        <item x="2333"/>
        <item x="3974"/>
        <item x="946"/>
        <item x="4026"/>
        <item x="2437"/>
        <item x="240"/>
        <item x="512"/>
        <item x="1870"/>
        <item x="4447"/>
        <item x="4454"/>
        <item x="3474"/>
        <item x="975"/>
        <item x="2356"/>
        <item x="3491"/>
        <item x="1660"/>
        <item x="3418"/>
        <item x="3971"/>
        <item x="658"/>
        <item x="601"/>
        <item x="1096"/>
        <item x="2601"/>
        <item x="3845"/>
        <item x="2070"/>
        <item x="2719"/>
        <item x="4159"/>
        <item x="3712"/>
        <item x="1569"/>
        <item x="453"/>
        <item x="3410"/>
        <item x="1547"/>
        <item x="367"/>
        <item x="1811"/>
        <item x="2490"/>
        <item x="2986"/>
        <item x="2063"/>
        <item x="1183"/>
        <item x="3203"/>
        <item x="81"/>
        <item x="211"/>
        <item x="2882"/>
        <item x="4928"/>
        <item x="4092"/>
        <item x="1530"/>
        <item x="4305"/>
        <item x="3552"/>
        <item x="2689"/>
        <item x="3684"/>
        <item x="3615"/>
        <item x="1605"/>
        <item x="3134"/>
        <item x="2094"/>
        <item x="2862"/>
        <item x="2198"/>
        <item x="257"/>
        <item x="1382"/>
        <item x="334"/>
        <item x="3809"/>
        <item x="2846"/>
        <item x="1567"/>
        <item x="4578"/>
        <item x="3644"/>
        <item x="2349"/>
        <item x="4083"/>
        <item x="118"/>
        <item x="4310"/>
        <item x="4803"/>
        <item x="4586"/>
        <item x="490"/>
        <item x="3331"/>
        <item x="1375"/>
        <item x="4025"/>
        <item x="307"/>
        <item x="4708"/>
        <item x="1706"/>
        <item x="1296"/>
        <item x="4340"/>
        <item x="4831"/>
        <item x="2914"/>
        <item x="4668"/>
        <item x="1436"/>
        <item x="4511"/>
        <item x="553"/>
        <item x="1700"/>
        <item x="3751"/>
        <item x="1800"/>
        <item x="871"/>
        <item x="1020"/>
        <item x="4332"/>
        <item x="4880"/>
        <item x="1413"/>
        <item x="352"/>
        <item x="4038"/>
        <item x="3797"/>
        <item x="1577"/>
        <item x="3956"/>
        <item x="2918"/>
        <item x="1548"/>
        <item x="3471"/>
        <item x="4620"/>
        <item x="152"/>
        <item x="486"/>
        <item x="2849"/>
        <item x="1621"/>
        <item x="1861"/>
        <item x="261"/>
        <item x="4438"/>
        <item x="4078"/>
        <item x="3542"/>
        <item x="324"/>
        <item x="3743"/>
        <item x="2206"/>
        <item x="4221"/>
        <item x="951"/>
        <item x="4187"/>
        <item x="4779"/>
        <item x="351"/>
        <item x="220"/>
        <item x="634"/>
        <item x="2704"/>
        <item x="4114"/>
        <item x="3012"/>
        <item x="1820"/>
        <item x="167"/>
        <item x="4"/>
        <item x="3344"/>
        <item x="727"/>
        <item x="3386"/>
        <item x="3626"/>
        <item x="1351"/>
        <item x="890"/>
        <item x="1678"/>
        <item x="1476"/>
        <item x="462"/>
        <item x="4822"/>
        <item x="678"/>
        <item x="2650"/>
        <item x="3748"/>
        <item x="2670"/>
        <item x="721"/>
        <item x="3325"/>
        <item x="4912"/>
        <item x="26"/>
        <item x="2880"/>
        <item x="116"/>
        <item x="2850"/>
        <item x="3498"/>
        <item x="3514"/>
        <item x="3756"/>
        <item x="4555"/>
        <item x="2512"/>
        <item x="1565"/>
        <item x="1070"/>
        <item x="2651"/>
        <item x="2523"/>
        <item x="748"/>
        <item x="2087"/>
        <item x="3679"/>
        <item x="682"/>
        <item x="1613"/>
        <item x="3047"/>
        <item x="2643"/>
        <item x="2414"/>
        <item x="3840"/>
        <item x="660"/>
        <item x="4405"/>
        <item x="3523"/>
        <item x="3760"/>
        <item x="3901"/>
        <item x="4884"/>
        <item x="446"/>
        <item x="504"/>
        <item x="4442"/>
        <item x="4921"/>
        <item x="1425"/>
        <item x="4449"/>
        <item x="4911"/>
        <item x="1115"/>
        <item x="104"/>
        <item x="1031"/>
        <item x="1691"/>
        <item x="1"/>
        <item x="3091"/>
        <item x="4819"/>
        <item x="811"/>
        <item x="3765"/>
        <item x="2756"/>
        <item x="1309"/>
        <item x="149"/>
        <item x="2951"/>
        <item x="343"/>
        <item x="4242"/>
        <item x="278"/>
        <item x="4367"/>
        <item x="4791"/>
        <item x="4700"/>
        <item x="2194"/>
        <item x="4034"/>
        <item x="2926"/>
        <item x="170"/>
        <item x="3360"/>
        <item x="1723"/>
        <item x="384"/>
        <item x="2561"/>
        <item x="2142"/>
        <item x="122"/>
        <item x="2331"/>
        <item x="1900"/>
        <item x="2064"/>
        <item x="2274"/>
        <item x="416"/>
        <item x="1181"/>
        <item x="3298"/>
        <item x="1929"/>
        <item x="1358"/>
        <item x="2812"/>
        <item x="1320"/>
        <item x="927"/>
        <item x="1205"/>
        <item x="4746"/>
        <item x="1701"/>
        <item x="268"/>
        <item x="3155"/>
        <item x="9"/>
        <item x="2868"/>
        <item x="1708"/>
        <item x="1849"/>
        <item x="2653"/>
        <item x="2059"/>
        <item x="4214"/>
        <item x="3481"/>
        <item x="1276"/>
        <item x="1026"/>
        <item x="4315"/>
        <item x="4416"/>
        <item x="1840"/>
        <item x="1993"/>
        <item x="3988"/>
        <item x="380"/>
        <item x="3873"/>
        <item x="4947"/>
        <item x="106"/>
        <item x="3322"/>
        <item x="332"/>
        <item x="3520"/>
        <item x="4441"/>
        <item x="1419"/>
        <item x="4145"/>
        <item x="2135"/>
        <item x="2260"/>
        <item x="4256"/>
        <item x="1893"/>
        <item x="396"/>
        <item x="2567"/>
        <item x="4859"/>
        <item x="694"/>
        <item x="4482"/>
        <item x="2798"/>
        <item x="2852"/>
        <item x="2168"/>
        <item x="913"/>
        <item x="2675"/>
        <item x="2343"/>
        <item x="2697"/>
        <item x="4570"/>
        <item x="3630"/>
        <item x="1872"/>
        <item x="2911"/>
        <item x="769"/>
        <item x="2187"/>
        <item x="2991"/>
        <item x="2843"/>
        <item x="3431"/>
        <item x="4688"/>
        <item x="29"/>
        <item x="666"/>
        <item x="2680"/>
        <item x="3526"/>
        <item x="3834"/>
        <item x="4476"/>
        <item x="191"/>
        <item x="4370"/>
        <item x="3204"/>
        <item x="4153"/>
        <item x="3442"/>
        <item x="1791"/>
        <item x="2557"/>
        <item x="492"/>
        <item x="312"/>
        <item x="2732"/>
        <item x="85"/>
        <item x="1801"/>
        <item x="2055"/>
        <item x="2426"/>
        <item x="627"/>
        <item x="2799"/>
        <item x="1624"/>
        <item x="3582"/>
        <item x="1415"/>
        <item x="839"/>
        <item x="3202"/>
        <item x="2411"/>
        <item x="3606"/>
        <item x="1289"/>
        <item x="4977"/>
        <item x="2860"/>
        <item x="3878"/>
        <item x="739"/>
        <item x="4190"/>
        <item x="1252"/>
        <item x="4695"/>
        <item x="936"/>
        <item x="1882"/>
        <item x="4881"/>
        <item x="4274"/>
        <item x="3527"/>
        <item x="2755"/>
        <item x="1260"/>
        <item x="3646"/>
        <item x="2212"/>
        <item x="4697"/>
        <item x="969"/>
        <item x="1611"/>
        <item x="3166"/>
        <item x="4809"/>
        <item x="1599"/>
        <item x="1394"/>
        <item x="2402"/>
        <item x="876"/>
        <item x="1749"/>
        <item x="2953"/>
        <item x="4971"/>
        <item x="4655"/>
        <item x="3267"/>
        <item x="68"/>
        <item x="4661"/>
        <item x="2184"/>
        <item x="623"/>
        <item x="1926"/>
        <item x="1516"/>
        <item x="2491"/>
        <item x="4689"/>
        <item x="192"/>
        <item x="1275"/>
        <item x="3034"/>
        <item x="3128"/>
        <item x="1520"/>
        <item x="4494"/>
        <item x="3597"/>
        <item x="632"/>
        <item x="3848"/>
        <item x="1146"/>
        <item x="1175"/>
        <item x="1539"/>
        <item x="3819"/>
        <item x="3130"/>
        <item x="2830"/>
        <item x="2461"/>
        <item x="3688"/>
        <item x="1354"/>
        <item x="1311"/>
        <item x="1923"/>
        <item x="562"/>
        <item x="1848"/>
        <item x="3699"/>
        <item x="794"/>
        <item x="2818"/>
        <item x="1697"/>
        <item x="2337"/>
        <item x="4030"/>
        <item x="3458"/>
        <item x="1312"/>
        <item x="2530"/>
        <item x="596"/>
        <item x="4081"/>
        <item x="1987"/>
        <item x="4128"/>
        <item x="3328"/>
        <item x="2374"/>
        <item x="866"/>
        <item x="4208"/>
        <item x="3913"/>
        <item x="932"/>
        <item x="3885"/>
        <item x="1638"/>
        <item x="4830"/>
        <item x="4285"/>
        <item x="3687"/>
        <item x="3810"/>
        <item x="4634"/>
        <item x="4032"/>
        <item x="4162"/>
        <item x="4353"/>
        <item x="4131"/>
        <item x="2289"/>
        <item x="1543"/>
        <item x="4122"/>
        <item x="2105"/>
        <item x="835"/>
        <item x="2551"/>
        <item x="2866"/>
        <item x="3192"/>
        <item x="4557"/>
        <item x="2444"/>
        <item x="4801"/>
        <item x="2576"/>
        <item x="2555"/>
        <item x="4361"/>
        <item x="581"/>
        <item x="2867"/>
        <item x="2404"/>
        <item x="2393"/>
        <item x="3897"/>
        <item x="924"/>
        <item x="2907"/>
        <item x="4638"/>
        <item x="2743"/>
        <item x="3341"/>
        <item x="2604"/>
        <item x="17"/>
        <item x="1846"/>
        <item x="1644"/>
        <item x="2760"/>
        <item x="358"/>
        <item x="2480"/>
        <item x="691"/>
        <item x="1761"/>
        <item x="648"/>
        <item x="1379"/>
        <item x="439"/>
        <item x="580"/>
        <item x="2783"/>
        <item x="2788"/>
        <item x="734"/>
        <item x="4956"/>
        <item x="877"/>
        <item x="2583"/>
        <item x="362"/>
        <item x="2665"/>
        <item x="798"/>
        <item x="303"/>
        <item x="130"/>
        <item x="365"/>
        <item x="2797"/>
        <item x="3015"/>
        <item x="4909"/>
        <item x="2980"/>
        <item x="1524"/>
        <item x="4952"/>
        <item x="2371"/>
        <item x="1699"/>
        <item x="1448"/>
        <item x="402"/>
        <item x="1431"/>
        <item x="4150"/>
        <item x="3093"/>
        <item x="1633"/>
        <item x="749"/>
        <item x="1466"/>
        <item x="3401"/>
        <item x="1686"/>
        <item x="544"/>
        <item x="4125"/>
        <item x="4877"/>
        <item x="3522"/>
        <item x="60"/>
        <item x="551"/>
        <item x="3909"/>
        <item x="663"/>
        <item x="3509"/>
        <item x="1944"/>
        <item x="438"/>
        <item x="2199"/>
        <item x="570"/>
        <item x="1794"/>
        <item x="4406"/>
        <item x="222"/>
        <item x="4457"/>
        <item x="4762"/>
        <item x="4101"/>
        <item x="3862"/>
        <item x="1243"/>
        <item x="4820"/>
        <item x="4574"/>
        <item x="2450"/>
        <item x="3695"/>
        <item x="1236"/>
        <item x="401"/>
        <item x="2892"/>
        <item x="4869"/>
        <item x="4409"/>
        <item x="2637"/>
        <item x="3521"/>
        <item x="4989"/>
        <item x="1090"/>
        <item x="4266"/>
        <item x="4739"/>
        <item x="4811"/>
        <item x="745"/>
        <item x="1963"/>
        <item x="2967"/>
        <item x="567"/>
        <item x="250"/>
        <item x="1355"/>
        <item x="4029"/>
        <item x="2590"/>
        <item x="2347"/>
        <item x="2750"/>
        <item x="3769"/>
        <item x="340"/>
        <item x="2053"/>
        <item x="3451"/>
        <item x="219"/>
        <item x="3289"/>
        <item x="1037"/>
        <item x="3382"/>
        <item x="2470"/>
        <item x="163"/>
        <item x="3088"/>
        <item x="4546"/>
        <item x="2995"/>
        <item x="3826"/>
        <item x="271"/>
        <item x="3692"/>
        <item x="4640"/>
        <item x="2564"/>
        <item x="1721"/>
        <item x="3857"/>
        <item x="2369"/>
        <item x="1199"/>
        <item x="3260"/>
        <item x="4439"/>
        <item x="2221"/>
        <item x="2475"/>
        <item x="1951"/>
        <item x="3599"/>
        <item x="2861"/>
        <item x="3031"/>
        <item x="400"/>
        <item x="4761"/>
        <item x="2556"/>
        <item x="1334"/>
        <item x="1680"/>
        <item x="47"/>
        <item x="3981"/>
        <item x="4915"/>
        <item x="284"/>
        <item x="1148"/>
        <item x="3671"/>
        <item x="4233"/>
        <item x="800"/>
        <item x="2534"/>
        <item x="3358"/>
        <item x="2990"/>
        <item x="4031"/>
        <item x="973"/>
        <item x="4641"/>
        <item x="4333"/>
        <item x="4547"/>
        <item x="510"/>
        <item x="1890"/>
        <item x="4652"/>
        <item x="592"/>
        <item x="1378"/>
        <item x="1019"/>
        <item x="3141"/>
        <item x="487"/>
        <item x="3247"/>
        <item x="3887"/>
        <item x="2132"/>
        <item x="1975"/>
        <item x="347"/>
        <item x="4702"/>
        <item x="792"/>
        <item x="3346"/>
        <item x="2452"/>
        <item x="32"/>
        <item x="2789"/>
        <item x="4199"/>
        <item x="2603"/>
        <item x="3556"/>
        <item x="1094"/>
        <item x="1003"/>
        <item x="1303"/>
        <item x="3160"/>
        <item x="3473"/>
        <item x="3959"/>
        <item x="4632"/>
        <item x="3238"/>
        <item x="4715"/>
        <item x="3653"/>
        <item x="4613"/>
        <item x="813"/>
        <item x="4544"/>
        <item x="381"/>
        <item x="1174"/>
        <item x="638"/>
        <item x="4408"/>
        <item x="1046"/>
        <item x="1449"/>
        <item x="1725"/>
        <item x="1770"/>
        <item x="2123"/>
        <item x="2965"/>
        <item x="1655"/>
        <item x="2845"/>
        <item x="3586"/>
        <item x="4932"/>
        <item x="1333"/>
        <item x="3023"/>
        <item x="265"/>
        <item x="295"/>
        <item x="3110"/>
        <item x="3680"/>
        <item x="4421"/>
        <item x="2935"/>
        <item x="2276"/>
        <item x="1068"/>
        <item x="2231"/>
        <item x="3072"/>
        <item x="1216"/>
        <item x="2464"/>
        <item x="217"/>
        <item x="4595"/>
        <item x="3737"/>
        <item x="4528"/>
        <item x="1930"/>
        <item x="2361"/>
        <item x="3625"/>
        <item x="3930"/>
        <item x="1586"/>
        <item x="1420"/>
        <item x="2074"/>
        <item x="241"/>
        <item x="2065"/>
        <item x="3784"/>
        <item x="1850"/>
        <item x="1615"/>
        <item x="3210"/>
        <item x="94"/>
        <item x="3370"/>
        <item x="4402"/>
        <item x="3389"/>
        <item x="3409"/>
        <item x="4231"/>
        <item x="323"/>
        <item x="418"/>
        <item x="4209"/>
        <item x="1300"/>
        <item x="2948"/>
        <item x="1741"/>
        <item x="1217"/>
        <item x="1606"/>
        <item x="3201"/>
        <item x="4771"/>
        <item x="3272"/>
        <item x="2144"/>
        <item x="349"/>
        <item x="1592"/>
        <item x="3654"/>
        <item x="4410"/>
        <item x="3159"/>
        <item x="1720"/>
        <item x="3557"/>
        <item x="2226"/>
        <item x="1462"/>
        <item x="713"/>
        <item x="2122"/>
        <item x="389"/>
        <item x="1947"/>
        <item x="649"/>
        <item x="3753"/>
        <item x="3984"/>
        <item x="4663"/>
        <item x="3311"/>
        <item x="1433"/>
        <item x="1373"/>
        <item x="2465"/>
        <item x="3786"/>
        <item x="1475"/>
        <item x="3668"/>
        <item x="1045"/>
        <item x="4552"/>
        <item x="4213"/>
        <item x="3177"/>
        <item x="2193"/>
        <item x="4288"/>
        <item x="3356"/>
        <item x="2955"/>
        <item x="1295"/>
        <item x="2319"/>
        <item x="1288"/>
        <item x="1213"/>
        <item x="1883"/>
        <item x="2974"/>
        <item x="3964"/>
        <item x="2950"/>
        <item x="3936"/>
        <item x="4815"/>
        <item x="3657"/>
        <item x="629"/>
        <item x="4817"/>
        <item x="4251"/>
        <item x="4008"/>
        <item x="2236"/>
        <item x="942"/>
        <item x="212"/>
        <item x="1103"/>
        <item x="905"/>
        <item x="3479"/>
        <item x="1218"/>
        <item x="809"/>
        <item x="2028"/>
        <item x="399"/>
        <item x="948"/>
        <item x="1916"/>
        <item x="414"/>
        <item x="1202"/>
        <item x="2061"/>
        <item x="1689"/>
        <item x="958"/>
        <item x="2316"/>
        <item x="1658"/>
        <item x="1235"/>
        <item x="4926"/>
        <item x="4770"/>
        <item x="13"/>
        <item x="1510"/>
        <item x="1612"/>
        <item x="2010"/>
        <item x="1942"/>
        <item x="70"/>
        <item x="3468"/>
        <item x="2809"/>
        <item x="1525"/>
        <item x="947"/>
        <item x="274"/>
        <item x="4814"/>
        <item x="3549"/>
        <item x="1816"/>
        <item x="221"/>
        <item x="4778"/>
        <item x="594"/>
        <item x="1250"/>
        <item x="2667"/>
        <item x="2887"/>
        <item x="2518"/>
        <item x="590"/>
        <item x="4177"/>
        <item x="359"/>
        <item x="2633"/>
        <item x="2533"/>
        <item x="3055"/>
        <item x="1081"/>
        <item x="4611"/>
        <item x="1134"/>
        <item x="4009"/>
        <item x="1228"/>
        <item x="2359"/>
        <item x="3589"/>
        <item x="4359"/>
        <item x="1983"/>
        <item x="766"/>
        <item x="4414"/>
        <item x="1851"/>
        <item x="3364"/>
        <item x="185"/>
        <item x="4212"/>
        <item x="3713"/>
        <item x="3390"/>
        <item x="2638"/>
        <item x="4667"/>
        <item x="712"/>
        <item x="1471"/>
        <item x="4329"/>
        <item x="4490"/>
        <item x="4625"/>
        <item x="701"/>
        <item x="3744"/>
        <item x="2915"/>
        <item x="1690"/>
        <item x="3701"/>
        <item x="4271"/>
        <item x="2720"/>
        <item x="2353"/>
        <item x="3598"/>
        <item x="3118"/>
        <item x="1308"/>
        <item x="127"/>
        <item x="3708"/>
        <item x="4354"/>
        <item x="2693"/>
        <item x="1526"/>
        <item x="1822"/>
        <item x="1292"/>
        <item x="2647"/>
        <item x="2273"/>
        <item x="2688"/>
        <item x="3696"/>
        <item x="22"/>
        <item x="2621"/>
        <item x="4020"/>
        <item x="3850"/>
        <item x="1102"/>
        <item x="2484"/>
        <item x="1452"/>
        <item x="654"/>
        <item x="735"/>
        <item x="3467"/>
        <item x="4845"/>
        <item x="2813"/>
        <item x="3278"/>
        <item x="253"/>
        <item x="1726"/>
        <item x="4731"/>
        <item x="3734"/>
        <item x="915"/>
        <item x="3424"/>
        <item x="2076"/>
        <item x="1080"/>
        <item x="3508"/>
        <item x="668"/>
        <item x="4558"/>
        <item x="86"/>
        <item x="990"/>
        <item x="461"/>
        <item x="928"/>
        <item x="2654"/>
        <item x="298"/>
        <item x="963"/>
        <item x="235"/>
        <item x="4565"/>
        <item x="417"/>
        <item x="985"/>
        <item x="363"/>
        <item x="2733"/>
        <item x="1356"/>
        <item x="2837"/>
        <item x="664"/>
        <item x="4383"/>
        <item x="3443"/>
        <item x="319"/>
        <item x="787"/>
        <item x="471"/>
        <item x="4737"/>
        <item x="1128"/>
        <item x="2943"/>
        <item x="3336"/>
        <item x="793"/>
        <item x="4539"/>
        <item x="743"/>
        <item x="4331"/>
        <item x="1067"/>
        <item x="3039"/>
        <item x="834"/>
        <item x="1161"/>
        <item x="4268"/>
        <item x="193"/>
        <item x="248"/>
        <item x="919"/>
        <item x="173"/>
        <item x="4281"/>
        <item x="1729"/>
        <item x="3240"/>
        <item x="4493"/>
        <item x="862"/>
        <item x="4339"/>
        <item x="2527"/>
        <item x="62"/>
        <item x="2785"/>
        <item x="610"/>
        <item x="2606"/>
        <item x="3319"/>
        <item x="132"/>
        <item x="345"/>
        <item x="1519"/>
        <item x="1641"/>
        <item x="2496"/>
        <item x="3749"/>
        <item x="1679"/>
        <item x="434"/>
        <item x="4531"/>
        <item x="1266"/>
        <item x="3295"/>
        <item x="3746"/>
        <item x="3113"/>
        <item x="1322"/>
        <item x="3082"/>
        <item x="3270"/>
        <item x="339"/>
        <item x="4755"/>
        <item x="1098"/>
        <item x="83"/>
        <item x="4922"/>
        <item x="1193"/>
        <item x="1072"/>
        <item x="4424"/>
        <item x="3641"/>
        <item x="1906"/>
        <item x="4191"/>
        <item x="1234"/>
        <item x="1403"/>
        <item x="1608"/>
        <item x="3990"/>
        <item x="2587"/>
        <item x="1131"/>
        <item x="171"/>
        <item x="4085"/>
        <item x="3313"/>
        <item x="1711"/>
        <item x="4387"/>
        <item x="1414"/>
        <item x="2656"/>
        <item x="237"/>
        <item x="3580"/>
        <item x="625"/>
        <item x="4049"/>
        <item x="1785"/>
        <item x="4633"/>
        <item x="1775"/>
        <item x="954"/>
        <item x="3417"/>
        <item x="87"/>
        <item x="1117"/>
        <item x="2133"/>
        <item x="2768"/>
        <item x="254"/>
        <item x="3686"/>
        <item x="3795"/>
        <item x="1752"/>
        <item x="1688"/>
        <item x="3086"/>
        <item x="3214"/>
        <item x="569"/>
        <item x="4758"/>
        <item x="2150"/>
        <item x="494"/>
        <item x="945"/>
        <item x="1541"/>
        <item x="101"/>
        <item x="4954"/>
        <item x="4119"/>
        <item x="4437"/>
        <item x="2962"/>
        <item x="2616"/>
        <item x="2093"/>
        <item x="3143"/>
        <item x="2658"/>
        <item x="4388"/>
        <item x="2250"/>
        <item x="3162"/>
        <item x="4717"/>
        <item x="4506"/>
        <item x="3738"/>
        <item x="4397"/>
        <item x="3594"/>
        <item x="2172"/>
        <item x="4072"/>
        <item x="1200"/>
        <item x="1463"/>
        <item x="4112"/>
        <item x="4851"/>
        <item x="3147"/>
        <item x="611"/>
        <item x="2924"/>
        <item x="3286"/>
        <item x="3281"/>
        <item x="1965"/>
        <item x="3741"/>
        <item x="1184"/>
        <item x="516"/>
        <item x="4143"/>
        <item x="3050"/>
        <item x="4360"/>
        <item x="3793"/>
        <item x="1479"/>
        <item x="1694"/>
        <item x="3480"/>
        <item x="3067"/>
        <item x="379"/>
        <item x="2340"/>
        <item x="2841"/>
        <item x="2292"/>
        <item x="1961"/>
        <item x="2517"/>
        <item x="4027"/>
        <item x="1695"/>
        <item x="3705"/>
        <item x="3548"/>
        <item x="4487"/>
        <item x="2256"/>
        <item x="1863"/>
        <item x="1032"/>
        <item x="1336"/>
        <item x="3543"/>
        <item x="934"/>
        <item x="4156"/>
        <item x="174"/>
        <item x="1283"/>
        <item x="1435"/>
        <item x="2219"/>
        <item x="386"/>
        <item x="3861"/>
        <item x="2082"/>
        <item x="754"/>
        <item x="1628"/>
        <item x="2024"/>
        <item x="938"/>
        <item x="4848"/>
        <item x="4328"/>
        <item x="717"/>
        <item x="4261"/>
        <item x="1232"/>
        <item x="4614"/>
        <item x="1551"/>
        <item x="1422"/>
        <item x="3011"/>
        <item x="2714"/>
        <item x="4098"/>
        <item x="4475"/>
        <item x="4096"/>
        <item x="929"/>
        <item x="437"/>
        <item x="4164"/>
        <item x="452"/>
        <item x="3463"/>
        <item x="164"/>
        <item x="40"/>
        <item x="4742"/>
        <item x="1000"/>
        <item x="3732"/>
        <item x="2049"/>
        <item x="2574"/>
        <item x="2960"/>
        <item x="430"/>
        <item x="243"/>
        <item x="1748"/>
        <item x="3454"/>
        <item x="3352"/>
        <item x="2318"/>
        <item x="1559"/>
        <item x="2314"/>
        <item x="900"/>
        <item x="2735"/>
        <item x="3115"/>
        <item x="200"/>
        <item x="4502"/>
        <item x="4239"/>
        <item x="591"/>
        <item x="1992"/>
        <item x="667"/>
        <item x="3515"/>
        <item x="4117"/>
        <item x="1815"/>
        <item x="1645"/>
        <item x="4693"/>
        <item x="988"/>
        <item x="4063"/>
        <item x="4705"/>
        <item x="1076"/>
        <item x="1952"/>
        <item x="2051"/>
        <item x="2287"/>
        <item x="2099"/>
        <item x="3183"/>
        <item x="3852"/>
        <item x="2909"/>
        <item x="1564"/>
        <item x="3643"/>
        <item x="3069"/>
        <item x="4787"/>
        <item x="740"/>
        <item x="997"/>
        <item x="1248"/>
        <item x="4077"/>
        <item x="4046"/>
        <item x="3742"/>
        <item x="4172"/>
        <item x="2800"/>
        <item x="1806"/>
        <item x="1764"/>
        <item x="2282"/>
        <item x="2792"/>
        <item x="4044"/>
        <item x="2073"/>
        <item x="2894"/>
        <item x="4772"/>
        <item x="2211"/>
        <item x="2582"/>
        <item x="1328"/>
        <item x="4104"/>
        <item x="1755"/>
        <item x="4458"/>
        <item x="4189"/>
        <item x="2387"/>
        <item x="3339"/>
        <item x="4303"/>
        <item x="1025"/>
        <item x="3234"/>
        <item x="4681"/>
        <item x="2570"/>
        <item x="761"/>
        <item x="224"/>
        <item x="477"/>
        <item x="3601"/>
        <item x="3787"/>
        <item x="2902"/>
        <item x="1981"/>
        <item x="275"/>
        <item x="215"/>
        <item x="532"/>
        <item x="4617"/>
        <item x="3860"/>
        <item x="4429"/>
        <item x="4033"/>
        <item x="952"/>
        <item x="1984"/>
        <item x="2224"/>
        <item x="1383"/>
        <item x="4674"/>
        <item x="4937"/>
        <item x="44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2"/>
    <field x="8"/>
  </rowFields>
  <rowItems count="321">
    <i>
      <x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1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2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3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4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5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6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7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8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9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10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11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12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13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14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15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16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17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18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>
      <x v="19"/>
      <x/>
      <x/>
    </i>
    <i r="2">
      <x v="1"/>
    </i>
    <i r="1">
      <x v="1"/>
      <x/>
    </i>
    <i r="2">
      <x v="1"/>
    </i>
    <i r="1">
      <x v="2"/>
      <x/>
    </i>
    <i r="2">
      <x v="1"/>
    </i>
    <i r="1">
      <x v="3"/>
      <x/>
    </i>
    <i r="2">
      <x v="1"/>
    </i>
    <i r="1">
      <x v="4"/>
      <x/>
    </i>
    <i r="2">
      <x v="1"/>
    </i>
    <i r="1">
      <x v="5"/>
      <x/>
    </i>
    <i r="2">
      <x v="1"/>
    </i>
    <i r="1">
      <x v="6"/>
      <x/>
    </i>
    <i r="2">
      <x v="1"/>
    </i>
    <i r="1">
      <x v="7"/>
      <x/>
    </i>
    <i r="2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Total Waste (Tons)" fld="3" baseField="0" baseItem="0"/>
    <dataField name="Sum of Economic Loss (Million $)" fld="4" baseField="0" baseItem="0"/>
    <dataField name="Sum of Avg Waste per Capita (Kg)" fld="5" baseField="0" baseItem="0"/>
    <dataField name="Sum of Population (Million)" fld="6" baseField="0" baseItem="0"/>
    <dataField name="Sum of Economic Loss per Ton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E0240-849D-45A4-A4FB-71A5AA89D7E1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25" firstHeaderRow="1" firstDataRow="2" firstDataCol="1"/>
  <pivotFields count="8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Sum of Total Waste (Tons)" fld="3" baseField="0" baseItem="0" numFmtId="164"/>
  </dataFields>
  <formats count="1">
    <format dxfId="0">
      <pivotArea outline="0" collapsedLevelsAreSubtotals="1" fieldPosition="0"/>
    </format>
  </formats>
  <chartFormats count="2"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5082E-72F0-4DD1-9ABC-95CA4A51302A}">
  <dimension ref="A1:I5001"/>
  <sheetViews>
    <sheetView workbookViewId="0"/>
  </sheetViews>
  <sheetFormatPr defaultRowHeight="14.4" x14ac:dyDescent="0.3"/>
  <cols>
    <col min="1" max="1" width="11" bestFit="1" customWidth="1"/>
    <col min="2" max="2" width="5" bestFit="1" customWidth="1"/>
    <col min="3" max="3" width="16.44140625" bestFit="1" customWidth="1"/>
    <col min="4" max="4" width="15.6640625" bestFit="1" customWidth="1"/>
    <col min="5" max="5" width="21.33203125" bestFit="1" customWidth="1"/>
    <col min="6" max="6" width="21.44140625" bestFit="1" customWidth="1"/>
    <col min="7" max="7" width="16.33203125" bestFit="1" customWidth="1"/>
    <col min="8" max="8" width="19.44140625" bestFit="1" customWidth="1"/>
    <col min="9" max="9" width="12.109375" bestFit="1" customWidth="1"/>
  </cols>
  <sheetData>
    <row r="1" spans="1:9" x14ac:dyDescent="0.3">
      <c r="A1" t="s">
        <v>36</v>
      </c>
      <c r="B1" t="s">
        <v>35</v>
      </c>
      <c r="C1" t="s">
        <v>34</v>
      </c>
      <c r="D1" t="s">
        <v>33</v>
      </c>
      <c r="E1" t="s">
        <v>32</v>
      </c>
      <c r="F1" t="s">
        <v>31</v>
      </c>
      <c r="G1" t="s">
        <v>30</v>
      </c>
      <c r="H1" t="s">
        <v>29</v>
      </c>
      <c r="I1" t="s">
        <v>28</v>
      </c>
    </row>
    <row r="2" spans="1:9" x14ac:dyDescent="0.3">
      <c r="A2" t="s">
        <v>3</v>
      </c>
      <c r="B2">
        <v>2019</v>
      </c>
      <c r="C2" t="s">
        <v>12</v>
      </c>
      <c r="D2">
        <v>19268.63</v>
      </c>
      <c r="E2">
        <v>18686.68</v>
      </c>
      <c r="F2">
        <v>72.69</v>
      </c>
      <c r="G2">
        <v>87.59</v>
      </c>
      <c r="H2">
        <f>E2*1000000/D2</f>
        <v>969798.06037066458</v>
      </c>
      <c r="I2" t="str">
        <f>IF(AND(B2&gt;=2018, B2&lt;=2021), "2018-2021", IF(AND(B2&gt;=2022, B2&lt;=2024), "2022-2024", "Other"))</f>
        <v>2018-2021</v>
      </c>
    </row>
    <row r="3" spans="1:9" x14ac:dyDescent="0.3">
      <c r="A3" t="s">
        <v>7</v>
      </c>
      <c r="B3">
        <v>2019</v>
      </c>
      <c r="C3" t="s">
        <v>6</v>
      </c>
      <c r="D3">
        <v>3916.97</v>
      </c>
      <c r="E3">
        <v>4394.4799999999996</v>
      </c>
      <c r="F3">
        <v>192.52</v>
      </c>
      <c r="G3">
        <v>1153.99</v>
      </c>
      <c r="H3">
        <f>E3*1000000/D3</f>
        <v>1121908.0054225589</v>
      </c>
      <c r="I3" t="str">
        <f>IF(AND(B3&gt;=2018, B3&lt;=2021), "2018-2021", IF(AND(B3&gt;=2022, B3&lt;=2024), "2022-2024", "Other"))</f>
        <v>2018-2021</v>
      </c>
    </row>
    <row r="4" spans="1:9" x14ac:dyDescent="0.3">
      <c r="A4" t="s">
        <v>15</v>
      </c>
      <c r="B4">
        <v>2022</v>
      </c>
      <c r="C4" t="s">
        <v>14</v>
      </c>
      <c r="D4">
        <v>9700.16</v>
      </c>
      <c r="E4">
        <v>8909.16</v>
      </c>
      <c r="F4">
        <v>166.94</v>
      </c>
      <c r="G4">
        <v>1006.11</v>
      </c>
      <c r="H4">
        <f>E4*1000000/D4</f>
        <v>918454.9533203576</v>
      </c>
      <c r="I4" t="str">
        <f>IF(AND(B4&gt;=2018, B4&lt;=2021), "2018-2021", IF(AND(B4&gt;=2022, B4&lt;=2024), "2022-2024", "Other"))</f>
        <v>2022-2024</v>
      </c>
    </row>
    <row r="5" spans="1:9" x14ac:dyDescent="0.3">
      <c r="A5" t="s">
        <v>1</v>
      </c>
      <c r="B5">
        <v>2023</v>
      </c>
      <c r="C5" t="s">
        <v>12</v>
      </c>
      <c r="D5">
        <v>46299.69</v>
      </c>
      <c r="E5">
        <v>40551.22</v>
      </c>
      <c r="F5">
        <v>120.19</v>
      </c>
      <c r="G5">
        <v>953.05</v>
      </c>
      <c r="H5">
        <f>E5*1000000/D5</f>
        <v>875842.14926709014</v>
      </c>
      <c r="I5" t="str">
        <f>IF(AND(B5&gt;=2018, B5&lt;=2021), "2018-2021", IF(AND(B5&gt;=2022, B5&lt;=2024), "2022-2024", "Other"))</f>
        <v>2022-2024</v>
      </c>
    </row>
    <row r="6" spans="1:9" x14ac:dyDescent="0.3">
      <c r="A6" t="s">
        <v>1</v>
      </c>
      <c r="B6">
        <v>2023</v>
      </c>
      <c r="C6" t="s">
        <v>2</v>
      </c>
      <c r="D6">
        <v>33096.57</v>
      </c>
      <c r="E6">
        <v>36980.82</v>
      </c>
      <c r="F6">
        <v>104.74</v>
      </c>
      <c r="G6">
        <v>1105.47</v>
      </c>
      <c r="H6">
        <f>E6*1000000/D6</f>
        <v>1117361.1041869293</v>
      </c>
      <c r="I6" t="str">
        <f>IF(AND(B6&gt;=2018, B6&lt;=2021), "2018-2021", IF(AND(B6&gt;=2022, B6&lt;=2024), "2022-2024", "Other"))</f>
        <v>2022-2024</v>
      </c>
    </row>
    <row r="7" spans="1:9" x14ac:dyDescent="0.3">
      <c r="A7" t="s">
        <v>25</v>
      </c>
      <c r="B7">
        <v>2024</v>
      </c>
      <c r="C7" t="s">
        <v>12</v>
      </c>
      <c r="D7">
        <v>11962.89</v>
      </c>
      <c r="E7">
        <v>11196.04</v>
      </c>
      <c r="F7">
        <v>136.21</v>
      </c>
      <c r="G7">
        <v>1311.91</v>
      </c>
      <c r="H7">
        <f>E7*1000000/D7</f>
        <v>935897.59665097657</v>
      </c>
      <c r="I7" t="str">
        <f>IF(AND(B7&gt;=2018, B7&lt;=2021), "2018-2021", IF(AND(B7&gt;=2022, B7&lt;=2024), "2022-2024", "Other"))</f>
        <v>2022-2024</v>
      </c>
    </row>
    <row r="8" spans="1:9" x14ac:dyDescent="0.3">
      <c r="A8" t="s">
        <v>15</v>
      </c>
      <c r="B8">
        <v>2024</v>
      </c>
      <c r="C8" t="s">
        <v>6</v>
      </c>
      <c r="D8">
        <v>45038.720000000001</v>
      </c>
      <c r="E8">
        <v>39191.25</v>
      </c>
      <c r="F8">
        <v>179.27</v>
      </c>
      <c r="G8">
        <v>1349.45</v>
      </c>
      <c r="H8">
        <f>E8*1000000/D8</f>
        <v>870167.93550083123</v>
      </c>
      <c r="I8" t="str">
        <f>IF(AND(B8&gt;=2018, B8&lt;=2021), "2018-2021", IF(AND(B8&gt;=2022, B8&lt;=2024), "2022-2024", "Other"))</f>
        <v>2022-2024</v>
      </c>
    </row>
    <row r="9" spans="1:9" x14ac:dyDescent="0.3">
      <c r="A9" t="s">
        <v>5</v>
      </c>
      <c r="B9">
        <v>2019</v>
      </c>
      <c r="C9" t="s">
        <v>12</v>
      </c>
      <c r="D9">
        <v>12791.2</v>
      </c>
      <c r="E9">
        <v>12233.28</v>
      </c>
      <c r="F9">
        <v>90.8</v>
      </c>
      <c r="G9">
        <v>1229.29</v>
      </c>
      <c r="H9">
        <f>E9*1000000/D9</f>
        <v>956382.51297767204</v>
      </c>
      <c r="I9" t="str">
        <f>IF(AND(B9&gt;=2018, B9&lt;=2021), "2018-2021", IF(AND(B9&gt;=2022, B9&lt;=2024), "2022-2024", "Other"))</f>
        <v>2018-2021</v>
      </c>
    </row>
    <row r="10" spans="1:9" x14ac:dyDescent="0.3">
      <c r="A10" t="s">
        <v>10</v>
      </c>
      <c r="B10">
        <v>2019</v>
      </c>
      <c r="C10" t="s">
        <v>4</v>
      </c>
      <c r="D10">
        <v>14795.65</v>
      </c>
      <c r="E10">
        <v>14346.97</v>
      </c>
      <c r="F10">
        <v>128.91</v>
      </c>
      <c r="G10">
        <v>450.33</v>
      </c>
      <c r="H10">
        <f>E10*1000000/D10</f>
        <v>969674.8706545505</v>
      </c>
      <c r="I10" t="str">
        <f>IF(AND(B10&gt;=2018, B10&lt;=2021), "2018-2021", IF(AND(B10&gt;=2022, B10&lt;=2024), "2022-2024", "Other"))</f>
        <v>2018-2021</v>
      </c>
    </row>
    <row r="11" spans="1:9" x14ac:dyDescent="0.3">
      <c r="A11" t="s">
        <v>25</v>
      </c>
      <c r="B11">
        <v>2019</v>
      </c>
      <c r="C11" t="s">
        <v>8</v>
      </c>
      <c r="D11">
        <v>12118.32</v>
      </c>
      <c r="E11">
        <v>13631.17</v>
      </c>
      <c r="F11">
        <v>141.75</v>
      </c>
      <c r="G11">
        <v>359.26</v>
      </c>
      <c r="H11">
        <f>E11*1000000/D11</f>
        <v>1124839.9118029561</v>
      </c>
      <c r="I11" t="str">
        <f>IF(AND(B11&gt;=2018, B11&lt;=2021), "2018-2021", IF(AND(B11&gt;=2022, B11&lt;=2024), "2022-2024", "Other"))</f>
        <v>2018-2021</v>
      </c>
    </row>
    <row r="12" spans="1:9" x14ac:dyDescent="0.3">
      <c r="A12" t="s">
        <v>11</v>
      </c>
      <c r="B12">
        <v>2024</v>
      </c>
      <c r="C12" t="s">
        <v>9</v>
      </c>
      <c r="D12">
        <v>39478.699999999997</v>
      </c>
      <c r="E12">
        <v>40087.26</v>
      </c>
      <c r="F12">
        <v>155.55000000000001</v>
      </c>
      <c r="G12">
        <v>375.84</v>
      </c>
      <c r="H12">
        <f>E12*1000000/D12</f>
        <v>1015414.8946140577</v>
      </c>
      <c r="I12" t="str">
        <f>IF(AND(B12&gt;=2018, B12&lt;=2021), "2018-2021", IF(AND(B12&gt;=2022, B12&lt;=2024), "2022-2024", "Other"))</f>
        <v>2022-2024</v>
      </c>
    </row>
    <row r="13" spans="1:9" x14ac:dyDescent="0.3">
      <c r="A13" t="s">
        <v>20</v>
      </c>
      <c r="B13">
        <v>2022</v>
      </c>
      <c r="C13" t="s">
        <v>9</v>
      </c>
      <c r="D13">
        <v>41025.9</v>
      </c>
      <c r="E13">
        <v>35437.9</v>
      </c>
      <c r="F13">
        <v>49.95</v>
      </c>
      <c r="G13">
        <v>1219.43</v>
      </c>
      <c r="H13">
        <f>E13*1000000/D13</f>
        <v>863793.35980441619</v>
      </c>
      <c r="I13" t="str">
        <f>IF(AND(B13&gt;=2018, B13&lt;=2021), "2018-2021", IF(AND(B13&gt;=2022, B13&lt;=2024), "2022-2024", "Other"))</f>
        <v>2022-2024</v>
      </c>
    </row>
    <row r="14" spans="1:9" x14ac:dyDescent="0.3">
      <c r="A14" t="s">
        <v>17</v>
      </c>
      <c r="B14">
        <v>2024</v>
      </c>
      <c r="C14" t="s">
        <v>2</v>
      </c>
      <c r="D14">
        <v>22924.85</v>
      </c>
      <c r="E14">
        <v>22406.240000000002</v>
      </c>
      <c r="F14">
        <v>89.59</v>
      </c>
      <c r="G14">
        <v>836.05</v>
      </c>
      <c r="H14">
        <f>E14*1000000/D14</f>
        <v>977377.82362807181</v>
      </c>
      <c r="I14" t="str">
        <f>IF(AND(B14&gt;=2018, B14&lt;=2021), "2018-2021", IF(AND(B14&gt;=2022, B14&lt;=2024), "2022-2024", "Other"))</f>
        <v>2022-2024</v>
      </c>
    </row>
    <row r="15" spans="1:9" x14ac:dyDescent="0.3">
      <c r="A15" t="s">
        <v>1</v>
      </c>
      <c r="B15">
        <v>2018</v>
      </c>
      <c r="C15" t="s">
        <v>2</v>
      </c>
      <c r="D15">
        <v>29295.07</v>
      </c>
      <c r="E15">
        <v>34102.25</v>
      </c>
      <c r="F15">
        <v>46.64</v>
      </c>
      <c r="G15">
        <v>1286.73</v>
      </c>
      <c r="H15">
        <f>E15*1000000/D15</f>
        <v>1164095.1873472226</v>
      </c>
      <c r="I15" t="str">
        <f>IF(AND(B15&gt;=2018, B15&lt;=2021), "2018-2021", IF(AND(B15&gt;=2022, B15&lt;=2024), "2022-2024", "Other"))</f>
        <v>2018-2021</v>
      </c>
    </row>
    <row r="16" spans="1:9" x14ac:dyDescent="0.3">
      <c r="A16" t="s">
        <v>17</v>
      </c>
      <c r="B16">
        <v>2022</v>
      </c>
      <c r="C16" t="s">
        <v>0</v>
      </c>
      <c r="D16">
        <v>32457.98</v>
      </c>
      <c r="E16">
        <v>27905.84</v>
      </c>
      <c r="F16">
        <v>46.77</v>
      </c>
      <c r="G16">
        <v>865.6</v>
      </c>
      <c r="H16">
        <f>E16*1000000/D16</f>
        <v>859752.82503717113</v>
      </c>
      <c r="I16" t="str">
        <f>IF(AND(B16&gt;=2018, B16&lt;=2021), "2018-2021", IF(AND(B16&gt;=2022, B16&lt;=2024), "2022-2024", "Other"))</f>
        <v>2022-2024</v>
      </c>
    </row>
    <row r="17" spans="1:9" x14ac:dyDescent="0.3">
      <c r="A17" t="s">
        <v>17</v>
      </c>
      <c r="B17">
        <v>2021</v>
      </c>
      <c r="C17" t="s">
        <v>4</v>
      </c>
      <c r="D17">
        <v>43264.26</v>
      </c>
      <c r="E17">
        <v>44777.94</v>
      </c>
      <c r="F17">
        <v>41.81</v>
      </c>
      <c r="G17">
        <v>665.18</v>
      </c>
      <c r="H17">
        <f>E17*1000000/D17</f>
        <v>1034986.8459555299</v>
      </c>
      <c r="I17" t="str">
        <f>IF(AND(B17&gt;=2018, B17&lt;=2021), "2018-2021", IF(AND(B17&gt;=2022, B17&lt;=2024), "2022-2024", "Other"))</f>
        <v>2018-2021</v>
      </c>
    </row>
    <row r="18" spans="1:9" x14ac:dyDescent="0.3">
      <c r="A18" t="s">
        <v>18</v>
      </c>
      <c r="B18">
        <v>2021</v>
      </c>
      <c r="C18" t="s">
        <v>9</v>
      </c>
      <c r="D18">
        <v>23131.08</v>
      </c>
      <c r="E18">
        <v>21882.67</v>
      </c>
      <c r="F18">
        <v>50.79</v>
      </c>
      <c r="G18">
        <v>853.06</v>
      </c>
      <c r="H18">
        <f>E18*1000000/D18</f>
        <v>946028.89272787946</v>
      </c>
      <c r="I18" t="str">
        <f>IF(AND(B18&gt;=2018, B18&lt;=2021), "2018-2021", IF(AND(B18&gt;=2022, B18&lt;=2024), "2022-2024", "Other"))</f>
        <v>2018-2021</v>
      </c>
    </row>
    <row r="19" spans="1:9" x14ac:dyDescent="0.3">
      <c r="A19" t="s">
        <v>13</v>
      </c>
      <c r="B19">
        <v>2020</v>
      </c>
      <c r="C19" t="s">
        <v>6</v>
      </c>
      <c r="D19">
        <v>18483.82</v>
      </c>
      <c r="E19">
        <v>21071.65</v>
      </c>
      <c r="F19">
        <v>198.62</v>
      </c>
      <c r="G19">
        <v>143.12</v>
      </c>
      <c r="H19">
        <f>E19*1000000/D19</f>
        <v>1140005.1504505021</v>
      </c>
      <c r="I19" t="str">
        <f>IF(AND(B19&gt;=2018, B19&lt;=2021), "2018-2021", IF(AND(B19&gt;=2022, B19&lt;=2024), "2022-2024", "Other"))</f>
        <v>2018-2021</v>
      </c>
    </row>
    <row r="20" spans="1:9" x14ac:dyDescent="0.3">
      <c r="A20" t="s">
        <v>10</v>
      </c>
      <c r="B20">
        <v>2022</v>
      </c>
      <c r="C20" t="s">
        <v>4</v>
      </c>
      <c r="D20">
        <v>25829.56</v>
      </c>
      <c r="E20">
        <v>20806.34</v>
      </c>
      <c r="F20">
        <v>119.62</v>
      </c>
      <c r="G20">
        <v>185.01</v>
      </c>
      <c r="H20">
        <f>E20*1000000/D20</f>
        <v>805524.36820449121</v>
      </c>
      <c r="I20" t="str">
        <f>IF(AND(B20&gt;=2018, B20&lt;=2021), "2018-2021", IF(AND(B20&gt;=2022, B20&lt;=2024), "2022-2024", "Other"))</f>
        <v>2022-2024</v>
      </c>
    </row>
    <row r="21" spans="1:9" x14ac:dyDescent="0.3">
      <c r="A21" t="s">
        <v>5</v>
      </c>
      <c r="B21">
        <v>2018</v>
      </c>
      <c r="C21" t="s">
        <v>6</v>
      </c>
      <c r="D21">
        <v>11314.08</v>
      </c>
      <c r="E21">
        <v>10287.700000000001</v>
      </c>
      <c r="F21">
        <v>111.67</v>
      </c>
      <c r="G21">
        <v>953.52</v>
      </c>
      <c r="H21">
        <f>E21*1000000/D21</f>
        <v>909282.94655862427</v>
      </c>
      <c r="I21" t="str">
        <f>IF(AND(B21&gt;=2018, B21&lt;=2021), "2018-2021", IF(AND(B21&gt;=2022, B21&lt;=2024), "2022-2024", "Other"))</f>
        <v>2018-2021</v>
      </c>
    </row>
    <row r="22" spans="1:9" x14ac:dyDescent="0.3">
      <c r="A22" t="s">
        <v>13</v>
      </c>
      <c r="B22">
        <v>2019</v>
      </c>
      <c r="C22" t="s">
        <v>12</v>
      </c>
      <c r="D22">
        <v>10653.37</v>
      </c>
      <c r="E22">
        <v>8992.33</v>
      </c>
      <c r="F22">
        <v>74.16</v>
      </c>
      <c r="G22">
        <v>37.76</v>
      </c>
      <c r="H22">
        <f>E22*1000000/D22</f>
        <v>844083.13988906785</v>
      </c>
      <c r="I22" t="str">
        <f>IF(AND(B22&gt;=2018, B22&lt;=2021), "2018-2021", IF(AND(B22&gt;=2022, B22&lt;=2024), "2022-2024", "Other"))</f>
        <v>2018-2021</v>
      </c>
    </row>
    <row r="23" spans="1:9" x14ac:dyDescent="0.3">
      <c r="A23" t="s">
        <v>3</v>
      </c>
      <c r="B23">
        <v>2020</v>
      </c>
      <c r="C23" t="s">
        <v>12</v>
      </c>
      <c r="D23">
        <v>1322.82</v>
      </c>
      <c r="E23">
        <v>1394.01</v>
      </c>
      <c r="F23">
        <v>88.85</v>
      </c>
      <c r="G23">
        <v>205.78</v>
      </c>
      <c r="H23">
        <f>E23*1000000/D23</f>
        <v>1053816.8458293646</v>
      </c>
      <c r="I23" t="str">
        <f>IF(AND(B23&gt;=2018, B23&lt;=2021), "2018-2021", IF(AND(B23&gt;=2022, B23&lt;=2024), "2022-2024", "Other"))</f>
        <v>2018-2021</v>
      </c>
    </row>
    <row r="24" spans="1:9" x14ac:dyDescent="0.3">
      <c r="A24" t="s">
        <v>25</v>
      </c>
      <c r="B24">
        <v>2023</v>
      </c>
      <c r="C24" t="s">
        <v>4</v>
      </c>
      <c r="D24">
        <v>33403.26</v>
      </c>
      <c r="E24">
        <v>39125.379999999997</v>
      </c>
      <c r="F24">
        <v>137.6</v>
      </c>
      <c r="G24">
        <v>1299.21</v>
      </c>
      <c r="H24">
        <f>E24*1000000/D24</f>
        <v>1171304.2379695873</v>
      </c>
      <c r="I24" t="str">
        <f>IF(AND(B24&gt;=2018, B24&lt;=2021), "2018-2021", IF(AND(B24&gt;=2022, B24&lt;=2024), "2022-2024", "Other"))</f>
        <v>2022-2024</v>
      </c>
    </row>
    <row r="25" spans="1:9" x14ac:dyDescent="0.3">
      <c r="A25" t="s">
        <v>16</v>
      </c>
      <c r="B25">
        <v>2023</v>
      </c>
      <c r="C25" t="s">
        <v>12</v>
      </c>
      <c r="D25">
        <v>30875.29</v>
      </c>
      <c r="E25">
        <v>31341.599999999999</v>
      </c>
      <c r="F25">
        <v>198.26</v>
      </c>
      <c r="G25">
        <v>349.04</v>
      </c>
      <c r="H25">
        <f>E25*1000000/D25</f>
        <v>1015103.0160364485</v>
      </c>
      <c r="I25" t="str">
        <f>IF(AND(B25&gt;=2018, B25&lt;=2021), "2018-2021", IF(AND(B25&gt;=2022, B25&lt;=2024), "2022-2024", "Other"))</f>
        <v>2022-2024</v>
      </c>
    </row>
    <row r="26" spans="1:9" x14ac:dyDescent="0.3">
      <c r="A26" t="s">
        <v>13</v>
      </c>
      <c r="B26">
        <v>2024</v>
      </c>
      <c r="C26" t="s">
        <v>6</v>
      </c>
      <c r="D26">
        <v>33085.769999999997</v>
      </c>
      <c r="E26">
        <v>28923.13</v>
      </c>
      <c r="F26">
        <v>37.71</v>
      </c>
      <c r="G26">
        <v>552.45000000000005</v>
      </c>
      <c r="H26">
        <f>E26*1000000/D26</f>
        <v>874186.39493655437</v>
      </c>
      <c r="I26" t="str">
        <f>IF(AND(B26&gt;=2018, B26&lt;=2021), "2018-2021", IF(AND(B26&gt;=2022, B26&lt;=2024), "2022-2024", "Other"))</f>
        <v>2022-2024</v>
      </c>
    </row>
    <row r="27" spans="1:9" x14ac:dyDescent="0.3">
      <c r="A27" t="s">
        <v>15</v>
      </c>
      <c r="B27">
        <v>2018</v>
      </c>
      <c r="C27" t="s">
        <v>2</v>
      </c>
      <c r="D27">
        <v>12336.2</v>
      </c>
      <c r="E27">
        <v>10077.91</v>
      </c>
      <c r="F27">
        <v>38.86</v>
      </c>
      <c r="G27">
        <v>689.21</v>
      </c>
      <c r="H27">
        <f>E27*1000000/D27</f>
        <v>816937.95496181969</v>
      </c>
      <c r="I27" t="str">
        <f>IF(AND(B27&gt;=2018, B27&lt;=2021), "2018-2021", IF(AND(B27&gt;=2022, B27&lt;=2024), "2022-2024", "Other"))</f>
        <v>2018-2021</v>
      </c>
    </row>
    <row r="28" spans="1:9" x14ac:dyDescent="0.3">
      <c r="A28" t="s">
        <v>18</v>
      </c>
      <c r="B28">
        <v>2021</v>
      </c>
      <c r="C28" t="s">
        <v>0</v>
      </c>
      <c r="D28">
        <v>5949.18</v>
      </c>
      <c r="E28">
        <v>6656.14</v>
      </c>
      <c r="F28">
        <v>35.46</v>
      </c>
      <c r="G28">
        <v>698.43</v>
      </c>
      <c r="H28">
        <f>E28*1000000/D28</f>
        <v>1118833.1837328842</v>
      </c>
      <c r="I28" t="str">
        <f>IF(AND(B28&gt;=2018, B28&lt;=2021), "2018-2021", IF(AND(B28&gt;=2022, B28&lt;=2024), "2022-2024", "Other"))</f>
        <v>2018-2021</v>
      </c>
    </row>
    <row r="29" spans="1:9" x14ac:dyDescent="0.3">
      <c r="A29" t="s">
        <v>1</v>
      </c>
      <c r="B29">
        <v>2018</v>
      </c>
      <c r="C29" t="s">
        <v>9</v>
      </c>
      <c r="D29">
        <v>17470.52</v>
      </c>
      <c r="E29">
        <v>16267.24</v>
      </c>
      <c r="F29">
        <v>73.760000000000005</v>
      </c>
      <c r="G29">
        <v>855.4</v>
      </c>
      <c r="H29">
        <f>E29*1000000/D29</f>
        <v>931125.1181991148</v>
      </c>
      <c r="I29" t="str">
        <f>IF(AND(B29&gt;=2018, B29&lt;=2021), "2018-2021", IF(AND(B29&gt;=2022, B29&lt;=2024), "2022-2024", "Other"))</f>
        <v>2018-2021</v>
      </c>
    </row>
    <row r="30" spans="1:9" x14ac:dyDescent="0.3">
      <c r="A30" t="s">
        <v>23</v>
      </c>
      <c r="B30">
        <v>2021</v>
      </c>
      <c r="C30" t="s">
        <v>12</v>
      </c>
      <c r="D30">
        <v>41676.18</v>
      </c>
      <c r="E30">
        <v>43058.29</v>
      </c>
      <c r="F30">
        <v>135.22</v>
      </c>
      <c r="G30">
        <v>1325.54</v>
      </c>
      <c r="H30">
        <f>E30*1000000/D30</f>
        <v>1033163.0682082666</v>
      </c>
      <c r="I30" t="str">
        <f>IF(AND(B30&gt;=2018, B30&lt;=2021), "2018-2021", IF(AND(B30&gt;=2022, B30&lt;=2024), "2022-2024", "Other"))</f>
        <v>2018-2021</v>
      </c>
    </row>
    <row r="31" spans="1:9" x14ac:dyDescent="0.3">
      <c r="A31" t="s">
        <v>24</v>
      </c>
      <c r="B31">
        <v>2018</v>
      </c>
      <c r="C31" t="s">
        <v>4</v>
      </c>
      <c r="D31">
        <v>20604.34</v>
      </c>
      <c r="E31">
        <v>23257.47</v>
      </c>
      <c r="F31">
        <v>31.88</v>
      </c>
      <c r="G31">
        <v>412.45</v>
      </c>
      <c r="H31">
        <f>E31*1000000/D31</f>
        <v>1128765.5901620726</v>
      </c>
      <c r="I31" t="str">
        <f>IF(AND(B31&gt;=2018, B31&lt;=2021), "2018-2021", IF(AND(B31&gt;=2022, B31&lt;=2024), "2022-2024", "Other"))</f>
        <v>2018-2021</v>
      </c>
    </row>
    <row r="32" spans="1:9" x14ac:dyDescent="0.3">
      <c r="A32" t="s">
        <v>21</v>
      </c>
      <c r="B32">
        <v>2020</v>
      </c>
      <c r="C32" t="s">
        <v>0</v>
      </c>
      <c r="D32">
        <v>49310.46</v>
      </c>
      <c r="E32">
        <v>49520.57</v>
      </c>
      <c r="F32">
        <v>21.69</v>
      </c>
      <c r="G32">
        <v>983.97</v>
      </c>
      <c r="H32">
        <f>E32*1000000/D32</f>
        <v>1004260.9620757949</v>
      </c>
      <c r="I32" t="str">
        <f>IF(AND(B32&gt;=2018, B32&lt;=2021), "2018-2021", IF(AND(B32&gt;=2022, B32&lt;=2024), "2022-2024", "Other"))</f>
        <v>2018-2021</v>
      </c>
    </row>
    <row r="33" spans="1:9" x14ac:dyDescent="0.3">
      <c r="A33" t="s">
        <v>7</v>
      </c>
      <c r="B33">
        <v>2024</v>
      </c>
      <c r="C33" t="s">
        <v>9</v>
      </c>
      <c r="D33">
        <v>26812.66</v>
      </c>
      <c r="E33">
        <v>28028.3</v>
      </c>
      <c r="F33">
        <v>57</v>
      </c>
      <c r="G33">
        <v>891.66</v>
      </c>
      <c r="H33">
        <f>E33*1000000/D33</f>
        <v>1045338.2842284205</v>
      </c>
      <c r="I33" t="str">
        <f>IF(AND(B33&gt;=2018, B33&lt;=2021), "2018-2021", IF(AND(B33&gt;=2022, B33&lt;=2024), "2022-2024", "Other"))</f>
        <v>2022-2024</v>
      </c>
    </row>
    <row r="34" spans="1:9" x14ac:dyDescent="0.3">
      <c r="A34" t="s">
        <v>21</v>
      </c>
      <c r="B34">
        <v>2022</v>
      </c>
      <c r="C34" t="s">
        <v>0</v>
      </c>
      <c r="D34">
        <v>17868.63</v>
      </c>
      <c r="E34">
        <v>20588.93</v>
      </c>
      <c r="F34">
        <v>82.52</v>
      </c>
      <c r="G34">
        <v>897.76</v>
      </c>
      <c r="H34">
        <f>E34*1000000/D34</f>
        <v>1152238.8677811336</v>
      </c>
      <c r="I34" t="str">
        <f>IF(AND(B34&gt;=2018, B34&lt;=2021), "2018-2021", IF(AND(B34&gt;=2022, B34&lt;=2024), "2022-2024", "Other"))</f>
        <v>2022-2024</v>
      </c>
    </row>
    <row r="35" spans="1:9" x14ac:dyDescent="0.3">
      <c r="A35" t="s">
        <v>17</v>
      </c>
      <c r="B35">
        <v>2019</v>
      </c>
      <c r="C35" t="s">
        <v>0</v>
      </c>
      <c r="D35">
        <v>13732.64</v>
      </c>
      <c r="E35">
        <v>15129.94</v>
      </c>
      <c r="F35">
        <v>156.84</v>
      </c>
      <c r="G35">
        <v>618.88</v>
      </c>
      <c r="H35">
        <f>E35*1000000/D35</f>
        <v>1101750.282538536</v>
      </c>
      <c r="I35" t="str">
        <f>IF(AND(B35&gt;=2018, B35&lt;=2021), "2018-2021", IF(AND(B35&gt;=2022, B35&lt;=2024), "2022-2024", "Other"))</f>
        <v>2018-2021</v>
      </c>
    </row>
    <row r="36" spans="1:9" x14ac:dyDescent="0.3">
      <c r="A36" t="s">
        <v>13</v>
      </c>
      <c r="B36">
        <v>2019</v>
      </c>
      <c r="C36" t="s">
        <v>2</v>
      </c>
      <c r="D36">
        <v>29827.95</v>
      </c>
      <c r="E36">
        <v>31970.55</v>
      </c>
      <c r="F36">
        <v>102.81</v>
      </c>
      <c r="G36">
        <v>1235.4000000000001</v>
      </c>
      <c r="H36">
        <f>E36*1000000/D36</f>
        <v>1071831.9562692039</v>
      </c>
      <c r="I36" t="str">
        <f>IF(AND(B36&gt;=2018, B36&lt;=2021), "2018-2021", IF(AND(B36&gt;=2022, B36&lt;=2024), "2022-2024", "Other"))</f>
        <v>2018-2021</v>
      </c>
    </row>
    <row r="37" spans="1:9" x14ac:dyDescent="0.3">
      <c r="A37" t="s">
        <v>19</v>
      </c>
      <c r="B37">
        <v>2021</v>
      </c>
      <c r="C37" t="s">
        <v>9</v>
      </c>
      <c r="D37">
        <v>28802.2</v>
      </c>
      <c r="E37">
        <v>29584.639999999999</v>
      </c>
      <c r="F37">
        <v>190.42</v>
      </c>
      <c r="G37">
        <v>687.81</v>
      </c>
      <c r="H37">
        <f>E37*1000000/D37</f>
        <v>1027165.980376499</v>
      </c>
      <c r="I37" t="str">
        <f>IF(AND(B37&gt;=2018, B37&lt;=2021), "2018-2021", IF(AND(B37&gt;=2022, B37&lt;=2024), "2022-2024", "Other"))</f>
        <v>2018-2021</v>
      </c>
    </row>
    <row r="38" spans="1:9" x14ac:dyDescent="0.3">
      <c r="A38" t="s">
        <v>27</v>
      </c>
      <c r="B38">
        <v>2023</v>
      </c>
      <c r="C38" t="s">
        <v>9</v>
      </c>
      <c r="D38">
        <v>29848.3</v>
      </c>
      <c r="E38">
        <v>27362.18</v>
      </c>
      <c r="F38">
        <v>47.82</v>
      </c>
      <c r="G38">
        <v>1131.8</v>
      </c>
      <c r="H38">
        <f>E38*1000000/D38</f>
        <v>916708.15423323947</v>
      </c>
      <c r="I38" t="str">
        <f>IF(AND(B38&gt;=2018, B38&lt;=2021), "2018-2021", IF(AND(B38&gt;=2022, B38&lt;=2024), "2022-2024", "Other"))</f>
        <v>2022-2024</v>
      </c>
    </row>
    <row r="39" spans="1:9" x14ac:dyDescent="0.3">
      <c r="A39" t="s">
        <v>18</v>
      </c>
      <c r="B39">
        <v>2024</v>
      </c>
      <c r="C39" t="s">
        <v>8</v>
      </c>
      <c r="D39">
        <v>39420.559999999998</v>
      </c>
      <c r="E39">
        <v>34541.01</v>
      </c>
      <c r="F39">
        <v>65.63</v>
      </c>
      <c r="G39">
        <v>513.73</v>
      </c>
      <c r="H39">
        <f>E39*1000000/D39</f>
        <v>876218.14606388146</v>
      </c>
      <c r="I39" t="str">
        <f>IF(AND(B39&gt;=2018, B39&lt;=2021), "2018-2021", IF(AND(B39&gt;=2022, B39&lt;=2024), "2022-2024", "Other"))</f>
        <v>2022-2024</v>
      </c>
    </row>
    <row r="40" spans="1:9" x14ac:dyDescent="0.3">
      <c r="A40" t="s">
        <v>18</v>
      </c>
      <c r="B40">
        <v>2024</v>
      </c>
      <c r="C40" t="s">
        <v>6</v>
      </c>
      <c r="D40">
        <v>37292.94</v>
      </c>
      <c r="E40">
        <v>35268.410000000003</v>
      </c>
      <c r="F40">
        <v>80.599999999999994</v>
      </c>
      <c r="G40">
        <v>619.76</v>
      </c>
      <c r="H40">
        <f>E40*1000000/D40</f>
        <v>945712.78102504113</v>
      </c>
      <c r="I40" t="str">
        <f>IF(AND(B40&gt;=2018, B40&lt;=2021), "2018-2021", IF(AND(B40&gt;=2022, B40&lt;=2024), "2022-2024", "Other"))</f>
        <v>2022-2024</v>
      </c>
    </row>
    <row r="41" spans="1:9" x14ac:dyDescent="0.3">
      <c r="A41" t="s">
        <v>20</v>
      </c>
      <c r="B41">
        <v>2020</v>
      </c>
      <c r="C41" t="s">
        <v>2</v>
      </c>
      <c r="D41">
        <v>44797.11</v>
      </c>
      <c r="E41">
        <v>41233.800000000003</v>
      </c>
      <c r="F41">
        <v>64.739999999999995</v>
      </c>
      <c r="G41">
        <v>1234.6300000000001</v>
      </c>
      <c r="H41">
        <f>E41*1000000/D41</f>
        <v>920456.69910402701</v>
      </c>
      <c r="I41" t="str">
        <f>IF(AND(B41&gt;=2018, B41&lt;=2021), "2018-2021", IF(AND(B41&gt;=2022, B41&lt;=2024), "2022-2024", "Other"))</f>
        <v>2018-2021</v>
      </c>
    </row>
    <row r="42" spans="1:9" x14ac:dyDescent="0.3">
      <c r="A42" t="s">
        <v>20</v>
      </c>
      <c r="B42">
        <v>2023</v>
      </c>
      <c r="C42" t="s">
        <v>0</v>
      </c>
      <c r="D42">
        <v>40398.07</v>
      </c>
      <c r="E42">
        <v>48103.94</v>
      </c>
      <c r="F42">
        <v>177.95</v>
      </c>
      <c r="G42">
        <v>367.79</v>
      </c>
      <c r="H42">
        <f>E42*1000000/D42</f>
        <v>1190748.4689243818</v>
      </c>
      <c r="I42" t="str">
        <f>IF(AND(B42&gt;=2018, B42&lt;=2021), "2018-2021", IF(AND(B42&gt;=2022, B42&lt;=2024), "2022-2024", "Other"))</f>
        <v>2022-2024</v>
      </c>
    </row>
    <row r="43" spans="1:9" x14ac:dyDescent="0.3">
      <c r="A43" t="s">
        <v>26</v>
      </c>
      <c r="B43">
        <v>2020</v>
      </c>
      <c r="C43" t="s">
        <v>14</v>
      </c>
      <c r="D43">
        <v>13679.64</v>
      </c>
      <c r="E43">
        <v>14249.79</v>
      </c>
      <c r="F43">
        <v>182.75</v>
      </c>
      <c r="G43">
        <v>776.16</v>
      </c>
      <c r="H43">
        <f>E43*1000000/D43</f>
        <v>1041678.7283875892</v>
      </c>
      <c r="I43" t="str">
        <f>IF(AND(B43&gt;=2018, B43&lt;=2021), "2018-2021", IF(AND(B43&gt;=2022, B43&lt;=2024), "2022-2024", "Other"))</f>
        <v>2018-2021</v>
      </c>
    </row>
    <row r="44" spans="1:9" x14ac:dyDescent="0.3">
      <c r="A44" t="s">
        <v>5</v>
      </c>
      <c r="B44">
        <v>2024</v>
      </c>
      <c r="C44" t="s">
        <v>9</v>
      </c>
      <c r="D44">
        <v>11766.79</v>
      </c>
      <c r="E44">
        <v>11890.12</v>
      </c>
      <c r="F44">
        <v>21.26</v>
      </c>
      <c r="G44">
        <v>84.69</v>
      </c>
      <c r="H44">
        <f>E44*1000000/D44</f>
        <v>1010481.1932566145</v>
      </c>
      <c r="I44" t="str">
        <f>IF(AND(B44&gt;=2018, B44&lt;=2021), "2018-2021", IF(AND(B44&gt;=2022, B44&lt;=2024), "2022-2024", "Other"))</f>
        <v>2022-2024</v>
      </c>
    </row>
    <row r="45" spans="1:9" x14ac:dyDescent="0.3">
      <c r="A45" t="s">
        <v>21</v>
      </c>
      <c r="B45">
        <v>2021</v>
      </c>
      <c r="C45" t="s">
        <v>4</v>
      </c>
      <c r="D45">
        <v>24444.03</v>
      </c>
      <c r="E45">
        <v>26615.82</v>
      </c>
      <c r="F45">
        <v>123.83</v>
      </c>
      <c r="G45">
        <v>303.77999999999997</v>
      </c>
      <c r="H45">
        <f>E45*1000000/D45</f>
        <v>1088847.4609137692</v>
      </c>
      <c r="I45" t="str">
        <f>IF(AND(B45&gt;=2018, B45&lt;=2021), "2018-2021", IF(AND(B45&gt;=2022, B45&lt;=2024), "2022-2024", "Other"))</f>
        <v>2018-2021</v>
      </c>
    </row>
    <row r="46" spans="1:9" x14ac:dyDescent="0.3">
      <c r="A46" t="s">
        <v>26</v>
      </c>
      <c r="B46">
        <v>2019</v>
      </c>
      <c r="C46" t="s">
        <v>0</v>
      </c>
      <c r="D46">
        <v>15476.91</v>
      </c>
      <c r="E46">
        <v>13087.99</v>
      </c>
      <c r="F46">
        <v>176.5</v>
      </c>
      <c r="G46">
        <v>1335.8</v>
      </c>
      <c r="H46">
        <f>E46*1000000/D46</f>
        <v>845646.19164936675</v>
      </c>
      <c r="I46" t="str">
        <f>IF(AND(B46&gt;=2018, B46&lt;=2021), "2018-2021", IF(AND(B46&gt;=2022, B46&lt;=2024), "2022-2024", "Other"))</f>
        <v>2018-2021</v>
      </c>
    </row>
    <row r="47" spans="1:9" x14ac:dyDescent="0.3">
      <c r="A47" t="s">
        <v>13</v>
      </c>
      <c r="B47">
        <v>2018</v>
      </c>
      <c r="C47" t="s">
        <v>9</v>
      </c>
      <c r="D47">
        <v>2751.15</v>
      </c>
      <c r="E47">
        <v>2310.7600000000002</v>
      </c>
      <c r="F47">
        <v>52.39</v>
      </c>
      <c r="G47">
        <v>622.91999999999996</v>
      </c>
      <c r="H47">
        <f>E47*1000000/D47</f>
        <v>839925.12222161633</v>
      </c>
      <c r="I47" t="str">
        <f>IF(AND(B47&gt;=2018, B47&lt;=2021), "2018-2021", IF(AND(B47&gt;=2022, B47&lt;=2024), "2022-2024", "Other"))</f>
        <v>2018-2021</v>
      </c>
    </row>
    <row r="48" spans="1:9" x14ac:dyDescent="0.3">
      <c r="A48" t="s">
        <v>16</v>
      </c>
      <c r="B48">
        <v>2024</v>
      </c>
      <c r="C48" t="s">
        <v>12</v>
      </c>
      <c r="D48">
        <v>20238.650000000001</v>
      </c>
      <c r="E48">
        <v>18395.86</v>
      </c>
      <c r="F48">
        <v>22.64</v>
      </c>
      <c r="G48">
        <v>467.6</v>
      </c>
      <c r="H48">
        <f>E48*1000000/D48</f>
        <v>908946.99004133174</v>
      </c>
      <c r="I48" t="str">
        <f>IF(AND(B48&gt;=2018, B48&lt;=2021), "2018-2021", IF(AND(B48&gt;=2022, B48&lt;=2024), "2022-2024", "Other"))</f>
        <v>2022-2024</v>
      </c>
    </row>
    <row r="49" spans="1:9" x14ac:dyDescent="0.3">
      <c r="A49" t="s">
        <v>17</v>
      </c>
      <c r="B49">
        <v>2022</v>
      </c>
      <c r="C49" t="s">
        <v>14</v>
      </c>
      <c r="D49">
        <v>8731.68</v>
      </c>
      <c r="E49">
        <v>10040.120000000001</v>
      </c>
      <c r="F49">
        <v>63.83</v>
      </c>
      <c r="G49">
        <v>543.41</v>
      </c>
      <c r="H49">
        <f>E49*1000000/D49</f>
        <v>1149849.7425466806</v>
      </c>
      <c r="I49" t="str">
        <f>IF(AND(B49&gt;=2018, B49&lt;=2021), "2018-2021", IF(AND(B49&gt;=2022, B49&lt;=2024), "2022-2024", "Other"))</f>
        <v>2022-2024</v>
      </c>
    </row>
    <row r="50" spans="1:9" x14ac:dyDescent="0.3">
      <c r="A50" t="s">
        <v>10</v>
      </c>
      <c r="B50">
        <v>2023</v>
      </c>
      <c r="C50" t="s">
        <v>8</v>
      </c>
      <c r="D50">
        <v>23609.83</v>
      </c>
      <c r="E50">
        <v>25520.57</v>
      </c>
      <c r="F50">
        <v>152.21</v>
      </c>
      <c r="G50">
        <v>272.87</v>
      </c>
      <c r="H50">
        <f>E50*1000000/D50</f>
        <v>1080929.8499819778</v>
      </c>
      <c r="I50" t="str">
        <f>IF(AND(B50&gt;=2018, B50&lt;=2021), "2018-2021", IF(AND(B50&gt;=2022, B50&lt;=2024), "2022-2024", "Other"))</f>
        <v>2022-2024</v>
      </c>
    </row>
    <row r="51" spans="1:9" x14ac:dyDescent="0.3">
      <c r="A51" t="s">
        <v>27</v>
      </c>
      <c r="B51">
        <v>2024</v>
      </c>
      <c r="C51" t="s">
        <v>8</v>
      </c>
      <c r="D51">
        <v>38427.68</v>
      </c>
      <c r="E51">
        <v>31258.66</v>
      </c>
      <c r="F51">
        <v>92.89</v>
      </c>
      <c r="G51">
        <v>952.23</v>
      </c>
      <c r="H51">
        <f>E51*1000000/D51</f>
        <v>813441.24859996757</v>
      </c>
      <c r="I51" t="str">
        <f>IF(AND(B51&gt;=2018, B51&lt;=2021), "2018-2021", IF(AND(B51&gt;=2022, B51&lt;=2024), "2022-2024", "Other"))</f>
        <v>2022-2024</v>
      </c>
    </row>
    <row r="52" spans="1:9" x14ac:dyDescent="0.3">
      <c r="A52" t="s">
        <v>15</v>
      </c>
      <c r="B52">
        <v>2023</v>
      </c>
      <c r="C52" t="s">
        <v>0</v>
      </c>
      <c r="D52">
        <v>33550.410000000003</v>
      </c>
      <c r="E52">
        <v>32946.480000000003</v>
      </c>
      <c r="F52">
        <v>193.85</v>
      </c>
      <c r="G52">
        <v>1333.3</v>
      </c>
      <c r="H52">
        <f>E52*1000000/D52</f>
        <v>981999.32579065359</v>
      </c>
      <c r="I52" t="str">
        <f>IF(AND(B52&gt;=2018, B52&lt;=2021), "2018-2021", IF(AND(B52&gt;=2022, B52&lt;=2024), "2022-2024", "Other"))</f>
        <v>2022-2024</v>
      </c>
    </row>
    <row r="53" spans="1:9" x14ac:dyDescent="0.3">
      <c r="A53" t="s">
        <v>3</v>
      </c>
      <c r="B53">
        <v>2020</v>
      </c>
      <c r="C53" t="s">
        <v>2</v>
      </c>
      <c r="D53">
        <v>45243.85</v>
      </c>
      <c r="E53">
        <v>37828.94</v>
      </c>
      <c r="F53">
        <v>47.21</v>
      </c>
      <c r="G53">
        <v>559.57000000000005</v>
      </c>
      <c r="H53">
        <f>E53*1000000/D53</f>
        <v>836112.31139701861</v>
      </c>
      <c r="I53" t="str">
        <f>IF(AND(B53&gt;=2018, B53&lt;=2021), "2018-2021", IF(AND(B53&gt;=2022, B53&lt;=2024), "2022-2024", "Other"))</f>
        <v>2018-2021</v>
      </c>
    </row>
    <row r="54" spans="1:9" x14ac:dyDescent="0.3">
      <c r="A54" t="s">
        <v>10</v>
      </c>
      <c r="B54">
        <v>2023</v>
      </c>
      <c r="C54" t="s">
        <v>4</v>
      </c>
      <c r="D54">
        <v>30022.09</v>
      </c>
      <c r="E54">
        <v>24487.08</v>
      </c>
      <c r="F54">
        <v>92.64</v>
      </c>
      <c r="G54">
        <v>1278.03</v>
      </c>
      <c r="H54">
        <f>E54*1000000/D54</f>
        <v>815635.4204520738</v>
      </c>
      <c r="I54" t="str">
        <f>IF(AND(B54&gt;=2018, B54&lt;=2021), "2018-2021", IF(AND(B54&gt;=2022, B54&lt;=2024), "2022-2024", "Other"))</f>
        <v>2022-2024</v>
      </c>
    </row>
    <row r="55" spans="1:9" x14ac:dyDescent="0.3">
      <c r="A55" t="s">
        <v>21</v>
      </c>
      <c r="B55">
        <v>2019</v>
      </c>
      <c r="C55" t="s">
        <v>6</v>
      </c>
      <c r="D55">
        <v>49481.61</v>
      </c>
      <c r="E55">
        <v>51126.239999999998</v>
      </c>
      <c r="F55">
        <v>95.46</v>
      </c>
      <c r="G55">
        <v>1281.78</v>
      </c>
      <c r="H55">
        <f>E55*1000000/D55</f>
        <v>1033237.1966069818</v>
      </c>
      <c r="I55" t="str">
        <f>IF(AND(B55&gt;=2018, B55&lt;=2021), "2018-2021", IF(AND(B55&gt;=2022, B55&lt;=2024), "2022-2024", "Other"))</f>
        <v>2018-2021</v>
      </c>
    </row>
    <row r="56" spans="1:9" x14ac:dyDescent="0.3">
      <c r="A56" t="s">
        <v>3</v>
      </c>
      <c r="B56">
        <v>2022</v>
      </c>
      <c r="C56" t="s">
        <v>8</v>
      </c>
      <c r="D56">
        <v>13313.78</v>
      </c>
      <c r="E56">
        <v>13273.68</v>
      </c>
      <c r="F56">
        <v>140.85</v>
      </c>
      <c r="G56">
        <v>183.45</v>
      </c>
      <c r="H56">
        <f>E56*1000000/D56</f>
        <v>996988.0830237543</v>
      </c>
      <c r="I56" t="str">
        <f>IF(AND(B56&gt;=2018, B56&lt;=2021), "2018-2021", IF(AND(B56&gt;=2022, B56&lt;=2024), "2022-2024", "Other"))</f>
        <v>2022-2024</v>
      </c>
    </row>
    <row r="57" spans="1:9" x14ac:dyDescent="0.3">
      <c r="A57" t="s">
        <v>10</v>
      </c>
      <c r="B57">
        <v>2021</v>
      </c>
      <c r="C57" t="s">
        <v>9</v>
      </c>
      <c r="D57">
        <v>33936.660000000003</v>
      </c>
      <c r="E57">
        <v>31082.9</v>
      </c>
      <c r="F57">
        <v>24.93</v>
      </c>
      <c r="G57">
        <v>1234.55</v>
      </c>
      <c r="H57">
        <f>E57*1000000/D57</f>
        <v>915909.22618784511</v>
      </c>
      <c r="I57" t="str">
        <f>IF(AND(B57&gt;=2018, B57&lt;=2021), "2018-2021", IF(AND(B57&gt;=2022, B57&lt;=2024), "2022-2024", "Other"))</f>
        <v>2018-2021</v>
      </c>
    </row>
    <row r="58" spans="1:9" x14ac:dyDescent="0.3">
      <c r="A58" t="s">
        <v>26</v>
      </c>
      <c r="B58">
        <v>2020</v>
      </c>
      <c r="C58" t="s">
        <v>6</v>
      </c>
      <c r="D58">
        <v>26418.47</v>
      </c>
      <c r="E58">
        <v>24820.06</v>
      </c>
      <c r="F58">
        <v>85.69</v>
      </c>
      <c r="G58">
        <v>1257.32</v>
      </c>
      <c r="H58">
        <f>E58*1000000/D58</f>
        <v>939496.49620133184</v>
      </c>
      <c r="I58" t="str">
        <f>IF(AND(B58&gt;=2018, B58&lt;=2021), "2018-2021", IF(AND(B58&gt;=2022, B58&lt;=2024), "2022-2024", "Other"))</f>
        <v>2018-2021</v>
      </c>
    </row>
    <row r="59" spans="1:9" x14ac:dyDescent="0.3">
      <c r="A59" t="s">
        <v>24</v>
      </c>
      <c r="B59">
        <v>2021</v>
      </c>
      <c r="C59" t="s">
        <v>9</v>
      </c>
      <c r="D59">
        <v>25204.06</v>
      </c>
      <c r="E59">
        <v>22725.56</v>
      </c>
      <c r="F59">
        <v>65.790000000000006</v>
      </c>
      <c r="G59">
        <v>1196.99</v>
      </c>
      <c r="H59">
        <f>E59*1000000/D59</f>
        <v>901662.66863354552</v>
      </c>
      <c r="I59" t="str">
        <f>IF(AND(B59&gt;=2018, B59&lt;=2021), "2018-2021", IF(AND(B59&gt;=2022, B59&lt;=2024), "2022-2024", "Other"))</f>
        <v>2018-2021</v>
      </c>
    </row>
    <row r="60" spans="1:9" x14ac:dyDescent="0.3">
      <c r="A60" t="s">
        <v>20</v>
      </c>
      <c r="B60">
        <v>2022</v>
      </c>
      <c r="C60" t="s">
        <v>6</v>
      </c>
      <c r="D60">
        <v>3891.45</v>
      </c>
      <c r="E60">
        <v>4059.29</v>
      </c>
      <c r="F60">
        <v>183.91</v>
      </c>
      <c r="G60">
        <v>160.01</v>
      </c>
      <c r="H60">
        <f>E60*1000000/D60</f>
        <v>1043130.4526590346</v>
      </c>
      <c r="I60" t="str">
        <f>IF(AND(B60&gt;=2018, B60&lt;=2021), "2018-2021", IF(AND(B60&gt;=2022, B60&lt;=2024), "2022-2024", "Other"))</f>
        <v>2022-2024</v>
      </c>
    </row>
    <row r="61" spans="1:9" x14ac:dyDescent="0.3">
      <c r="A61" t="s">
        <v>19</v>
      </c>
      <c r="B61">
        <v>2024</v>
      </c>
      <c r="C61" t="s">
        <v>9</v>
      </c>
      <c r="D61">
        <v>29007.66</v>
      </c>
      <c r="E61">
        <v>28622.38</v>
      </c>
      <c r="F61">
        <v>34.53</v>
      </c>
      <c r="G61">
        <v>1327.02</v>
      </c>
      <c r="H61">
        <f>E61*1000000/D61</f>
        <v>986717.99104098708</v>
      </c>
      <c r="I61" t="str">
        <f>IF(AND(B61&gt;=2018, B61&lt;=2021), "2018-2021", IF(AND(B61&gt;=2022, B61&lt;=2024), "2022-2024", "Other"))</f>
        <v>2022-2024</v>
      </c>
    </row>
    <row r="62" spans="1:9" x14ac:dyDescent="0.3">
      <c r="A62" t="s">
        <v>24</v>
      </c>
      <c r="B62">
        <v>2021</v>
      </c>
      <c r="C62" t="s">
        <v>4</v>
      </c>
      <c r="D62">
        <v>32727.8</v>
      </c>
      <c r="E62">
        <v>37447.1</v>
      </c>
      <c r="F62">
        <v>100.48</v>
      </c>
      <c r="G62">
        <v>261.12</v>
      </c>
      <c r="H62">
        <f>E62*1000000/D62</f>
        <v>1144198.5101351144</v>
      </c>
      <c r="I62" t="str">
        <f>IF(AND(B62&gt;=2018, B62&lt;=2021), "2018-2021", IF(AND(B62&gt;=2022, B62&lt;=2024), "2022-2024", "Other"))</f>
        <v>2018-2021</v>
      </c>
    </row>
    <row r="63" spans="1:9" x14ac:dyDescent="0.3">
      <c r="A63" t="s">
        <v>16</v>
      </c>
      <c r="B63">
        <v>2023</v>
      </c>
      <c r="C63" t="s">
        <v>14</v>
      </c>
      <c r="D63">
        <v>46189.14</v>
      </c>
      <c r="E63">
        <v>42351.8</v>
      </c>
      <c r="F63">
        <v>150.94999999999999</v>
      </c>
      <c r="G63">
        <v>253.83</v>
      </c>
      <c r="H63">
        <f>E63*1000000/D63</f>
        <v>916921.16371943709</v>
      </c>
      <c r="I63" t="str">
        <f>IF(AND(B63&gt;=2018, B63&lt;=2021), "2018-2021", IF(AND(B63&gt;=2022, B63&lt;=2024), "2022-2024", "Other"))</f>
        <v>2022-2024</v>
      </c>
    </row>
    <row r="64" spans="1:9" x14ac:dyDescent="0.3">
      <c r="A64" t="s">
        <v>13</v>
      </c>
      <c r="B64">
        <v>2024</v>
      </c>
      <c r="C64" t="s">
        <v>12</v>
      </c>
      <c r="D64">
        <v>1104.56</v>
      </c>
      <c r="E64">
        <v>1300.1400000000001</v>
      </c>
      <c r="F64">
        <v>134.77000000000001</v>
      </c>
      <c r="G64">
        <v>906.42</v>
      </c>
      <c r="H64">
        <f>E64*1000000/D64</f>
        <v>1177065.9810241184</v>
      </c>
      <c r="I64" t="str">
        <f>IF(AND(B64&gt;=2018, B64&lt;=2021), "2018-2021", IF(AND(B64&gt;=2022, B64&lt;=2024), "2022-2024", "Other"))</f>
        <v>2022-2024</v>
      </c>
    </row>
    <row r="65" spans="1:9" x14ac:dyDescent="0.3">
      <c r="A65" t="s">
        <v>24</v>
      </c>
      <c r="B65">
        <v>2021</v>
      </c>
      <c r="C65" t="s">
        <v>6</v>
      </c>
      <c r="D65">
        <v>41701.22</v>
      </c>
      <c r="E65">
        <v>42629.63</v>
      </c>
      <c r="F65">
        <v>154.94999999999999</v>
      </c>
      <c r="G65">
        <v>850.56</v>
      </c>
      <c r="H65">
        <f>E65*1000000/D65</f>
        <v>1022263.3774263678</v>
      </c>
      <c r="I65" t="str">
        <f>IF(AND(B65&gt;=2018, B65&lt;=2021), "2018-2021", IF(AND(B65&gt;=2022, B65&lt;=2024), "2022-2024", "Other"))</f>
        <v>2018-2021</v>
      </c>
    </row>
    <row r="66" spans="1:9" x14ac:dyDescent="0.3">
      <c r="A66" t="s">
        <v>22</v>
      </c>
      <c r="B66">
        <v>2022</v>
      </c>
      <c r="C66" t="s">
        <v>6</v>
      </c>
      <c r="D66">
        <v>11484.88</v>
      </c>
      <c r="E66">
        <v>10827.65</v>
      </c>
      <c r="F66">
        <v>196.26</v>
      </c>
      <c r="G66">
        <v>39.26</v>
      </c>
      <c r="H66">
        <f>E66*1000000/D66</f>
        <v>942774.32589630899</v>
      </c>
      <c r="I66" t="str">
        <f>IF(AND(B66&gt;=2018, B66&lt;=2021), "2018-2021", IF(AND(B66&gt;=2022, B66&lt;=2024), "2022-2024", "Other"))</f>
        <v>2022-2024</v>
      </c>
    </row>
    <row r="67" spans="1:9" x14ac:dyDescent="0.3">
      <c r="A67" t="s">
        <v>7</v>
      </c>
      <c r="B67">
        <v>2021</v>
      </c>
      <c r="C67" t="s">
        <v>2</v>
      </c>
      <c r="D67">
        <v>23043.63</v>
      </c>
      <c r="E67">
        <v>22714.51</v>
      </c>
      <c r="F67">
        <v>167.69</v>
      </c>
      <c r="G67">
        <v>477.21</v>
      </c>
      <c r="H67">
        <f>E67*1000000/D67</f>
        <v>985717.52801099478</v>
      </c>
      <c r="I67" t="str">
        <f>IF(AND(B67&gt;=2018, B67&lt;=2021), "2018-2021", IF(AND(B67&gt;=2022, B67&lt;=2024), "2022-2024", "Other"))</f>
        <v>2018-2021</v>
      </c>
    </row>
    <row r="68" spans="1:9" x14ac:dyDescent="0.3">
      <c r="A68" t="s">
        <v>22</v>
      </c>
      <c r="B68">
        <v>2024</v>
      </c>
      <c r="C68" t="s">
        <v>9</v>
      </c>
      <c r="D68">
        <v>49640.44</v>
      </c>
      <c r="E68">
        <v>43002.21</v>
      </c>
      <c r="F68">
        <v>147.97</v>
      </c>
      <c r="G68">
        <v>1199.99</v>
      </c>
      <c r="H68">
        <f>E68*1000000/D68</f>
        <v>866273.74777499959</v>
      </c>
      <c r="I68" t="str">
        <f>IF(AND(B68&gt;=2018, B68&lt;=2021), "2018-2021", IF(AND(B68&gt;=2022, B68&lt;=2024), "2022-2024", "Other"))</f>
        <v>2022-2024</v>
      </c>
    </row>
    <row r="69" spans="1:9" x14ac:dyDescent="0.3">
      <c r="A69" t="s">
        <v>20</v>
      </c>
      <c r="B69">
        <v>2019</v>
      </c>
      <c r="C69" t="s">
        <v>9</v>
      </c>
      <c r="D69">
        <v>47373.71</v>
      </c>
      <c r="E69">
        <v>50237.279999999999</v>
      </c>
      <c r="F69">
        <v>122.91</v>
      </c>
      <c r="G69">
        <v>1333.29</v>
      </c>
      <c r="H69">
        <f>E69*1000000/D69</f>
        <v>1060446.3952685995</v>
      </c>
      <c r="I69" t="str">
        <f>IF(AND(B69&gt;=2018, B69&lt;=2021), "2018-2021", IF(AND(B69&gt;=2022, B69&lt;=2024), "2022-2024", "Other"))</f>
        <v>2018-2021</v>
      </c>
    </row>
    <row r="70" spans="1:9" x14ac:dyDescent="0.3">
      <c r="A70" t="s">
        <v>5</v>
      </c>
      <c r="B70">
        <v>2021</v>
      </c>
      <c r="C70" t="s">
        <v>14</v>
      </c>
      <c r="D70">
        <v>16464.38</v>
      </c>
      <c r="E70">
        <v>18670.32</v>
      </c>
      <c r="F70">
        <v>37.64</v>
      </c>
      <c r="G70">
        <v>1184.69</v>
      </c>
      <c r="H70">
        <f>E70*1000000/D70</f>
        <v>1133982.5732885173</v>
      </c>
      <c r="I70" t="str">
        <f>IF(AND(B70&gt;=2018, B70&lt;=2021), "2018-2021", IF(AND(B70&gt;=2022, B70&lt;=2024), "2022-2024", "Other"))</f>
        <v>2018-2021</v>
      </c>
    </row>
    <row r="71" spans="1:9" x14ac:dyDescent="0.3">
      <c r="A71" t="s">
        <v>15</v>
      </c>
      <c r="B71">
        <v>2024</v>
      </c>
      <c r="C71" t="s">
        <v>12</v>
      </c>
      <c r="D71">
        <v>26111.99</v>
      </c>
      <c r="E71">
        <v>21589.27</v>
      </c>
      <c r="F71">
        <v>168.69</v>
      </c>
      <c r="G71">
        <v>1172.25</v>
      </c>
      <c r="H71">
        <f>E71*1000000/D71</f>
        <v>826795.27680578921</v>
      </c>
      <c r="I71" t="str">
        <f>IF(AND(B71&gt;=2018, B71&lt;=2021), "2018-2021", IF(AND(B71&gt;=2022, B71&lt;=2024), "2022-2024", "Other"))</f>
        <v>2022-2024</v>
      </c>
    </row>
    <row r="72" spans="1:9" x14ac:dyDescent="0.3">
      <c r="A72" t="s">
        <v>22</v>
      </c>
      <c r="B72">
        <v>2022</v>
      </c>
      <c r="C72" t="s">
        <v>8</v>
      </c>
      <c r="D72">
        <v>29147.18</v>
      </c>
      <c r="E72">
        <v>33953.620000000003</v>
      </c>
      <c r="F72">
        <v>131.16</v>
      </c>
      <c r="G72">
        <v>1317.63</v>
      </c>
      <c r="H72">
        <f>E72*1000000/D72</f>
        <v>1164902.4022221018</v>
      </c>
      <c r="I72" t="str">
        <f>IF(AND(B72&gt;=2018, B72&lt;=2021), "2018-2021", IF(AND(B72&gt;=2022, B72&lt;=2024), "2022-2024", "Other"))</f>
        <v>2022-2024</v>
      </c>
    </row>
    <row r="73" spans="1:9" x14ac:dyDescent="0.3">
      <c r="A73" t="s">
        <v>13</v>
      </c>
      <c r="B73">
        <v>2023</v>
      </c>
      <c r="C73" t="s">
        <v>14</v>
      </c>
      <c r="D73">
        <v>12894.18</v>
      </c>
      <c r="E73">
        <v>13051.48</v>
      </c>
      <c r="F73">
        <v>160.37</v>
      </c>
      <c r="G73">
        <v>418.74</v>
      </c>
      <c r="H73">
        <f>E73*1000000/D73</f>
        <v>1012199.302320892</v>
      </c>
      <c r="I73" t="str">
        <f>IF(AND(B73&gt;=2018, B73&lt;=2021), "2018-2021", IF(AND(B73&gt;=2022, B73&lt;=2024), "2022-2024", "Other"))</f>
        <v>2022-2024</v>
      </c>
    </row>
    <row r="74" spans="1:9" x14ac:dyDescent="0.3">
      <c r="A74" t="s">
        <v>16</v>
      </c>
      <c r="B74">
        <v>2018</v>
      </c>
      <c r="C74" t="s">
        <v>12</v>
      </c>
      <c r="D74">
        <v>24353.78</v>
      </c>
      <c r="E74">
        <v>26604.16</v>
      </c>
      <c r="F74">
        <v>188.03</v>
      </c>
      <c r="G74">
        <v>430.09</v>
      </c>
      <c r="H74">
        <f>E74*1000000/D74</f>
        <v>1092403.7254175739</v>
      </c>
      <c r="I74" t="str">
        <f>IF(AND(B74&gt;=2018, B74&lt;=2021), "2018-2021", IF(AND(B74&gt;=2022, B74&lt;=2024), "2022-2024", "Other"))</f>
        <v>2018-2021</v>
      </c>
    </row>
    <row r="75" spans="1:9" x14ac:dyDescent="0.3">
      <c r="A75" t="s">
        <v>15</v>
      </c>
      <c r="B75">
        <v>2023</v>
      </c>
      <c r="C75" t="s">
        <v>6</v>
      </c>
      <c r="D75">
        <v>46296.01</v>
      </c>
      <c r="E75">
        <v>45513.35</v>
      </c>
      <c r="F75">
        <v>53.07</v>
      </c>
      <c r="G75">
        <v>754.61</v>
      </c>
      <c r="H75">
        <f>E75*1000000/D75</f>
        <v>983094.4394560135</v>
      </c>
      <c r="I75" t="str">
        <f>IF(AND(B75&gt;=2018, B75&lt;=2021), "2018-2021", IF(AND(B75&gt;=2022, B75&lt;=2024), "2022-2024", "Other"))</f>
        <v>2022-2024</v>
      </c>
    </row>
    <row r="76" spans="1:9" x14ac:dyDescent="0.3">
      <c r="A76" t="s">
        <v>7</v>
      </c>
      <c r="B76">
        <v>2023</v>
      </c>
      <c r="C76" t="s">
        <v>6</v>
      </c>
      <c r="D76">
        <v>35998.11</v>
      </c>
      <c r="E76">
        <v>32227.85</v>
      </c>
      <c r="F76">
        <v>69.8</v>
      </c>
      <c r="G76">
        <v>672.05</v>
      </c>
      <c r="H76">
        <f>E76*1000000/D76</f>
        <v>895265.05697104649</v>
      </c>
      <c r="I76" t="str">
        <f>IF(AND(B76&gt;=2018, B76&lt;=2021), "2018-2021", IF(AND(B76&gt;=2022, B76&lt;=2024), "2022-2024", "Other"))</f>
        <v>2022-2024</v>
      </c>
    </row>
    <row r="77" spans="1:9" x14ac:dyDescent="0.3">
      <c r="A77" t="s">
        <v>25</v>
      </c>
      <c r="B77">
        <v>2024</v>
      </c>
      <c r="C77" t="s">
        <v>0</v>
      </c>
      <c r="D77">
        <v>19940.669999999998</v>
      </c>
      <c r="E77">
        <v>16685</v>
      </c>
      <c r="F77">
        <v>69.489999999999995</v>
      </c>
      <c r="G77">
        <v>1246.79</v>
      </c>
      <c r="H77">
        <f>E77*1000000/D77</f>
        <v>836732.16597035108</v>
      </c>
      <c r="I77" t="str">
        <f>IF(AND(B77&gt;=2018, B77&lt;=2021), "2018-2021", IF(AND(B77&gt;=2022, B77&lt;=2024), "2022-2024", "Other"))</f>
        <v>2022-2024</v>
      </c>
    </row>
    <row r="78" spans="1:9" x14ac:dyDescent="0.3">
      <c r="A78" t="s">
        <v>24</v>
      </c>
      <c r="B78">
        <v>2019</v>
      </c>
      <c r="C78" t="s">
        <v>14</v>
      </c>
      <c r="D78">
        <v>20682.45</v>
      </c>
      <c r="E78">
        <v>18331.22</v>
      </c>
      <c r="F78">
        <v>75.790000000000006</v>
      </c>
      <c r="G78">
        <v>789.69</v>
      </c>
      <c r="H78">
        <f>E78*1000000/D78</f>
        <v>886317.62678019283</v>
      </c>
      <c r="I78" t="str">
        <f>IF(AND(B78&gt;=2018, B78&lt;=2021), "2018-2021", IF(AND(B78&gt;=2022, B78&lt;=2024), "2022-2024", "Other"))</f>
        <v>2018-2021</v>
      </c>
    </row>
    <row r="79" spans="1:9" x14ac:dyDescent="0.3">
      <c r="A79" t="s">
        <v>25</v>
      </c>
      <c r="B79">
        <v>2024</v>
      </c>
      <c r="C79" t="s">
        <v>2</v>
      </c>
      <c r="D79">
        <v>25894.46</v>
      </c>
      <c r="E79">
        <v>23584.07</v>
      </c>
      <c r="F79">
        <v>85.66</v>
      </c>
      <c r="G79">
        <v>1317.81</v>
      </c>
      <c r="H79">
        <f>E79*1000000/D79</f>
        <v>910776.66805950005</v>
      </c>
      <c r="I79" t="str">
        <f>IF(AND(B79&gt;=2018, B79&lt;=2021), "2018-2021", IF(AND(B79&gt;=2022, B79&lt;=2024), "2022-2024", "Other"))</f>
        <v>2022-2024</v>
      </c>
    </row>
    <row r="80" spans="1:9" x14ac:dyDescent="0.3">
      <c r="A80" t="s">
        <v>20</v>
      </c>
      <c r="B80">
        <v>2024</v>
      </c>
      <c r="C80" t="s">
        <v>8</v>
      </c>
      <c r="D80">
        <v>6206.67</v>
      </c>
      <c r="E80">
        <v>5227.1000000000004</v>
      </c>
      <c r="F80">
        <v>109.03</v>
      </c>
      <c r="G80">
        <v>1303.51</v>
      </c>
      <c r="H80">
        <f>E80*1000000/D80</f>
        <v>842174.62826282042</v>
      </c>
      <c r="I80" t="str">
        <f>IF(AND(B80&gt;=2018, B80&lt;=2021), "2018-2021", IF(AND(B80&gt;=2022, B80&lt;=2024), "2022-2024", "Other"))</f>
        <v>2022-2024</v>
      </c>
    </row>
    <row r="81" spans="1:9" x14ac:dyDescent="0.3">
      <c r="A81" t="s">
        <v>10</v>
      </c>
      <c r="B81">
        <v>2023</v>
      </c>
      <c r="C81" t="s">
        <v>6</v>
      </c>
      <c r="D81">
        <v>6158.59</v>
      </c>
      <c r="E81">
        <v>5344.53</v>
      </c>
      <c r="F81">
        <v>52.96</v>
      </c>
      <c r="G81">
        <v>271.02999999999997</v>
      </c>
      <c r="H81">
        <f>E81*1000000/D81</f>
        <v>867817.14645722474</v>
      </c>
      <c r="I81" t="str">
        <f>IF(AND(B81&gt;=2018, B81&lt;=2021), "2018-2021", IF(AND(B81&gt;=2022, B81&lt;=2024), "2022-2024", "Other"))</f>
        <v>2022-2024</v>
      </c>
    </row>
    <row r="82" spans="1:9" x14ac:dyDescent="0.3">
      <c r="A82" t="s">
        <v>27</v>
      </c>
      <c r="B82">
        <v>2018</v>
      </c>
      <c r="C82" t="s">
        <v>14</v>
      </c>
      <c r="D82">
        <v>2995.27</v>
      </c>
      <c r="E82">
        <v>3247.61</v>
      </c>
      <c r="F82">
        <v>47.23</v>
      </c>
      <c r="G82">
        <v>592.16</v>
      </c>
      <c r="H82">
        <f>E82*1000000/D82</f>
        <v>1084246.1614478829</v>
      </c>
      <c r="I82" t="str">
        <f>IF(AND(B82&gt;=2018, B82&lt;=2021), "2018-2021", IF(AND(B82&gt;=2022, B82&lt;=2024), "2022-2024", "Other"))</f>
        <v>2018-2021</v>
      </c>
    </row>
    <row r="83" spans="1:9" x14ac:dyDescent="0.3">
      <c r="A83" t="s">
        <v>7</v>
      </c>
      <c r="B83">
        <v>2018</v>
      </c>
      <c r="C83" t="s">
        <v>9</v>
      </c>
      <c r="D83">
        <v>22227.759999999998</v>
      </c>
      <c r="E83">
        <v>24684.1</v>
      </c>
      <c r="F83">
        <v>186.41</v>
      </c>
      <c r="G83">
        <v>378.43</v>
      </c>
      <c r="H83">
        <f>E83*1000000/D83</f>
        <v>1110507.7614658428</v>
      </c>
      <c r="I83" t="str">
        <f>IF(AND(B83&gt;=2018, B83&lt;=2021), "2018-2021", IF(AND(B83&gt;=2022, B83&lt;=2024), "2022-2024", "Other"))</f>
        <v>2018-2021</v>
      </c>
    </row>
    <row r="84" spans="1:9" x14ac:dyDescent="0.3">
      <c r="A84" t="s">
        <v>27</v>
      </c>
      <c r="B84">
        <v>2021</v>
      </c>
      <c r="C84" t="s">
        <v>8</v>
      </c>
      <c r="D84">
        <v>37912.85</v>
      </c>
      <c r="E84">
        <v>31508.32</v>
      </c>
      <c r="F84">
        <v>147.55000000000001</v>
      </c>
      <c r="G84">
        <v>1208.19</v>
      </c>
      <c r="H84">
        <f>E84*1000000/D84</f>
        <v>831072.31453188043</v>
      </c>
      <c r="I84" t="str">
        <f>IF(AND(B84&gt;=2018, B84&lt;=2021), "2018-2021", IF(AND(B84&gt;=2022, B84&lt;=2024), "2022-2024", "Other"))</f>
        <v>2018-2021</v>
      </c>
    </row>
    <row r="85" spans="1:9" x14ac:dyDescent="0.3">
      <c r="A85" t="s">
        <v>1</v>
      </c>
      <c r="B85">
        <v>2023</v>
      </c>
      <c r="C85" t="s">
        <v>6</v>
      </c>
      <c r="D85">
        <v>45216.87</v>
      </c>
      <c r="E85">
        <v>53291.62</v>
      </c>
      <c r="F85">
        <v>199.27</v>
      </c>
      <c r="G85">
        <v>1258.49</v>
      </c>
      <c r="H85">
        <f>E85*1000000/D85</f>
        <v>1178578.2607243711</v>
      </c>
      <c r="I85" t="str">
        <f>IF(AND(B85&gt;=2018, B85&lt;=2021), "2018-2021", IF(AND(B85&gt;=2022, B85&lt;=2024), "2022-2024", "Other"))</f>
        <v>2022-2024</v>
      </c>
    </row>
    <row r="86" spans="1:9" x14ac:dyDescent="0.3">
      <c r="A86" t="s">
        <v>13</v>
      </c>
      <c r="B86">
        <v>2020</v>
      </c>
      <c r="C86" t="s">
        <v>4</v>
      </c>
      <c r="D86">
        <v>6000.35</v>
      </c>
      <c r="E86">
        <v>6335.63</v>
      </c>
      <c r="F86">
        <v>119.75</v>
      </c>
      <c r="G86">
        <v>936.97</v>
      </c>
      <c r="H86">
        <f>E86*1000000/D86</f>
        <v>1055876.7405234694</v>
      </c>
      <c r="I86" t="str">
        <f>IF(AND(B86&gt;=2018, B86&lt;=2021), "2018-2021", IF(AND(B86&gt;=2022, B86&lt;=2024), "2022-2024", "Other"))</f>
        <v>2018-2021</v>
      </c>
    </row>
    <row r="87" spans="1:9" x14ac:dyDescent="0.3">
      <c r="A87" t="s">
        <v>5</v>
      </c>
      <c r="B87">
        <v>2019</v>
      </c>
      <c r="C87" t="s">
        <v>8</v>
      </c>
      <c r="D87">
        <v>11699.76</v>
      </c>
      <c r="E87">
        <v>13226.55</v>
      </c>
      <c r="F87">
        <v>139.02000000000001</v>
      </c>
      <c r="G87">
        <v>143.06</v>
      </c>
      <c r="H87">
        <f>E87*1000000/D87</f>
        <v>1130497.5486676649</v>
      </c>
      <c r="I87" t="str">
        <f>IF(AND(B87&gt;=2018, B87&lt;=2021), "2018-2021", IF(AND(B87&gt;=2022, B87&lt;=2024), "2022-2024", "Other"))</f>
        <v>2018-2021</v>
      </c>
    </row>
    <row r="88" spans="1:9" x14ac:dyDescent="0.3">
      <c r="A88" t="s">
        <v>13</v>
      </c>
      <c r="B88">
        <v>2021</v>
      </c>
      <c r="C88" t="s">
        <v>6</v>
      </c>
      <c r="D88">
        <v>34919.42</v>
      </c>
      <c r="E88">
        <v>40964.21</v>
      </c>
      <c r="F88">
        <v>196.62</v>
      </c>
      <c r="G88">
        <v>343.21</v>
      </c>
      <c r="H88">
        <f>E88*1000000/D88</f>
        <v>1173106.8270893388</v>
      </c>
      <c r="I88" t="str">
        <f>IF(AND(B88&gt;=2018, B88&lt;=2021), "2018-2021", IF(AND(B88&gt;=2022, B88&lt;=2024), "2022-2024", "Other"))</f>
        <v>2018-2021</v>
      </c>
    </row>
    <row r="89" spans="1:9" x14ac:dyDescent="0.3">
      <c r="A89" t="s">
        <v>10</v>
      </c>
      <c r="B89">
        <v>2023</v>
      </c>
      <c r="C89" t="s">
        <v>2</v>
      </c>
      <c r="D89">
        <v>37270.620000000003</v>
      </c>
      <c r="E89">
        <v>43998.68</v>
      </c>
      <c r="F89">
        <v>148.18</v>
      </c>
      <c r="G89">
        <v>459.9</v>
      </c>
      <c r="H89">
        <f>E89*1000000/D89</f>
        <v>1180519.1327646279</v>
      </c>
      <c r="I89" t="str">
        <f>IF(AND(B89&gt;=2018, B89&lt;=2021), "2018-2021", IF(AND(B89&gt;=2022, B89&lt;=2024), "2022-2024", "Other"))</f>
        <v>2022-2024</v>
      </c>
    </row>
    <row r="90" spans="1:9" x14ac:dyDescent="0.3">
      <c r="A90" t="s">
        <v>23</v>
      </c>
      <c r="B90">
        <v>2018</v>
      </c>
      <c r="C90" t="s">
        <v>2</v>
      </c>
      <c r="D90">
        <v>30435.06</v>
      </c>
      <c r="E90">
        <v>28495.47</v>
      </c>
      <c r="F90">
        <v>131.24</v>
      </c>
      <c r="G90">
        <v>876.44</v>
      </c>
      <c r="H90">
        <f>E90*1000000/D90</f>
        <v>936271.19512825005</v>
      </c>
      <c r="I90" t="str">
        <f>IF(AND(B90&gt;=2018, B90&lt;=2021), "2018-2021", IF(AND(B90&gt;=2022, B90&lt;=2024), "2022-2024", "Other"))</f>
        <v>2018-2021</v>
      </c>
    </row>
    <row r="91" spans="1:9" x14ac:dyDescent="0.3">
      <c r="A91" t="s">
        <v>19</v>
      </c>
      <c r="B91">
        <v>2021</v>
      </c>
      <c r="C91" t="s">
        <v>2</v>
      </c>
      <c r="D91">
        <v>29977.13</v>
      </c>
      <c r="E91">
        <v>30214.94</v>
      </c>
      <c r="F91">
        <v>92.79</v>
      </c>
      <c r="G91">
        <v>330.05</v>
      </c>
      <c r="H91">
        <f>E91*1000000/D91</f>
        <v>1007933.0476266406</v>
      </c>
      <c r="I91" t="str">
        <f>IF(AND(B91&gt;=2018, B91&lt;=2021), "2018-2021", IF(AND(B91&gt;=2022, B91&lt;=2024), "2022-2024", "Other"))</f>
        <v>2018-2021</v>
      </c>
    </row>
    <row r="92" spans="1:9" x14ac:dyDescent="0.3">
      <c r="A92" t="s">
        <v>7</v>
      </c>
      <c r="B92">
        <v>2024</v>
      </c>
      <c r="C92" t="s">
        <v>4</v>
      </c>
      <c r="D92">
        <v>41624.99</v>
      </c>
      <c r="E92">
        <v>42883.64</v>
      </c>
      <c r="F92">
        <v>88.01</v>
      </c>
      <c r="G92">
        <v>674.31</v>
      </c>
      <c r="H92">
        <f>E92*1000000/D92</f>
        <v>1030237.845102185</v>
      </c>
      <c r="I92" t="str">
        <f>IF(AND(B92&gt;=2018, B92&lt;=2021), "2018-2021", IF(AND(B92&gt;=2022, B92&lt;=2024), "2022-2024", "Other"))</f>
        <v>2022-2024</v>
      </c>
    </row>
    <row r="93" spans="1:9" x14ac:dyDescent="0.3">
      <c r="A93" t="s">
        <v>1</v>
      </c>
      <c r="B93">
        <v>2022</v>
      </c>
      <c r="C93" t="s">
        <v>12</v>
      </c>
      <c r="D93">
        <v>23626.74</v>
      </c>
      <c r="E93">
        <v>24156.13</v>
      </c>
      <c r="F93">
        <v>198.38</v>
      </c>
      <c r="G93">
        <v>745.17</v>
      </c>
      <c r="H93">
        <f>E93*1000000/D93</f>
        <v>1022406.3920794828</v>
      </c>
      <c r="I93" t="str">
        <f>IF(AND(B93&gt;=2018, B93&lt;=2021), "2018-2021", IF(AND(B93&gt;=2022, B93&lt;=2024), "2022-2024", "Other"))</f>
        <v>2022-2024</v>
      </c>
    </row>
    <row r="94" spans="1:9" x14ac:dyDescent="0.3">
      <c r="A94" t="s">
        <v>15</v>
      </c>
      <c r="B94">
        <v>2022</v>
      </c>
      <c r="C94" t="s">
        <v>2</v>
      </c>
      <c r="D94">
        <v>48456.51</v>
      </c>
      <c r="E94">
        <v>42311.26</v>
      </c>
      <c r="F94">
        <v>191.89</v>
      </c>
      <c r="G94">
        <v>370.23</v>
      </c>
      <c r="H94">
        <f>E94*1000000/D94</f>
        <v>873180.09489333839</v>
      </c>
      <c r="I94" t="str">
        <f>IF(AND(B94&gt;=2018, B94&lt;=2021), "2018-2021", IF(AND(B94&gt;=2022, B94&lt;=2024), "2022-2024", "Other"))</f>
        <v>2022-2024</v>
      </c>
    </row>
    <row r="95" spans="1:9" x14ac:dyDescent="0.3">
      <c r="A95" t="s">
        <v>16</v>
      </c>
      <c r="B95">
        <v>2023</v>
      </c>
      <c r="C95" t="s">
        <v>2</v>
      </c>
      <c r="D95">
        <v>11714.16</v>
      </c>
      <c r="E95">
        <v>10116</v>
      </c>
      <c r="F95">
        <v>103.42</v>
      </c>
      <c r="G95">
        <v>918.9</v>
      </c>
      <c r="H95">
        <f>E95*1000000/D95</f>
        <v>863570.24319285376</v>
      </c>
      <c r="I95" t="str">
        <f>IF(AND(B95&gt;=2018, B95&lt;=2021), "2018-2021", IF(AND(B95&gt;=2022, B95&lt;=2024), "2022-2024", "Other"))</f>
        <v>2022-2024</v>
      </c>
    </row>
    <row r="96" spans="1:9" x14ac:dyDescent="0.3">
      <c r="A96" t="s">
        <v>3</v>
      </c>
      <c r="B96">
        <v>2023</v>
      </c>
      <c r="C96" t="s">
        <v>2</v>
      </c>
      <c r="D96">
        <v>3628.5</v>
      </c>
      <c r="E96">
        <v>4199.04</v>
      </c>
      <c r="F96">
        <v>100.92</v>
      </c>
      <c r="G96">
        <v>654.54999999999995</v>
      </c>
      <c r="H96">
        <f>E96*1000000/D96</f>
        <v>1157238.5283174866</v>
      </c>
      <c r="I96" t="str">
        <f>IF(AND(B96&gt;=2018, B96&lt;=2021), "2018-2021", IF(AND(B96&gt;=2022, B96&lt;=2024), "2022-2024", "Other"))</f>
        <v>2022-2024</v>
      </c>
    </row>
    <row r="97" spans="1:9" x14ac:dyDescent="0.3">
      <c r="A97" t="s">
        <v>13</v>
      </c>
      <c r="B97">
        <v>2020</v>
      </c>
      <c r="C97" t="s">
        <v>9</v>
      </c>
      <c r="D97">
        <v>5522.93</v>
      </c>
      <c r="E97">
        <v>4526.3500000000004</v>
      </c>
      <c r="F97">
        <v>179.95</v>
      </c>
      <c r="G97">
        <v>425.27</v>
      </c>
      <c r="H97">
        <f>E97*1000000/D97</f>
        <v>819555.92411998694</v>
      </c>
      <c r="I97" t="str">
        <f>IF(AND(B97&gt;=2018, B97&lt;=2021), "2018-2021", IF(AND(B97&gt;=2022, B97&lt;=2024), "2022-2024", "Other"))</f>
        <v>2018-2021</v>
      </c>
    </row>
    <row r="98" spans="1:9" x14ac:dyDescent="0.3">
      <c r="A98" t="s">
        <v>10</v>
      </c>
      <c r="B98">
        <v>2019</v>
      </c>
      <c r="C98" t="s">
        <v>9</v>
      </c>
      <c r="D98">
        <v>5222.79</v>
      </c>
      <c r="E98">
        <v>5146.97</v>
      </c>
      <c r="F98">
        <v>39.159999999999997</v>
      </c>
      <c r="G98">
        <v>1388.73</v>
      </c>
      <c r="H98">
        <f>E98*1000000/D98</f>
        <v>985482.85494917468</v>
      </c>
      <c r="I98" t="str">
        <f>IF(AND(B98&gt;=2018, B98&lt;=2021), "2018-2021", IF(AND(B98&gt;=2022, B98&lt;=2024), "2022-2024", "Other"))</f>
        <v>2018-2021</v>
      </c>
    </row>
    <row r="99" spans="1:9" x14ac:dyDescent="0.3">
      <c r="A99" t="s">
        <v>25</v>
      </c>
      <c r="B99">
        <v>2018</v>
      </c>
      <c r="C99" t="s">
        <v>6</v>
      </c>
      <c r="D99">
        <v>24858.69</v>
      </c>
      <c r="E99">
        <v>21034.400000000001</v>
      </c>
      <c r="F99">
        <v>156.15</v>
      </c>
      <c r="G99">
        <v>1057.3900000000001</v>
      </c>
      <c r="H99">
        <f>E99*1000000/D99</f>
        <v>846158.82816029328</v>
      </c>
      <c r="I99" t="str">
        <f>IF(AND(B99&gt;=2018, B99&lt;=2021), "2018-2021", IF(AND(B99&gt;=2022, B99&lt;=2024), "2022-2024", "Other"))</f>
        <v>2018-2021</v>
      </c>
    </row>
    <row r="100" spans="1:9" x14ac:dyDescent="0.3">
      <c r="A100" t="s">
        <v>24</v>
      </c>
      <c r="B100">
        <v>2018</v>
      </c>
      <c r="C100" t="s">
        <v>4</v>
      </c>
      <c r="D100">
        <v>49002.55</v>
      </c>
      <c r="E100">
        <v>39733.879999999997</v>
      </c>
      <c r="F100">
        <v>69.3</v>
      </c>
      <c r="G100">
        <v>1280.4000000000001</v>
      </c>
      <c r="H100">
        <f>E100*1000000/D100</f>
        <v>810853.31273576571</v>
      </c>
      <c r="I100" t="str">
        <f>IF(AND(B100&gt;=2018, B100&lt;=2021), "2018-2021", IF(AND(B100&gt;=2022, B100&lt;=2024), "2022-2024", "Other"))</f>
        <v>2018-2021</v>
      </c>
    </row>
    <row r="101" spans="1:9" x14ac:dyDescent="0.3">
      <c r="A101" t="s">
        <v>18</v>
      </c>
      <c r="B101">
        <v>2022</v>
      </c>
      <c r="C101" t="s">
        <v>12</v>
      </c>
      <c r="D101">
        <v>37440.239999999998</v>
      </c>
      <c r="E101">
        <v>33827.9</v>
      </c>
      <c r="F101">
        <v>94.17</v>
      </c>
      <c r="G101">
        <v>953.06</v>
      </c>
      <c r="H101">
        <f>E101*1000000/D101</f>
        <v>903517.17830868613</v>
      </c>
      <c r="I101" t="str">
        <f>IF(AND(B101&gt;=2018, B101&lt;=2021), "2018-2021", IF(AND(B101&gt;=2022, B101&lt;=2024), "2022-2024", "Other"))</f>
        <v>2022-2024</v>
      </c>
    </row>
    <row r="102" spans="1:9" x14ac:dyDescent="0.3">
      <c r="A102" t="s">
        <v>18</v>
      </c>
      <c r="B102">
        <v>2023</v>
      </c>
      <c r="C102" t="s">
        <v>0</v>
      </c>
      <c r="D102">
        <v>30854.25</v>
      </c>
      <c r="E102">
        <v>28373.57</v>
      </c>
      <c r="F102">
        <v>115.04</v>
      </c>
      <c r="G102">
        <v>747.57</v>
      </c>
      <c r="H102">
        <f>E102*1000000/D102</f>
        <v>919600.05509775796</v>
      </c>
      <c r="I102" t="str">
        <f>IF(AND(B102&gt;=2018, B102&lt;=2021), "2018-2021", IF(AND(B102&gt;=2022, B102&lt;=2024), "2022-2024", "Other"))</f>
        <v>2022-2024</v>
      </c>
    </row>
    <row r="103" spans="1:9" x14ac:dyDescent="0.3">
      <c r="A103" t="s">
        <v>16</v>
      </c>
      <c r="B103">
        <v>2024</v>
      </c>
      <c r="C103" t="s">
        <v>4</v>
      </c>
      <c r="D103">
        <v>46852.800000000003</v>
      </c>
      <c r="E103">
        <v>55386.73</v>
      </c>
      <c r="F103">
        <v>139.02000000000001</v>
      </c>
      <c r="G103">
        <v>24.51</v>
      </c>
      <c r="H103">
        <f>E103*1000000/D103</f>
        <v>1182143.4364648431</v>
      </c>
      <c r="I103" t="str">
        <f>IF(AND(B103&gt;=2018, B103&lt;=2021), "2018-2021", IF(AND(B103&gt;=2022, B103&lt;=2024), "2022-2024", "Other"))</f>
        <v>2022-2024</v>
      </c>
    </row>
    <row r="104" spans="1:9" x14ac:dyDescent="0.3">
      <c r="A104" t="s">
        <v>13</v>
      </c>
      <c r="B104">
        <v>2022</v>
      </c>
      <c r="C104" t="s">
        <v>4</v>
      </c>
      <c r="D104">
        <v>11318.5</v>
      </c>
      <c r="E104">
        <v>12341.11</v>
      </c>
      <c r="F104">
        <v>64.349999999999994</v>
      </c>
      <c r="G104">
        <v>1018.05</v>
      </c>
      <c r="H104">
        <f>E104*1000000/D104</f>
        <v>1090348.54441843</v>
      </c>
      <c r="I104" t="str">
        <f>IF(AND(B104&gt;=2018, B104&lt;=2021), "2018-2021", IF(AND(B104&gt;=2022, B104&lt;=2024), "2022-2024", "Other"))</f>
        <v>2022-2024</v>
      </c>
    </row>
    <row r="105" spans="1:9" x14ac:dyDescent="0.3">
      <c r="A105" t="s">
        <v>22</v>
      </c>
      <c r="B105">
        <v>2021</v>
      </c>
      <c r="C105" t="s">
        <v>2</v>
      </c>
      <c r="D105">
        <v>40184.32</v>
      </c>
      <c r="E105">
        <v>39105.550000000003</v>
      </c>
      <c r="F105">
        <v>152.13999999999999</v>
      </c>
      <c r="G105">
        <v>377.45</v>
      </c>
      <c r="H105">
        <f>E105*1000000/D105</f>
        <v>973154.45427470224</v>
      </c>
      <c r="I105" t="str">
        <f>IF(AND(B105&gt;=2018, B105&lt;=2021), "2018-2021", IF(AND(B105&gt;=2022, B105&lt;=2024), "2022-2024", "Other"))</f>
        <v>2018-2021</v>
      </c>
    </row>
    <row r="106" spans="1:9" x14ac:dyDescent="0.3">
      <c r="A106" t="s">
        <v>20</v>
      </c>
      <c r="B106">
        <v>2023</v>
      </c>
      <c r="C106" t="s">
        <v>12</v>
      </c>
      <c r="D106">
        <v>2192.54</v>
      </c>
      <c r="E106">
        <v>2459.5100000000002</v>
      </c>
      <c r="F106">
        <v>181.4</v>
      </c>
      <c r="G106">
        <v>705.89</v>
      </c>
      <c r="H106">
        <f>E106*1000000/D106</f>
        <v>1121762.8868800569</v>
      </c>
      <c r="I106" t="str">
        <f>IF(AND(B106&gt;=2018, B106&lt;=2021), "2018-2021", IF(AND(B106&gt;=2022, B106&lt;=2024), "2022-2024", "Other"))</f>
        <v>2022-2024</v>
      </c>
    </row>
    <row r="107" spans="1:9" x14ac:dyDescent="0.3">
      <c r="A107" t="s">
        <v>21</v>
      </c>
      <c r="B107">
        <v>2023</v>
      </c>
      <c r="C107" t="s">
        <v>9</v>
      </c>
      <c r="D107">
        <v>27521.46</v>
      </c>
      <c r="E107">
        <v>25452.38</v>
      </c>
      <c r="F107">
        <v>176.44</v>
      </c>
      <c r="G107">
        <v>1116.0999999999999</v>
      </c>
      <c r="H107">
        <f>E107*1000000/D107</f>
        <v>924819.39548265247</v>
      </c>
      <c r="I107" t="str">
        <f>IF(AND(B107&gt;=2018, B107&lt;=2021), "2018-2021", IF(AND(B107&gt;=2022, B107&lt;=2024), "2022-2024", "Other"))</f>
        <v>2022-2024</v>
      </c>
    </row>
    <row r="108" spans="1:9" x14ac:dyDescent="0.3">
      <c r="A108" t="s">
        <v>21</v>
      </c>
      <c r="B108">
        <v>2021</v>
      </c>
      <c r="C108" t="s">
        <v>8</v>
      </c>
      <c r="D108">
        <v>33487.17</v>
      </c>
      <c r="E108">
        <v>37702.25</v>
      </c>
      <c r="F108">
        <v>86.33</v>
      </c>
      <c r="G108">
        <v>1025.8800000000001</v>
      </c>
      <c r="H108">
        <f>E108*1000000/D108</f>
        <v>1125871.4904842661</v>
      </c>
      <c r="I108" t="str">
        <f>IF(AND(B108&gt;=2018, B108&lt;=2021), "2018-2021", IF(AND(B108&gt;=2022, B108&lt;=2024), "2022-2024", "Other"))</f>
        <v>2018-2021</v>
      </c>
    </row>
    <row r="109" spans="1:9" x14ac:dyDescent="0.3">
      <c r="A109" t="s">
        <v>17</v>
      </c>
      <c r="B109">
        <v>2024</v>
      </c>
      <c r="C109" t="s">
        <v>6</v>
      </c>
      <c r="D109">
        <v>35924.32</v>
      </c>
      <c r="E109">
        <v>30004.9</v>
      </c>
      <c r="F109">
        <v>192.56</v>
      </c>
      <c r="G109">
        <v>1109.32</v>
      </c>
      <c r="H109">
        <f>E109*1000000/D109</f>
        <v>835225.27357511572</v>
      </c>
      <c r="I109" t="str">
        <f>IF(AND(B109&gt;=2018, B109&lt;=2021), "2018-2021", IF(AND(B109&gt;=2022, B109&lt;=2024), "2022-2024", "Other"))</f>
        <v>2022-2024</v>
      </c>
    </row>
    <row r="110" spans="1:9" x14ac:dyDescent="0.3">
      <c r="A110" t="s">
        <v>21</v>
      </c>
      <c r="B110">
        <v>2019</v>
      </c>
      <c r="C110" t="s">
        <v>4</v>
      </c>
      <c r="D110">
        <v>43465.47</v>
      </c>
      <c r="E110">
        <v>42742.96</v>
      </c>
      <c r="F110">
        <v>129.35</v>
      </c>
      <c r="G110">
        <v>889.88</v>
      </c>
      <c r="H110">
        <f>E110*1000000/D110</f>
        <v>983377.37979136081</v>
      </c>
      <c r="I110" t="str">
        <f>IF(AND(B110&gt;=2018, B110&lt;=2021), "2018-2021", IF(AND(B110&gt;=2022, B110&lt;=2024), "2022-2024", "Other"))</f>
        <v>2018-2021</v>
      </c>
    </row>
    <row r="111" spans="1:9" x14ac:dyDescent="0.3">
      <c r="A111" t="s">
        <v>23</v>
      </c>
      <c r="B111">
        <v>2024</v>
      </c>
      <c r="C111" t="s">
        <v>4</v>
      </c>
      <c r="D111">
        <v>33791.279999999999</v>
      </c>
      <c r="E111">
        <v>31479.67</v>
      </c>
      <c r="F111">
        <v>65.900000000000006</v>
      </c>
      <c r="G111">
        <v>219.46</v>
      </c>
      <c r="H111">
        <f>E111*1000000/D111</f>
        <v>931591.52302014013</v>
      </c>
      <c r="I111" t="str">
        <f>IF(AND(B111&gt;=2018, B111&lt;=2021), "2018-2021", IF(AND(B111&gt;=2022, B111&lt;=2024), "2022-2024", "Other"))</f>
        <v>2022-2024</v>
      </c>
    </row>
    <row r="112" spans="1:9" x14ac:dyDescent="0.3">
      <c r="A112" t="s">
        <v>7</v>
      </c>
      <c r="B112">
        <v>2023</v>
      </c>
      <c r="C112" t="s">
        <v>4</v>
      </c>
      <c r="D112">
        <v>48216.19</v>
      </c>
      <c r="E112">
        <v>51593.84</v>
      </c>
      <c r="F112">
        <v>151.13999999999999</v>
      </c>
      <c r="G112">
        <v>353.04</v>
      </c>
      <c r="H112">
        <f>E112*1000000/D112</f>
        <v>1070052.1961606671</v>
      </c>
      <c r="I112" t="str">
        <f>IF(AND(B112&gt;=2018, B112&lt;=2021), "2018-2021", IF(AND(B112&gt;=2022, B112&lt;=2024), "2022-2024", "Other"))</f>
        <v>2022-2024</v>
      </c>
    </row>
    <row r="113" spans="1:9" x14ac:dyDescent="0.3">
      <c r="A113" t="s">
        <v>1</v>
      </c>
      <c r="B113">
        <v>2024</v>
      </c>
      <c r="C113" t="s">
        <v>9</v>
      </c>
      <c r="D113">
        <v>1314.06</v>
      </c>
      <c r="E113">
        <v>1332.64</v>
      </c>
      <c r="F113">
        <v>128.69</v>
      </c>
      <c r="G113">
        <v>1082.83</v>
      </c>
      <c r="H113">
        <f>E113*1000000/D113</f>
        <v>1014139.3848073909</v>
      </c>
      <c r="I113" t="str">
        <f>IF(AND(B113&gt;=2018, B113&lt;=2021), "2018-2021", IF(AND(B113&gt;=2022, B113&lt;=2024), "2022-2024", "Other"))</f>
        <v>2022-2024</v>
      </c>
    </row>
    <row r="114" spans="1:9" x14ac:dyDescent="0.3">
      <c r="A114" t="s">
        <v>18</v>
      </c>
      <c r="B114">
        <v>2018</v>
      </c>
      <c r="C114" t="s">
        <v>14</v>
      </c>
      <c r="D114">
        <v>21847</v>
      </c>
      <c r="E114">
        <v>20986.45</v>
      </c>
      <c r="F114">
        <v>84.77</v>
      </c>
      <c r="G114">
        <v>846.22</v>
      </c>
      <c r="H114">
        <f>E114*1000000/D114</f>
        <v>960610.15242367378</v>
      </c>
      <c r="I114" t="str">
        <f>IF(AND(B114&gt;=2018, B114&lt;=2021), "2018-2021", IF(AND(B114&gt;=2022, B114&lt;=2024), "2022-2024", "Other"))</f>
        <v>2018-2021</v>
      </c>
    </row>
    <row r="115" spans="1:9" x14ac:dyDescent="0.3">
      <c r="A115" t="s">
        <v>13</v>
      </c>
      <c r="B115">
        <v>2024</v>
      </c>
      <c r="C115" t="s">
        <v>6</v>
      </c>
      <c r="D115">
        <v>37050.71</v>
      </c>
      <c r="E115">
        <v>38365.47</v>
      </c>
      <c r="F115">
        <v>196.14</v>
      </c>
      <c r="G115">
        <v>116.66</v>
      </c>
      <c r="H115">
        <f>E115*1000000/D115</f>
        <v>1035485.4198475549</v>
      </c>
      <c r="I115" t="str">
        <f>IF(AND(B115&gt;=2018, B115&lt;=2021), "2018-2021", IF(AND(B115&gt;=2022, B115&lt;=2024), "2022-2024", "Other"))</f>
        <v>2022-2024</v>
      </c>
    </row>
    <row r="116" spans="1:9" x14ac:dyDescent="0.3">
      <c r="A116" t="s">
        <v>1</v>
      </c>
      <c r="B116">
        <v>2020</v>
      </c>
      <c r="C116" t="s">
        <v>2</v>
      </c>
      <c r="D116">
        <v>41479.300000000003</v>
      </c>
      <c r="E116">
        <v>45051.73</v>
      </c>
      <c r="F116">
        <v>157.4</v>
      </c>
      <c r="G116">
        <v>53.57</v>
      </c>
      <c r="H116">
        <f>E116*1000000/D116</f>
        <v>1086125.6096414356</v>
      </c>
      <c r="I116" t="str">
        <f>IF(AND(B116&gt;=2018, B116&lt;=2021), "2018-2021", IF(AND(B116&gt;=2022, B116&lt;=2024), "2022-2024", "Other"))</f>
        <v>2018-2021</v>
      </c>
    </row>
    <row r="117" spans="1:9" x14ac:dyDescent="0.3">
      <c r="A117" t="s">
        <v>1</v>
      </c>
      <c r="B117">
        <v>2020</v>
      </c>
      <c r="C117" t="s">
        <v>0</v>
      </c>
      <c r="D117">
        <v>24927.16</v>
      </c>
      <c r="E117">
        <v>21789.99</v>
      </c>
      <c r="F117">
        <v>48.66</v>
      </c>
      <c r="G117">
        <v>597.02</v>
      </c>
      <c r="H117">
        <f>E117*1000000/D117</f>
        <v>874146.51328109577</v>
      </c>
      <c r="I117" t="str">
        <f>IF(AND(B117&gt;=2018, B117&lt;=2021), "2018-2021", IF(AND(B117&gt;=2022, B117&lt;=2024), "2022-2024", "Other"))</f>
        <v>2018-2021</v>
      </c>
    </row>
    <row r="118" spans="1:9" x14ac:dyDescent="0.3">
      <c r="A118" t="s">
        <v>21</v>
      </c>
      <c r="B118">
        <v>2020</v>
      </c>
      <c r="C118" t="s">
        <v>12</v>
      </c>
      <c r="D118">
        <v>48169.18</v>
      </c>
      <c r="E118">
        <v>53898.55</v>
      </c>
      <c r="F118">
        <v>60.39</v>
      </c>
      <c r="G118">
        <v>1231.31</v>
      </c>
      <c r="H118">
        <f>E118*1000000/D118</f>
        <v>1118942.6517121529</v>
      </c>
      <c r="I118" t="str">
        <f>IF(AND(B118&gt;=2018, B118&lt;=2021), "2018-2021", IF(AND(B118&gt;=2022, B118&lt;=2024), "2022-2024", "Other"))</f>
        <v>2018-2021</v>
      </c>
    </row>
    <row r="119" spans="1:9" x14ac:dyDescent="0.3">
      <c r="A119" t="s">
        <v>18</v>
      </c>
      <c r="B119">
        <v>2023</v>
      </c>
      <c r="C119" t="s">
        <v>6</v>
      </c>
      <c r="D119">
        <v>16972.96</v>
      </c>
      <c r="E119">
        <v>14320.65</v>
      </c>
      <c r="F119">
        <v>99.26</v>
      </c>
      <c r="G119">
        <v>165.4</v>
      </c>
      <c r="H119">
        <f>E119*1000000/D119</f>
        <v>843733.20858589199</v>
      </c>
      <c r="I119" t="str">
        <f>IF(AND(B119&gt;=2018, B119&lt;=2021), "2018-2021", IF(AND(B119&gt;=2022, B119&lt;=2024), "2022-2024", "Other"))</f>
        <v>2022-2024</v>
      </c>
    </row>
    <row r="120" spans="1:9" x14ac:dyDescent="0.3">
      <c r="A120" t="s">
        <v>23</v>
      </c>
      <c r="B120">
        <v>2023</v>
      </c>
      <c r="C120" t="s">
        <v>14</v>
      </c>
      <c r="D120">
        <v>13937.28</v>
      </c>
      <c r="E120">
        <v>15512.11</v>
      </c>
      <c r="F120">
        <v>108.3</v>
      </c>
      <c r="G120">
        <v>27.87</v>
      </c>
      <c r="H120">
        <f>E120*1000000/D120</f>
        <v>1112994.0705790513</v>
      </c>
      <c r="I120" t="str">
        <f>IF(AND(B120&gt;=2018, B120&lt;=2021), "2018-2021", IF(AND(B120&gt;=2022, B120&lt;=2024), "2022-2024", "Other"))</f>
        <v>2022-2024</v>
      </c>
    </row>
    <row r="121" spans="1:9" x14ac:dyDescent="0.3">
      <c r="A121" t="s">
        <v>15</v>
      </c>
      <c r="B121">
        <v>2019</v>
      </c>
      <c r="C121" t="s">
        <v>2</v>
      </c>
      <c r="D121">
        <v>23004.2</v>
      </c>
      <c r="E121">
        <v>19818.330000000002</v>
      </c>
      <c r="F121">
        <v>76.510000000000005</v>
      </c>
      <c r="G121">
        <v>199.6</v>
      </c>
      <c r="H121">
        <f>E121*1000000/D121</f>
        <v>861509.20266733901</v>
      </c>
      <c r="I121" t="str">
        <f>IF(AND(B121&gt;=2018, B121&lt;=2021), "2018-2021", IF(AND(B121&gt;=2022, B121&lt;=2024), "2022-2024", "Other"))</f>
        <v>2018-2021</v>
      </c>
    </row>
    <row r="122" spans="1:9" x14ac:dyDescent="0.3">
      <c r="A122" t="s">
        <v>10</v>
      </c>
      <c r="B122">
        <v>2018</v>
      </c>
      <c r="C122" t="s">
        <v>6</v>
      </c>
      <c r="D122">
        <v>10099.58</v>
      </c>
      <c r="E122">
        <v>10925.71</v>
      </c>
      <c r="F122">
        <v>145.46</v>
      </c>
      <c r="G122">
        <v>1363.87</v>
      </c>
      <c r="H122">
        <f>E122*1000000/D122</f>
        <v>1081798.451024696</v>
      </c>
      <c r="I122" t="str">
        <f>IF(AND(B122&gt;=2018, B122&lt;=2021), "2018-2021", IF(AND(B122&gt;=2022, B122&lt;=2024), "2022-2024", "Other"))</f>
        <v>2018-2021</v>
      </c>
    </row>
    <row r="123" spans="1:9" x14ac:dyDescent="0.3">
      <c r="A123" t="s">
        <v>20</v>
      </c>
      <c r="B123">
        <v>2024</v>
      </c>
      <c r="C123" t="s">
        <v>14</v>
      </c>
      <c r="D123">
        <v>47567.09</v>
      </c>
      <c r="E123">
        <v>46165.99</v>
      </c>
      <c r="F123">
        <v>94.32</v>
      </c>
      <c r="G123">
        <v>32.61</v>
      </c>
      <c r="H123">
        <f>E123*1000000/D123</f>
        <v>970544.76109427761</v>
      </c>
      <c r="I123" t="str">
        <f>IF(AND(B123&gt;=2018, B123&lt;=2021), "2018-2021", IF(AND(B123&gt;=2022, B123&lt;=2024), "2022-2024", "Other"))</f>
        <v>2022-2024</v>
      </c>
    </row>
    <row r="124" spans="1:9" x14ac:dyDescent="0.3">
      <c r="A124" t="s">
        <v>11</v>
      </c>
      <c r="B124">
        <v>2024</v>
      </c>
      <c r="C124" t="s">
        <v>12</v>
      </c>
      <c r="D124">
        <v>16963.98</v>
      </c>
      <c r="E124">
        <v>19065.759999999998</v>
      </c>
      <c r="F124">
        <v>193.04</v>
      </c>
      <c r="G124">
        <v>1268.4000000000001</v>
      </c>
      <c r="H124">
        <f>E124*1000000/D124</f>
        <v>1123896.6327477396</v>
      </c>
      <c r="I124" t="str">
        <f>IF(AND(B124&gt;=2018, B124&lt;=2021), "2018-2021", IF(AND(B124&gt;=2022, B124&lt;=2024), "2022-2024", "Other"))</f>
        <v>2022-2024</v>
      </c>
    </row>
    <row r="125" spans="1:9" x14ac:dyDescent="0.3">
      <c r="A125" t="s">
        <v>23</v>
      </c>
      <c r="B125">
        <v>2021</v>
      </c>
      <c r="C125" t="s">
        <v>9</v>
      </c>
      <c r="D125">
        <v>30672.66</v>
      </c>
      <c r="E125">
        <v>31614.27</v>
      </c>
      <c r="F125">
        <v>20.47</v>
      </c>
      <c r="G125">
        <v>470.41</v>
      </c>
      <c r="H125">
        <f>E125*1000000/D125</f>
        <v>1030698.6743243005</v>
      </c>
      <c r="I125" t="str">
        <f>IF(AND(B125&gt;=2018, B125&lt;=2021), "2018-2021", IF(AND(B125&gt;=2022, B125&lt;=2024), "2022-2024", "Other"))</f>
        <v>2018-2021</v>
      </c>
    </row>
    <row r="126" spans="1:9" x14ac:dyDescent="0.3">
      <c r="A126" t="s">
        <v>26</v>
      </c>
      <c r="B126">
        <v>2022</v>
      </c>
      <c r="C126" t="s">
        <v>4</v>
      </c>
      <c r="D126">
        <v>38383.370000000003</v>
      </c>
      <c r="E126">
        <v>42044.15</v>
      </c>
      <c r="F126">
        <v>140.83000000000001</v>
      </c>
      <c r="G126">
        <v>515.01</v>
      </c>
      <c r="H126">
        <f>E126*1000000/D126</f>
        <v>1095374.116446784</v>
      </c>
      <c r="I126" t="str">
        <f>IF(AND(B126&gt;=2018, B126&lt;=2021), "2018-2021", IF(AND(B126&gt;=2022, B126&lt;=2024), "2022-2024", "Other"))</f>
        <v>2022-2024</v>
      </c>
    </row>
    <row r="127" spans="1:9" x14ac:dyDescent="0.3">
      <c r="A127" t="s">
        <v>21</v>
      </c>
      <c r="B127">
        <v>2022</v>
      </c>
      <c r="C127" t="s">
        <v>14</v>
      </c>
      <c r="D127">
        <v>8037.7</v>
      </c>
      <c r="E127">
        <v>8365.3700000000008</v>
      </c>
      <c r="F127">
        <v>196.29</v>
      </c>
      <c r="G127">
        <v>880.47</v>
      </c>
      <c r="H127">
        <f>E127*1000000/D127</f>
        <v>1040766.6372220911</v>
      </c>
      <c r="I127" t="str">
        <f>IF(AND(B127&gt;=2018, B127&lt;=2021), "2018-2021", IF(AND(B127&gt;=2022, B127&lt;=2024), "2022-2024", "Other"))</f>
        <v>2022-2024</v>
      </c>
    </row>
    <row r="128" spans="1:9" x14ac:dyDescent="0.3">
      <c r="A128" t="s">
        <v>23</v>
      </c>
      <c r="B128">
        <v>2019</v>
      </c>
      <c r="C128" t="s">
        <v>0</v>
      </c>
      <c r="D128">
        <v>24425.55</v>
      </c>
      <c r="E128">
        <v>26942.73</v>
      </c>
      <c r="F128">
        <v>54.77</v>
      </c>
      <c r="G128">
        <v>966.95</v>
      </c>
      <c r="H128">
        <f>E128*1000000/D128</f>
        <v>1103055.2024417056</v>
      </c>
      <c r="I128" t="str">
        <f>IF(AND(B128&gt;=2018, B128&lt;=2021), "2018-2021", IF(AND(B128&gt;=2022, B128&lt;=2024), "2022-2024", "Other"))</f>
        <v>2018-2021</v>
      </c>
    </row>
    <row r="129" spans="1:9" x14ac:dyDescent="0.3">
      <c r="A129" t="s">
        <v>17</v>
      </c>
      <c r="B129">
        <v>2021</v>
      </c>
      <c r="C129" t="s">
        <v>0</v>
      </c>
      <c r="D129">
        <v>34908.959999999999</v>
      </c>
      <c r="E129">
        <v>40850.93</v>
      </c>
      <c r="F129">
        <v>121.91</v>
      </c>
      <c r="G129">
        <v>237.19</v>
      </c>
      <c r="H129">
        <f>E129*1000000/D129</f>
        <v>1170213.320591619</v>
      </c>
      <c r="I129" t="str">
        <f>IF(AND(B129&gt;=2018, B129&lt;=2021), "2018-2021", IF(AND(B129&gt;=2022, B129&lt;=2024), "2022-2024", "Other"))</f>
        <v>2018-2021</v>
      </c>
    </row>
    <row r="130" spans="1:9" x14ac:dyDescent="0.3">
      <c r="A130" t="s">
        <v>25</v>
      </c>
      <c r="B130">
        <v>2022</v>
      </c>
      <c r="C130" t="s">
        <v>9</v>
      </c>
      <c r="D130">
        <v>11629.26</v>
      </c>
      <c r="E130">
        <v>11829.8</v>
      </c>
      <c r="F130">
        <v>64.13</v>
      </c>
      <c r="G130">
        <v>716.37</v>
      </c>
      <c r="H130">
        <f>E130*1000000/D130</f>
        <v>1017244.4334377252</v>
      </c>
      <c r="I130" t="str">
        <f>IF(AND(B130&gt;=2018, B130&lt;=2021), "2018-2021", IF(AND(B130&gt;=2022, B130&lt;=2024), "2022-2024", "Other"))</f>
        <v>2022-2024</v>
      </c>
    </row>
    <row r="131" spans="1:9" x14ac:dyDescent="0.3">
      <c r="A131" t="s">
        <v>5</v>
      </c>
      <c r="B131">
        <v>2020</v>
      </c>
      <c r="C131" t="s">
        <v>4</v>
      </c>
      <c r="D131">
        <v>6880.38</v>
      </c>
      <c r="E131">
        <v>7585.37</v>
      </c>
      <c r="F131">
        <v>71.67</v>
      </c>
      <c r="G131">
        <v>1387.28</v>
      </c>
      <c r="H131">
        <f>E131*1000000/D131</f>
        <v>1102463.8174054341</v>
      </c>
      <c r="I131" t="str">
        <f>IF(AND(B131&gt;=2018, B131&lt;=2021), "2018-2021", IF(AND(B131&gt;=2022, B131&lt;=2024), "2022-2024", "Other"))</f>
        <v>2018-2021</v>
      </c>
    </row>
    <row r="132" spans="1:9" x14ac:dyDescent="0.3">
      <c r="A132" t="s">
        <v>19</v>
      </c>
      <c r="B132">
        <v>2018</v>
      </c>
      <c r="C132" t="s">
        <v>9</v>
      </c>
      <c r="D132">
        <v>1325.37</v>
      </c>
      <c r="E132">
        <v>1513.38</v>
      </c>
      <c r="F132">
        <v>154.74</v>
      </c>
      <c r="G132">
        <v>221.32</v>
      </c>
      <c r="H132">
        <f>E132*1000000/D132</f>
        <v>1141854.7273591526</v>
      </c>
      <c r="I132" t="str">
        <f>IF(AND(B132&gt;=2018, B132&lt;=2021), "2018-2021", IF(AND(B132&gt;=2022, B132&lt;=2024), "2022-2024", "Other"))</f>
        <v>2018-2021</v>
      </c>
    </row>
    <row r="133" spans="1:9" x14ac:dyDescent="0.3">
      <c r="A133" t="s">
        <v>7</v>
      </c>
      <c r="B133">
        <v>2024</v>
      </c>
      <c r="C133" t="s">
        <v>9</v>
      </c>
      <c r="D133">
        <v>3567.42</v>
      </c>
      <c r="E133">
        <v>3713.77</v>
      </c>
      <c r="F133">
        <v>51.71</v>
      </c>
      <c r="G133">
        <v>255.85</v>
      </c>
      <c r="H133">
        <f>E133*1000000/D133</f>
        <v>1041024.0453885441</v>
      </c>
      <c r="I133" t="str">
        <f>IF(AND(B133&gt;=2018, B133&lt;=2021), "2018-2021", IF(AND(B133&gt;=2022, B133&lt;=2024), "2022-2024", "Other"))</f>
        <v>2022-2024</v>
      </c>
    </row>
    <row r="134" spans="1:9" x14ac:dyDescent="0.3">
      <c r="A134" t="s">
        <v>18</v>
      </c>
      <c r="B134">
        <v>2019</v>
      </c>
      <c r="C134" t="s">
        <v>14</v>
      </c>
      <c r="D134">
        <v>8646.0400000000009</v>
      </c>
      <c r="E134">
        <v>10179.33</v>
      </c>
      <c r="F134">
        <v>132.05000000000001</v>
      </c>
      <c r="G134">
        <v>73.19</v>
      </c>
      <c r="H134">
        <f>E134*1000000/D134</f>
        <v>1177340.1464716794</v>
      </c>
      <c r="I134" t="str">
        <f>IF(AND(B134&gt;=2018, B134&lt;=2021), "2018-2021", IF(AND(B134&gt;=2022, B134&lt;=2024), "2022-2024", "Other"))</f>
        <v>2018-2021</v>
      </c>
    </row>
    <row r="135" spans="1:9" x14ac:dyDescent="0.3">
      <c r="A135" t="s">
        <v>10</v>
      </c>
      <c r="B135">
        <v>2021</v>
      </c>
      <c r="C135" t="s">
        <v>2</v>
      </c>
      <c r="D135">
        <v>41619.64</v>
      </c>
      <c r="E135">
        <v>44143.49</v>
      </c>
      <c r="F135">
        <v>72.03</v>
      </c>
      <c r="G135">
        <v>108.81</v>
      </c>
      <c r="H135">
        <f>E135*1000000/D135</f>
        <v>1060640.8416795533</v>
      </c>
      <c r="I135" t="str">
        <f>IF(AND(B135&gt;=2018, B135&lt;=2021), "2018-2021", IF(AND(B135&gt;=2022, B135&lt;=2024), "2022-2024", "Other"))</f>
        <v>2018-2021</v>
      </c>
    </row>
    <row r="136" spans="1:9" x14ac:dyDescent="0.3">
      <c r="A136" t="s">
        <v>10</v>
      </c>
      <c r="B136">
        <v>2020</v>
      </c>
      <c r="C136" t="s">
        <v>0</v>
      </c>
      <c r="D136">
        <v>10908.22</v>
      </c>
      <c r="E136">
        <v>11660.55</v>
      </c>
      <c r="F136">
        <v>45.21</v>
      </c>
      <c r="G136">
        <v>567.83000000000004</v>
      </c>
      <c r="H136">
        <f>E136*1000000/D136</f>
        <v>1068969.0893656344</v>
      </c>
      <c r="I136" t="str">
        <f>IF(AND(B136&gt;=2018, B136&lt;=2021), "2018-2021", IF(AND(B136&gt;=2022, B136&lt;=2024), "2022-2024", "Other"))</f>
        <v>2018-2021</v>
      </c>
    </row>
    <row r="137" spans="1:9" x14ac:dyDescent="0.3">
      <c r="A137" t="s">
        <v>13</v>
      </c>
      <c r="B137">
        <v>2022</v>
      </c>
      <c r="C137" t="s">
        <v>8</v>
      </c>
      <c r="D137">
        <v>42281.31</v>
      </c>
      <c r="E137">
        <v>42664.53</v>
      </c>
      <c r="F137">
        <v>35.36</v>
      </c>
      <c r="G137">
        <v>994.35</v>
      </c>
      <c r="H137">
        <f>E137*1000000/D137</f>
        <v>1009063.5791558966</v>
      </c>
      <c r="I137" t="str">
        <f>IF(AND(B137&gt;=2018, B137&lt;=2021), "2018-2021", IF(AND(B137&gt;=2022, B137&lt;=2024), "2022-2024", "Other"))</f>
        <v>2022-2024</v>
      </c>
    </row>
    <row r="138" spans="1:9" x14ac:dyDescent="0.3">
      <c r="A138" t="s">
        <v>15</v>
      </c>
      <c r="B138">
        <v>2020</v>
      </c>
      <c r="C138" t="s">
        <v>12</v>
      </c>
      <c r="D138">
        <v>1474.15</v>
      </c>
      <c r="E138">
        <v>1540.57</v>
      </c>
      <c r="F138">
        <v>196.14</v>
      </c>
      <c r="G138">
        <v>105.89</v>
      </c>
      <c r="H138">
        <f>E138*1000000/D138</f>
        <v>1045056.4732218566</v>
      </c>
      <c r="I138" t="str">
        <f>IF(AND(B138&gt;=2018, B138&lt;=2021), "2018-2021", IF(AND(B138&gt;=2022, B138&lt;=2024), "2022-2024", "Other"))</f>
        <v>2018-2021</v>
      </c>
    </row>
    <row r="139" spans="1:9" x14ac:dyDescent="0.3">
      <c r="A139" t="s">
        <v>10</v>
      </c>
      <c r="B139">
        <v>2018</v>
      </c>
      <c r="C139" t="s">
        <v>4</v>
      </c>
      <c r="D139">
        <v>5636.3</v>
      </c>
      <c r="E139">
        <v>5593.44</v>
      </c>
      <c r="F139">
        <v>34.72</v>
      </c>
      <c r="G139">
        <v>911.69</v>
      </c>
      <c r="H139">
        <f>E139*1000000/D139</f>
        <v>992395.72059684538</v>
      </c>
      <c r="I139" t="str">
        <f>IF(AND(B139&gt;=2018, B139&lt;=2021), "2018-2021", IF(AND(B139&gt;=2022, B139&lt;=2024), "2022-2024", "Other"))</f>
        <v>2018-2021</v>
      </c>
    </row>
    <row r="140" spans="1:9" x14ac:dyDescent="0.3">
      <c r="A140" t="s">
        <v>22</v>
      </c>
      <c r="B140">
        <v>2020</v>
      </c>
      <c r="C140" t="s">
        <v>4</v>
      </c>
      <c r="D140">
        <v>23475.18</v>
      </c>
      <c r="E140">
        <v>20967.939999999999</v>
      </c>
      <c r="F140">
        <v>44.9</v>
      </c>
      <c r="G140">
        <v>333.9</v>
      </c>
      <c r="H140">
        <f>E140*1000000/D140</f>
        <v>893196.13310739258</v>
      </c>
      <c r="I140" t="str">
        <f>IF(AND(B140&gt;=2018, B140&lt;=2021), "2018-2021", IF(AND(B140&gt;=2022, B140&lt;=2024), "2022-2024", "Other"))</f>
        <v>2018-2021</v>
      </c>
    </row>
    <row r="141" spans="1:9" x14ac:dyDescent="0.3">
      <c r="A141" t="s">
        <v>26</v>
      </c>
      <c r="B141">
        <v>2019</v>
      </c>
      <c r="C141" t="s">
        <v>12</v>
      </c>
      <c r="D141">
        <v>27030.65</v>
      </c>
      <c r="E141">
        <v>27392.400000000001</v>
      </c>
      <c r="F141">
        <v>169.05</v>
      </c>
      <c r="G141">
        <v>919.96</v>
      </c>
      <c r="H141">
        <f>E141*1000000/D141</f>
        <v>1013382.9560147462</v>
      </c>
      <c r="I141" t="str">
        <f>IF(AND(B141&gt;=2018, B141&lt;=2021), "2018-2021", IF(AND(B141&gt;=2022, B141&lt;=2024), "2022-2024", "Other"))</f>
        <v>2018-2021</v>
      </c>
    </row>
    <row r="142" spans="1:9" x14ac:dyDescent="0.3">
      <c r="A142" t="s">
        <v>25</v>
      </c>
      <c r="B142">
        <v>2023</v>
      </c>
      <c r="C142" t="s">
        <v>4</v>
      </c>
      <c r="D142">
        <v>43446.92</v>
      </c>
      <c r="E142">
        <v>47096.44</v>
      </c>
      <c r="F142">
        <v>35.450000000000003</v>
      </c>
      <c r="G142">
        <v>16.149999999999999</v>
      </c>
      <c r="H142">
        <f>E142*1000000/D142</f>
        <v>1083999.5102069376</v>
      </c>
      <c r="I142" t="str">
        <f>IF(AND(B142&gt;=2018, B142&lt;=2021), "2018-2021", IF(AND(B142&gt;=2022, B142&lt;=2024), "2022-2024", "Other"))</f>
        <v>2022-2024</v>
      </c>
    </row>
    <row r="143" spans="1:9" x14ac:dyDescent="0.3">
      <c r="A143" t="s">
        <v>11</v>
      </c>
      <c r="B143">
        <v>2019</v>
      </c>
      <c r="C143" t="s">
        <v>8</v>
      </c>
      <c r="D143">
        <v>34585.58</v>
      </c>
      <c r="E143">
        <v>33098.129999999997</v>
      </c>
      <c r="F143">
        <v>132.07</v>
      </c>
      <c r="G143">
        <v>1354.57</v>
      </c>
      <c r="H143">
        <f>E143*1000000/D143</f>
        <v>956992.19154341181</v>
      </c>
      <c r="I143" t="str">
        <f>IF(AND(B143&gt;=2018, B143&lt;=2021), "2018-2021", IF(AND(B143&gt;=2022, B143&lt;=2024), "2022-2024", "Other"))</f>
        <v>2018-2021</v>
      </c>
    </row>
    <row r="144" spans="1:9" x14ac:dyDescent="0.3">
      <c r="A144" t="s">
        <v>11</v>
      </c>
      <c r="B144">
        <v>2020</v>
      </c>
      <c r="C144" t="s">
        <v>2</v>
      </c>
      <c r="D144">
        <v>20690.04</v>
      </c>
      <c r="E144">
        <v>17002.439999999999</v>
      </c>
      <c r="F144">
        <v>92.56</v>
      </c>
      <c r="G144">
        <v>1201.73</v>
      </c>
      <c r="H144">
        <f>E144*1000000/D144</f>
        <v>821769.31509073917</v>
      </c>
      <c r="I144" t="str">
        <f>IF(AND(B144&gt;=2018, B144&lt;=2021), "2018-2021", IF(AND(B144&gt;=2022, B144&lt;=2024), "2022-2024", "Other"))</f>
        <v>2018-2021</v>
      </c>
    </row>
    <row r="145" spans="1:9" x14ac:dyDescent="0.3">
      <c r="A145" t="s">
        <v>3</v>
      </c>
      <c r="B145">
        <v>2023</v>
      </c>
      <c r="C145" t="s">
        <v>0</v>
      </c>
      <c r="D145">
        <v>35899.519999999997</v>
      </c>
      <c r="E145">
        <v>36123.81</v>
      </c>
      <c r="F145">
        <v>127.57</v>
      </c>
      <c r="G145">
        <v>503.69</v>
      </c>
      <c r="H145">
        <f>E145*1000000/D145</f>
        <v>1006247.7158468972</v>
      </c>
      <c r="I145" t="str">
        <f>IF(AND(B145&gt;=2018, B145&lt;=2021), "2018-2021", IF(AND(B145&gt;=2022, B145&lt;=2024), "2022-2024", "Other"))</f>
        <v>2022-2024</v>
      </c>
    </row>
    <row r="146" spans="1:9" x14ac:dyDescent="0.3">
      <c r="A146" t="s">
        <v>5</v>
      </c>
      <c r="B146">
        <v>2024</v>
      </c>
      <c r="C146" t="s">
        <v>14</v>
      </c>
      <c r="D146">
        <v>41094.36</v>
      </c>
      <c r="E146">
        <v>42324.94</v>
      </c>
      <c r="F146">
        <v>81.2</v>
      </c>
      <c r="G146">
        <v>760.09</v>
      </c>
      <c r="H146">
        <f>E146*1000000/D146</f>
        <v>1029945.2284936424</v>
      </c>
      <c r="I146" t="str">
        <f>IF(AND(B146&gt;=2018, B146&lt;=2021), "2018-2021", IF(AND(B146&gt;=2022, B146&lt;=2024), "2022-2024", "Other"))</f>
        <v>2022-2024</v>
      </c>
    </row>
    <row r="147" spans="1:9" x14ac:dyDescent="0.3">
      <c r="A147" t="s">
        <v>17</v>
      </c>
      <c r="B147">
        <v>2022</v>
      </c>
      <c r="C147" t="s">
        <v>0</v>
      </c>
      <c r="D147">
        <v>48642.96</v>
      </c>
      <c r="E147">
        <v>50037.63</v>
      </c>
      <c r="F147">
        <v>57.61</v>
      </c>
      <c r="G147">
        <v>1105.55</v>
      </c>
      <c r="H147">
        <f>E147*1000000/D147</f>
        <v>1028671.5693288402</v>
      </c>
      <c r="I147" t="str">
        <f>IF(AND(B147&gt;=2018, B147&lt;=2021), "2018-2021", IF(AND(B147&gt;=2022, B147&lt;=2024), "2022-2024", "Other"))</f>
        <v>2022-2024</v>
      </c>
    </row>
    <row r="148" spans="1:9" x14ac:dyDescent="0.3">
      <c r="A148" t="s">
        <v>17</v>
      </c>
      <c r="B148">
        <v>2020</v>
      </c>
      <c r="C148" t="s">
        <v>14</v>
      </c>
      <c r="D148">
        <v>10517.37</v>
      </c>
      <c r="E148">
        <v>11093.88</v>
      </c>
      <c r="F148">
        <v>77.33</v>
      </c>
      <c r="G148">
        <v>65.06</v>
      </c>
      <c r="H148">
        <f>E148*1000000/D148</f>
        <v>1054815.0345571183</v>
      </c>
      <c r="I148" t="str">
        <f>IF(AND(B148&gt;=2018, B148&lt;=2021), "2018-2021", IF(AND(B148&gt;=2022, B148&lt;=2024), "2022-2024", "Other"))</f>
        <v>2018-2021</v>
      </c>
    </row>
    <row r="149" spans="1:9" x14ac:dyDescent="0.3">
      <c r="A149" t="s">
        <v>17</v>
      </c>
      <c r="B149">
        <v>2020</v>
      </c>
      <c r="C149" t="s">
        <v>14</v>
      </c>
      <c r="D149">
        <v>19143.400000000001</v>
      </c>
      <c r="E149">
        <v>18627.53</v>
      </c>
      <c r="F149">
        <v>199.02</v>
      </c>
      <c r="G149">
        <v>544.66</v>
      </c>
      <c r="H149">
        <f>E149*1000000/D149</f>
        <v>973052.33135179745</v>
      </c>
      <c r="I149" t="str">
        <f>IF(AND(B149&gt;=2018, B149&lt;=2021), "2018-2021", IF(AND(B149&gt;=2022, B149&lt;=2024), "2022-2024", "Other"))</f>
        <v>2018-2021</v>
      </c>
    </row>
    <row r="150" spans="1:9" x14ac:dyDescent="0.3">
      <c r="A150" t="s">
        <v>13</v>
      </c>
      <c r="B150">
        <v>2023</v>
      </c>
      <c r="C150" t="s">
        <v>6</v>
      </c>
      <c r="D150">
        <v>31798.5</v>
      </c>
      <c r="E150">
        <v>27380.38</v>
      </c>
      <c r="F150">
        <v>45.11</v>
      </c>
      <c r="G150">
        <v>462.38</v>
      </c>
      <c r="H150">
        <f>E150*1000000/D150</f>
        <v>861058.85497743601</v>
      </c>
      <c r="I150" t="str">
        <f>IF(AND(B150&gt;=2018, B150&lt;=2021), "2018-2021", IF(AND(B150&gt;=2022, B150&lt;=2024), "2022-2024", "Other"))</f>
        <v>2022-2024</v>
      </c>
    </row>
    <row r="151" spans="1:9" x14ac:dyDescent="0.3">
      <c r="A151" t="s">
        <v>15</v>
      </c>
      <c r="B151">
        <v>2018</v>
      </c>
      <c r="C151" t="s">
        <v>2</v>
      </c>
      <c r="D151">
        <v>6860.69</v>
      </c>
      <c r="E151">
        <v>7700.46</v>
      </c>
      <c r="F151">
        <v>104.38</v>
      </c>
      <c r="G151">
        <v>495.94</v>
      </c>
      <c r="H151">
        <f>E151*1000000/D151</f>
        <v>1122403.1402089295</v>
      </c>
      <c r="I151" t="str">
        <f>IF(AND(B151&gt;=2018, B151&lt;=2021), "2018-2021", IF(AND(B151&gt;=2022, B151&lt;=2024), "2022-2024", "Other"))</f>
        <v>2018-2021</v>
      </c>
    </row>
    <row r="152" spans="1:9" x14ac:dyDescent="0.3">
      <c r="A152" t="s">
        <v>18</v>
      </c>
      <c r="B152">
        <v>2018</v>
      </c>
      <c r="C152" t="s">
        <v>2</v>
      </c>
      <c r="D152">
        <v>49122.58</v>
      </c>
      <c r="E152">
        <v>51296.9</v>
      </c>
      <c r="F152">
        <v>99.49</v>
      </c>
      <c r="G152">
        <v>539.04</v>
      </c>
      <c r="H152">
        <f>E152*1000000/D152</f>
        <v>1044263.1474161169</v>
      </c>
      <c r="I152" t="str">
        <f>IF(AND(B152&gt;=2018, B152&lt;=2021), "2018-2021", IF(AND(B152&gt;=2022, B152&lt;=2024), "2022-2024", "Other"))</f>
        <v>2018-2021</v>
      </c>
    </row>
    <row r="153" spans="1:9" x14ac:dyDescent="0.3">
      <c r="A153" t="s">
        <v>19</v>
      </c>
      <c r="B153">
        <v>2020</v>
      </c>
      <c r="C153" t="s">
        <v>0</v>
      </c>
      <c r="D153">
        <v>40262.79</v>
      </c>
      <c r="E153">
        <v>41152.89</v>
      </c>
      <c r="F153">
        <v>58.15</v>
      </c>
      <c r="G153">
        <v>816.23</v>
      </c>
      <c r="H153">
        <f>E153*1000000/D153</f>
        <v>1022107.2608232067</v>
      </c>
      <c r="I153" t="str">
        <f>IF(AND(B153&gt;=2018, B153&lt;=2021), "2018-2021", IF(AND(B153&gt;=2022, B153&lt;=2024), "2022-2024", "Other"))</f>
        <v>2018-2021</v>
      </c>
    </row>
    <row r="154" spans="1:9" x14ac:dyDescent="0.3">
      <c r="A154" t="s">
        <v>15</v>
      </c>
      <c r="B154">
        <v>2022</v>
      </c>
      <c r="C154" t="s">
        <v>2</v>
      </c>
      <c r="D154">
        <v>14791.28</v>
      </c>
      <c r="E154">
        <v>16497.72</v>
      </c>
      <c r="F154">
        <v>159.66999999999999</v>
      </c>
      <c r="G154">
        <v>667.57</v>
      </c>
      <c r="H154">
        <f>E154*1000000/D154</f>
        <v>1115367.973562802</v>
      </c>
      <c r="I154" t="str">
        <f>IF(AND(B154&gt;=2018, B154&lt;=2021), "2018-2021", IF(AND(B154&gt;=2022, B154&lt;=2024), "2022-2024", "Other"))</f>
        <v>2022-2024</v>
      </c>
    </row>
    <row r="155" spans="1:9" x14ac:dyDescent="0.3">
      <c r="A155" t="s">
        <v>22</v>
      </c>
      <c r="B155">
        <v>2023</v>
      </c>
      <c r="C155" t="s">
        <v>9</v>
      </c>
      <c r="D155">
        <v>6743.26</v>
      </c>
      <c r="E155">
        <v>6479.62</v>
      </c>
      <c r="F155">
        <v>55.33</v>
      </c>
      <c r="G155">
        <v>1118.23</v>
      </c>
      <c r="H155">
        <f>E155*1000000/D155</f>
        <v>960903.18332675879</v>
      </c>
      <c r="I155" t="str">
        <f>IF(AND(B155&gt;=2018, B155&lt;=2021), "2018-2021", IF(AND(B155&gt;=2022, B155&lt;=2024), "2022-2024", "Other"))</f>
        <v>2022-2024</v>
      </c>
    </row>
    <row r="156" spans="1:9" x14ac:dyDescent="0.3">
      <c r="A156" t="s">
        <v>17</v>
      </c>
      <c r="B156">
        <v>2019</v>
      </c>
      <c r="C156" t="s">
        <v>14</v>
      </c>
      <c r="D156">
        <v>4194.0600000000004</v>
      </c>
      <c r="E156">
        <v>3640.51</v>
      </c>
      <c r="F156">
        <v>187.66</v>
      </c>
      <c r="G156">
        <v>337.53</v>
      </c>
      <c r="H156">
        <f>E156*1000000/D156</f>
        <v>868015.71746708429</v>
      </c>
      <c r="I156" t="str">
        <f>IF(AND(B156&gt;=2018, B156&lt;=2021), "2018-2021", IF(AND(B156&gt;=2022, B156&lt;=2024), "2022-2024", "Other"))</f>
        <v>2018-2021</v>
      </c>
    </row>
    <row r="157" spans="1:9" x14ac:dyDescent="0.3">
      <c r="A157" t="s">
        <v>23</v>
      </c>
      <c r="B157">
        <v>2023</v>
      </c>
      <c r="C157" t="s">
        <v>2</v>
      </c>
      <c r="D157">
        <v>46787.67</v>
      </c>
      <c r="E157">
        <v>50857</v>
      </c>
      <c r="F157">
        <v>53.42</v>
      </c>
      <c r="G157">
        <v>663.44</v>
      </c>
      <c r="H157">
        <f>E157*1000000/D157</f>
        <v>1086974.4101383977</v>
      </c>
      <c r="I157" t="str">
        <f>IF(AND(B157&gt;=2018, B157&lt;=2021), "2018-2021", IF(AND(B157&gt;=2022, B157&lt;=2024), "2022-2024", "Other"))</f>
        <v>2022-2024</v>
      </c>
    </row>
    <row r="158" spans="1:9" x14ac:dyDescent="0.3">
      <c r="A158" t="s">
        <v>21</v>
      </c>
      <c r="B158">
        <v>2024</v>
      </c>
      <c r="C158" t="s">
        <v>12</v>
      </c>
      <c r="D158">
        <v>34377.5</v>
      </c>
      <c r="E158">
        <v>29795.03</v>
      </c>
      <c r="F158">
        <v>119.44</v>
      </c>
      <c r="G158">
        <v>790.96</v>
      </c>
      <c r="H158">
        <f>E158*1000000/D158</f>
        <v>866701.47625627229</v>
      </c>
      <c r="I158" t="str">
        <f>IF(AND(B158&gt;=2018, B158&lt;=2021), "2018-2021", IF(AND(B158&gt;=2022, B158&lt;=2024), "2022-2024", "Other"))</f>
        <v>2022-2024</v>
      </c>
    </row>
    <row r="159" spans="1:9" x14ac:dyDescent="0.3">
      <c r="A159" t="s">
        <v>22</v>
      </c>
      <c r="B159">
        <v>2023</v>
      </c>
      <c r="C159" t="s">
        <v>0</v>
      </c>
      <c r="D159">
        <v>23215.07</v>
      </c>
      <c r="E159">
        <v>23317.07</v>
      </c>
      <c r="F159">
        <v>195.51</v>
      </c>
      <c r="G159">
        <v>669.66</v>
      </c>
      <c r="H159">
        <f>E159*1000000/D159</f>
        <v>1004393.6977144588</v>
      </c>
      <c r="I159" t="str">
        <f>IF(AND(B159&gt;=2018, B159&lt;=2021), "2018-2021", IF(AND(B159&gt;=2022, B159&lt;=2024), "2022-2024", "Other"))</f>
        <v>2022-2024</v>
      </c>
    </row>
    <row r="160" spans="1:9" x14ac:dyDescent="0.3">
      <c r="A160" t="s">
        <v>22</v>
      </c>
      <c r="B160">
        <v>2022</v>
      </c>
      <c r="C160" t="s">
        <v>6</v>
      </c>
      <c r="D160">
        <v>43199.69</v>
      </c>
      <c r="E160">
        <v>47597.87</v>
      </c>
      <c r="F160">
        <v>60.43</v>
      </c>
      <c r="G160">
        <v>1077.0899999999999</v>
      </c>
      <c r="H160">
        <f>E160*1000000/D160</f>
        <v>1101810.45280649</v>
      </c>
      <c r="I160" t="str">
        <f>IF(AND(B160&gt;=2018, B160&lt;=2021), "2018-2021", IF(AND(B160&gt;=2022, B160&lt;=2024), "2022-2024", "Other"))</f>
        <v>2022-2024</v>
      </c>
    </row>
    <row r="161" spans="1:9" x14ac:dyDescent="0.3">
      <c r="A161" t="s">
        <v>10</v>
      </c>
      <c r="B161">
        <v>2023</v>
      </c>
      <c r="C161" t="s">
        <v>0</v>
      </c>
      <c r="D161">
        <v>8030.17</v>
      </c>
      <c r="E161">
        <v>7356.13</v>
      </c>
      <c r="F161">
        <v>76.42</v>
      </c>
      <c r="G161">
        <v>454.39</v>
      </c>
      <c r="H161">
        <f>E161*1000000/D161</f>
        <v>916061.55286874378</v>
      </c>
      <c r="I161" t="str">
        <f>IF(AND(B161&gt;=2018, B161&lt;=2021), "2018-2021", IF(AND(B161&gt;=2022, B161&lt;=2024), "2022-2024", "Other"))</f>
        <v>2022-2024</v>
      </c>
    </row>
    <row r="162" spans="1:9" x14ac:dyDescent="0.3">
      <c r="A162" t="s">
        <v>20</v>
      </c>
      <c r="B162">
        <v>2021</v>
      </c>
      <c r="C162" t="s">
        <v>0</v>
      </c>
      <c r="D162">
        <v>6814.57</v>
      </c>
      <c r="E162">
        <v>6646.62</v>
      </c>
      <c r="F162">
        <v>55.24</v>
      </c>
      <c r="G162">
        <v>336.87</v>
      </c>
      <c r="H162">
        <f>E162*1000000/D162</f>
        <v>975354.27767269255</v>
      </c>
      <c r="I162" t="str">
        <f>IF(AND(B162&gt;=2018, B162&lt;=2021), "2018-2021", IF(AND(B162&gt;=2022, B162&lt;=2024), "2022-2024", "Other"))</f>
        <v>2018-2021</v>
      </c>
    </row>
    <row r="163" spans="1:9" x14ac:dyDescent="0.3">
      <c r="A163" t="s">
        <v>1</v>
      </c>
      <c r="B163">
        <v>2024</v>
      </c>
      <c r="C163" t="s">
        <v>0</v>
      </c>
      <c r="D163">
        <v>3959.24</v>
      </c>
      <c r="E163">
        <v>4269.63</v>
      </c>
      <c r="F163">
        <v>107.29</v>
      </c>
      <c r="G163">
        <v>987.09</v>
      </c>
      <c r="H163">
        <f>E163*1000000/D163</f>
        <v>1078396.3588971621</v>
      </c>
      <c r="I163" t="str">
        <f>IF(AND(B163&gt;=2018, B163&lt;=2021), "2018-2021", IF(AND(B163&gt;=2022, B163&lt;=2024), "2022-2024", "Other"))</f>
        <v>2022-2024</v>
      </c>
    </row>
    <row r="164" spans="1:9" x14ac:dyDescent="0.3">
      <c r="A164" t="s">
        <v>13</v>
      </c>
      <c r="B164">
        <v>2024</v>
      </c>
      <c r="C164" t="s">
        <v>4</v>
      </c>
      <c r="D164">
        <v>7049.17</v>
      </c>
      <c r="E164">
        <v>7695.97</v>
      </c>
      <c r="F164">
        <v>136.52000000000001</v>
      </c>
      <c r="G164">
        <v>643.09</v>
      </c>
      <c r="H164">
        <f>E164*1000000/D164</f>
        <v>1091755.4832696614</v>
      </c>
      <c r="I164" t="str">
        <f>IF(AND(B164&gt;=2018, B164&lt;=2021), "2018-2021", IF(AND(B164&gt;=2022, B164&lt;=2024), "2022-2024", "Other"))</f>
        <v>2022-2024</v>
      </c>
    </row>
    <row r="165" spans="1:9" x14ac:dyDescent="0.3">
      <c r="A165" t="s">
        <v>16</v>
      </c>
      <c r="B165">
        <v>2019</v>
      </c>
      <c r="C165" t="s">
        <v>8</v>
      </c>
      <c r="D165">
        <v>4927.29</v>
      </c>
      <c r="E165">
        <v>5656.69</v>
      </c>
      <c r="F165">
        <v>114.23</v>
      </c>
      <c r="G165">
        <v>405.74</v>
      </c>
      <c r="H165">
        <f>E165*1000000/D165</f>
        <v>1148032.6913983142</v>
      </c>
      <c r="I165" t="str">
        <f>IF(AND(B165&gt;=2018, B165&lt;=2021), "2018-2021", IF(AND(B165&gt;=2022, B165&lt;=2024), "2022-2024", "Other"))</f>
        <v>2018-2021</v>
      </c>
    </row>
    <row r="166" spans="1:9" x14ac:dyDescent="0.3">
      <c r="A166" t="s">
        <v>3</v>
      </c>
      <c r="B166">
        <v>2021</v>
      </c>
      <c r="C166" t="s">
        <v>8</v>
      </c>
      <c r="D166">
        <v>38211</v>
      </c>
      <c r="E166">
        <v>45495.03</v>
      </c>
      <c r="F166">
        <v>181.25</v>
      </c>
      <c r="G166">
        <v>1369.27</v>
      </c>
      <c r="H166">
        <f>E166*1000000/D166</f>
        <v>1190626.5211588286</v>
      </c>
      <c r="I166" t="str">
        <f>IF(AND(B166&gt;=2018, B166&lt;=2021), "2018-2021", IF(AND(B166&gt;=2022, B166&lt;=2024), "2022-2024", "Other"))</f>
        <v>2018-2021</v>
      </c>
    </row>
    <row r="167" spans="1:9" x14ac:dyDescent="0.3">
      <c r="A167" t="s">
        <v>27</v>
      </c>
      <c r="B167">
        <v>2024</v>
      </c>
      <c r="C167" t="s">
        <v>14</v>
      </c>
      <c r="D167">
        <v>5058.24</v>
      </c>
      <c r="E167">
        <v>4824.18</v>
      </c>
      <c r="F167">
        <v>144.75</v>
      </c>
      <c r="G167">
        <v>1382.05</v>
      </c>
      <c r="H167">
        <f>E167*1000000/D167</f>
        <v>953726.98804327205</v>
      </c>
      <c r="I167" t="str">
        <f>IF(AND(B167&gt;=2018, B167&lt;=2021), "2018-2021", IF(AND(B167&gt;=2022, B167&lt;=2024), "2022-2024", "Other"))</f>
        <v>2022-2024</v>
      </c>
    </row>
    <row r="168" spans="1:9" x14ac:dyDescent="0.3">
      <c r="A168" t="s">
        <v>18</v>
      </c>
      <c r="B168">
        <v>2022</v>
      </c>
      <c r="C168" t="s">
        <v>6</v>
      </c>
      <c r="D168">
        <v>36132.58</v>
      </c>
      <c r="E168">
        <v>36878.620000000003</v>
      </c>
      <c r="F168">
        <v>116.97</v>
      </c>
      <c r="G168">
        <v>999.12</v>
      </c>
      <c r="H168">
        <f>E168*1000000/D168</f>
        <v>1020647.293938047</v>
      </c>
      <c r="I168" t="str">
        <f>IF(AND(B168&gt;=2018, B168&lt;=2021), "2018-2021", IF(AND(B168&gt;=2022, B168&lt;=2024), "2022-2024", "Other"))</f>
        <v>2022-2024</v>
      </c>
    </row>
    <row r="169" spans="1:9" x14ac:dyDescent="0.3">
      <c r="A169" t="s">
        <v>19</v>
      </c>
      <c r="B169">
        <v>2020</v>
      </c>
      <c r="C169" t="s">
        <v>0</v>
      </c>
      <c r="D169">
        <v>578.58000000000004</v>
      </c>
      <c r="E169">
        <v>646.46</v>
      </c>
      <c r="F169">
        <v>94.43</v>
      </c>
      <c r="G169">
        <v>534.07000000000005</v>
      </c>
      <c r="H169">
        <f>E169*1000000/D169</f>
        <v>1117321.7186905872</v>
      </c>
      <c r="I169" t="str">
        <f>IF(AND(B169&gt;=2018, B169&lt;=2021), "2018-2021", IF(AND(B169&gt;=2022, B169&lt;=2024), "2022-2024", "Other"))</f>
        <v>2018-2021</v>
      </c>
    </row>
    <row r="170" spans="1:9" x14ac:dyDescent="0.3">
      <c r="A170" t="s">
        <v>10</v>
      </c>
      <c r="B170">
        <v>2021</v>
      </c>
      <c r="C170" t="s">
        <v>12</v>
      </c>
      <c r="D170">
        <v>24046.92</v>
      </c>
      <c r="E170">
        <v>22580.75</v>
      </c>
      <c r="F170">
        <v>46.84</v>
      </c>
      <c r="G170">
        <v>26.69</v>
      </c>
      <c r="H170">
        <f>E170*1000000/D170</f>
        <v>939028.78206439747</v>
      </c>
      <c r="I170" t="str">
        <f>IF(AND(B170&gt;=2018, B170&lt;=2021), "2018-2021", IF(AND(B170&gt;=2022, B170&lt;=2024), "2022-2024", "Other"))</f>
        <v>2018-2021</v>
      </c>
    </row>
    <row r="171" spans="1:9" x14ac:dyDescent="0.3">
      <c r="A171" t="s">
        <v>20</v>
      </c>
      <c r="B171">
        <v>2024</v>
      </c>
      <c r="C171" t="s">
        <v>2</v>
      </c>
      <c r="D171">
        <v>40854.18</v>
      </c>
      <c r="E171">
        <v>40444.58</v>
      </c>
      <c r="F171">
        <v>68.81</v>
      </c>
      <c r="G171">
        <v>47.02</v>
      </c>
      <c r="H171">
        <f>E171*1000000/D171</f>
        <v>989974.09812166099</v>
      </c>
      <c r="I171" t="str">
        <f>IF(AND(B171&gt;=2018, B171&lt;=2021), "2018-2021", IF(AND(B171&gt;=2022, B171&lt;=2024), "2022-2024", "Other"))</f>
        <v>2022-2024</v>
      </c>
    </row>
    <row r="172" spans="1:9" x14ac:dyDescent="0.3">
      <c r="A172" t="s">
        <v>7</v>
      </c>
      <c r="B172">
        <v>2023</v>
      </c>
      <c r="C172" t="s">
        <v>2</v>
      </c>
      <c r="D172">
        <v>32931.800000000003</v>
      </c>
      <c r="E172">
        <v>37000.199999999997</v>
      </c>
      <c r="F172">
        <v>24.98</v>
      </c>
      <c r="G172">
        <v>358.18</v>
      </c>
      <c r="H172">
        <f>E172*1000000/D172</f>
        <v>1123540.1648254876</v>
      </c>
      <c r="I172" t="str">
        <f>IF(AND(B172&gt;=2018, B172&lt;=2021), "2018-2021", IF(AND(B172&gt;=2022, B172&lt;=2024), "2022-2024", "Other"))</f>
        <v>2022-2024</v>
      </c>
    </row>
    <row r="173" spans="1:9" x14ac:dyDescent="0.3">
      <c r="A173" t="s">
        <v>11</v>
      </c>
      <c r="B173">
        <v>2024</v>
      </c>
      <c r="C173" t="s">
        <v>8</v>
      </c>
      <c r="D173">
        <v>23137.63</v>
      </c>
      <c r="E173">
        <v>27294.6</v>
      </c>
      <c r="F173">
        <v>173.68</v>
      </c>
      <c r="G173">
        <v>808.33</v>
      </c>
      <c r="H173">
        <f>E173*1000000/D173</f>
        <v>1179662.7398743951</v>
      </c>
      <c r="I173" t="str">
        <f>IF(AND(B173&gt;=2018, B173&lt;=2021), "2018-2021", IF(AND(B173&gt;=2022, B173&lt;=2024), "2022-2024", "Other"))</f>
        <v>2022-2024</v>
      </c>
    </row>
    <row r="174" spans="1:9" x14ac:dyDescent="0.3">
      <c r="A174" t="s">
        <v>21</v>
      </c>
      <c r="B174">
        <v>2021</v>
      </c>
      <c r="C174" t="s">
        <v>2</v>
      </c>
      <c r="D174">
        <v>3088.35</v>
      </c>
      <c r="E174">
        <v>2809.98</v>
      </c>
      <c r="F174">
        <v>179.07</v>
      </c>
      <c r="G174">
        <v>391.35</v>
      </c>
      <c r="H174">
        <f>E174*1000000/D174</f>
        <v>909864.49074748659</v>
      </c>
      <c r="I174" t="str">
        <f>IF(AND(B174&gt;=2018, B174&lt;=2021), "2018-2021", IF(AND(B174&gt;=2022, B174&lt;=2024), "2022-2024", "Other"))</f>
        <v>2018-2021</v>
      </c>
    </row>
    <row r="175" spans="1:9" x14ac:dyDescent="0.3">
      <c r="A175" t="s">
        <v>16</v>
      </c>
      <c r="B175">
        <v>2023</v>
      </c>
      <c r="C175" t="s">
        <v>12</v>
      </c>
      <c r="D175">
        <v>31130.27</v>
      </c>
      <c r="E175">
        <v>36622.71</v>
      </c>
      <c r="F175">
        <v>139.05000000000001</v>
      </c>
      <c r="G175">
        <v>415.19</v>
      </c>
      <c r="H175">
        <f>E175*1000000/D175</f>
        <v>1176434.0624093527</v>
      </c>
      <c r="I175" t="str">
        <f>IF(AND(B175&gt;=2018, B175&lt;=2021), "2018-2021", IF(AND(B175&gt;=2022, B175&lt;=2024), "2022-2024", "Other"))</f>
        <v>2022-2024</v>
      </c>
    </row>
    <row r="176" spans="1:9" x14ac:dyDescent="0.3">
      <c r="A176" t="s">
        <v>18</v>
      </c>
      <c r="B176">
        <v>2019</v>
      </c>
      <c r="C176" t="s">
        <v>12</v>
      </c>
      <c r="D176">
        <v>31515.32</v>
      </c>
      <c r="E176">
        <v>37428.53</v>
      </c>
      <c r="F176">
        <v>179.92</v>
      </c>
      <c r="G176">
        <v>1274.45</v>
      </c>
      <c r="H176">
        <f>E176*1000000/D176</f>
        <v>1187629.6988258408</v>
      </c>
      <c r="I176" t="str">
        <f>IF(AND(B176&gt;=2018, B176&lt;=2021), "2018-2021", IF(AND(B176&gt;=2022, B176&lt;=2024), "2022-2024", "Other"))</f>
        <v>2018-2021</v>
      </c>
    </row>
    <row r="177" spans="1:9" x14ac:dyDescent="0.3">
      <c r="A177" t="s">
        <v>25</v>
      </c>
      <c r="B177">
        <v>2018</v>
      </c>
      <c r="C177" t="s">
        <v>0</v>
      </c>
      <c r="D177">
        <v>41159.800000000003</v>
      </c>
      <c r="E177">
        <v>38825.97</v>
      </c>
      <c r="F177">
        <v>81.599999999999994</v>
      </c>
      <c r="G177">
        <v>835.23</v>
      </c>
      <c r="H177">
        <f>E177*1000000/D177</f>
        <v>943298.31534652738</v>
      </c>
      <c r="I177" t="str">
        <f>IF(AND(B177&gt;=2018, B177&lt;=2021), "2018-2021", IF(AND(B177&gt;=2022, B177&lt;=2024), "2022-2024", "Other"))</f>
        <v>2018-2021</v>
      </c>
    </row>
    <row r="178" spans="1:9" x14ac:dyDescent="0.3">
      <c r="A178" t="s">
        <v>19</v>
      </c>
      <c r="B178">
        <v>2022</v>
      </c>
      <c r="C178" t="s">
        <v>14</v>
      </c>
      <c r="D178">
        <v>40267.47</v>
      </c>
      <c r="E178">
        <v>39933.879999999997</v>
      </c>
      <c r="F178">
        <v>171.17</v>
      </c>
      <c r="G178">
        <v>844.93</v>
      </c>
      <c r="H178">
        <f>E178*1000000/D178</f>
        <v>991715.64540806762</v>
      </c>
      <c r="I178" t="str">
        <f>IF(AND(B178&gt;=2018, B178&lt;=2021), "2018-2021", IF(AND(B178&gt;=2022, B178&lt;=2024), "2022-2024", "Other"))</f>
        <v>2022-2024</v>
      </c>
    </row>
    <row r="179" spans="1:9" x14ac:dyDescent="0.3">
      <c r="A179" t="s">
        <v>24</v>
      </c>
      <c r="B179">
        <v>2019</v>
      </c>
      <c r="C179" t="s">
        <v>14</v>
      </c>
      <c r="D179">
        <v>20750.009999999998</v>
      </c>
      <c r="E179">
        <v>20032.02</v>
      </c>
      <c r="F179">
        <v>32.25</v>
      </c>
      <c r="G179">
        <v>960.19</v>
      </c>
      <c r="H179">
        <f>E179*1000000/D179</f>
        <v>965398.08896477649</v>
      </c>
      <c r="I179" t="str">
        <f>IF(AND(B179&gt;=2018, B179&lt;=2021), "2018-2021", IF(AND(B179&gt;=2022, B179&lt;=2024), "2022-2024", "Other"))</f>
        <v>2018-2021</v>
      </c>
    </row>
    <row r="180" spans="1:9" x14ac:dyDescent="0.3">
      <c r="A180" t="s">
        <v>5</v>
      </c>
      <c r="B180">
        <v>2019</v>
      </c>
      <c r="C180" t="s">
        <v>0</v>
      </c>
      <c r="D180">
        <v>8381.26</v>
      </c>
      <c r="E180">
        <v>7150.57</v>
      </c>
      <c r="F180">
        <v>132.06</v>
      </c>
      <c r="G180">
        <v>1307.9000000000001</v>
      </c>
      <c r="H180">
        <f>E180*1000000/D180</f>
        <v>853161.69645136886</v>
      </c>
      <c r="I180" t="str">
        <f>IF(AND(B180&gt;=2018, B180&lt;=2021), "2018-2021", IF(AND(B180&gt;=2022, B180&lt;=2024), "2022-2024", "Other"))</f>
        <v>2018-2021</v>
      </c>
    </row>
    <row r="181" spans="1:9" x14ac:dyDescent="0.3">
      <c r="A181" t="s">
        <v>13</v>
      </c>
      <c r="B181">
        <v>2022</v>
      </c>
      <c r="C181" t="s">
        <v>8</v>
      </c>
      <c r="D181">
        <v>25689.200000000001</v>
      </c>
      <c r="E181">
        <v>27161.16</v>
      </c>
      <c r="F181">
        <v>190.25</v>
      </c>
      <c r="G181">
        <v>722.25</v>
      </c>
      <c r="H181">
        <f>E181*1000000/D181</f>
        <v>1057298.7870389114</v>
      </c>
      <c r="I181" t="str">
        <f>IF(AND(B181&gt;=2018, B181&lt;=2021), "2018-2021", IF(AND(B181&gt;=2022, B181&lt;=2024), "2022-2024", "Other"))</f>
        <v>2022-2024</v>
      </c>
    </row>
    <row r="182" spans="1:9" x14ac:dyDescent="0.3">
      <c r="A182" t="s">
        <v>18</v>
      </c>
      <c r="B182">
        <v>2020</v>
      </c>
      <c r="C182" t="s">
        <v>6</v>
      </c>
      <c r="D182">
        <v>15808.38</v>
      </c>
      <c r="E182">
        <v>16825.54</v>
      </c>
      <c r="F182">
        <v>194.85</v>
      </c>
      <c r="G182">
        <v>1098</v>
      </c>
      <c r="H182">
        <f>E182*1000000/D182</f>
        <v>1064343.0889186622</v>
      </c>
      <c r="I182" t="str">
        <f>IF(AND(B182&gt;=2018, B182&lt;=2021), "2018-2021", IF(AND(B182&gt;=2022, B182&lt;=2024), "2022-2024", "Other"))</f>
        <v>2018-2021</v>
      </c>
    </row>
    <row r="183" spans="1:9" x14ac:dyDescent="0.3">
      <c r="A183" t="s">
        <v>11</v>
      </c>
      <c r="B183">
        <v>2022</v>
      </c>
      <c r="C183" t="s">
        <v>4</v>
      </c>
      <c r="D183">
        <v>3751.19</v>
      </c>
      <c r="E183">
        <v>3403.5</v>
      </c>
      <c r="F183">
        <v>112.55</v>
      </c>
      <c r="G183">
        <v>600.38</v>
      </c>
      <c r="H183">
        <f>E183*1000000/D183</f>
        <v>907312.07963339635</v>
      </c>
      <c r="I183" t="str">
        <f>IF(AND(B183&gt;=2018, B183&lt;=2021), "2018-2021", IF(AND(B183&gt;=2022, B183&lt;=2024), "2022-2024", "Other"))</f>
        <v>2022-2024</v>
      </c>
    </row>
    <row r="184" spans="1:9" x14ac:dyDescent="0.3">
      <c r="A184" t="s">
        <v>21</v>
      </c>
      <c r="B184">
        <v>2020</v>
      </c>
      <c r="C184" t="s">
        <v>6</v>
      </c>
      <c r="D184">
        <v>15333.15</v>
      </c>
      <c r="E184">
        <v>13655.73</v>
      </c>
      <c r="F184">
        <v>32.53</v>
      </c>
      <c r="G184">
        <v>599.9</v>
      </c>
      <c r="H184">
        <f>E184*1000000/D184</f>
        <v>890601.73545553267</v>
      </c>
      <c r="I184" t="str">
        <f>IF(AND(B184&gt;=2018, B184&lt;=2021), "2018-2021", IF(AND(B184&gt;=2022, B184&lt;=2024), "2022-2024", "Other"))</f>
        <v>2018-2021</v>
      </c>
    </row>
    <row r="185" spans="1:9" x14ac:dyDescent="0.3">
      <c r="A185" t="s">
        <v>3</v>
      </c>
      <c r="B185">
        <v>2020</v>
      </c>
      <c r="C185" t="s">
        <v>12</v>
      </c>
      <c r="D185">
        <v>45456.99</v>
      </c>
      <c r="E185">
        <v>47399.77</v>
      </c>
      <c r="F185">
        <v>105.52</v>
      </c>
      <c r="G185">
        <v>897.68</v>
      </c>
      <c r="H185">
        <f>E185*1000000/D185</f>
        <v>1042738.8615040283</v>
      </c>
      <c r="I185" t="str">
        <f>IF(AND(B185&gt;=2018, B185&lt;=2021), "2018-2021", IF(AND(B185&gt;=2022, B185&lt;=2024), "2022-2024", "Other"))</f>
        <v>2018-2021</v>
      </c>
    </row>
    <row r="186" spans="1:9" x14ac:dyDescent="0.3">
      <c r="A186" t="s">
        <v>17</v>
      </c>
      <c r="B186">
        <v>2022</v>
      </c>
      <c r="C186" t="s">
        <v>4</v>
      </c>
      <c r="D186">
        <v>12712.22</v>
      </c>
      <c r="E186">
        <v>11265.97</v>
      </c>
      <c r="F186">
        <v>31.29</v>
      </c>
      <c r="G186">
        <v>1167.45</v>
      </c>
      <c r="H186">
        <f>E186*1000000/D186</f>
        <v>886231.51581706421</v>
      </c>
      <c r="I186" t="str">
        <f>IF(AND(B186&gt;=2018, B186&lt;=2021), "2018-2021", IF(AND(B186&gt;=2022, B186&lt;=2024), "2022-2024", "Other"))</f>
        <v>2022-2024</v>
      </c>
    </row>
    <row r="187" spans="1:9" x14ac:dyDescent="0.3">
      <c r="A187" t="s">
        <v>21</v>
      </c>
      <c r="B187">
        <v>2019</v>
      </c>
      <c r="C187" t="s">
        <v>8</v>
      </c>
      <c r="D187">
        <v>48904.89</v>
      </c>
      <c r="E187">
        <v>57120.77</v>
      </c>
      <c r="F187">
        <v>186.51</v>
      </c>
      <c r="G187">
        <v>94.54</v>
      </c>
      <c r="H187">
        <f>E187*1000000/D187</f>
        <v>1167997.1062198484</v>
      </c>
      <c r="I187" t="str">
        <f>IF(AND(B187&gt;=2018, B187&lt;=2021), "2018-2021", IF(AND(B187&gt;=2022, B187&lt;=2024), "2022-2024", "Other"))</f>
        <v>2018-2021</v>
      </c>
    </row>
    <row r="188" spans="1:9" x14ac:dyDescent="0.3">
      <c r="A188" t="s">
        <v>22</v>
      </c>
      <c r="B188">
        <v>2018</v>
      </c>
      <c r="C188" t="s">
        <v>12</v>
      </c>
      <c r="D188">
        <v>38921.019999999997</v>
      </c>
      <c r="E188">
        <v>38773.26</v>
      </c>
      <c r="F188">
        <v>130.38999999999999</v>
      </c>
      <c r="G188">
        <v>1205.1099999999999</v>
      </c>
      <c r="H188">
        <f>E188*1000000/D188</f>
        <v>996203.5938420936</v>
      </c>
      <c r="I188" t="str">
        <f>IF(AND(B188&gt;=2018, B188&lt;=2021), "2018-2021", IF(AND(B188&gt;=2022, B188&lt;=2024), "2022-2024", "Other"))</f>
        <v>2018-2021</v>
      </c>
    </row>
    <row r="189" spans="1:9" x14ac:dyDescent="0.3">
      <c r="A189" t="s">
        <v>19</v>
      </c>
      <c r="B189">
        <v>2024</v>
      </c>
      <c r="C189" t="s">
        <v>4</v>
      </c>
      <c r="D189">
        <v>6167.66</v>
      </c>
      <c r="E189">
        <v>6479.29</v>
      </c>
      <c r="F189">
        <v>165.44</v>
      </c>
      <c r="G189">
        <v>1190.31</v>
      </c>
      <c r="H189">
        <f>E189*1000000/D189</f>
        <v>1050526.4557384811</v>
      </c>
      <c r="I189" t="str">
        <f>IF(AND(B189&gt;=2018, B189&lt;=2021), "2018-2021", IF(AND(B189&gt;=2022, B189&lt;=2024), "2022-2024", "Other"))</f>
        <v>2022-2024</v>
      </c>
    </row>
    <row r="190" spans="1:9" x14ac:dyDescent="0.3">
      <c r="A190" t="s">
        <v>20</v>
      </c>
      <c r="B190">
        <v>2020</v>
      </c>
      <c r="C190" t="s">
        <v>6</v>
      </c>
      <c r="D190">
        <v>3471.38</v>
      </c>
      <c r="E190">
        <v>3642.06</v>
      </c>
      <c r="F190">
        <v>162.63999999999999</v>
      </c>
      <c r="G190">
        <v>1201.95</v>
      </c>
      <c r="H190">
        <f>E190*1000000/D190</f>
        <v>1049167.7661333533</v>
      </c>
      <c r="I190" t="str">
        <f>IF(AND(B190&gt;=2018, B190&lt;=2021), "2018-2021", IF(AND(B190&gt;=2022, B190&lt;=2024), "2022-2024", "Other"))</f>
        <v>2018-2021</v>
      </c>
    </row>
    <row r="191" spans="1:9" x14ac:dyDescent="0.3">
      <c r="A191" t="s">
        <v>13</v>
      </c>
      <c r="B191">
        <v>2020</v>
      </c>
      <c r="C191" t="s">
        <v>8</v>
      </c>
      <c r="D191">
        <v>36432.74</v>
      </c>
      <c r="E191">
        <v>38640.080000000002</v>
      </c>
      <c r="F191">
        <v>160.6</v>
      </c>
      <c r="G191">
        <v>790.29</v>
      </c>
      <c r="H191">
        <f>E191*1000000/D191</f>
        <v>1060586.7140379781</v>
      </c>
      <c r="I191" t="str">
        <f>IF(AND(B191&gt;=2018, B191&lt;=2021), "2018-2021", IF(AND(B191&gt;=2022, B191&lt;=2024), "2022-2024", "Other"))</f>
        <v>2018-2021</v>
      </c>
    </row>
    <row r="192" spans="1:9" x14ac:dyDescent="0.3">
      <c r="A192" t="s">
        <v>27</v>
      </c>
      <c r="B192">
        <v>2019</v>
      </c>
      <c r="C192" t="s">
        <v>9</v>
      </c>
      <c r="D192">
        <v>19231.849999999999</v>
      </c>
      <c r="E192">
        <v>16773.79</v>
      </c>
      <c r="F192">
        <v>70.91</v>
      </c>
      <c r="G192">
        <v>1235.48</v>
      </c>
      <c r="H192">
        <f>E192*1000000/D192</f>
        <v>872188.06303085771</v>
      </c>
      <c r="I192" t="str">
        <f>IF(AND(B192&gt;=2018, B192&lt;=2021), "2018-2021", IF(AND(B192&gt;=2022, B192&lt;=2024), "2022-2024", "Other"))</f>
        <v>2018-2021</v>
      </c>
    </row>
    <row r="193" spans="1:9" x14ac:dyDescent="0.3">
      <c r="A193" t="s">
        <v>27</v>
      </c>
      <c r="B193">
        <v>2018</v>
      </c>
      <c r="C193" t="s">
        <v>0</v>
      </c>
      <c r="D193">
        <v>4198.4799999999996</v>
      </c>
      <c r="E193">
        <v>4740.46</v>
      </c>
      <c r="F193">
        <v>183.39</v>
      </c>
      <c r="G193">
        <v>802.23</v>
      </c>
      <c r="H193">
        <f>E193*1000000/D193</f>
        <v>1129089.5752748614</v>
      </c>
      <c r="I193" t="str">
        <f>IF(AND(B193&gt;=2018, B193&lt;=2021), "2018-2021", IF(AND(B193&gt;=2022, B193&lt;=2024), "2022-2024", "Other"))</f>
        <v>2018-2021</v>
      </c>
    </row>
    <row r="194" spans="1:9" x14ac:dyDescent="0.3">
      <c r="A194" t="s">
        <v>27</v>
      </c>
      <c r="B194">
        <v>2019</v>
      </c>
      <c r="C194" t="s">
        <v>9</v>
      </c>
      <c r="D194">
        <v>48375.92</v>
      </c>
      <c r="E194">
        <v>54885.58</v>
      </c>
      <c r="F194">
        <v>111.57</v>
      </c>
      <c r="G194">
        <v>87.25</v>
      </c>
      <c r="H194">
        <f>E194*1000000/D194</f>
        <v>1134564.055836044</v>
      </c>
      <c r="I194" t="str">
        <f>IF(AND(B194&gt;=2018, B194&lt;=2021), "2018-2021", IF(AND(B194&gt;=2022, B194&lt;=2024), "2022-2024", "Other"))</f>
        <v>2018-2021</v>
      </c>
    </row>
    <row r="195" spans="1:9" x14ac:dyDescent="0.3">
      <c r="A195" t="s">
        <v>26</v>
      </c>
      <c r="B195">
        <v>2020</v>
      </c>
      <c r="C195" t="s">
        <v>9</v>
      </c>
      <c r="D195">
        <v>23721</v>
      </c>
      <c r="E195">
        <v>27890.37</v>
      </c>
      <c r="F195">
        <v>55.83</v>
      </c>
      <c r="G195">
        <v>308.82</v>
      </c>
      <c r="H195">
        <f>E195*1000000/D195</f>
        <v>1175767.0418616417</v>
      </c>
      <c r="I195" t="str">
        <f>IF(AND(B195&gt;=2018, B195&lt;=2021), "2018-2021", IF(AND(B195&gt;=2022, B195&lt;=2024), "2022-2024", "Other"))</f>
        <v>2018-2021</v>
      </c>
    </row>
    <row r="196" spans="1:9" x14ac:dyDescent="0.3">
      <c r="A196" t="s">
        <v>23</v>
      </c>
      <c r="B196">
        <v>2022</v>
      </c>
      <c r="C196" t="s">
        <v>12</v>
      </c>
      <c r="D196">
        <v>49893.96</v>
      </c>
      <c r="E196">
        <v>42739.19</v>
      </c>
      <c r="F196">
        <v>123.54</v>
      </c>
      <c r="G196">
        <v>446.97</v>
      </c>
      <c r="H196">
        <f>E196*1000000/D196</f>
        <v>856600.47829436674</v>
      </c>
      <c r="I196" t="str">
        <f>IF(AND(B196&gt;=2018, B196&lt;=2021), "2018-2021", IF(AND(B196&gt;=2022, B196&lt;=2024), "2022-2024", "Other"))</f>
        <v>2022-2024</v>
      </c>
    </row>
    <row r="197" spans="1:9" x14ac:dyDescent="0.3">
      <c r="A197" t="s">
        <v>1</v>
      </c>
      <c r="B197">
        <v>2023</v>
      </c>
      <c r="C197" t="s">
        <v>8</v>
      </c>
      <c r="D197">
        <v>42544.59</v>
      </c>
      <c r="E197">
        <v>39659.69</v>
      </c>
      <c r="F197">
        <v>97.09</v>
      </c>
      <c r="G197">
        <v>58.21</v>
      </c>
      <c r="H197">
        <f>E197*1000000/D197</f>
        <v>932191.14345678268</v>
      </c>
      <c r="I197" t="str">
        <f>IF(AND(B197&gt;=2018, B197&lt;=2021), "2018-2021", IF(AND(B197&gt;=2022, B197&lt;=2024), "2022-2024", "Other"))</f>
        <v>2022-2024</v>
      </c>
    </row>
    <row r="198" spans="1:9" x14ac:dyDescent="0.3">
      <c r="A198" t="s">
        <v>1</v>
      </c>
      <c r="B198">
        <v>2023</v>
      </c>
      <c r="C198" t="s">
        <v>0</v>
      </c>
      <c r="D198">
        <v>15275.97</v>
      </c>
      <c r="E198">
        <v>13016.74</v>
      </c>
      <c r="F198">
        <v>39.68</v>
      </c>
      <c r="G198">
        <v>640.22</v>
      </c>
      <c r="H198">
        <f>E198*1000000/D198</f>
        <v>852105.62733495818</v>
      </c>
      <c r="I198" t="str">
        <f>IF(AND(B198&gt;=2018, B198&lt;=2021), "2018-2021", IF(AND(B198&gt;=2022, B198&lt;=2024), "2022-2024", "Other"))</f>
        <v>2022-2024</v>
      </c>
    </row>
    <row r="199" spans="1:9" x14ac:dyDescent="0.3">
      <c r="A199" t="s">
        <v>3</v>
      </c>
      <c r="B199">
        <v>2021</v>
      </c>
      <c r="C199" t="s">
        <v>4</v>
      </c>
      <c r="D199">
        <v>3714.44</v>
      </c>
      <c r="E199">
        <v>3261.31</v>
      </c>
      <c r="F199">
        <v>170.97</v>
      </c>
      <c r="G199">
        <v>232.56</v>
      </c>
      <c r="H199">
        <f>E199*1000000/D199</f>
        <v>878008.52887649275</v>
      </c>
      <c r="I199" t="str">
        <f>IF(AND(B199&gt;=2018, B199&lt;=2021), "2018-2021", IF(AND(B199&gt;=2022, B199&lt;=2024), "2022-2024", "Other"))</f>
        <v>2018-2021</v>
      </c>
    </row>
    <row r="200" spans="1:9" x14ac:dyDescent="0.3">
      <c r="A200" t="s">
        <v>1</v>
      </c>
      <c r="B200">
        <v>2022</v>
      </c>
      <c r="C200" t="s">
        <v>14</v>
      </c>
      <c r="D200">
        <v>739.5</v>
      </c>
      <c r="E200">
        <v>763.45</v>
      </c>
      <c r="F200">
        <v>172.65</v>
      </c>
      <c r="G200">
        <v>673.21</v>
      </c>
      <c r="H200">
        <f>E200*1000000/D200</f>
        <v>1032386.7478025693</v>
      </c>
      <c r="I200" t="str">
        <f>IF(AND(B200&gt;=2018, B200&lt;=2021), "2018-2021", IF(AND(B200&gt;=2022, B200&lt;=2024), "2022-2024", "Other"))</f>
        <v>2022-2024</v>
      </c>
    </row>
    <row r="201" spans="1:9" x14ac:dyDescent="0.3">
      <c r="A201" t="s">
        <v>22</v>
      </c>
      <c r="B201">
        <v>2021</v>
      </c>
      <c r="C201" t="s">
        <v>4</v>
      </c>
      <c r="D201">
        <v>32933.1</v>
      </c>
      <c r="E201">
        <v>26687.759999999998</v>
      </c>
      <c r="F201">
        <v>174.87</v>
      </c>
      <c r="G201">
        <v>367.32</v>
      </c>
      <c r="H201">
        <f>E201*1000000/D201</f>
        <v>810362.82645727252</v>
      </c>
      <c r="I201" t="str">
        <f>IF(AND(B201&gt;=2018, B201&lt;=2021), "2018-2021", IF(AND(B201&gt;=2022, B201&lt;=2024), "2022-2024", "Other"))</f>
        <v>2018-2021</v>
      </c>
    </row>
    <row r="202" spans="1:9" x14ac:dyDescent="0.3">
      <c r="A202" t="s">
        <v>17</v>
      </c>
      <c r="B202">
        <v>2018</v>
      </c>
      <c r="C202" t="s">
        <v>8</v>
      </c>
      <c r="D202">
        <v>25308.57</v>
      </c>
      <c r="E202">
        <v>30171.15</v>
      </c>
      <c r="F202">
        <v>66.16</v>
      </c>
      <c r="G202">
        <v>1015.59</v>
      </c>
      <c r="H202">
        <f>E202*1000000/D202</f>
        <v>1192131.7561600676</v>
      </c>
      <c r="I202" t="str">
        <f>IF(AND(B202&gt;=2018, B202&lt;=2021), "2018-2021", IF(AND(B202&gt;=2022, B202&lt;=2024), "2022-2024", "Other"))</f>
        <v>2018-2021</v>
      </c>
    </row>
    <row r="203" spans="1:9" x14ac:dyDescent="0.3">
      <c r="A203" t="s">
        <v>16</v>
      </c>
      <c r="B203">
        <v>2022</v>
      </c>
      <c r="C203" t="s">
        <v>6</v>
      </c>
      <c r="D203">
        <v>16593.43</v>
      </c>
      <c r="E203">
        <v>16794.72</v>
      </c>
      <c r="F203">
        <v>40</v>
      </c>
      <c r="G203">
        <v>18.13</v>
      </c>
      <c r="H203">
        <f>E203*1000000/D203</f>
        <v>1012130.7047427808</v>
      </c>
      <c r="I203" t="str">
        <f>IF(AND(B203&gt;=2018, B203&lt;=2021), "2018-2021", IF(AND(B203&gt;=2022, B203&lt;=2024), "2022-2024", "Other"))</f>
        <v>2022-2024</v>
      </c>
    </row>
    <row r="204" spans="1:9" x14ac:dyDescent="0.3">
      <c r="A204" t="s">
        <v>11</v>
      </c>
      <c r="B204">
        <v>2019</v>
      </c>
      <c r="C204" t="s">
        <v>0</v>
      </c>
      <c r="D204">
        <v>49576.05</v>
      </c>
      <c r="E204">
        <v>40382.720000000001</v>
      </c>
      <c r="F204">
        <v>104.51</v>
      </c>
      <c r="G204">
        <v>173.02</v>
      </c>
      <c r="H204">
        <f>E204*1000000/D204</f>
        <v>814561.06325534196</v>
      </c>
      <c r="I204" t="str">
        <f>IF(AND(B204&gt;=2018, B204&lt;=2021), "2018-2021", IF(AND(B204&gt;=2022, B204&lt;=2024), "2022-2024", "Other"))</f>
        <v>2018-2021</v>
      </c>
    </row>
    <row r="205" spans="1:9" x14ac:dyDescent="0.3">
      <c r="A205" t="s">
        <v>25</v>
      </c>
      <c r="B205">
        <v>2020</v>
      </c>
      <c r="C205" t="s">
        <v>14</v>
      </c>
      <c r="D205">
        <v>4364.47</v>
      </c>
      <c r="E205">
        <v>4652.6099999999997</v>
      </c>
      <c r="F205">
        <v>169.33</v>
      </c>
      <c r="G205">
        <v>267.81</v>
      </c>
      <c r="H205">
        <f>E205*1000000/D205</f>
        <v>1066019.470863587</v>
      </c>
      <c r="I205" t="str">
        <f>IF(AND(B205&gt;=2018, B205&lt;=2021), "2018-2021", IF(AND(B205&gt;=2022, B205&lt;=2024), "2022-2024", "Other"))</f>
        <v>2018-2021</v>
      </c>
    </row>
    <row r="206" spans="1:9" x14ac:dyDescent="0.3">
      <c r="A206" t="s">
        <v>18</v>
      </c>
      <c r="B206">
        <v>2021</v>
      </c>
      <c r="C206" t="s">
        <v>6</v>
      </c>
      <c r="D206">
        <v>24385.74</v>
      </c>
      <c r="E206">
        <v>25811.86</v>
      </c>
      <c r="F206">
        <v>54.04</v>
      </c>
      <c r="G206">
        <v>1061.4000000000001</v>
      </c>
      <c r="H206">
        <f>E206*1000000/D206</f>
        <v>1058481.7192342738</v>
      </c>
      <c r="I206" t="str">
        <f>IF(AND(B206&gt;=2018, B206&lt;=2021), "2018-2021", IF(AND(B206&gt;=2022, B206&lt;=2024), "2022-2024", "Other"))</f>
        <v>2018-2021</v>
      </c>
    </row>
    <row r="207" spans="1:9" x14ac:dyDescent="0.3">
      <c r="A207" t="s">
        <v>1</v>
      </c>
      <c r="B207">
        <v>2023</v>
      </c>
      <c r="C207" t="s">
        <v>14</v>
      </c>
      <c r="D207">
        <v>16869.71</v>
      </c>
      <c r="E207">
        <v>14181.75</v>
      </c>
      <c r="F207">
        <v>157.22</v>
      </c>
      <c r="G207">
        <v>874.04</v>
      </c>
      <c r="H207">
        <f>E207*1000000/D207</f>
        <v>840663.5324495798</v>
      </c>
      <c r="I207" t="str">
        <f>IF(AND(B207&gt;=2018, B207&lt;=2021), "2018-2021", IF(AND(B207&gt;=2022, B207&lt;=2024), "2022-2024", "Other"))</f>
        <v>2022-2024</v>
      </c>
    </row>
    <row r="208" spans="1:9" x14ac:dyDescent="0.3">
      <c r="A208" t="s">
        <v>18</v>
      </c>
      <c r="B208">
        <v>2023</v>
      </c>
      <c r="C208" t="s">
        <v>4</v>
      </c>
      <c r="D208">
        <v>21397.48</v>
      </c>
      <c r="E208">
        <v>18490.310000000001</v>
      </c>
      <c r="F208">
        <v>177.98</v>
      </c>
      <c r="G208">
        <v>956.45</v>
      </c>
      <c r="H208">
        <f>E208*1000000/D208</f>
        <v>864134.93551577104</v>
      </c>
      <c r="I208" t="str">
        <f>IF(AND(B208&gt;=2018, B208&lt;=2021), "2018-2021", IF(AND(B208&gt;=2022, B208&lt;=2024), "2022-2024", "Other"))</f>
        <v>2022-2024</v>
      </c>
    </row>
    <row r="209" spans="1:9" x14ac:dyDescent="0.3">
      <c r="A209" t="s">
        <v>27</v>
      </c>
      <c r="B209">
        <v>2019</v>
      </c>
      <c r="C209" t="s">
        <v>12</v>
      </c>
      <c r="D209">
        <v>39896.879999999997</v>
      </c>
      <c r="E209">
        <v>34365.58</v>
      </c>
      <c r="F209">
        <v>92.78</v>
      </c>
      <c r="G209">
        <v>744.95</v>
      </c>
      <c r="H209">
        <f>E209*1000000/D209</f>
        <v>861360.08630248788</v>
      </c>
      <c r="I209" t="str">
        <f>IF(AND(B209&gt;=2018, B209&lt;=2021), "2018-2021", IF(AND(B209&gt;=2022, B209&lt;=2024), "2022-2024", "Other"))</f>
        <v>2018-2021</v>
      </c>
    </row>
    <row r="210" spans="1:9" x14ac:dyDescent="0.3">
      <c r="A210" t="s">
        <v>11</v>
      </c>
      <c r="B210">
        <v>2018</v>
      </c>
      <c r="C210" t="s">
        <v>8</v>
      </c>
      <c r="D210">
        <v>11229.86</v>
      </c>
      <c r="E210">
        <v>9641.07</v>
      </c>
      <c r="F210">
        <v>175.21</v>
      </c>
      <c r="G210">
        <v>831.35</v>
      </c>
      <c r="H210">
        <f>E210*1000000/D210</f>
        <v>858520.94327088667</v>
      </c>
      <c r="I210" t="str">
        <f>IF(AND(B210&gt;=2018, B210&lt;=2021), "2018-2021", IF(AND(B210&gt;=2022, B210&lt;=2024), "2022-2024", "Other"))</f>
        <v>2018-2021</v>
      </c>
    </row>
    <row r="211" spans="1:9" x14ac:dyDescent="0.3">
      <c r="A211" t="s">
        <v>23</v>
      </c>
      <c r="B211">
        <v>2023</v>
      </c>
      <c r="C211" t="s">
        <v>9</v>
      </c>
      <c r="D211">
        <v>9716.2199999999993</v>
      </c>
      <c r="E211">
        <v>10604.28</v>
      </c>
      <c r="F211">
        <v>149.41999999999999</v>
      </c>
      <c r="G211">
        <v>963.75</v>
      </c>
      <c r="H211">
        <f>E211*1000000/D211</f>
        <v>1091399.7418749267</v>
      </c>
      <c r="I211" t="str">
        <f>IF(AND(B211&gt;=2018, B211&lt;=2021), "2018-2021", IF(AND(B211&gt;=2022, B211&lt;=2024), "2022-2024", "Other"))</f>
        <v>2022-2024</v>
      </c>
    </row>
    <row r="212" spans="1:9" x14ac:dyDescent="0.3">
      <c r="A212" t="s">
        <v>5</v>
      </c>
      <c r="B212">
        <v>2024</v>
      </c>
      <c r="C212" t="s">
        <v>9</v>
      </c>
      <c r="D212">
        <v>30243.94</v>
      </c>
      <c r="E212">
        <v>26197.119999999999</v>
      </c>
      <c r="F212">
        <v>171.54</v>
      </c>
      <c r="G212">
        <v>863.36</v>
      </c>
      <c r="H212">
        <f>E212*1000000/D212</f>
        <v>866194.02101710299</v>
      </c>
      <c r="I212" t="str">
        <f>IF(AND(B212&gt;=2018, B212&lt;=2021), "2018-2021", IF(AND(B212&gt;=2022, B212&lt;=2024), "2022-2024", "Other"))</f>
        <v>2022-2024</v>
      </c>
    </row>
    <row r="213" spans="1:9" x14ac:dyDescent="0.3">
      <c r="A213" t="s">
        <v>20</v>
      </c>
      <c r="B213">
        <v>2021</v>
      </c>
      <c r="C213" t="s">
        <v>8</v>
      </c>
      <c r="D213">
        <v>3818.33</v>
      </c>
      <c r="E213">
        <v>4240.41</v>
      </c>
      <c r="F213">
        <v>59.44</v>
      </c>
      <c r="G213">
        <v>97.08</v>
      </c>
      <c r="H213">
        <f>E213*1000000/D213</f>
        <v>1110540.4718816865</v>
      </c>
      <c r="I213" t="str">
        <f>IF(AND(B213&gt;=2018, B213&lt;=2021), "2018-2021", IF(AND(B213&gt;=2022, B213&lt;=2024), "2022-2024", "Other"))</f>
        <v>2018-2021</v>
      </c>
    </row>
    <row r="214" spans="1:9" x14ac:dyDescent="0.3">
      <c r="A214" t="s">
        <v>15</v>
      </c>
      <c r="B214">
        <v>2020</v>
      </c>
      <c r="C214" t="s">
        <v>8</v>
      </c>
      <c r="D214">
        <v>35940.67</v>
      </c>
      <c r="E214">
        <v>41777.449999999997</v>
      </c>
      <c r="F214">
        <v>65.48</v>
      </c>
      <c r="G214">
        <v>904.28</v>
      </c>
      <c r="H214">
        <f>E214*1000000/D214</f>
        <v>1162400.4226966277</v>
      </c>
      <c r="I214" t="str">
        <f>IF(AND(B214&gt;=2018, B214&lt;=2021), "2018-2021", IF(AND(B214&gt;=2022, B214&lt;=2024), "2022-2024", "Other"))</f>
        <v>2018-2021</v>
      </c>
    </row>
    <row r="215" spans="1:9" x14ac:dyDescent="0.3">
      <c r="A215" t="s">
        <v>19</v>
      </c>
      <c r="B215">
        <v>2021</v>
      </c>
      <c r="C215" t="s">
        <v>2</v>
      </c>
      <c r="D215">
        <v>4959.43</v>
      </c>
      <c r="E215">
        <v>4817.6000000000004</v>
      </c>
      <c r="F215">
        <v>155.88999999999999</v>
      </c>
      <c r="G215">
        <v>774.03</v>
      </c>
      <c r="H215">
        <f>E215*1000000/D215</f>
        <v>971401.95546665636</v>
      </c>
      <c r="I215" t="str">
        <f>IF(AND(B215&gt;=2018, B215&lt;=2021), "2018-2021", IF(AND(B215&gt;=2022, B215&lt;=2024), "2022-2024", "Other"))</f>
        <v>2018-2021</v>
      </c>
    </row>
    <row r="216" spans="1:9" x14ac:dyDescent="0.3">
      <c r="A216" t="s">
        <v>10</v>
      </c>
      <c r="B216">
        <v>2020</v>
      </c>
      <c r="C216" t="s">
        <v>14</v>
      </c>
      <c r="D216">
        <v>20329.78</v>
      </c>
      <c r="E216">
        <v>17755.810000000001</v>
      </c>
      <c r="F216">
        <v>62.5</v>
      </c>
      <c r="G216">
        <v>51.24</v>
      </c>
      <c r="H216">
        <f>E216*1000000/D216</f>
        <v>873389.18571671715</v>
      </c>
      <c r="I216" t="str">
        <f>IF(AND(B216&gt;=2018, B216&lt;=2021), "2018-2021", IF(AND(B216&gt;=2022, B216&lt;=2024), "2022-2024", "Other"))</f>
        <v>2018-2021</v>
      </c>
    </row>
    <row r="217" spans="1:9" x14ac:dyDescent="0.3">
      <c r="A217" t="s">
        <v>21</v>
      </c>
      <c r="B217">
        <v>2021</v>
      </c>
      <c r="C217" t="s">
        <v>8</v>
      </c>
      <c r="D217">
        <v>44554.11</v>
      </c>
      <c r="E217">
        <v>53406.23</v>
      </c>
      <c r="F217">
        <v>169.72</v>
      </c>
      <c r="G217">
        <v>666.78</v>
      </c>
      <c r="H217">
        <f>E217*1000000/D217</f>
        <v>1198682.4560068646</v>
      </c>
      <c r="I217" t="str">
        <f>IF(AND(B217&gt;=2018, B217&lt;=2021), "2018-2021", IF(AND(B217&gt;=2022, B217&lt;=2024), "2022-2024", "Other"))</f>
        <v>2018-2021</v>
      </c>
    </row>
    <row r="218" spans="1:9" x14ac:dyDescent="0.3">
      <c r="A218" t="s">
        <v>27</v>
      </c>
      <c r="B218">
        <v>2022</v>
      </c>
      <c r="C218" t="s">
        <v>2</v>
      </c>
      <c r="D218">
        <v>31835.4</v>
      </c>
      <c r="E218">
        <v>33619.040000000001</v>
      </c>
      <c r="F218">
        <v>186.04</v>
      </c>
      <c r="G218">
        <v>1085.21</v>
      </c>
      <c r="H218">
        <f>E218*1000000/D218</f>
        <v>1056026.9385652449</v>
      </c>
      <c r="I218" t="str">
        <f>IF(AND(B218&gt;=2018, B218&lt;=2021), "2018-2021", IF(AND(B218&gt;=2022, B218&lt;=2024), "2022-2024", "Other"))</f>
        <v>2022-2024</v>
      </c>
    </row>
    <row r="219" spans="1:9" x14ac:dyDescent="0.3">
      <c r="A219" t="s">
        <v>15</v>
      </c>
      <c r="B219">
        <v>2023</v>
      </c>
      <c r="C219" t="s">
        <v>2</v>
      </c>
      <c r="D219">
        <v>35643.89</v>
      </c>
      <c r="E219">
        <v>41185.440000000002</v>
      </c>
      <c r="F219">
        <v>65.930000000000007</v>
      </c>
      <c r="G219">
        <v>1062.33</v>
      </c>
      <c r="H219">
        <f>E219*1000000/D219</f>
        <v>1155469.8434991243</v>
      </c>
      <c r="I219" t="str">
        <f>IF(AND(B219&gt;=2018, B219&lt;=2021), "2018-2021", IF(AND(B219&gt;=2022, B219&lt;=2024), "2022-2024", "Other"))</f>
        <v>2022-2024</v>
      </c>
    </row>
    <row r="220" spans="1:9" x14ac:dyDescent="0.3">
      <c r="A220" t="s">
        <v>23</v>
      </c>
      <c r="B220">
        <v>2019</v>
      </c>
      <c r="C220" t="s">
        <v>12</v>
      </c>
      <c r="D220">
        <v>16133.76</v>
      </c>
      <c r="E220">
        <v>15262.81</v>
      </c>
      <c r="F220">
        <v>129.19999999999999</v>
      </c>
      <c r="G220">
        <v>515.20000000000005</v>
      </c>
      <c r="H220">
        <f>E220*1000000/D220</f>
        <v>946016.92351937795</v>
      </c>
      <c r="I220" t="str">
        <f>IF(AND(B220&gt;=2018, B220&lt;=2021), "2018-2021", IF(AND(B220&gt;=2022, B220&lt;=2024), "2022-2024", "Other"))</f>
        <v>2018-2021</v>
      </c>
    </row>
    <row r="221" spans="1:9" x14ac:dyDescent="0.3">
      <c r="A221" t="s">
        <v>16</v>
      </c>
      <c r="B221">
        <v>2021</v>
      </c>
      <c r="C221" t="s">
        <v>8</v>
      </c>
      <c r="D221">
        <v>1709.16</v>
      </c>
      <c r="E221">
        <v>1961.3</v>
      </c>
      <c r="F221">
        <v>194.1</v>
      </c>
      <c r="G221">
        <v>244.01</v>
      </c>
      <c r="H221">
        <f>E221*1000000/D221</f>
        <v>1147522.7597182242</v>
      </c>
      <c r="I221" t="str">
        <f>IF(AND(B221&gt;=2018, B221&lt;=2021), "2018-2021", IF(AND(B221&gt;=2022, B221&lt;=2024), "2022-2024", "Other"))</f>
        <v>2018-2021</v>
      </c>
    </row>
    <row r="222" spans="1:9" x14ac:dyDescent="0.3">
      <c r="A222" t="s">
        <v>27</v>
      </c>
      <c r="B222">
        <v>2023</v>
      </c>
      <c r="C222" t="s">
        <v>12</v>
      </c>
      <c r="D222">
        <v>41482.57</v>
      </c>
      <c r="E222">
        <v>46333.09</v>
      </c>
      <c r="F222">
        <v>121.92</v>
      </c>
      <c r="G222">
        <v>244.71</v>
      </c>
      <c r="H222">
        <f>E222*1000000/D222</f>
        <v>1116929.110226295</v>
      </c>
      <c r="I222" t="str">
        <f>IF(AND(B222&gt;=2018, B222&lt;=2021), "2018-2021", IF(AND(B222&gt;=2022, B222&lt;=2024), "2022-2024", "Other"))</f>
        <v>2022-2024</v>
      </c>
    </row>
    <row r="223" spans="1:9" x14ac:dyDescent="0.3">
      <c r="A223" t="s">
        <v>7</v>
      </c>
      <c r="B223">
        <v>2021</v>
      </c>
      <c r="C223" t="s">
        <v>12</v>
      </c>
      <c r="D223">
        <v>46273.760000000002</v>
      </c>
      <c r="E223">
        <v>53925.1</v>
      </c>
      <c r="F223">
        <v>65.3</v>
      </c>
      <c r="G223">
        <v>536.6</v>
      </c>
      <c r="H223">
        <f>E223*1000000/D223</f>
        <v>1165349.4334586167</v>
      </c>
      <c r="I223" t="str">
        <f>IF(AND(B223&gt;=2018, B223&lt;=2021), "2018-2021", IF(AND(B223&gt;=2022, B223&lt;=2024), "2022-2024", "Other"))</f>
        <v>2018-2021</v>
      </c>
    </row>
    <row r="224" spans="1:9" x14ac:dyDescent="0.3">
      <c r="A224" t="s">
        <v>5</v>
      </c>
      <c r="B224">
        <v>2024</v>
      </c>
      <c r="C224" t="s">
        <v>12</v>
      </c>
      <c r="D224">
        <v>31630.65</v>
      </c>
      <c r="E224">
        <v>36217.51</v>
      </c>
      <c r="F224">
        <v>181.08</v>
      </c>
      <c r="G224">
        <v>270.32</v>
      </c>
      <c r="H224">
        <f>E224*1000000/D224</f>
        <v>1145013.1438968217</v>
      </c>
      <c r="I224" t="str">
        <f>IF(AND(B224&gt;=2018, B224&lt;=2021), "2018-2021", IF(AND(B224&gt;=2022, B224&lt;=2024), "2022-2024", "Other"))</f>
        <v>2022-2024</v>
      </c>
    </row>
    <row r="225" spans="1:9" x14ac:dyDescent="0.3">
      <c r="A225" t="s">
        <v>3</v>
      </c>
      <c r="B225">
        <v>2018</v>
      </c>
      <c r="C225" t="s">
        <v>9</v>
      </c>
      <c r="D225">
        <v>3623.19</v>
      </c>
      <c r="E225">
        <v>3779.23</v>
      </c>
      <c r="F225">
        <v>164.96</v>
      </c>
      <c r="G225">
        <v>1266.0899999999999</v>
      </c>
      <c r="H225">
        <f>E225*1000000/D225</f>
        <v>1043067.0210505107</v>
      </c>
      <c r="I225" t="str">
        <f>IF(AND(B225&gt;=2018, B225&lt;=2021), "2018-2021", IF(AND(B225&gt;=2022, B225&lt;=2024), "2022-2024", "Other"))</f>
        <v>2018-2021</v>
      </c>
    </row>
    <row r="226" spans="1:9" x14ac:dyDescent="0.3">
      <c r="A226" t="s">
        <v>3</v>
      </c>
      <c r="B226">
        <v>2018</v>
      </c>
      <c r="C226" t="s">
        <v>9</v>
      </c>
      <c r="D226">
        <v>46482.1</v>
      </c>
      <c r="E226">
        <v>55692.74</v>
      </c>
      <c r="F226">
        <v>112.9</v>
      </c>
      <c r="G226">
        <v>235.89</v>
      </c>
      <c r="H226">
        <f>E226*1000000/D226</f>
        <v>1198154.5584214139</v>
      </c>
      <c r="I226" t="str">
        <f>IF(AND(B226&gt;=2018, B226&lt;=2021), "2018-2021", IF(AND(B226&gt;=2022, B226&lt;=2024), "2022-2024", "Other"))</f>
        <v>2018-2021</v>
      </c>
    </row>
    <row r="227" spans="1:9" x14ac:dyDescent="0.3">
      <c r="A227" t="s">
        <v>27</v>
      </c>
      <c r="B227">
        <v>2024</v>
      </c>
      <c r="C227" t="s">
        <v>14</v>
      </c>
      <c r="D227">
        <v>7654.24</v>
      </c>
      <c r="E227">
        <v>8374.5</v>
      </c>
      <c r="F227">
        <v>40.54</v>
      </c>
      <c r="G227">
        <v>850.74</v>
      </c>
      <c r="H227">
        <f>E227*1000000/D227</f>
        <v>1094099.4795041704</v>
      </c>
      <c r="I227" t="str">
        <f>IF(AND(B227&gt;=2018, B227&lt;=2021), "2018-2021", IF(AND(B227&gt;=2022, B227&lt;=2024), "2022-2024", "Other"))</f>
        <v>2022-2024</v>
      </c>
    </row>
    <row r="228" spans="1:9" x14ac:dyDescent="0.3">
      <c r="A228" t="s">
        <v>27</v>
      </c>
      <c r="B228">
        <v>2020</v>
      </c>
      <c r="C228" t="s">
        <v>2</v>
      </c>
      <c r="D228">
        <v>46944.56</v>
      </c>
      <c r="E228">
        <v>50437.65</v>
      </c>
      <c r="F228">
        <v>151.66</v>
      </c>
      <c r="G228">
        <v>164.41</v>
      </c>
      <c r="H228">
        <f>E228*1000000/D228</f>
        <v>1074408.8345912711</v>
      </c>
      <c r="I228" t="str">
        <f>IF(AND(B228&gt;=2018, B228&lt;=2021), "2018-2021", IF(AND(B228&gt;=2022, B228&lt;=2024), "2022-2024", "Other"))</f>
        <v>2018-2021</v>
      </c>
    </row>
    <row r="229" spans="1:9" x14ac:dyDescent="0.3">
      <c r="A229" t="s">
        <v>21</v>
      </c>
      <c r="B229">
        <v>2020</v>
      </c>
      <c r="C229" t="s">
        <v>6</v>
      </c>
      <c r="D229">
        <v>8933.08</v>
      </c>
      <c r="E229">
        <v>8058.58</v>
      </c>
      <c r="F229">
        <v>118.63</v>
      </c>
      <c r="G229">
        <v>96.65</v>
      </c>
      <c r="H229">
        <f>E229*1000000/D229</f>
        <v>902105.43284063286</v>
      </c>
      <c r="I229" t="str">
        <f>IF(AND(B229&gt;=2018, B229&lt;=2021), "2018-2021", IF(AND(B229&gt;=2022, B229&lt;=2024), "2022-2024", "Other"))</f>
        <v>2018-2021</v>
      </c>
    </row>
    <row r="230" spans="1:9" x14ac:dyDescent="0.3">
      <c r="A230" t="s">
        <v>15</v>
      </c>
      <c r="B230">
        <v>2021</v>
      </c>
      <c r="C230" t="s">
        <v>4</v>
      </c>
      <c r="D230">
        <v>49843.31</v>
      </c>
      <c r="E230">
        <v>53122.46</v>
      </c>
      <c r="F230">
        <v>182.65</v>
      </c>
      <c r="G230">
        <v>1184.54</v>
      </c>
      <c r="H230">
        <f>E230*1000000/D230</f>
        <v>1065789.1701012633</v>
      </c>
      <c r="I230" t="str">
        <f>IF(AND(B230&gt;=2018, B230&lt;=2021), "2018-2021", IF(AND(B230&gt;=2022, B230&lt;=2024), "2022-2024", "Other"))</f>
        <v>2018-2021</v>
      </c>
    </row>
    <row r="231" spans="1:9" x14ac:dyDescent="0.3">
      <c r="A231" t="s">
        <v>24</v>
      </c>
      <c r="B231">
        <v>2021</v>
      </c>
      <c r="C231" t="s">
        <v>2</v>
      </c>
      <c r="D231">
        <v>1504.09</v>
      </c>
      <c r="E231">
        <v>1538.77</v>
      </c>
      <c r="F231">
        <v>141.38999999999999</v>
      </c>
      <c r="G231">
        <v>286.04000000000002</v>
      </c>
      <c r="H231">
        <f>E231*1000000/D231</f>
        <v>1023057.130889774</v>
      </c>
      <c r="I231" t="str">
        <f>IF(AND(B231&gt;=2018, B231&lt;=2021), "2018-2021", IF(AND(B231&gt;=2022, B231&lt;=2024), "2022-2024", "Other"))</f>
        <v>2018-2021</v>
      </c>
    </row>
    <row r="232" spans="1:9" x14ac:dyDescent="0.3">
      <c r="A232" t="s">
        <v>10</v>
      </c>
      <c r="B232">
        <v>2021</v>
      </c>
      <c r="C232" t="s">
        <v>9</v>
      </c>
      <c r="D232">
        <v>47308.57</v>
      </c>
      <c r="E232">
        <v>48088.55</v>
      </c>
      <c r="F232">
        <v>86.74</v>
      </c>
      <c r="G232">
        <v>839.06</v>
      </c>
      <c r="H232">
        <f>E232*1000000/D232</f>
        <v>1016487.0762316426</v>
      </c>
      <c r="I232" t="str">
        <f>IF(AND(B232&gt;=2018, B232&lt;=2021), "2018-2021", IF(AND(B232&gt;=2022, B232&lt;=2024), "2022-2024", "Other"))</f>
        <v>2018-2021</v>
      </c>
    </row>
    <row r="233" spans="1:9" x14ac:dyDescent="0.3">
      <c r="A233" t="s">
        <v>25</v>
      </c>
      <c r="B233">
        <v>2020</v>
      </c>
      <c r="C233" t="s">
        <v>4</v>
      </c>
      <c r="D233">
        <v>27939.53</v>
      </c>
      <c r="E233">
        <v>25519.13</v>
      </c>
      <c r="F233">
        <v>85.87</v>
      </c>
      <c r="G233">
        <v>1253.46</v>
      </c>
      <c r="H233">
        <f>E233*1000000/D233</f>
        <v>913370.05311112967</v>
      </c>
      <c r="I233" t="str">
        <f>IF(AND(B233&gt;=2018, B233&lt;=2021), "2018-2021", IF(AND(B233&gt;=2022, B233&lt;=2024), "2022-2024", "Other"))</f>
        <v>2018-2021</v>
      </c>
    </row>
    <row r="234" spans="1:9" x14ac:dyDescent="0.3">
      <c r="A234" t="s">
        <v>23</v>
      </c>
      <c r="B234">
        <v>2018</v>
      </c>
      <c r="C234" t="s">
        <v>6</v>
      </c>
      <c r="D234">
        <v>13854.47</v>
      </c>
      <c r="E234">
        <v>15117.89</v>
      </c>
      <c r="F234">
        <v>103.59</v>
      </c>
      <c r="G234">
        <v>83.38</v>
      </c>
      <c r="H234">
        <f>E234*1000000/D234</f>
        <v>1091192.2289340552</v>
      </c>
      <c r="I234" t="str">
        <f>IF(AND(B234&gt;=2018, B234&lt;=2021), "2018-2021", IF(AND(B234&gt;=2022, B234&lt;=2024), "2022-2024", "Other"))</f>
        <v>2018-2021</v>
      </c>
    </row>
    <row r="235" spans="1:9" x14ac:dyDescent="0.3">
      <c r="A235" t="s">
        <v>5</v>
      </c>
      <c r="B235">
        <v>2018</v>
      </c>
      <c r="C235" t="s">
        <v>8</v>
      </c>
      <c r="D235">
        <v>38417.129999999997</v>
      </c>
      <c r="E235">
        <v>34206.81</v>
      </c>
      <c r="F235">
        <v>41.04</v>
      </c>
      <c r="G235">
        <v>807.66</v>
      </c>
      <c r="H235">
        <f>E235*1000000/D235</f>
        <v>890405.13958226447</v>
      </c>
      <c r="I235" t="str">
        <f>IF(AND(B235&gt;=2018, B235&lt;=2021), "2018-2021", IF(AND(B235&gt;=2022, B235&lt;=2024), "2022-2024", "Other"))</f>
        <v>2018-2021</v>
      </c>
    </row>
    <row r="236" spans="1:9" x14ac:dyDescent="0.3">
      <c r="A236" t="s">
        <v>27</v>
      </c>
      <c r="B236">
        <v>2023</v>
      </c>
      <c r="C236" t="s">
        <v>9</v>
      </c>
      <c r="D236">
        <v>38328.79</v>
      </c>
      <c r="E236">
        <v>41982.15</v>
      </c>
      <c r="F236">
        <v>32.630000000000003</v>
      </c>
      <c r="G236">
        <v>785.91</v>
      </c>
      <c r="H236">
        <f>E236*1000000/D236</f>
        <v>1095316.3405367087</v>
      </c>
      <c r="I236" t="str">
        <f>IF(AND(B236&gt;=2018, B236&lt;=2021), "2018-2021", IF(AND(B236&gt;=2022, B236&lt;=2024), "2022-2024", "Other"))</f>
        <v>2022-2024</v>
      </c>
    </row>
    <row r="237" spans="1:9" x14ac:dyDescent="0.3">
      <c r="A237" t="s">
        <v>7</v>
      </c>
      <c r="B237">
        <v>2024</v>
      </c>
      <c r="C237" t="s">
        <v>14</v>
      </c>
      <c r="D237">
        <v>42665.84</v>
      </c>
      <c r="E237">
        <v>50088.639999999999</v>
      </c>
      <c r="F237">
        <v>158.69</v>
      </c>
      <c r="G237">
        <v>661.13</v>
      </c>
      <c r="H237">
        <f>E237*1000000/D237</f>
        <v>1173975.2457703869</v>
      </c>
      <c r="I237" t="str">
        <f>IF(AND(B237&gt;=2018, B237&lt;=2021), "2018-2021", IF(AND(B237&gt;=2022, B237&lt;=2024), "2022-2024", "Other"))</f>
        <v>2022-2024</v>
      </c>
    </row>
    <row r="238" spans="1:9" x14ac:dyDescent="0.3">
      <c r="A238" t="s">
        <v>13</v>
      </c>
      <c r="B238">
        <v>2022</v>
      </c>
      <c r="C238" t="s">
        <v>14</v>
      </c>
      <c r="D238">
        <v>37587.480000000003</v>
      </c>
      <c r="E238">
        <v>37984.639999999999</v>
      </c>
      <c r="F238">
        <v>60.13</v>
      </c>
      <c r="G238">
        <v>361.08</v>
      </c>
      <c r="H238">
        <f>E238*1000000/D238</f>
        <v>1010566.2843053058</v>
      </c>
      <c r="I238" t="str">
        <f>IF(AND(B238&gt;=2018, B238&lt;=2021), "2018-2021", IF(AND(B238&gt;=2022, B238&lt;=2024), "2022-2024", "Other"))</f>
        <v>2022-2024</v>
      </c>
    </row>
    <row r="239" spans="1:9" x14ac:dyDescent="0.3">
      <c r="A239" t="s">
        <v>19</v>
      </c>
      <c r="B239">
        <v>2018</v>
      </c>
      <c r="C239" t="s">
        <v>6</v>
      </c>
      <c r="D239">
        <v>44840.34</v>
      </c>
      <c r="E239">
        <v>52923.07</v>
      </c>
      <c r="F239">
        <v>161.21</v>
      </c>
      <c r="G239">
        <v>48.84</v>
      </c>
      <c r="H239">
        <f>E239*1000000/D239</f>
        <v>1180255.7696930934</v>
      </c>
      <c r="I239" t="str">
        <f>IF(AND(B239&gt;=2018, B239&lt;=2021), "2018-2021", IF(AND(B239&gt;=2022, B239&lt;=2024), "2022-2024", "Other"))</f>
        <v>2018-2021</v>
      </c>
    </row>
    <row r="240" spans="1:9" x14ac:dyDescent="0.3">
      <c r="A240" t="s">
        <v>16</v>
      </c>
      <c r="B240">
        <v>2020</v>
      </c>
      <c r="C240" t="s">
        <v>12</v>
      </c>
      <c r="D240">
        <v>14928.8</v>
      </c>
      <c r="E240">
        <v>16120.56</v>
      </c>
      <c r="F240">
        <v>34.49</v>
      </c>
      <c r="G240">
        <v>1182.3399999999999</v>
      </c>
      <c r="H240">
        <f>E240*1000000/D240</f>
        <v>1079829.5911258776</v>
      </c>
      <c r="I240" t="str">
        <f>IF(AND(B240&gt;=2018, B240&lt;=2021), "2018-2021", IF(AND(B240&gt;=2022, B240&lt;=2024), "2022-2024", "Other"))</f>
        <v>2018-2021</v>
      </c>
    </row>
    <row r="241" spans="1:9" x14ac:dyDescent="0.3">
      <c r="A241" t="s">
        <v>21</v>
      </c>
      <c r="B241">
        <v>2019</v>
      </c>
      <c r="C241" t="s">
        <v>6</v>
      </c>
      <c r="D241">
        <v>48827.14</v>
      </c>
      <c r="E241">
        <v>47821.599999999999</v>
      </c>
      <c r="F241">
        <v>195.5</v>
      </c>
      <c r="G241">
        <v>397.41</v>
      </c>
      <c r="H241">
        <f>E241*1000000/D241</f>
        <v>979406.12536388577</v>
      </c>
      <c r="I241" t="str">
        <f>IF(AND(B241&gt;=2018, B241&lt;=2021), "2018-2021", IF(AND(B241&gt;=2022, B241&lt;=2024), "2022-2024", "Other"))</f>
        <v>2018-2021</v>
      </c>
    </row>
    <row r="242" spans="1:9" x14ac:dyDescent="0.3">
      <c r="A242" t="s">
        <v>25</v>
      </c>
      <c r="B242">
        <v>2023</v>
      </c>
      <c r="C242" t="s">
        <v>2</v>
      </c>
      <c r="D242">
        <v>41053.019999999997</v>
      </c>
      <c r="E242">
        <v>45487.65</v>
      </c>
      <c r="F242">
        <v>157.25</v>
      </c>
      <c r="G242">
        <v>886.32</v>
      </c>
      <c r="H242">
        <f>E242*1000000/D242</f>
        <v>1108022.0164070756</v>
      </c>
      <c r="I242" t="str">
        <f>IF(AND(B242&gt;=2018, B242&lt;=2021), "2018-2021", IF(AND(B242&gt;=2022, B242&lt;=2024), "2022-2024", "Other"))</f>
        <v>2022-2024</v>
      </c>
    </row>
    <row r="243" spans="1:9" x14ac:dyDescent="0.3">
      <c r="A243" t="s">
        <v>20</v>
      </c>
      <c r="B243">
        <v>2022</v>
      </c>
      <c r="C243" t="s">
        <v>9</v>
      </c>
      <c r="D243">
        <v>47284.74</v>
      </c>
      <c r="E243">
        <v>54679.88</v>
      </c>
      <c r="F243">
        <v>86.66</v>
      </c>
      <c r="G243">
        <v>891.21</v>
      </c>
      <c r="H243">
        <f>E243*1000000/D243</f>
        <v>1156395.911239017</v>
      </c>
      <c r="I243" t="str">
        <f>IF(AND(B243&gt;=2018, B243&lt;=2021), "2018-2021", IF(AND(B243&gt;=2022, B243&lt;=2024), "2022-2024", "Other"))</f>
        <v>2022-2024</v>
      </c>
    </row>
    <row r="244" spans="1:9" x14ac:dyDescent="0.3">
      <c r="A244" t="s">
        <v>18</v>
      </c>
      <c r="B244">
        <v>2019</v>
      </c>
      <c r="C244" t="s">
        <v>9</v>
      </c>
      <c r="D244">
        <v>21011.84</v>
      </c>
      <c r="E244">
        <v>17190.439999999999</v>
      </c>
      <c r="F244">
        <v>179.55</v>
      </c>
      <c r="G244">
        <v>253.71</v>
      </c>
      <c r="H244">
        <f>E244*1000000/D244</f>
        <v>818131.11084036424</v>
      </c>
      <c r="I244" t="str">
        <f>IF(AND(B244&gt;=2018, B244&lt;=2021), "2018-2021", IF(AND(B244&gt;=2022, B244&lt;=2024), "2022-2024", "Other"))</f>
        <v>2018-2021</v>
      </c>
    </row>
    <row r="245" spans="1:9" x14ac:dyDescent="0.3">
      <c r="A245" t="s">
        <v>23</v>
      </c>
      <c r="B245">
        <v>2024</v>
      </c>
      <c r="C245" t="s">
        <v>12</v>
      </c>
      <c r="D245">
        <v>47975.09</v>
      </c>
      <c r="E245">
        <v>57145.29</v>
      </c>
      <c r="F245">
        <v>197.07</v>
      </c>
      <c r="G245">
        <v>1192.25</v>
      </c>
      <c r="H245">
        <f>E245*1000000/D245</f>
        <v>1191145.02963934</v>
      </c>
      <c r="I245" t="str">
        <f>IF(AND(B245&gt;=2018, B245&lt;=2021), "2018-2021", IF(AND(B245&gt;=2022, B245&lt;=2024), "2022-2024", "Other"))</f>
        <v>2022-2024</v>
      </c>
    </row>
    <row r="246" spans="1:9" x14ac:dyDescent="0.3">
      <c r="A246" t="s">
        <v>17</v>
      </c>
      <c r="B246">
        <v>2021</v>
      </c>
      <c r="C246" t="s">
        <v>6</v>
      </c>
      <c r="D246">
        <v>9749.6</v>
      </c>
      <c r="E246">
        <v>8533.14</v>
      </c>
      <c r="F246">
        <v>88.77</v>
      </c>
      <c r="G246">
        <v>1321.24</v>
      </c>
      <c r="H246">
        <f>E246*1000000/D246</f>
        <v>875229.75301550818</v>
      </c>
      <c r="I246" t="str">
        <f>IF(AND(B246&gt;=2018, B246&lt;=2021), "2018-2021", IF(AND(B246&gt;=2022, B246&lt;=2024), "2022-2024", "Other"))</f>
        <v>2018-2021</v>
      </c>
    </row>
    <row r="247" spans="1:9" x14ac:dyDescent="0.3">
      <c r="A247" t="s">
        <v>5</v>
      </c>
      <c r="B247">
        <v>2022</v>
      </c>
      <c r="C247" t="s">
        <v>9</v>
      </c>
      <c r="D247">
        <v>19970.98</v>
      </c>
      <c r="E247">
        <v>20997.66</v>
      </c>
      <c r="F247">
        <v>100.95</v>
      </c>
      <c r="G247">
        <v>180.09</v>
      </c>
      <c r="H247">
        <f>E247*1000000/D247</f>
        <v>1051408.593869705</v>
      </c>
      <c r="I247" t="str">
        <f>IF(AND(B247&gt;=2018, B247&lt;=2021), "2018-2021", IF(AND(B247&gt;=2022, B247&lt;=2024), "2022-2024", "Other"))</f>
        <v>2022-2024</v>
      </c>
    </row>
    <row r="248" spans="1:9" x14ac:dyDescent="0.3">
      <c r="A248" t="s">
        <v>16</v>
      </c>
      <c r="B248">
        <v>2018</v>
      </c>
      <c r="C248" t="s">
        <v>0</v>
      </c>
      <c r="D248">
        <v>28264.6</v>
      </c>
      <c r="E248">
        <v>26586.74</v>
      </c>
      <c r="F248">
        <v>131.87</v>
      </c>
      <c r="G248">
        <v>734.56</v>
      </c>
      <c r="H248">
        <f>E248*1000000/D248</f>
        <v>940637.40509329701</v>
      </c>
      <c r="I248" t="str">
        <f>IF(AND(B248&gt;=2018, B248&lt;=2021), "2018-2021", IF(AND(B248&gt;=2022, B248&lt;=2024), "2022-2024", "Other"))</f>
        <v>2018-2021</v>
      </c>
    </row>
    <row r="249" spans="1:9" x14ac:dyDescent="0.3">
      <c r="A249" t="s">
        <v>19</v>
      </c>
      <c r="B249">
        <v>2020</v>
      </c>
      <c r="C249" t="s">
        <v>2</v>
      </c>
      <c r="D249">
        <v>14149.17</v>
      </c>
      <c r="E249">
        <v>13279.14</v>
      </c>
      <c r="F249">
        <v>39.32</v>
      </c>
      <c r="G249">
        <v>775.43</v>
      </c>
      <c r="H249">
        <f>E249*1000000/D249</f>
        <v>938510.1740950176</v>
      </c>
      <c r="I249" t="str">
        <f>IF(AND(B249&gt;=2018, B249&lt;=2021), "2018-2021", IF(AND(B249&gt;=2022, B249&lt;=2024), "2022-2024", "Other"))</f>
        <v>2018-2021</v>
      </c>
    </row>
    <row r="250" spans="1:9" x14ac:dyDescent="0.3">
      <c r="A250" t="s">
        <v>19</v>
      </c>
      <c r="B250">
        <v>2020</v>
      </c>
      <c r="C250" t="s">
        <v>12</v>
      </c>
      <c r="D250">
        <v>16677.830000000002</v>
      </c>
      <c r="E250">
        <v>19617.080000000002</v>
      </c>
      <c r="F250">
        <v>150.27000000000001</v>
      </c>
      <c r="G250">
        <v>225.48</v>
      </c>
      <c r="H250">
        <f>E250*1000000/D250</f>
        <v>1176236.9564865453</v>
      </c>
      <c r="I250" t="str">
        <f>IF(AND(B250&gt;=2018, B250&lt;=2021), "2018-2021", IF(AND(B250&gt;=2022, B250&lt;=2024), "2022-2024", "Other"))</f>
        <v>2018-2021</v>
      </c>
    </row>
    <row r="251" spans="1:9" x14ac:dyDescent="0.3">
      <c r="A251" t="s">
        <v>20</v>
      </c>
      <c r="B251">
        <v>2019</v>
      </c>
      <c r="C251" t="s">
        <v>0</v>
      </c>
      <c r="D251">
        <v>33127.97</v>
      </c>
      <c r="E251">
        <v>33984.19</v>
      </c>
      <c r="F251">
        <v>116.88</v>
      </c>
      <c r="G251">
        <v>396.48</v>
      </c>
      <c r="H251">
        <f>E251*1000000/D251</f>
        <v>1025845.8335962029</v>
      </c>
      <c r="I251" t="str">
        <f>IF(AND(B251&gt;=2018, B251&lt;=2021), "2018-2021", IF(AND(B251&gt;=2022, B251&lt;=2024), "2022-2024", "Other"))</f>
        <v>2018-2021</v>
      </c>
    </row>
    <row r="252" spans="1:9" x14ac:dyDescent="0.3">
      <c r="A252" t="s">
        <v>16</v>
      </c>
      <c r="B252">
        <v>2023</v>
      </c>
      <c r="C252" t="s">
        <v>8</v>
      </c>
      <c r="D252">
        <v>49823.95</v>
      </c>
      <c r="E252">
        <v>57142.48</v>
      </c>
      <c r="F252">
        <v>59.49</v>
      </c>
      <c r="G252">
        <v>1028.07</v>
      </c>
      <c r="H252">
        <f>E252*1000000/D252</f>
        <v>1146887.7919153341</v>
      </c>
      <c r="I252" t="str">
        <f>IF(AND(B252&gt;=2018, B252&lt;=2021), "2018-2021", IF(AND(B252&gt;=2022, B252&lt;=2024), "2022-2024", "Other"))</f>
        <v>2022-2024</v>
      </c>
    </row>
    <row r="253" spans="1:9" x14ac:dyDescent="0.3">
      <c r="A253" t="s">
        <v>1</v>
      </c>
      <c r="B253">
        <v>2020</v>
      </c>
      <c r="C253" t="s">
        <v>9</v>
      </c>
      <c r="D253">
        <v>35800</v>
      </c>
      <c r="E253">
        <v>38746.589999999997</v>
      </c>
      <c r="F253">
        <v>63.99</v>
      </c>
      <c r="G253">
        <v>1012.24</v>
      </c>
      <c r="H253">
        <f>E253*1000000/D253</f>
        <v>1082306.9832402235</v>
      </c>
      <c r="I253" t="str">
        <f>IF(AND(B253&gt;=2018, B253&lt;=2021), "2018-2021", IF(AND(B253&gt;=2022, B253&lt;=2024), "2022-2024", "Other"))</f>
        <v>2018-2021</v>
      </c>
    </row>
    <row r="254" spans="1:9" x14ac:dyDescent="0.3">
      <c r="A254" t="s">
        <v>27</v>
      </c>
      <c r="B254">
        <v>2020</v>
      </c>
      <c r="C254" t="s">
        <v>4</v>
      </c>
      <c r="D254">
        <v>39534.300000000003</v>
      </c>
      <c r="E254">
        <v>35806.769999999997</v>
      </c>
      <c r="F254">
        <v>29.72</v>
      </c>
      <c r="G254">
        <v>1114.18</v>
      </c>
      <c r="H254">
        <f>E254*1000000/D254</f>
        <v>905714.02554237703</v>
      </c>
      <c r="I254" t="str">
        <f>IF(AND(B254&gt;=2018, B254&lt;=2021), "2018-2021", IF(AND(B254&gt;=2022, B254&lt;=2024), "2022-2024", "Other"))</f>
        <v>2018-2021</v>
      </c>
    </row>
    <row r="255" spans="1:9" x14ac:dyDescent="0.3">
      <c r="A255" t="s">
        <v>10</v>
      </c>
      <c r="B255">
        <v>2021</v>
      </c>
      <c r="C255" t="s">
        <v>2</v>
      </c>
      <c r="D255">
        <v>44741.46</v>
      </c>
      <c r="E255">
        <v>52445.59</v>
      </c>
      <c r="F255">
        <v>54.59</v>
      </c>
      <c r="G255">
        <v>960.74</v>
      </c>
      <c r="H255">
        <f>E255*1000000/D255</f>
        <v>1172192.1904202499</v>
      </c>
      <c r="I255" t="str">
        <f>IF(AND(B255&gt;=2018, B255&lt;=2021), "2018-2021", IF(AND(B255&gt;=2022, B255&lt;=2024), "2022-2024", "Other"))</f>
        <v>2018-2021</v>
      </c>
    </row>
    <row r="256" spans="1:9" x14ac:dyDescent="0.3">
      <c r="A256" t="s">
        <v>26</v>
      </c>
      <c r="B256">
        <v>2018</v>
      </c>
      <c r="C256" t="s">
        <v>4</v>
      </c>
      <c r="D256">
        <v>5566.38</v>
      </c>
      <c r="E256">
        <v>6572.58</v>
      </c>
      <c r="F256">
        <v>177.5</v>
      </c>
      <c r="G256">
        <v>113.24</v>
      </c>
      <c r="H256">
        <f>E256*1000000/D256</f>
        <v>1180763.7998124454</v>
      </c>
      <c r="I256" t="str">
        <f>IF(AND(B256&gt;=2018, B256&lt;=2021), "2018-2021", IF(AND(B256&gt;=2022, B256&lt;=2024), "2022-2024", "Other"))</f>
        <v>2018-2021</v>
      </c>
    </row>
    <row r="257" spans="1:9" x14ac:dyDescent="0.3">
      <c r="A257" t="s">
        <v>5</v>
      </c>
      <c r="B257">
        <v>2023</v>
      </c>
      <c r="C257" t="s">
        <v>9</v>
      </c>
      <c r="D257">
        <v>47358.87</v>
      </c>
      <c r="E257">
        <v>41016.65</v>
      </c>
      <c r="F257">
        <v>172.4</v>
      </c>
      <c r="G257">
        <v>829.62</v>
      </c>
      <c r="H257">
        <f>E257*1000000/D257</f>
        <v>866081.68649294204</v>
      </c>
      <c r="I257" t="str">
        <f>IF(AND(B257&gt;=2018, B257&lt;=2021), "2018-2021", IF(AND(B257&gt;=2022, B257&lt;=2024), "2022-2024", "Other"))</f>
        <v>2022-2024</v>
      </c>
    </row>
    <row r="258" spans="1:9" x14ac:dyDescent="0.3">
      <c r="A258" t="s">
        <v>3</v>
      </c>
      <c r="B258">
        <v>2022</v>
      </c>
      <c r="C258" t="s">
        <v>6</v>
      </c>
      <c r="D258">
        <v>6445.46</v>
      </c>
      <c r="E258">
        <v>6889.42</v>
      </c>
      <c r="F258">
        <v>168.41</v>
      </c>
      <c r="G258">
        <v>300.61</v>
      </c>
      <c r="H258">
        <f>E258*1000000/D258</f>
        <v>1068879.4903699658</v>
      </c>
      <c r="I258" t="str">
        <f>IF(AND(B258&gt;=2018, B258&lt;=2021), "2018-2021", IF(AND(B258&gt;=2022, B258&lt;=2024), "2022-2024", "Other"))</f>
        <v>2022-2024</v>
      </c>
    </row>
    <row r="259" spans="1:9" x14ac:dyDescent="0.3">
      <c r="A259" t="s">
        <v>7</v>
      </c>
      <c r="B259">
        <v>2022</v>
      </c>
      <c r="C259" t="s">
        <v>6</v>
      </c>
      <c r="D259">
        <v>10489.55</v>
      </c>
      <c r="E259">
        <v>11668.87</v>
      </c>
      <c r="F259">
        <v>116.66</v>
      </c>
      <c r="G259">
        <v>1379.49</v>
      </c>
      <c r="H259">
        <f>E259*1000000/D259</f>
        <v>1112428.0831875533</v>
      </c>
      <c r="I259" t="str">
        <f>IF(AND(B259&gt;=2018, B259&lt;=2021), "2018-2021", IF(AND(B259&gt;=2022, B259&lt;=2024), "2022-2024", "Other"))</f>
        <v>2022-2024</v>
      </c>
    </row>
    <row r="260" spans="1:9" x14ac:dyDescent="0.3">
      <c r="A260" t="s">
        <v>10</v>
      </c>
      <c r="B260">
        <v>2019</v>
      </c>
      <c r="C260" t="s">
        <v>0</v>
      </c>
      <c r="D260">
        <v>27231.360000000001</v>
      </c>
      <c r="E260">
        <v>25786.68</v>
      </c>
      <c r="F260">
        <v>164.63</v>
      </c>
      <c r="G260">
        <v>735.45</v>
      </c>
      <c r="H260">
        <f>E260*1000000/D260</f>
        <v>946947.93062116613</v>
      </c>
      <c r="I260" t="str">
        <f>IF(AND(B260&gt;=2018, B260&lt;=2021), "2018-2021", IF(AND(B260&gt;=2022, B260&lt;=2024), "2022-2024", "Other"))</f>
        <v>2018-2021</v>
      </c>
    </row>
    <row r="261" spans="1:9" x14ac:dyDescent="0.3">
      <c r="A261" t="s">
        <v>26</v>
      </c>
      <c r="B261">
        <v>2020</v>
      </c>
      <c r="C261" t="s">
        <v>14</v>
      </c>
      <c r="D261">
        <v>20868.28</v>
      </c>
      <c r="E261">
        <v>22147.11</v>
      </c>
      <c r="F261">
        <v>176.22</v>
      </c>
      <c r="G261">
        <v>932.41</v>
      </c>
      <c r="H261">
        <f>E261*1000000/D261</f>
        <v>1061281.0447243378</v>
      </c>
      <c r="I261" t="str">
        <f>IF(AND(B261&gt;=2018, B261&lt;=2021), "2018-2021", IF(AND(B261&gt;=2022, B261&lt;=2024), "2022-2024", "Other"))</f>
        <v>2018-2021</v>
      </c>
    </row>
    <row r="262" spans="1:9" x14ac:dyDescent="0.3">
      <c r="A262" t="s">
        <v>25</v>
      </c>
      <c r="B262">
        <v>2018</v>
      </c>
      <c r="C262" t="s">
        <v>4</v>
      </c>
      <c r="D262">
        <v>48231.23</v>
      </c>
      <c r="E262">
        <v>51550.44</v>
      </c>
      <c r="F262">
        <v>63.65</v>
      </c>
      <c r="G262">
        <v>1354.85</v>
      </c>
      <c r="H262">
        <f>E262*1000000/D262</f>
        <v>1068818.6886380464</v>
      </c>
      <c r="I262" t="str">
        <f>IF(AND(B262&gt;=2018, B262&lt;=2021), "2018-2021", IF(AND(B262&gt;=2022, B262&lt;=2024), "2022-2024", "Other"))</f>
        <v>2018-2021</v>
      </c>
    </row>
    <row r="263" spans="1:9" x14ac:dyDescent="0.3">
      <c r="A263" t="s">
        <v>20</v>
      </c>
      <c r="B263">
        <v>2020</v>
      </c>
      <c r="C263" t="s">
        <v>2</v>
      </c>
      <c r="D263">
        <v>25634.29</v>
      </c>
      <c r="E263">
        <v>28608.02</v>
      </c>
      <c r="F263">
        <v>91.48</v>
      </c>
      <c r="G263">
        <v>976.84</v>
      </c>
      <c r="H263">
        <f>E263*1000000/D263</f>
        <v>1116005.9436013247</v>
      </c>
      <c r="I263" t="str">
        <f>IF(AND(B263&gt;=2018, B263&lt;=2021), "2018-2021", IF(AND(B263&gt;=2022, B263&lt;=2024), "2022-2024", "Other"))</f>
        <v>2018-2021</v>
      </c>
    </row>
    <row r="264" spans="1:9" x14ac:dyDescent="0.3">
      <c r="A264" t="s">
        <v>10</v>
      </c>
      <c r="B264">
        <v>2024</v>
      </c>
      <c r="C264" t="s">
        <v>14</v>
      </c>
      <c r="D264">
        <v>47696.15</v>
      </c>
      <c r="E264">
        <v>42730.6</v>
      </c>
      <c r="F264">
        <v>29.76</v>
      </c>
      <c r="G264">
        <v>1149.9100000000001</v>
      </c>
      <c r="H264">
        <f>E264*1000000/D264</f>
        <v>895892.01644157863</v>
      </c>
      <c r="I264" t="str">
        <f>IF(AND(B264&gt;=2018, B264&lt;=2021), "2018-2021", IF(AND(B264&gt;=2022, B264&lt;=2024), "2022-2024", "Other"))</f>
        <v>2022-2024</v>
      </c>
    </row>
    <row r="265" spans="1:9" x14ac:dyDescent="0.3">
      <c r="A265" t="s">
        <v>5</v>
      </c>
      <c r="B265">
        <v>2019</v>
      </c>
      <c r="C265" t="s">
        <v>4</v>
      </c>
      <c r="D265">
        <v>7525.2</v>
      </c>
      <c r="E265">
        <v>7500.46</v>
      </c>
      <c r="F265">
        <v>56.25</v>
      </c>
      <c r="G265">
        <v>573.65</v>
      </c>
      <c r="H265">
        <f>E265*1000000/D265</f>
        <v>996712.37973741558</v>
      </c>
      <c r="I265" t="str">
        <f>IF(AND(B265&gt;=2018, B265&lt;=2021), "2018-2021", IF(AND(B265&gt;=2022, B265&lt;=2024), "2022-2024", "Other"))</f>
        <v>2018-2021</v>
      </c>
    </row>
    <row r="266" spans="1:9" x14ac:dyDescent="0.3">
      <c r="A266" t="s">
        <v>23</v>
      </c>
      <c r="B266">
        <v>2022</v>
      </c>
      <c r="C266" t="s">
        <v>2</v>
      </c>
      <c r="D266">
        <v>16295.06</v>
      </c>
      <c r="E266">
        <v>15742.71</v>
      </c>
      <c r="F266">
        <v>194.26</v>
      </c>
      <c r="G266">
        <v>1005.63</v>
      </c>
      <c r="H266">
        <f>E266*1000000/D266</f>
        <v>966103.22392185114</v>
      </c>
      <c r="I266" t="str">
        <f>IF(AND(B266&gt;=2018, B266&lt;=2021), "2018-2021", IF(AND(B266&gt;=2022, B266&lt;=2024), "2022-2024", "Other"))</f>
        <v>2022-2024</v>
      </c>
    </row>
    <row r="267" spans="1:9" x14ac:dyDescent="0.3">
      <c r="A267" t="s">
        <v>27</v>
      </c>
      <c r="B267">
        <v>2019</v>
      </c>
      <c r="C267" t="s">
        <v>14</v>
      </c>
      <c r="D267">
        <v>48254.61</v>
      </c>
      <c r="E267">
        <v>55699.76</v>
      </c>
      <c r="F267">
        <v>47.58</v>
      </c>
      <c r="G267">
        <v>1112.73</v>
      </c>
      <c r="H267">
        <f>E267*1000000/D267</f>
        <v>1154288.8855593279</v>
      </c>
      <c r="I267" t="str">
        <f>IF(AND(B267&gt;=2018, B267&lt;=2021), "2018-2021", IF(AND(B267&gt;=2022, B267&lt;=2024), "2022-2024", "Other"))</f>
        <v>2018-2021</v>
      </c>
    </row>
    <row r="268" spans="1:9" x14ac:dyDescent="0.3">
      <c r="A268" t="s">
        <v>11</v>
      </c>
      <c r="B268">
        <v>2018</v>
      </c>
      <c r="C268" t="s">
        <v>4</v>
      </c>
      <c r="D268">
        <v>9673.67</v>
      </c>
      <c r="E268">
        <v>10064.780000000001</v>
      </c>
      <c r="F268">
        <v>140.33000000000001</v>
      </c>
      <c r="G268">
        <v>977.59</v>
      </c>
      <c r="H268">
        <f>E268*1000000/D268</f>
        <v>1040430.3640707198</v>
      </c>
      <c r="I268" t="str">
        <f>IF(AND(B268&gt;=2018, B268&lt;=2021), "2018-2021", IF(AND(B268&gt;=2022, B268&lt;=2024), "2022-2024", "Other"))</f>
        <v>2018-2021</v>
      </c>
    </row>
    <row r="269" spans="1:9" x14ac:dyDescent="0.3">
      <c r="A269" t="s">
        <v>21</v>
      </c>
      <c r="B269">
        <v>2024</v>
      </c>
      <c r="C269" t="s">
        <v>12</v>
      </c>
      <c r="D269">
        <v>27091.599999999999</v>
      </c>
      <c r="E269">
        <v>29279.15</v>
      </c>
      <c r="F269">
        <v>138.61000000000001</v>
      </c>
      <c r="G269">
        <v>1150.97</v>
      </c>
      <c r="H269">
        <f>E269*1000000/D269</f>
        <v>1080746.4306279437</v>
      </c>
      <c r="I269" t="str">
        <f>IF(AND(B269&gt;=2018, B269&lt;=2021), "2018-2021", IF(AND(B269&gt;=2022, B269&lt;=2024), "2022-2024", "Other"))</f>
        <v>2022-2024</v>
      </c>
    </row>
    <row r="270" spans="1:9" x14ac:dyDescent="0.3">
      <c r="A270" t="s">
        <v>18</v>
      </c>
      <c r="B270">
        <v>2021</v>
      </c>
      <c r="C270" t="s">
        <v>9</v>
      </c>
      <c r="D270">
        <v>24720.560000000001</v>
      </c>
      <c r="E270">
        <v>27802.44</v>
      </c>
      <c r="F270">
        <v>134.46</v>
      </c>
      <c r="G270">
        <v>607.91</v>
      </c>
      <c r="H270">
        <f>E270*1000000/D270</f>
        <v>1124668.6968256382</v>
      </c>
      <c r="I270" t="str">
        <f>IF(AND(B270&gt;=2018, B270&lt;=2021), "2018-2021", IF(AND(B270&gt;=2022, B270&lt;=2024), "2022-2024", "Other"))</f>
        <v>2018-2021</v>
      </c>
    </row>
    <row r="271" spans="1:9" x14ac:dyDescent="0.3">
      <c r="A271" t="s">
        <v>5</v>
      </c>
      <c r="B271">
        <v>2021</v>
      </c>
      <c r="C271" t="s">
        <v>4</v>
      </c>
      <c r="D271">
        <v>15173.36</v>
      </c>
      <c r="E271">
        <v>16088.2</v>
      </c>
      <c r="F271">
        <v>145</v>
      </c>
      <c r="G271">
        <v>536.59</v>
      </c>
      <c r="H271">
        <f>E271*1000000/D271</f>
        <v>1060292.5126669372</v>
      </c>
      <c r="I271" t="str">
        <f>IF(AND(B271&gt;=2018, B271&lt;=2021), "2018-2021", IF(AND(B271&gt;=2022, B271&lt;=2024), "2022-2024", "Other"))</f>
        <v>2018-2021</v>
      </c>
    </row>
    <row r="272" spans="1:9" x14ac:dyDescent="0.3">
      <c r="A272" t="s">
        <v>13</v>
      </c>
      <c r="B272">
        <v>2023</v>
      </c>
      <c r="C272" t="s">
        <v>9</v>
      </c>
      <c r="D272">
        <v>16959.330000000002</v>
      </c>
      <c r="E272">
        <v>16228.69</v>
      </c>
      <c r="F272">
        <v>62.9</v>
      </c>
      <c r="G272">
        <v>515.74</v>
      </c>
      <c r="H272">
        <f>E272*1000000/D272</f>
        <v>956918.10938285873</v>
      </c>
      <c r="I272" t="str">
        <f>IF(AND(B272&gt;=2018, B272&lt;=2021), "2018-2021", IF(AND(B272&gt;=2022, B272&lt;=2024), "2022-2024", "Other"))</f>
        <v>2022-2024</v>
      </c>
    </row>
    <row r="273" spans="1:9" x14ac:dyDescent="0.3">
      <c r="A273" t="s">
        <v>23</v>
      </c>
      <c r="B273">
        <v>2018</v>
      </c>
      <c r="C273" t="s">
        <v>12</v>
      </c>
      <c r="D273">
        <v>22685.51</v>
      </c>
      <c r="E273">
        <v>26055.96</v>
      </c>
      <c r="F273">
        <v>116.34</v>
      </c>
      <c r="G273">
        <v>306.19</v>
      </c>
      <c r="H273">
        <f>E273*1000000/D273</f>
        <v>1148572.8114554181</v>
      </c>
      <c r="I273" t="str">
        <f>IF(AND(B273&gt;=2018, B273&lt;=2021), "2018-2021", IF(AND(B273&gt;=2022, B273&lt;=2024), "2022-2024", "Other"))</f>
        <v>2018-2021</v>
      </c>
    </row>
    <row r="274" spans="1:9" x14ac:dyDescent="0.3">
      <c r="A274" t="s">
        <v>18</v>
      </c>
      <c r="B274">
        <v>2024</v>
      </c>
      <c r="C274" t="s">
        <v>9</v>
      </c>
      <c r="D274">
        <v>31823.4</v>
      </c>
      <c r="E274">
        <v>32839.68</v>
      </c>
      <c r="F274">
        <v>82.47</v>
      </c>
      <c r="G274">
        <v>1080.81</v>
      </c>
      <c r="H274">
        <f>E274*1000000/D274</f>
        <v>1031934.9912328663</v>
      </c>
      <c r="I274" t="str">
        <f>IF(AND(B274&gt;=2018, B274&lt;=2021), "2018-2021", IF(AND(B274&gt;=2022, B274&lt;=2024), "2022-2024", "Other"))</f>
        <v>2022-2024</v>
      </c>
    </row>
    <row r="275" spans="1:9" x14ac:dyDescent="0.3">
      <c r="A275" t="s">
        <v>22</v>
      </c>
      <c r="B275">
        <v>2020</v>
      </c>
      <c r="C275" t="s">
        <v>12</v>
      </c>
      <c r="D275">
        <v>26312.28</v>
      </c>
      <c r="E275">
        <v>28731.45</v>
      </c>
      <c r="F275">
        <v>129.82</v>
      </c>
      <c r="G275">
        <v>1184.8499999999999</v>
      </c>
      <c r="H275">
        <f>E275*1000000/D275</f>
        <v>1091940.7212145813</v>
      </c>
      <c r="I275" t="str">
        <f>IF(AND(B275&gt;=2018, B275&lt;=2021), "2018-2021", IF(AND(B275&gt;=2022, B275&lt;=2024), "2022-2024", "Other"))</f>
        <v>2018-2021</v>
      </c>
    </row>
    <row r="276" spans="1:9" x14ac:dyDescent="0.3">
      <c r="A276" t="s">
        <v>27</v>
      </c>
      <c r="B276">
        <v>2024</v>
      </c>
      <c r="C276" t="s">
        <v>6</v>
      </c>
      <c r="D276">
        <v>12463.29</v>
      </c>
      <c r="E276">
        <v>14521.65</v>
      </c>
      <c r="F276">
        <v>110.45</v>
      </c>
      <c r="G276">
        <v>1200.44</v>
      </c>
      <c r="H276">
        <f>E276*1000000/D276</f>
        <v>1165153.8237495876</v>
      </c>
      <c r="I276" t="str">
        <f>IF(AND(B276&gt;=2018, B276&lt;=2021), "2018-2021", IF(AND(B276&gt;=2022, B276&lt;=2024), "2022-2024", "Other"))</f>
        <v>2022-2024</v>
      </c>
    </row>
    <row r="277" spans="1:9" x14ac:dyDescent="0.3">
      <c r="A277" t="s">
        <v>17</v>
      </c>
      <c r="B277">
        <v>2019</v>
      </c>
      <c r="C277" t="s">
        <v>0</v>
      </c>
      <c r="D277">
        <v>13335.53</v>
      </c>
      <c r="E277">
        <v>15984.75</v>
      </c>
      <c r="F277">
        <v>52.08</v>
      </c>
      <c r="G277">
        <v>318.89</v>
      </c>
      <c r="H277">
        <f>E277*1000000/D277</f>
        <v>1198658.7709674831</v>
      </c>
      <c r="I277" t="str">
        <f>IF(AND(B277&gt;=2018, B277&lt;=2021), "2018-2021", IF(AND(B277&gt;=2022, B277&lt;=2024), "2022-2024", "Other"))</f>
        <v>2018-2021</v>
      </c>
    </row>
    <row r="278" spans="1:9" x14ac:dyDescent="0.3">
      <c r="A278" t="s">
        <v>1</v>
      </c>
      <c r="B278">
        <v>2023</v>
      </c>
      <c r="C278" t="s">
        <v>8</v>
      </c>
      <c r="D278">
        <v>13851.18</v>
      </c>
      <c r="E278">
        <v>11430.7</v>
      </c>
      <c r="F278">
        <v>119.26</v>
      </c>
      <c r="G278">
        <v>1157.56</v>
      </c>
      <c r="H278">
        <f>E278*1000000/D278</f>
        <v>825250.98944638646</v>
      </c>
      <c r="I278" t="str">
        <f>IF(AND(B278&gt;=2018, B278&lt;=2021), "2018-2021", IF(AND(B278&gt;=2022, B278&lt;=2024), "2022-2024", "Other"))</f>
        <v>2022-2024</v>
      </c>
    </row>
    <row r="279" spans="1:9" x14ac:dyDescent="0.3">
      <c r="A279" t="s">
        <v>17</v>
      </c>
      <c r="B279">
        <v>2024</v>
      </c>
      <c r="C279" t="s">
        <v>4</v>
      </c>
      <c r="D279">
        <v>13285.19</v>
      </c>
      <c r="E279">
        <v>14486.71</v>
      </c>
      <c r="F279">
        <v>82.34</v>
      </c>
      <c r="G279">
        <v>310.95999999999998</v>
      </c>
      <c r="H279">
        <f>E279*1000000/D279</f>
        <v>1090440.5582456857</v>
      </c>
      <c r="I279" t="str">
        <f>IF(AND(B279&gt;=2018, B279&lt;=2021), "2018-2021", IF(AND(B279&gt;=2022, B279&lt;=2024), "2022-2024", "Other"))</f>
        <v>2022-2024</v>
      </c>
    </row>
    <row r="280" spans="1:9" x14ac:dyDescent="0.3">
      <c r="A280" t="s">
        <v>21</v>
      </c>
      <c r="B280">
        <v>2022</v>
      </c>
      <c r="C280" t="s">
        <v>14</v>
      </c>
      <c r="D280">
        <v>11936.85</v>
      </c>
      <c r="E280">
        <v>13402.52</v>
      </c>
      <c r="F280">
        <v>137.37</v>
      </c>
      <c r="G280">
        <v>74.28</v>
      </c>
      <c r="H280">
        <f>E280*1000000/D280</f>
        <v>1122785.3244365137</v>
      </c>
      <c r="I280" t="str">
        <f>IF(AND(B280&gt;=2018, B280&lt;=2021), "2018-2021", IF(AND(B280&gt;=2022, B280&lt;=2024), "2022-2024", "Other"))</f>
        <v>2022-2024</v>
      </c>
    </row>
    <row r="281" spans="1:9" x14ac:dyDescent="0.3">
      <c r="A281" t="s">
        <v>19</v>
      </c>
      <c r="B281">
        <v>2024</v>
      </c>
      <c r="C281" t="s">
        <v>12</v>
      </c>
      <c r="D281">
        <v>28461.83</v>
      </c>
      <c r="E281">
        <v>24132.13</v>
      </c>
      <c r="F281">
        <v>86.06</v>
      </c>
      <c r="G281">
        <v>1246.5999999999999</v>
      </c>
      <c r="H281">
        <f>E281*1000000/D281</f>
        <v>847876.96363866969</v>
      </c>
      <c r="I281" t="str">
        <f>IF(AND(B281&gt;=2018, B281&lt;=2021), "2018-2021", IF(AND(B281&gt;=2022, B281&lt;=2024), "2022-2024", "Other"))</f>
        <v>2022-2024</v>
      </c>
    </row>
    <row r="282" spans="1:9" x14ac:dyDescent="0.3">
      <c r="A282" t="s">
        <v>24</v>
      </c>
      <c r="B282">
        <v>2024</v>
      </c>
      <c r="C282" t="s">
        <v>6</v>
      </c>
      <c r="D282">
        <v>32998.71</v>
      </c>
      <c r="E282">
        <v>31325.02</v>
      </c>
      <c r="F282">
        <v>49.89</v>
      </c>
      <c r="G282">
        <v>868.78</v>
      </c>
      <c r="H282">
        <f>E282*1000000/D282</f>
        <v>949280.13852662733</v>
      </c>
      <c r="I282" t="str">
        <f>IF(AND(B282&gt;=2018, B282&lt;=2021), "2018-2021", IF(AND(B282&gt;=2022, B282&lt;=2024), "2022-2024", "Other"))</f>
        <v>2022-2024</v>
      </c>
    </row>
    <row r="283" spans="1:9" x14ac:dyDescent="0.3">
      <c r="A283" t="s">
        <v>5</v>
      </c>
      <c r="B283">
        <v>2018</v>
      </c>
      <c r="C283" t="s">
        <v>12</v>
      </c>
      <c r="D283">
        <v>18784.36</v>
      </c>
      <c r="E283">
        <v>19388.71</v>
      </c>
      <c r="F283">
        <v>80.73</v>
      </c>
      <c r="G283">
        <v>123.56</v>
      </c>
      <c r="H283">
        <f>E283*1000000/D283</f>
        <v>1032173.0418284147</v>
      </c>
      <c r="I283" t="str">
        <f>IF(AND(B283&gt;=2018, B283&lt;=2021), "2018-2021", IF(AND(B283&gt;=2022, B283&lt;=2024), "2022-2024", "Other"))</f>
        <v>2018-2021</v>
      </c>
    </row>
    <row r="284" spans="1:9" x14ac:dyDescent="0.3">
      <c r="A284" t="s">
        <v>5</v>
      </c>
      <c r="B284">
        <v>2020</v>
      </c>
      <c r="C284" t="s">
        <v>0</v>
      </c>
      <c r="D284">
        <v>11226.72</v>
      </c>
      <c r="E284">
        <v>9121.44</v>
      </c>
      <c r="F284">
        <v>166.54</v>
      </c>
      <c r="G284">
        <v>42.39</v>
      </c>
      <c r="H284">
        <f>E284*1000000/D284</f>
        <v>812475.95023301558</v>
      </c>
      <c r="I284" t="str">
        <f>IF(AND(B284&gt;=2018, B284&lt;=2021), "2018-2021", IF(AND(B284&gt;=2022, B284&lt;=2024), "2022-2024", "Other"))</f>
        <v>2018-2021</v>
      </c>
    </row>
    <row r="285" spans="1:9" x14ac:dyDescent="0.3">
      <c r="A285" t="s">
        <v>1</v>
      </c>
      <c r="B285">
        <v>2024</v>
      </c>
      <c r="C285" t="s">
        <v>12</v>
      </c>
      <c r="D285">
        <v>39609.599999999999</v>
      </c>
      <c r="E285">
        <v>33231.19</v>
      </c>
      <c r="F285">
        <v>64.459999999999994</v>
      </c>
      <c r="G285">
        <v>855.57</v>
      </c>
      <c r="H285">
        <f>E285*1000000/D285</f>
        <v>838968.07844562945</v>
      </c>
      <c r="I285" t="str">
        <f>IF(AND(B285&gt;=2018, B285&lt;=2021), "2018-2021", IF(AND(B285&gt;=2022, B285&lt;=2024), "2022-2024", "Other"))</f>
        <v>2022-2024</v>
      </c>
    </row>
    <row r="286" spans="1:9" x14ac:dyDescent="0.3">
      <c r="A286" t="s">
        <v>18</v>
      </c>
      <c r="B286">
        <v>2020</v>
      </c>
      <c r="C286" t="s">
        <v>8</v>
      </c>
      <c r="D286">
        <v>32669.75</v>
      </c>
      <c r="E286">
        <v>37578.410000000003</v>
      </c>
      <c r="F286">
        <v>112.89</v>
      </c>
      <c r="G286">
        <v>240.33</v>
      </c>
      <c r="H286">
        <f>E286*1000000/D286</f>
        <v>1150250.9201937572</v>
      </c>
      <c r="I286" t="str">
        <f>IF(AND(B286&gt;=2018, B286&lt;=2021), "2018-2021", IF(AND(B286&gt;=2022, B286&lt;=2024), "2022-2024", "Other"))</f>
        <v>2018-2021</v>
      </c>
    </row>
    <row r="287" spans="1:9" x14ac:dyDescent="0.3">
      <c r="A287" t="s">
        <v>23</v>
      </c>
      <c r="B287">
        <v>2020</v>
      </c>
      <c r="C287" t="s">
        <v>9</v>
      </c>
      <c r="D287">
        <v>4595.08</v>
      </c>
      <c r="E287">
        <v>3780.96</v>
      </c>
      <c r="F287">
        <v>28.93</v>
      </c>
      <c r="G287">
        <v>517.12</v>
      </c>
      <c r="H287">
        <f>E287*1000000/D287</f>
        <v>822827.89418247342</v>
      </c>
      <c r="I287" t="str">
        <f>IF(AND(B287&gt;=2018, B287&lt;=2021), "2018-2021", IF(AND(B287&gt;=2022, B287&lt;=2024), "2022-2024", "Other"))</f>
        <v>2018-2021</v>
      </c>
    </row>
    <row r="288" spans="1:9" x14ac:dyDescent="0.3">
      <c r="A288" t="s">
        <v>7</v>
      </c>
      <c r="B288">
        <v>2020</v>
      </c>
      <c r="C288" t="s">
        <v>6</v>
      </c>
      <c r="D288">
        <v>26344.41</v>
      </c>
      <c r="E288">
        <v>21515.45</v>
      </c>
      <c r="F288">
        <v>52.9</v>
      </c>
      <c r="G288">
        <v>1322.82</v>
      </c>
      <c r="H288">
        <f>E288*1000000/D288</f>
        <v>816698.87463792134</v>
      </c>
      <c r="I288" t="str">
        <f>IF(AND(B288&gt;=2018, B288&lt;=2021), "2018-2021", IF(AND(B288&gt;=2022, B288&lt;=2024), "2022-2024", "Other"))</f>
        <v>2018-2021</v>
      </c>
    </row>
    <row r="289" spans="1:9" x14ac:dyDescent="0.3">
      <c r="A289" t="s">
        <v>13</v>
      </c>
      <c r="B289">
        <v>2023</v>
      </c>
      <c r="C289" t="s">
        <v>4</v>
      </c>
      <c r="D289">
        <v>27318.34</v>
      </c>
      <c r="E289">
        <v>25841.38</v>
      </c>
      <c r="F289">
        <v>35.520000000000003</v>
      </c>
      <c r="G289">
        <v>339.53</v>
      </c>
      <c r="H289">
        <f>E289*1000000/D289</f>
        <v>945935.22153981542</v>
      </c>
      <c r="I289" t="str">
        <f>IF(AND(B289&gt;=2018, B289&lt;=2021), "2018-2021", IF(AND(B289&gt;=2022, B289&lt;=2024), "2022-2024", "Other"))</f>
        <v>2022-2024</v>
      </c>
    </row>
    <row r="290" spans="1:9" x14ac:dyDescent="0.3">
      <c r="A290" t="s">
        <v>26</v>
      </c>
      <c r="B290">
        <v>2023</v>
      </c>
      <c r="C290" t="s">
        <v>4</v>
      </c>
      <c r="D290">
        <v>37886.839999999997</v>
      </c>
      <c r="E290">
        <v>41860.68</v>
      </c>
      <c r="F290">
        <v>129.59</v>
      </c>
      <c r="G290">
        <v>657.36</v>
      </c>
      <c r="H290">
        <f>E290*1000000/D290</f>
        <v>1104887.0795241832</v>
      </c>
      <c r="I290" t="str">
        <f>IF(AND(B290&gt;=2018, B290&lt;=2021), "2018-2021", IF(AND(B290&gt;=2022, B290&lt;=2024), "2022-2024", "Other"))</f>
        <v>2022-2024</v>
      </c>
    </row>
    <row r="291" spans="1:9" x14ac:dyDescent="0.3">
      <c r="A291" t="s">
        <v>7</v>
      </c>
      <c r="B291">
        <v>2024</v>
      </c>
      <c r="C291" t="s">
        <v>0</v>
      </c>
      <c r="D291">
        <v>2225.09</v>
      </c>
      <c r="E291">
        <v>1836.76</v>
      </c>
      <c r="F291">
        <v>104.14</v>
      </c>
      <c r="G291">
        <v>1157.3</v>
      </c>
      <c r="H291">
        <f>E291*1000000/D291</f>
        <v>825476.72228988481</v>
      </c>
      <c r="I291" t="str">
        <f>IF(AND(B291&gt;=2018, B291&lt;=2021), "2018-2021", IF(AND(B291&gt;=2022, B291&lt;=2024), "2022-2024", "Other"))</f>
        <v>2022-2024</v>
      </c>
    </row>
    <row r="292" spans="1:9" x14ac:dyDescent="0.3">
      <c r="A292" t="s">
        <v>24</v>
      </c>
      <c r="B292">
        <v>2022</v>
      </c>
      <c r="C292" t="s">
        <v>4</v>
      </c>
      <c r="D292">
        <v>3703.66</v>
      </c>
      <c r="E292">
        <v>3078.03</v>
      </c>
      <c r="F292">
        <v>160.61000000000001</v>
      </c>
      <c r="G292">
        <v>657.65</v>
      </c>
      <c r="H292">
        <f>E292*1000000/D292</f>
        <v>831077.90671929927</v>
      </c>
      <c r="I292" t="str">
        <f>IF(AND(B292&gt;=2018, B292&lt;=2021), "2018-2021", IF(AND(B292&gt;=2022, B292&lt;=2024), "2022-2024", "Other"))</f>
        <v>2022-2024</v>
      </c>
    </row>
    <row r="293" spans="1:9" x14ac:dyDescent="0.3">
      <c r="A293" t="s">
        <v>7</v>
      </c>
      <c r="B293">
        <v>2020</v>
      </c>
      <c r="C293" t="s">
        <v>9</v>
      </c>
      <c r="D293">
        <v>41783.18</v>
      </c>
      <c r="E293">
        <v>41756.910000000003</v>
      </c>
      <c r="F293">
        <v>139.1</v>
      </c>
      <c r="G293">
        <v>1169.6600000000001</v>
      </c>
      <c r="H293">
        <f>E293*1000000/D293</f>
        <v>999371.27810760215</v>
      </c>
      <c r="I293" t="str">
        <f>IF(AND(B293&gt;=2018, B293&lt;=2021), "2018-2021", IF(AND(B293&gt;=2022, B293&lt;=2024), "2022-2024", "Other"))</f>
        <v>2018-2021</v>
      </c>
    </row>
    <row r="294" spans="1:9" x14ac:dyDescent="0.3">
      <c r="A294" t="s">
        <v>18</v>
      </c>
      <c r="B294">
        <v>2020</v>
      </c>
      <c r="C294" t="s">
        <v>6</v>
      </c>
      <c r="D294">
        <v>44433.25</v>
      </c>
      <c r="E294">
        <v>44849.49</v>
      </c>
      <c r="F294">
        <v>150.83000000000001</v>
      </c>
      <c r="G294">
        <v>1127.17</v>
      </c>
      <c r="H294">
        <f>E294*1000000/D294</f>
        <v>1009367.7595044252</v>
      </c>
      <c r="I294" t="str">
        <f>IF(AND(B294&gt;=2018, B294&lt;=2021), "2018-2021", IF(AND(B294&gt;=2022, B294&lt;=2024), "2022-2024", "Other"))</f>
        <v>2018-2021</v>
      </c>
    </row>
    <row r="295" spans="1:9" x14ac:dyDescent="0.3">
      <c r="A295" t="s">
        <v>23</v>
      </c>
      <c r="B295">
        <v>2018</v>
      </c>
      <c r="C295" t="s">
        <v>6</v>
      </c>
      <c r="D295">
        <v>12950.96</v>
      </c>
      <c r="E295">
        <v>11413.42</v>
      </c>
      <c r="F295">
        <v>31.78</v>
      </c>
      <c r="G295">
        <v>174.12</v>
      </c>
      <c r="H295">
        <f>E295*1000000/D295</f>
        <v>881279.84334752022</v>
      </c>
      <c r="I295" t="str">
        <f>IF(AND(B295&gt;=2018, B295&lt;=2021), "2018-2021", IF(AND(B295&gt;=2022, B295&lt;=2024), "2022-2024", "Other"))</f>
        <v>2018-2021</v>
      </c>
    </row>
    <row r="296" spans="1:9" x14ac:dyDescent="0.3">
      <c r="A296" t="s">
        <v>15</v>
      </c>
      <c r="B296">
        <v>2019</v>
      </c>
      <c r="C296" t="s">
        <v>14</v>
      </c>
      <c r="D296">
        <v>21322.29</v>
      </c>
      <c r="E296">
        <v>21219.75</v>
      </c>
      <c r="F296">
        <v>142.93</v>
      </c>
      <c r="G296">
        <v>72.540000000000006</v>
      </c>
      <c r="H296">
        <f>E296*1000000/D296</f>
        <v>995190.94806420885</v>
      </c>
      <c r="I296" t="str">
        <f>IF(AND(B296&gt;=2018, B296&lt;=2021), "2018-2021", IF(AND(B296&gt;=2022, B296&lt;=2024), "2022-2024", "Other"))</f>
        <v>2018-2021</v>
      </c>
    </row>
    <row r="297" spans="1:9" x14ac:dyDescent="0.3">
      <c r="A297" t="s">
        <v>7</v>
      </c>
      <c r="B297">
        <v>2022</v>
      </c>
      <c r="C297" t="s">
        <v>2</v>
      </c>
      <c r="D297">
        <v>30712.33</v>
      </c>
      <c r="E297">
        <v>35453.71</v>
      </c>
      <c r="F297">
        <v>84.58</v>
      </c>
      <c r="G297">
        <v>1152.47</v>
      </c>
      <c r="H297">
        <f>E297*1000000/D297</f>
        <v>1154380.3417064091</v>
      </c>
      <c r="I297" t="str">
        <f>IF(AND(B297&gt;=2018, B297&lt;=2021), "2018-2021", IF(AND(B297&gt;=2022, B297&lt;=2024), "2022-2024", "Other"))</f>
        <v>2022-2024</v>
      </c>
    </row>
    <row r="298" spans="1:9" x14ac:dyDescent="0.3">
      <c r="A298" t="s">
        <v>1</v>
      </c>
      <c r="B298">
        <v>2024</v>
      </c>
      <c r="C298" t="s">
        <v>14</v>
      </c>
      <c r="D298">
        <v>10300.52</v>
      </c>
      <c r="E298">
        <v>11104.21</v>
      </c>
      <c r="F298">
        <v>62.1</v>
      </c>
      <c r="G298">
        <v>1315.28</v>
      </c>
      <c r="H298">
        <f>E298*1000000/D298</f>
        <v>1078024.21625316</v>
      </c>
      <c r="I298" t="str">
        <f>IF(AND(B298&gt;=2018, B298&lt;=2021), "2018-2021", IF(AND(B298&gt;=2022, B298&lt;=2024), "2022-2024", "Other"))</f>
        <v>2022-2024</v>
      </c>
    </row>
    <row r="299" spans="1:9" x14ac:dyDescent="0.3">
      <c r="A299" t="s">
        <v>27</v>
      </c>
      <c r="B299">
        <v>2021</v>
      </c>
      <c r="C299" t="s">
        <v>8</v>
      </c>
      <c r="D299">
        <v>29871.200000000001</v>
      </c>
      <c r="E299">
        <v>31874.06</v>
      </c>
      <c r="F299">
        <v>58.5</v>
      </c>
      <c r="G299">
        <v>849.27</v>
      </c>
      <c r="H299">
        <f>E299*1000000/D299</f>
        <v>1067049.8674308364</v>
      </c>
      <c r="I299" t="str">
        <f>IF(AND(B299&gt;=2018, B299&lt;=2021), "2018-2021", IF(AND(B299&gt;=2022, B299&lt;=2024), "2022-2024", "Other"))</f>
        <v>2018-2021</v>
      </c>
    </row>
    <row r="300" spans="1:9" x14ac:dyDescent="0.3">
      <c r="A300" t="s">
        <v>27</v>
      </c>
      <c r="B300">
        <v>2021</v>
      </c>
      <c r="C300" t="s">
        <v>2</v>
      </c>
      <c r="D300">
        <v>3774.42</v>
      </c>
      <c r="E300">
        <v>4430.59</v>
      </c>
      <c r="F300">
        <v>159.63</v>
      </c>
      <c r="G300">
        <v>504.93</v>
      </c>
      <c r="H300">
        <f>E300*1000000/D300</f>
        <v>1173846.5777523434</v>
      </c>
      <c r="I300" t="str">
        <f>IF(AND(B300&gt;=2018, B300&lt;=2021), "2018-2021", IF(AND(B300&gt;=2022, B300&lt;=2024), "2022-2024", "Other"))</f>
        <v>2018-2021</v>
      </c>
    </row>
    <row r="301" spans="1:9" x14ac:dyDescent="0.3">
      <c r="A301" t="s">
        <v>25</v>
      </c>
      <c r="B301">
        <v>2019</v>
      </c>
      <c r="C301" t="s">
        <v>8</v>
      </c>
      <c r="D301">
        <v>16766</v>
      </c>
      <c r="E301">
        <v>18496.75</v>
      </c>
      <c r="F301">
        <v>132.32</v>
      </c>
      <c r="G301">
        <v>98.92</v>
      </c>
      <c r="H301">
        <f>E301*1000000/D301</f>
        <v>1103229.7506859119</v>
      </c>
      <c r="I301" t="str">
        <f>IF(AND(B301&gt;=2018, B301&lt;=2021), "2018-2021", IF(AND(B301&gt;=2022, B301&lt;=2024), "2022-2024", "Other"))</f>
        <v>2018-2021</v>
      </c>
    </row>
    <row r="302" spans="1:9" x14ac:dyDescent="0.3">
      <c r="A302" t="s">
        <v>20</v>
      </c>
      <c r="B302">
        <v>2019</v>
      </c>
      <c r="C302" t="s">
        <v>8</v>
      </c>
      <c r="D302">
        <v>3285.83</v>
      </c>
      <c r="E302">
        <v>2642.49</v>
      </c>
      <c r="F302">
        <v>30.27</v>
      </c>
      <c r="G302">
        <v>1010.38</v>
      </c>
      <c r="H302">
        <f>E302*1000000/D302</f>
        <v>804207.76485697681</v>
      </c>
      <c r="I302" t="str">
        <f>IF(AND(B302&gt;=2018, B302&lt;=2021), "2018-2021", IF(AND(B302&gt;=2022, B302&lt;=2024), "2022-2024", "Other"))</f>
        <v>2018-2021</v>
      </c>
    </row>
    <row r="303" spans="1:9" x14ac:dyDescent="0.3">
      <c r="A303" t="s">
        <v>27</v>
      </c>
      <c r="B303">
        <v>2022</v>
      </c>
      <c r="C303" t="s">
        <v>14</v>
      </c>
      <c r="D303">
        <v>30609.13</v>
      </c>
      <c r="E303">
        <v>26741.35</v>
      </c>
      <c r="F303">
        <v>87.04</v>
      </c>
      <c r="G303">
        <v>231.66</v>
      </c>
      <c r="H303">
        <f>E303*1000000/D303</f>
        <v>873639.6624144495</v>
      </c>
      <c r="I303" t="str">
        <f>IF(AND(B303&gt;=2018, B303&lt;=2021), "2018-2021", IF(AND(B303&gt;=2022, B303&lt;=2024), "2022-2024", "Other"))</f>
        <v>2022-2024</v>
      </c>
    </row>
    <row r="304" spans="1:9" x14ac:dyDescent="0.3">
      <c r="A304" t="s">
        <v>21</v>
      </c>
      <c r="B304">
        <v>2019</v>
      </c>
      <c r="C304" t="s">
        <v>9</v>
      </c>
      <c r="D304">
        <v>20490.36</v>
      </c>
      <c r="E304">
        <v>18726.21</v>
      </c>
      <c r="F304">
        <v>106.77</v>
      </c>
      <c r="G304">
        <v>336.01</v>
      </c>
      <c r="H304">
        <f>E304*1000000/D304</f>
        <v>913903.41604539892</v>
      </c>
      <c r="I304" t="str">
        <f>IF(AND(B304&gt;=2018, B304&lt;=2021), "2018-2021", IF(AND(B304&gt;=2022, B304&lt;=2024), "2022-2024", "Other"))</f>
        <v>2018-2021</v>
      </c>
    </row>
    <row r="305" spans="1:9" x14ac:dyDescent="0.3">
      <c r="A305" t="s">
        <v>17</v>
      </c>
      <c r="B305">
        <v>2020</v>
      </c>
      <c r="C305" t="s">
        <v>2</v>
      </c>
      <c r="D305">
        <v>36826.44</v>
      </c>
      <c r="E305">
        <v>42048.9</v>
      </c>
      <c r="F305">
        <v>150.4</v>
      </c>
      <c r="G305">
        <v>516.02</v>
      </c>
      <c r="H305">
        <f>E305*1000000/D305</f>
        <v>1141812.7845102595</v>
      </c>
      <c r="I305" t="str">
        <f>IF(AND(B305&gt;=2018, B305&lt;=2021), "2018-2021", IF(AND(B305&gt;=2022, B305&lt;=2024), "2022-2024", "Other"))</f>
        <v>2018-2021</v>
      </c>
    </row>
    <row r="306" spans="1:9" x14ac:dyDescent="0.3">
      <c r="A306" t="s">
        <v>16</v>
      </c>
      <c r="B306">
        <v>2021</v>
      </c>
      <c r="C306" t="s">
        <v>4</v>
      </c>
      <c r="D306">
        <v>12148.41</v>
      </c>
      <c r="E306">
        <v>12962.53</v>
      </c>
      <c r="F306">
        <v>113.06</v>
      </c>
      <c r="G306">
        <v>423.76</v>
      </c>
      <c r="H306">
        <f>E306*1000000/D306</f>
        <v>1067014.5311197103</v>
      </c>
      <c r="I306" t="str">
        <f>IF(AND(B306&gt;=2018, B306&lt;=2021), "2018-2021", IF(AND(B306&gt;=2022, B306&lt;=2024), "2022-2024", "Other"))</f>
        <v>2018-2021</v>
      </c>
    </row>
    <row r="307" spans="1:9" x14ac:dyDescent="0.3">
      <c r="A307" t="s">
        <v>13</v>
      </c>
      <c r="B307">
        <v>2019</v>
      </c>
      <c r="C307" t="s">
        <v>14</v>
      </c>
      <c r="D307">
        <v>26723.91</v>
      </c>
      <c r="E307">
        <v>22010.240000000002</v>
      </c>
      <c r="F307">
        <v>87.54</v>
      </c>
      <c r="G307">
        <v>766.34</v>
      </c>
      <c r="H307">
        <f>E307*1000000/D307</f>
        <v>823616.00529263867</v>
      </c>
      <c r="I307" t="str">
        <f>IF(AND(B307&gt;=2018, B307&lt;=2021), "2018-2021", IF(AND(B307&gt;=2022, B307&lt;=2024), "2022-2024", "Other"))</f>
        <v>2018-2021</v>
      </c>
    </row>
    <row r="308" spans="1:9" x14ac:dyDescent="0.3">
      <c r="A308" t="s">
        <v>25</v>
      </c>
      <c r="B308">
        <v>2021</v>
      </c>
      <c r="C308" t="s">
        <v>12</v>
      </c>
      <c r="D308">
        <v>20385.310000000001</v>
      </c>
      <c r="E308">
        <v>21467.14</v>
      </c>
      <c r="F308">
        <v>134.21</v>
      </c>
      <c r="G308">
        <v>856.05</v>
      </c>
      <c r="H308">
        <f>E308*1000000/D308</f>
        <v>1053069.0973058541</v>
      </c>
      <c r="I308" t="str">
        <f>IF(AND(B308&gt;=2018, B308&lt;=2021), "2018-2021", IF(AND(B308&gt;=2022, B308&lt;=2024), "2022-2024", "Other"))</f>
        <v>2018-2021</v>
      </c>
    </row>
    <row r="309" spans="1:9" x14ac:dyDescent="0.3">
      <c r="A309" t="s">
        <v>17</v>
      </c>
      <c r="B309">
        <v>2024</v>
      </c>
      <c r="C309" t="s">
        <v>6</v>
      </c>
      <c r="D309">
        <v>9272.98</v>
      </c>
      <c r="E309">
        <v>10324.969999999999</v>
      </c>
      <c r="F309">
        <v>182.31</v>
      </c>
      <c r="G309">
        <v>675.39</v>
      </c>
      <c r="H309">
        <f>E309*1000000/D309</f>
        <v>1113446.8099791007</v>
      </c>
      <c r="I309" t="str">
        <f>IF(AND(B309&gt;=2018, B309&lt;=2021), "2018-2021", IF(AND(B309&gt;=2022, B309&lt;=2024), "2022-2024", "Other"))</f>
        <v>2022-2024</v>
      </c>
    </row>
    <row r="310" spans="1:9" x14ac:dyDescent="0.3">
      <c r="A310" t="s">
        <v>3</v>
      </c>
      <c r="B310">
        <v>2021</v>
      </c>
      <c r="C310" t="s">
        <v>14</v>
      </c>
      <c r="D310">
        <v>34325.040000000001</v>
      </c>
      <c r="E310">
        <v>33080.21</v>
      </c>
      <c r="F310">
        <v>80.55</v>
      </c>
      <c r="G310">
        <v>826.63</v>
      </c>
      <c r="H310">
        <f>E310*1000000/D310</f>
        <v>963734.05537182186</v>
      </c>
      <c r="I310" t="str">
        <f>IF(AND(B310&gt;=2018, B310&lt;=2021), "2018-2021", IF(AND(B310&gt;=2022, B310&lt;=2024), "2022-2024", "Other"))</f>
        <v>2018-2021</v>
      </c>
    </row>
    <row r="311" spans="1:9" x14ac:dyDescent="0.3">
      <c r="A311" t="s">
        <v>1</v>
      </c>
      <c r="B311">
        <v>2018</v>
      </c>
      <c r="C311" t="s">
        <v>8</v>
      </c>
      <c r="D311">
        <v>23329.02</v>
      </c>
      <c r="E311">
        <v>19639.5</v>
      </c>
      <c r="F311">
        <v>138.91</v>
      </c>
      <c r="G311">
        <v>1303.1600000000001</v>
      </c>
      <c r="H311">
        <f>E311*1000000/D311</f>
        <v>841848.47884737549</v>
      </c>
      <c r="I311" t="str">
        <f>IF(AND(B311&gt;=2018, B311&lt;=2021), "2018-2021", IF(AND(B311&gt;=2022, B311&lt;=2024), "2022-2024", "Other"))</f>
        <v>2018-2021</v>
      </c>
    </row>
    <row r="312" spans="1:9" x14ac:dyDescent="0.3">
      <c r="A312" t="s">
        <v>23</v>
      </c>
      <c r="B312">
        <v>2019</v>
      </c>
      <c r="C312" t="s">
        <v>9</v>
      </c>
      <c r="D312">
        <v>27999.24</v>
      </c>
      <c r="E312">
        <v>24345.31</v>
      </c>
      <c r="F312">
        <v>35.5</v>
      </c>
      <c r="G312">
        <v>321.39</v>
      </c>
      <c r="H312">
        <f>E312*1000000/D312</f>
        <v>869498.95782885526</v>
      </c>
      <c r="I312" t="str">
        <f>IF(AND(B312&gt;=2018, B312&lt;=2021), "2018-2021", IF(AND(B312&gt;=2022, B312&lt;=2024), "2022-2024", "Other"))</f>
        <v>2018-2021</v>
      </c>
    </row>
    <row r="313" spans="1:9" x14ac:dyDescent="0.3">
      <c r="A313" t="s">
        <v>25</v>
      </c>
      <c r="B313">
        <v>2019</v>
      </c>
      <c r="C313" t="s">
        <v>12</v>
      </c>
      <c r="D313">
        <v>10668.39</v>
      </c>
      <c r="E313">
        <v>10113.76</v>
      </c>
      <c r="F313">
        <v>78.36</v>
      </c>
      <c r="G313">
        <v>709.22</v>
      </c>
      <c r="H313">
        <f>E313*1000000/D313</f>
        <v>948011.83683761093</v>
      </c>
      <c r="I313" t="str">
        <f>IF(AND(B313&gt;=2018, B313&lt;=2021), "2018-2021", IF(AND(B313&gt;=2022, B313&lt;=2024), "2022-2024", "Other"))</f>
        <v>2018-2021</v>
      </c>
    </row>
    <row r="314" spans="1:9" x14ac:dyDescent="0.3">
      <c r="A314" t="s">
        <v>5</v>
      </c>
      <c r="B314">
        <v>2018</v>
      </c>
      <c r="C314" t="s">
        <v>9</v>
      </c>
      <c r="D314">
        <v>6216.13</v>
      </c>
      <c r="E314">
        <v>7024.47</v>
      </c>
      <c r="F314">
        <v>129.81</v>
      </c>
      <c r="G314">
        <v>800.63</v>
      </c>
      <c r="H314">
        <f>E314*1000000/D314</f>
        <v>1130039.1079337143</v>
      </c>
      <c r="I314" t="str">
        <f>IF(AND(B314&gt;=2018, B314&lt;=2021), "2018-2021", IF(AND(B314&gt;=2022, B314&lt;=2024), "2022-2024", "Other"))</f>
        <v>2018-2021</v>
      </c>
    </row>
    <row r="315" spans="1:9" x14ac:dyDescent="0.3">
      <c r="A315" t="s">
        <v>3</v>
      </c>
      <c r="B315">
        <v>2022</v>
      </c>
      <c r="C315" t="s">
        <v>4</v>
      </c>
      <c r="D315">
        <v>25947.66</v>
      </c>
      <c r="E315">
        <v>23899.18</v>
      </c>
      <c r="F315">
        <v>48.07</v>
      </c>
      <c r="G315">
        <v>469.91</v>
      </c>
      <c r="H315">
        <f>E315*1000000/D315</f>
        <v>921053.38207761315</v>
      </c>
      <c r="I315" t="str">
        <f>IF(AND(B315&gt;=2018, B315&lt;=2021), "2018-2021", IF(AND(B315&gt;=2022, B315&lt;=2024), "2022-2024", "Other"))</f>
        <v>2022-2024</v>
      </c>
    </row>
    <row r="316" spans="1:9" x14ac:dyDescent="0.3">
      <c r="A316" t="s">
        <v>11</v>
      </c>
      <c r="B316">
        <v>2019</v>
      </c>
      <c r="C316" t="s">
        <v>9</v>
      </c>
      <c r="D316">
        <v>8209.84</v>
      </c>
      <c r="E316">
        <v>7556.2</v>
      </c>
      <c r="F316">
        <v>21.33</v>
      </c>
      <c r="G316">
        <v>420.85</v>
      </c>
      <c r="H316">
        <f>E316*1000000/D316</f>
        <v>920383.34486421174</v>
      </c>
      <c r="I316" t="str">
        <f>IF(AND(B316&gt;=2018, B316&lt;=2021), "2018-2021", IF(AND(B316&gt;=2022, B316&lt;=2024), "2022-2024", "Other"))</f>
        <v>2018-2021</v>
      </c>
    </row>
    <row r="317" spans="1:9" x14ac:dyDescent="0.3">
      <c r="A317" t="s">
        <v>21</v>
      </c>
      <c r="B317">
        <v>2022</v>
      </c>
      <c r="C317" t="s">
        <v>12</v>
      </c>
      <c r="D317">
        <v>43281.08</v>
      </c>
      <c r="E317">
        <v>38481.97</v>
      </c>
      <c r="F317">
        <v>187.09</v>
      </c>
      <c r="G317">
        <v>1109.48</v>
      </c>
      <c r="H317">
        <f>E317*1000000/D317</f>
        <v>889117.60057743476</v>
      </c>
      <c r="I317" t="str">
        <f>IF(AND(B317&gt;=2018, B317&lt;=2021), "2018-2021", IF(AND(B317&gt;=2022, B317&lt;=2024), "2022-2024", "Other"))</f>
        <v>2022-2024</v>
      </c>
    </row>
    <row r="318" spans="1:9" x14ac:dyDescent="0.3">
      <c r="A318" t="s">
        <v>24</v>
      </c>
      <c r="B318">
        <v>2021</v>
      </c>
      <c r="C318" t="s">
        <v>8</v>
      </c>
      <c r="D318">
        <v>15742.16</v>
      </c>
      <c r="E318">
        <v>17297.580000000002</v>
      </c>
      <c r="F318">
        <v>100.01</v>
      </c>
      <c r="G318">
        <v>136.09</v>
      </c>
      <c r="H318">
        <f>E318*1000000/D318</f>
        <v>1098806.0088323331</v>
      </c>
      <c r="I318" t="str">
        <f>IF(AND(B318&gt;=2018, B318&lt;=2021), "2018-2021", IF(AND(B318&gt;=2022, B318&lt;=2024), "2022-2024", "Other"))</f>
        <v>2018-2021</v>
      </c>
    </row>
    <row r="319" spans="1:9" x14ac:dyDescent="0.3">
      <c r="A319" t="s">
        <v>26</v>
      </c>
      <c r="B319">
        <v>2020</v>
      </c>
      <c r="C319" t="s">
        <v>6</v>
      </c>
      <c r="D319">
        <v>19747.12</v>
      </c>
      <c r="E319">
        <v>19112.57</v>
      </c>
      <c r="F319">
        <v>167.79</v>
      </c>
      <c r="G319">
        <v>1170</v>
      </c>
      <c r="H319">
        <f>E319*1000000/D319</f>
        <v>967866.20023578126</v>
      </c>
      <c r="I319" t="str">
        <f>IF(AND(B319&gt;=2018, B319&lt;=2021), "2018-2021", IF(AND(B319&gt;=2022, B319&lt;=2024), "2022-2024", "Other"))</f>
        <v>2018-2021</v>
      </c>
    </row>
    <row r="320" spans="1:9" x14ac:dyDescent="0.3">
      <c r="A320" t="s">
        <v>22</v>
      </c>
      <c r="B320">
        <v>2024</v>
      </c>
      <c r="C320" t="s">
        <v>8</v>
      </c>
      <c r="D320">
        <v>10668.1</v>
      </c>
      <c r="E320">
        <v>9622.69</v>
      </c>
      <c r="F320">
        <v>102.58</v>
      </c>
      <c r="G320">
        <v>737.64</v>
      </c>
      <c r="H320">
        <f>E320*1000000/D320</f>
        <v>902005.98044637754</v>
      </c>
      <c r="I320" t="str">
        <f>IF(AND(B320&gt;=2018, B320&lt;=2021), "2018-2021", IF(AND(B320&gt;=2022, B320&lt;=2024), "2022-2024", "Other"))</f>
        <v>2022-2024</v>
      </c>
    </row>
    <row r="321" spans="1:9" x14ac:dyDescent="0.3">
      <c r="A321" t="s">
        <v>5</v>
      </c>
      <c r="B321">
        <v>2019</v>
      </c>
      <c r="C321" t="s">
        <v>8</v>
      </c>
      <c r="D321">
        <v>24674.19</v>
      </c>
      <c r="E321">
        <v>28985.24</v>
      </c>
      <c r="F321">
        <v>172.4</v>
      </c>
      <c r="G321">
        <v>393.27</v>
      </c>
      <c r="H321">
        <f>E321*1000000/D321</f>
        <v>1174719.0079998574</v>
      </c>
      <c r="I321" t="str">
        <f>IF(AND(B321&gt;=2018, B321&lt;=2021), "2018-2021", IF(AND(B321&gt;=2022, B321&lt;=2024), "2022-2024", "Other"))</f>
        <v>2018-2021</v>
      </c>
    </row>
    <row r="322" spans="1:9" x14ac:dyDescent="0.3">
      <c r="A322" t="s">
        <v>21</v>
      </c>
      <c r="B322">
        <v>2023</v>
      </c>
      <c r="C322" t="s">
        <v>8</v>
      </c>
      <c r="D322">
        <v>8416.1</v>
      </c>
      <c r="E322">
        <v>6929.97</v>
      </c>
      <c r="F322">
        <v>126.12</v>
      </c>
      <c r="G322">
        <v>830.43</v>
      </c>
      <c r="H322">
        <f>E322*1000000/D322</f>
        <v>823418.21033495315</v>
      </c>
      <c r="I322" t="str">
        <f>IF(AND(B322&gt;=2018, B322&lt;=2021), "2018-2021", IF(AND(B322&gt;=2022, B322&lt;=2024), "2022-2024", "Other"))</f>
        <v>2022-2024</v>
      </c>
    </row>
    <row r="323" spans="1:9" x14ac:dyDescent="0.3">
      <c r="A323" t="s">
        <v>16</v>
      </c>
      <c r="B323">
        <v>2023</v>
      </c>
      <c r="C323" t="s">
        <v>0</v>
      </c>
      <c r="D323">
        <v>5158.83</v>
      </c>
      <c r="E323">
        <v>5533.23</v>
      </c>
      <c r="F323">
        <v>187.33</v>
      </c>
      <c r="G323">
        <v>954.11</v>
      </c>
      <c r="H323">
        <f>E323*1000000/D323</f>
        <v>1072574.5954024459</v>
      </c>
      <c r="I323" t="str">
        <f>IF(AND(B323&gt;=2018, B323&lt;=2021), "2018-2021", IF(AND(B323&gt;=2022, B323&lt;=2024), "2022-2024", "Other"))</f>
        <v>2022-2024</v>
      </c>
    </row>
    <row r="324" spans="1:9" x14ac:dyDescent="0.3">
      <c r="A324" t="s">
        <v>17</v>
      </c>
      <c r="B324">
        <v>2024</v>
      </c>
      <c r="C324" t="s">
        <v>14</v>
      </c>
      <c r="D324">
        <v>2512.6799999999998</v>
      </c>
      <c r="E324">
        <v>2273.25</v>
      </c>
      <c r="F324">
        <v>183.28</v>
      </c>
      <c r="G324">
        <v>820.54</v>
      </c>
      <c r="H324">
        <f>E324*1000000/D324</f>
        <v>904711.30426476919</v>
      </c>
      <c r="I324" t="str">
        <f>IF(AND(B324&gt;=2018, B324&lt;=2021), "2018-2021", IF(AND(B324&gt;=2022, B324&lt;=2024), "2022-2024", "Other"))</f>
        <v>2022-2024</v>
      </c>
    </row>
    <row r="325" spans="1:9" x14ac:dyDescent="0.3">
      <c r="A325" t="s">
        <v>15</v>
      </c>
      <c r="B325">
        <v>2020</v>
      </c>
      <c r="C325" t="s">
        <v>12</v>
      </c>
      <c r="D325">
        <v>41105.94</v>
      </c>
      <c r="E325">
        <v>47590.19</v>
      </c>
      <c r="F325">
        <v>54.75</v>
      </c>
      <c r="G325">
        <v>720.5</v>
      </c>
      <c r="H325">
        <f>E325*1000000/D325</f>
        <v>1157744.8417430667</v>
      </c>
      <c r="I325" t="str">
        <f>IF(AND(B325&gt;=2018, B325&lt;=2021), "2018-2021", IF(AND(B325&gt;=2022, B325&lt;=2024), "2022-2024", "Other"))</f>
        <v>2018-2021</v>
      </c>
    </row>
    <row r="326" spans="1:9" x14ac:dyDescent="0.3">
      <c r="A326" t="s">
        <v>21</v>
      </c>
      <c r="B326">
        <v>2021</v>
      </c>
      <c r="C326" t="s">
        <v>0</v>
      </c>
      <c r="D326">
        <v>32589.23</v>
      </c>
      <c r="E326">
        <v>36377.68</v>
      </c>
      <c r="F326">
        <v>173.23</v>
      </c>
      <c r="G326">
        <v>135.79</v>
      </c>
      <c r="H326">
        <f>E326*1000000/D326</f>
        <v>1116248.5275043319</v>
      </c>
      <c r="I326" t="str">
        <f>IF(AND(B326&gt;=2018, B326&lt;=2021), "2018-2021", IF(AND(B326&gt;=2022, B326&lt;=2024), "2022-2024", "Other"))</f>
        <v>2018-2021</v>
      </c>
    </row>
    <row r="327" spans="1:9" x14ac:dyDescent="0.3">
      <c r="A327" t="s">
        <v>18</v>
      </c>
      <c r="B327">
        <v>2021</v>
      </c>
      <c r="C327" t="s">
        <v>0</v>
      </c>
      <c r="D327">
        <v>19203.37</v>
      </c>
      <c r="E327">
        <v>19148.46</v>
      </c>
      <c r="F327">
        <v>174.87</v>
      </c>
      <c r="G327">
        <v>1258.25</v>
      </c>
      <c r="H327">
        <f>E327*1000000/D327</f>
        <v>997140.60604987573</v>
      </c>
      <c r="I327" t="str">
        <f>IF(AND(B327&gt;=2018, B327&lt;=2021), "2018-2021", IF(AND(B327&gt;=2022, B327&lt;=2024), "2022-2024", "Other"))</f>
        <v>2018-2021</v>
      </c>
    </row>
    <row r="328" spans="1:9" x14ac:dyDescent="0.3">
      <c r="A328" t="s">
        <v>11</v>
      </c>
      <c r="B328">
        <v>2018</v>
      </c>
      <c r="C328" t="s">
        <v>12</v>
      </c>
      <c r="D328">
        <v>48569.06</v>
      </c>
      <c r="E328">
        <v>50526.39</v>
      </c>
      <c r="F328">
        <v>111.18</v>
      </c>
      <c r="G328">
        <v>775.09</v>
      </c>
      <c r="H328">
        <f>E328*1000000/D328</f>
        <v>1040299.9358027518</v>
      </c>
      <c r="I328" t="str">
        <f>IF(AND(B328&gt;=2018, B328&lt;=2021), "2018-2021", IF(AND(B328&gt;=2022, B328&lt;=2024), "2022-2024", "Other"))</f>
        <v>2018-2021</v>
      </c>
    </row>
    <row r="329" spans="1:9" x14ac:dyDescent="0.3">
      <c r="A329" t="s">
        <v>20</v>
      </c>
      <c r="B329">
        <v>2018</v>
      </c>
      <c r="C329" t="s">
        <v>2</v>
      </c>
      <c r="D329">
        <v>23990.63</v>
      </c>
      <c r="E329">
        <v>25812.35</v>
      </c>
      <c r="F329">
        <v>158.80000000000001</v>
      </c>
      <c r="G329">
        <v>628.04999999999995</v>
      </c>
      <c r="H329">
        <f>E329*1000000/D329</f>
        <v>1075934.6461514349</v>
      </c>
      <c r="I329" t="str">
        <f>IF(AND(B329&gt;=2018, B329&lt;=2021), "2018-2021", IF(AND(B329&gt;=2022, B329&lt;=2024), "2022-2024", "Other"))</f>
        <v>2018-2021</v>
      </c>
    </row>
    <row r="330" spans="1:9" x14ac:dyDescent="0.3">
      <c r="A330" t="s">
        <v>23</v>
      </c>
      <c r="B330">
        <v>2020</v>
      </c>
      <c r="C330" t="s">
        <v>8</v>
      </c>
      <c r="D330">
        <v>31991.72</v>
      </c>
      <c r="E330">
        <v>31110.65</v>
      </c>
      <c r="F330">
        <v>89.08</v>
      </c>
      <c r="G330">
        <v>304.88</v>
      </c>
      <c r="H330">
        <f>E330*1000000/D330</f>
        <v>972459.43637916306</v>
      </c>
      <c r="I330" t="str">
        <f>IF(AND(B330&gt;=2018, B330&lt;=2021), "2018-2021", IF(AND(B330&gt;=2022, B330&lt;=2024), "2022-2024", "Other"))</f>
        <v>2018-2021</v>
      </c>
    </row>
    <row r="331" spans="1:9" x14ac:dyDescent="0.3">
      <c r="A331" t="s">
        <v>16</v>
      </c>
      <c r="B331">
        <v>2019</v>
      </c>
      <c r="C331" t="s">
        <v>6</v>
      </c>
      <c r="D331">
        <v>3007.77</v>
      </c>
      <c r="E331">
        <v>2560.4899999999998</v>
      </c>
      <c r="F331">
        <v>109.09</v>
      </c>
      <c r="G331">
        <v>1312.13</v>
      </c>
      <c r="H331">
        <f>E331*1000000/D331</f>
        <v>851291.82085066347</v>
      </c>
      <c r="I331" t="str">
        <f>IF(AND(B331&gt;=2018, B331&lt;=2021), "2018-2021", IF(AND(B331&gt;=2022, B331&lt;=2024), "2022-2024", "Other"))</f>
        <v>2018-2021</v>
      </c>
    </row>
    <row r="332" spans="1:9" x14ac:dyDescent="0.3">
      <c r="A332" t="s">
        <v>23</v>
      </c>
      <c r="B332">
        <v>2023</v>
      </c>
      <c r="C332" t="s">
        <v>0</v>
      </c>
      <c r="D332">
        <v>26866.42</v>
      </c>
      <c r="E332">
        <v>29648.63</v>
      </c>
      <c r="F332">
        <v>171.62</v>
      </c>
      <c r="G332">
        <v>1242.5899999999999</v>
      </c>
      <c r="H332">
        <f>E332*1000000/D332</f>
        <v>1103557.1542468257</v>
      </c>
      <c r="I332" t="str">
        <f>IF(AND(B332&gt;=2018, B332&lt;=2021), "2018-2021", IF(AND(B332&gt;=2022, B332&lt;=2024), "2022-2024", "Other"))</f>
        <v>2022-2024</v>
      </c>
    </row>
    <row r="333" spans="1:9" x14ac:dyDescent="0.3">
      <c r="A333" t="s">
        <v>22</v>
      </c>
      <c r="B333">
        <v>2021</v>
      </c>
      <c r="C333" t="s">
        <v>12</v>
      </c>
      <c r="D333">
        <v>41913.300000000003</v>
      </c>
      <c r="E333">
        <v>38652.18</v>
      </c>
      <c r="F333">
        <v>30.71</v>
      </c>
      <c r="G333">
        <v>82.09</v>
      </c>
      <c r="H333">
        <f>E333*1000000/D333</f>
        <v>922193.67122130678</v>
      </c>
      <c r="I333" t="str">
        <f>IF(AND(B333&gt;=2018, B333&lt;=2021), "2018-2021", IF(AND(B333&gt;=2022, B333&lt;=2024), "2022-2024", "Other"))</f>
        <v>2018-2021</v>
      </c>
    </row>
    <row r="334" spans="1:9" x14ac:dyDescent="0.3">
      <c r="A334" t="s">
        <v>27</v>
      </c>
      <c r="B334">
        <v>2018</v>
      </c>
      <c r="C334" t="s">
        <v>8</v>
      </c>
      <c r="D334">
        <v>35789.49</v>
      </c>
      <c r="E334">
        <v>40299.58</v>
      </c>
      <c r="F334">
        <v>119.33</v>
      </c>
      <c r="G334">
        <v>257.85000000000002</v>
      </c>
      <c r="H334">
        <f>E334*1000000/D334</f>
        <v>1126017.1631392345</v>
      </c>
      <c r="I334" t="str">
        <f>IF(AND(B334&gt;=2018, B334&lt;=2021), "2018-2021", IF(AND(B334&gt;=2022, B334&lt;=2024), "2022-2024", "Other"))</f>
        <v>2018-2021</v>
      </c>
    </row>
    <row r="335" spans="1:9" x14ac:dyDescent="0.3">
      <c r="A335" t="s">
        <v>16</v>
      </c>
      <c r="B335">
        <v>2021</v>
      </c>
      <c r="C335" t="s">
        <v>8</v>
      </c>
      <c r="D335">
        <v>40825.300000000003</v>
      </c>
      <c r="E335">
        <v>44057.3</v>
      </c>
      <c r="F335">
        <v>158.6</v>
      </c>
      <c r="G335">
        <v>391.2</v>
      </c>
      <c r="H335">
        <f>E335*1000000/D335</f>
        <v>1079166.5952240399</v>
      </c>
      <c r="I335" t="str">
        <f>IF(AND(B335&gt;=2018, B335&lt;=2021), "2018-2021", IF(AND(B335&gt;=2022, B335&lt;=2024), "2022-2024", "Other"))</f>
        <v>2018-2021</v>
      </c>
    </row>
    <row r="336" spans="1:9" x14ac:dyDescent="0.3">
      <c r="A336" t="s">
        <v>24</v>
      </c>
      <c r="B336">
        <v>2020</v>
      </c>
      <c r="C336" t="s">
        <v>9</v>
      </c>
      <c r="D336">
        <v>33829.339999999997</v>
      </c>
      <c r="E336">
        <v>37634.44</v>
      </c>
      <c r="F336">
        <v>58.46</v>
      </c>
      <c r="G336">
        <v>964.99</v>
      </c>
      <c r="H336">
        <f>E336*1000000/D336</f>
        <v>1112479.2857324441</v>
      </c>
      <c r="I336" t="str">
        <f>IF(AND(B336&gt;=2018, B336&lt;=2021), "2018-2021", IF(AND(B336&gt;=2022, B336&lt;=2024), "2022-2024", "Other"))</f>
        <v>2018-2021</v>
      </c>
    </row>
    <row r="337" spans="1:9" x14ac:dyDescent="0.3">
      <c r="A337" t="s">
        <v>26</v>
      </c>
      <c r="B337">
        <v>2018</v>
      </c>
      <c r="C337" t="s">
        <v>8</v>
      </c>
      <c r="D337">
        <v>33169.17</v>
      </c>
      <c r="E337">
        <v>31095.77</v>
      </c>
      <c r="F337">
        <v>88.57</v>
      </c>
      <c r="G337">
        <v>797.67</v>
      </c>
      <c r="H337">
        <f>E337*1000000/D337</f>
        <v>937490.14521617524</v>
      </c>
      <c r="I337" t="str">
        <f>IF(AND(B337&gt;=2018, B337&lt;=2021), "2018-2021", IF(AND(B337&gt;=2022, B337&lt;=2024), "2022-2024", "Other"))</f>
        <v>2018-2021</v>
      </c>
    </row>
    <row r="338" spans="1:9" x14ac:dyDescent="0.3">
      <c r="A338" t="s">
        <v>25</v>
      </c>
      <c r="B338">
        <v>2019</v>
      </c>
      <c r="C338" t="s">
        <v>9</v>
      </c>
      <c r="D338">
        <v>40010.99</v>
      </c>
      <c r="E338">
        <v>42792.66</v>
      </c>
      <c r="F338">
        <v>87.37</v>
      </c>
      <c r="G338">
        <v>831.94</v>
      </c>
      <c r="H338">
        <f>E338*1000000/D338</f>
        <v>1069522.6486522828</v>
      </c>
      <c r="I338" t="str">
        <f>IF(AND(B338&gt;=2018, B338&lt;=2021), "2018-2021", IF(AND(B338&gt;=2022, B338&lt;=2024), "2022-2024", "Other"))</f>
        <v>2018-2021</v>
      </c>
    </row>
    <row r="339" spans="1:9" x14ac:dyDescent="0.3">
      <c r="A339" t="s">
        <v>10</v>
      </c>
      <c r="B339">
        <v>2019</v>
      </c>
      <c r="C339" t="s">
        <v>0</v>
      </c>
      <c r="D339">
        <v>11188.67</v>
      </c>
      <c r="E339">
        <v>9813.6200000000008</v>
      </c>
      <c r="F339">
        <v>100.52</v>
      </c>
      <c r="G339">
        <v>623.46</v>
      </c>
      <c r="H339">
        <f>E339*1000000/D339</f>
        <v>877103.35544796661</v>
      </c>
      <c r="I339" t="str">
        <f>IF(AND(B339&gt;=2018, B339&lt;=2021), "2018-2021", IF(AND(B339&gt;=2022, B339&lt;=2024), "2022-2024", "Other"))</f>
        <v>2018-2021</v>
      </c>
    </row>
    <row r="340" spans="1:9" x14ac:dyDescent="0.3">
      <c r="A340" t="s">
        <v>24</v>
      </c>
      <c r="B340">
        <v>2022</v>
      </c>
      <c r="C340" t="s">
        <v>4</v>
      </c>
      <c r="D340">
        <v>49188.61</v>
      </c>
      <c r="E340">
        <v>44353.01</v>
      </c>
      <c r="F340">
        <v>164.75</v>
      </c>
      <c r="G340">
        <v>659.02</v>
      </c>
      <c r="H340">
        <f>E340*1000000/D340</f>
        <v>901692.68861226202</v>
      </c>
      <c r="I340" t="str">
        <f>IF(AND(B340&gt;=2018, B340&lt;=2021), "2018-2021", IF(AND(B340&gt;=2022, B340&lt;=2024), "2022-2024", "Other"))</f>
        <v>2022-2024</v>
      </c>
    </row>
    <row r="341" spans="1:9" x14ac:dyDescent="0.3">
      <c r="A341" t="s">
        <v>19</v>
      </c>
      <c r="B341">
        <v>2022</v>
      </c>
      <c r="C341" t="s">
        <v>14</v>
      </c>
      <c r="D341">
        <v>8075.18</v>
      </c>
      <c r="E341">
        <v>9515</v>
      </c>
      <c r="F341">
        <v>192.64</v>
      </c>
      <c r="G341">
        <v>552.09</v>
      </c>
      <c r="H341">
        <f>E341*1000000/D341</f>
        <v>1178301.9078212497</v>
      </c>
      <c r="I341" t="str">
        <f>IF(AND(B341&gt;=2018, B341&lt;=2021), "2018-2021", IF(AND(B341&gt;=2022, B341&lt;=2024), "2022-2024", "Other"))</f>
        <v>2022-2024</v>
      </c>
    </row>
    <row r="342" spans="1:9" x14ac:dyDescent="0.3">
      <c r="A342" t="s">
        <v>19</v>
      </c>
      <c r="B342">
        <v>2023</v>
      </c>
      <c r="C342" t="s">
        <v>9</v>
      </c>
      <c r="D342">
        <v>10961.77</v>
      </c>
      <c r="E342">
        <v>12576.03</v>
      </c>
      <c r="F342">
        <v>176.8</v>
      </c>
      <c r="G342">
        <v>977.68</v>
      </c>
      <c r="H342">
        <f>E342*1000000/D342</f>
        <v>1147262.7139595156</v>
      </c>
      <c r="I342" t="str">
        <f>IF(AND(B342&gt;=2018, B342&lt;=2021), "2018-2021", IF(AND(B342&gt;=2022, B342&lt;=2024), "2022-2024", "Other"))</f>
        <v>2022-2024</v>
      </c>
    </row>
    <row r="343" spans="1:9" x14ac:dyDescent="0.3">
      <c r="A343" t="s">
        <v>18</v>
      </c>
      <c r="B343">
        <v>2022</v>
      </c>
      <c r="C343" t="s">
        <v>0</v>
      </c>
      <c r="D343">
        <v>37256.43</v>
      </c>
      <c r="E343">
        <v>39190.01</v>
      </c>
      <c r="F343">
        <v>38.82</v>
      </c>
      <c r="G343">
        <v>1199.92</v>
      </c>
      <c r="H343">
        <f>E343*1000000/D343</f>
        <v>1051899.2292068778</v>
      </c>
      <c r="I343" t="str">
        <f>IF(AND(B343&gt;=2018, B343&lt;=2021), "2018-2021", IF(AND(B343&gt;=2022, B343&lt;=2024), "2022-2024", "Other"))</f>
        <v>2022-2024</v>
      </c>
    </row>
    <row r="344" spans="1:9" x14ac:dyDescent="0.3">
      <c r="A344" t="s">
        <v>18</v>
      </c>
      <c r="B344">
        <v>2018</v>
      </c>
      <c r="C344" t="s">
        <v>12</v>
      </c>
      <c r="D344">
        <v>49446.48</v>
      </c>
      <c r="E344">
        <v>52898.91</v>
      </c>
      <c r="F344">
        <v>46.3</v>
      </c>
      <c r="G344">
        <v>1013.71</v>
      </c>
      <c r="H344">
        <f>E344*1000000/D344</f>
        <v>1069821.5525149615</v>
      </c>
      <c r="I344" t="str">
        <f>IF(AND(B344&gt;=2018, B344&lt;=2021), "2018-2021", IF(AND(B344&gt;=2022, B344&lt;=2024), "2022-2024", "Other"))</f>
        <v>2018-2021</v>
      </c>
    </row>
    <row r="345" spans="1:9" x14ac:dyDescent="0.3">
      <c r="A345" t="s">
        <v>15</v>
      </c>
      <c r="B345">
        <v>2022</v>
      </c>
      <c r="C345" t="s">
        <v>14</v>
      </c>
      <c r="D345">
        <v>740.99</v>
      </c>
      <c r="E345">
        <v>831.86</v>
      </c>
      <c r="F345">
        <v>53.1</v>
      </c>
      <c r="G345">
        <v>1360.46</v>
      </c>
      <c r="H345">
        <f>E345*1000000/D345</f>
        <v>1122633.233916787</v>
      </c>
      <c r="I345" t="str">
        <f>IF(AND(B345&gt;=2018, B345&lt;=2021), "2018-2021", IF(AND(B345&gt;=2022, B345&lt;=2024), "2022-2024", "Other"))</f>
        <v>2022-2024</v>
      </c>
    </row>
    <row r="346" spans="1:9" x14ac:dyDescent="0.3">
      <c r="A346" t="s">
        <v>18</v>
      </c>
      <c r="B346">
        <v>2018</v>
      </c>
      <c r="C346" t="s">
        <v>8</v>
      </c>
      <c r="D346">
        <v>2436.5</v>
      </c>
      <c r="E346">
        <v>2216.85</v>
      </c>
      <c r="F346">
        <v>61.08</v>
      </c>
      <c r="G346">
        <v>908.5</v>
      </c>
      <c r="H346">
        <f>E346*1000000/D346</f>
        <v>909850.19495177513</v>
      </c>
      <c r="I346" t="str">
        <f>IF(AND(B346&gt;=2018, B346&lt;=2021), "2018-2021", IF(AND(B346&gt;=2022, B346&lt;=2024), "2022-2024", "Other"))</f>
        <v>2018-2021</v>
      </c>
    </row>
    <row r="347" spans="1:9" x14ac:dyDescent="0.3">
      <c r="A347" t="s">
        <v>21</v>
      </c>
      <c r="B347">
        <v>2018</v>
      </c>
      <c r="C347" t="s">
        <v>6</v>
      </c>
      <c r="D347">
        <v>11181.65</v>
      </c>
      <c r="E347">
        <v>13164.79</v>
      </c>
      <c r="F347">
        <v>122.54</v>
      </c>
      <c r="G347">
        <v>40.619999999999997</v>
      </c>
      <c r="H347">
        <f>E347*1000000/D347</f>
        <v>1177356.6512992268</v>
      </c>
      <c r="I347" t="str">
        <f>IF(AND(B347&gt;=2018, B347&lt;=2021), "2018-2021", IF(AND(B347&gt;=2022, B347&lt;=2024), "2022-2024", "Other"))</f>
        <v>2018-2021</v>
      </c>
    </row>
    <row r="348" spans="1:9" x14ac:dyDescent="0.3">
      <c r="A348" t="s">
        <v>10</v>
      </c>
      <c r="B348">
        <v>2022</v>
      </c>
      <c r="C348" t="s">
        <v>14</v>
      </c>
      <c r="D348">
        <v>49529.61</v>
      </c>
      <c r="E348">
        <v>52776.18</v>
      </c>
      <c r="F348">
        <v>118.72</v>
      </c>
      <c r="G348">
        <v>903.19</v>
      </c>
      <c r="H348">
        <f>E348*1000000/D348</f>
        <v>1065548.0630677287</v>
      </c>
      <c r="I348" t="str">
        <f>IF(AND(B348&gt;=2018, B348&lt;=2021), "2018-2021", IF(AND(B348&gt;=2022, B348&lt;=2024), "2022-2024", "Other"))</f>
        <v>2022-2024</v>
      </c>
    </row>
    <row r="349" spans="1:9" x14ac:dyDescent="0.3">
      <c r="A349" t="s">
        <v>27</v>
      </c>
      <c r="B349">
        <v>2019</v>
      </c>
      <c r="C349" t="s">
        <v>9</v>
      </c>
      <c r="D349">
        <v>31383.34</v>
      </c>
      <c r="E349">
        <v>36151.599999999999</v>
      </c>
      <c r="F349">
        <v>66.73</v>
      </c>
      <c r="G349">
        <v>1204.8399999999999</v>
      </c>
      <c r="H349">
        <f>E349*1000000/D349</f>
        <v>1151936.0272042428</v>
      </c>
      <c r="I349" t="str">
        <f>IF(AND(B349&gt;=2018, B349&lt;=2021), "2018-2021", IF(AND(B349&gt;=2022, B349&lt;=2024), "2022-2024", "Other"))</f>
        <v>2018-2021</v>
      </c>
    </row>
    <row r="350" spans="1:9" x14ac:dyDescent="0.3">
      <c r="A350" t="s">
        <v>23</v>
      </c>
      <c r="B350">
        <v>2018</v>
      </c>
      <c r="C350" t="s">
        <v>2</v>
      </c>
      <c r="D350">
        <v>26441.53</v>
      </c>
      <c r="E350">
        <v>27000.75</v>
      </c>
      <c r="F350">
        <v>103.49</v>
      </c>
      <c r="G350">
        <v>425.03</v>
      </c>
      <c r="H350">
        <f>E350*1000000/D350</f>
        <v>1021149.3056566697</v>
      </c>
      <c r="I350" t="str">
        <f>IF(AND(B350&gt;=2018, B350&lt;=2021), "2018-2021", IF(AND(B350&gt;=2022, B350&lt;=2024), "2022-2024", "Other"))</f>
        <v>2018-2021</v>
      </c>
    </row>
    <row r="351" spans="1:9" x14ac:dyDescent="0.3">
      <c r="A351" t="s">
        <v>5</v>
      </c>
      <c r="B351">
        <v>2018</v>
      </c>
      <c r="C351" t="s">
        <v>14</v>
      </c>
      <c r="D351">
        <v>9960.73</v>
      </c>
      <c r="E351">
        <v>11541.31</v>
      </c>
      <c r="F351">
        <v>70.91</v>
      </c>
      <c r="G351">
        <v>981.92</v>
      </c>
      <c r="H351">
        <f>E351*1000000/D351</f>
        <v>1158681.1408400789</v>
      </c>
      <c r="I351" t="str">
        <f>IF(AND(B351&gt;=2018, B351&lt;=2021), "2018-2021", IF(AND(B351&gt;=2022, B351&lt;=2024), "2022-2024", "Other"))</f>
        <v>2018-2021</v>
      </c>
    </row>
    <row r="352" spans="1:9" x14ac:dyDescent="0.3">
      <c r="A352" t="s">
        <v>19</v>
      </c>
      <c r="B352">
        <v>2022</v>
      </c>
      <c r="C352" t="s">
        <v>14</v>
      </c>
      <c r="D352">
        <v>25268.13</v>
      </c>
      <c r="E352">
        <v>22719.63</v>
      </c>
      <c r="F352">
        <v>60.51</v>
      </c>
      <c r="G352">
        <v>352.62</v>
      </c>
      <c r="H352">
        <f>E352*1000000/D352</f>
        <v>899141.72516921512</v>
      </c>
      <c r="I352" t="str">
        <f>IF(AND(B352&gt;=2018, B352&lt;=2021), "2018-2021", IF(AND(B352&gt;=2022, B352&lt;=2024), "2022-2024", "Other"))</f>
        <v>2022-2024</v>
      </c>
    </row>
    <row r="353" spans="1:9" x14ac:dyDescent="0.3">
      <c r="A353" t="s">
        <v>26</v>
      </c>
      <c r="B353">
        <v>2019</v>
      </c>
      <c r="C353" t="s">
        <v>14</v>
      </c>
      <c r="D353">
        <v>3732.53</v>
      </c>
      <c r="E353">
        <v>4168.82</v>
      </c>
      <c r="F353">
        <v>113.6</v>
      </c>
      <c r="G353">
        <v>1019.37</v>
      </c>
      <c r="H353">
        <f>E353*1000000/D353</f>
        <v>1116888.5447672221</v>
      </c>
      <c r="I353" t="str">
        <f>IF(AND(B353&gt;=2018, B353&lt;=2021), "2018-2021", IF(AND(B353&gt;=2022, B353&lt;=2024), "2022-2024", "Other"))</f>
        <v>2018-2021</v>
      </c>
    </row>
    <row r="354" spans="1:9" x14ac:dyDescent="0.3">
      <c r="A354" t="s">
        <v>1</v>
      </c>
      <c r="B354">
        <v>2018</v>
      </c>
      <c r="C354" t="s">
        <v>0</v>
      </c>
      <c r="D354">
        <v>13444.76</v>
      </c>
      <c r="E354">
        <v>14984.01</v>
      </c>
      <c r="F354">
        <v>163.9</v>
      </c>
      <c r="G354">
        <v>511.76</v>
      </c>
      <c r="H354">
        <f>E354*1000000/D354</f>
        <v>1114486.9822890107</v>
      </c>
      <c r="I354" t="str">
        <f>IF(AND(B354&gt;=2018, B354&lt;=2021), "2018-2021", IF(AND(B354&gt;=2022, B354&lt;=2024), "2022-2024", "Other"))</f>
        <v>2018-2021</v>
      </c>
    </row>
    <row r="355" spans="1:9" x14ac:dyDescent="0.3">
      <c r="A355" t="s">
        <v>24</v>
      </c>
      <c r="B355">
        <v>2022</v>
      </c>
      <c r="C355" t="s">
        <v>12</v>
      </c>
      <c r="D355">
        <v>42384.09</v>
      </c>
      <c r="E355">
        <v>36474.21</v>
      </c>
      <c r="F355">
        <v>67.16</v>
      </c>
      <c r="G355">
        <v>943.85</v>
      </c>
      <c r="H355">
        <f>E355*1000000/D355</f>
        <v>860563.71624352445</v>
      </c>
      <c r="I355" t="str">
        <f>IF(AND(B355&gt;=2018, B355&lt;=2021), "2018-2021", IF(AND(B355&gt;=2022, B355&lt;=2024), "2022-2024", "Other"))</f>
        <v>2022-2024</v>
      </c>
    </row>
    <row r="356" spans="1:9" x14ac:dyDescent="0.3">
      <c r="A356" t="s">
        <v>7</v>
      </c>
      <c r="B356">
        <v>2019</v>
      </c>
      <c r="C356" t="s">
        <v>2</v>
      </c>
      <c r="D356">
        <v>23745.49</v>
      </c>
      <c r="E356">
        <v>20351.509999999998</v>
      </c>
      <c r="F356">
        <v>20.09</v>
      </c>
      <c r="G356">
        <v>60.25</v>
      </c>
      <c r="H356">
        <f>E356*1000000/D356</f>
        <v>857068.43699582526</v>
      </c>
      <c r="I356" t="str">
        <f>IF(AND(B356&gt;=2018, B356&lt;=2021), "2018-2021", IF(AND(B356&gt;=2022, B356&lt;=2024), "2022-2024", "Other"))</f>
        <v>2018-2021</v>
      </c>
    </row>
    <row r="357" spans="1:9" x14ac:dyDescent="0.3">
      <c r="A357" t="s">
        <v>26</v>
      </c>
      <c r="B357">
        <v>2024</v>
      </c>
      <c r="C357" t="s">
        <v>4</v>
      </c>
      <c r="D357">
        <v>7620.64</v>
      </c>
      <c r="E357">
        <v>8232.41</v>
      </c>
      <c r="F357">
        <v>175.09</v>
      </c>
      <c r="G357">
        <v>1322.56</v>
      </c>
      <c r="H357">
        <f>E357*1000000/D357</f>
        <v>1080278.0343908123</v>
      </c>
      <c r="I357" t="str">
        <f>IF(AND(B357&gt;=2018, B357&lt;=2021), "2018-2021", IF(AND(B357&gt;=2022, B357&lt;=2024), "2022-2024", "Other"))</f>
        <v>2022-2024</v>
      </c>
    </row>
    <row r="358" spans="1:9" x14ac:dyDescent="0.3">
      <c r="A358" t="s">
        <v>17</v>
      </c>
      <c r="B358">
        <v>2018</v>
      </c>
      <c r="C358" t="s">
        <v>9</v>
      </c>
      <c r="D358">
        <v>46203.29</v>
      </c>
      <c r="E358">
        <v>51020.59</v>
      </c>
      <c r="F358">
        <v>64.260000000000005</v>
      </c>
      <c r="G358">
        <v>1231.3399999999999</v>
      </c>
      <c r="H358">
        <f>E358*1000000/D358</f>
        <v>1104263.1379713435</v>
      </c>
      <c r="I358" t="str">
        <f>IF(AND(B358&gt;=2018, B358&lt;=2021), "2018-2021", IF(AND(B358&gt;=2022, B358&lt;=2024), "2022-2024", "Other"))</f>
        <v>2018-2021</v>
      </c>
    </row>
    <row r="359" spans="1:9" x14ac:dyDescent="0.3">
      <c r="A359" t="s">
        <v>21</v>
      </c>
      <c r="B359">
        <v>2022</v>
      </c>
      <c r="C359" t="s">
        <v>12</v>
      </c>
      <c r="D359">
        <v>49520.12</v>
      </c>
      <c r="E359">
        <v>43991.89</v>
      </c>
      <c r="F359">
        <v>53.18</v>
      </c>
      <c r="G359">
        <v>1390.46</v>
      </c>
      <c r="H359">
        <f>E359*1000000/D359</f>
        <v>888363.9619613199</v>
      </c>
      <c r="I359" t="str">
        <f>IF(AND(B359&gt;=2018, B359&lt;=2021), "2018-2021", IF(AND(B359&gt;=2022, B359&lt;=2024), "2022-2024", "Other"))</f>
        <v>2022-2024</v>
      </c>
    </row>
    <row r="360" spans="1:9" x14ac:dyDescent="0.3">
      <c r="A360" t="s">
        <v>25</v>
      </c>
      <c r="B360">
        <v>2020</v>
      </c>
      <c r="C360" t="s">
        <v>6</v>
      </c>
      <c r="D360">
        <v>5505.18</v>
      </c>
      <c r="E360">
        <v>6279.76</v>
      </c>
      <c r="F360">
        <v>37.04</v>
      </c>
      <c r="G360">
        <v>742.35</v>
      </c>
      <c r="H360">
        <f>E360*1000000/D360</f>
        <v>1140700.2132536992</v>
      </c>
      <c r="I360" t="str">
        <f>IF(AND(B360&gt;=2018, B360&lt;=2021), "2018-2021", IF(AND(B360&gt;=2022, B360&lt;=2024), "2022-2024", "Other"))</f>
        <v>2018-2021</v>
      </c>
    </row>
    <row r="361" spans="1:9" x14ac:dyDescent="0.3">
      <c r="A361" t="s">
        <v>5</v>
      </c>
      <c r="B361">
        <v>2020</v>
      </c>
      <c r="C361" t="s">
        <v>12</v>
      </c>
      <c r="D361">
        <v>28052.23</v>
      </c>
      <c r="E361">
        <v>32720.639999999999</v>
      </c>
      <c r="F361">
        <v>142.25</v>
      </c>
      <c r="G361">
        <v>416.66</v>
      </c>
      <c r="H361">
        <f>E361*1000000/D361</f>
        <v>1166418.4986362939</v>
      </c>
      <c r="I361" t="str">
        <f>IF(AND(B361&gt;=2018, B361&lt;=2021), "2018-2021", IF(AND(B361&gt;=2022, B361&lt;=2024), "2022-2024", "Other"))</f>
        <v>2018-2021</v>
      </c>
    </row>
    <row r="362" spans="1:9" x14ac:dyDescent="0.3">
      <c r="A362" t="s">
        <v>20</v>
      </c>
      <c r="B362">
        <v>2023</v>
      </c>
      <c r="C362" t="s">
        <v>2</v>
      </c>
      <c r="D362">
        <v>36013.660000000003</v>
      </c>
      <c r="E362">
        <v>34055.43</v>
      </c>
      <c r="F362">
        <v>28.84</v>
      </c>
      <c r="G362">
        <v>1218.8699999999999</v>
      </c>
      <c r="H362">
        <f>E362*1000000/D362</f>
        <v>945625.35437942145</v>
      </c>
      <c r="I362" t="str">
        <f>IF(AND(B362&gt;=2018, B362&lt;=2021), "2018-2021", IF(AND(B362&gt;=2022, B362&lt;=2024), "2022-2024", "Other"))</f>
        <v>2022-2024</v>
      </c>
    </row>
    <row r="363" spans="1:9" x14ac:dyDescent="0.3">
      <c r="A363" t="s">
        <v>25</v>
      </c>
      <c r="B363">
        <v>2020</v>
      </c>
      <c r="C363" t="s">
        <v>14</v>
      </c>
      <c r="D363">
        <v>32563.439999999999</v>
      </c>
      <c r="E363">
        <v>33379</v>
      </c>
      <c r="F363">
        <v>36.130000000000003</v>
      </c>
      <c r="G363">
        <v>1181.29</v>
      </c>
      <c r="H363">
        <f>E363*1000000/D363</f>
        <v>1025045.2654879214</v>
      </c>
      <c r="I363" t="str">
        <f>IF(AND(B363&gt;=2018, B363&lt;=2021), "2018-2021", IF(AND(B363&gt;=2022, B363&lt;=2024), "2022-2024", "Other"))</f>
        <v>2018-2021</v>
      </c>
    </row>
    <row r="364" spans="1:9" x14ac:dyDescent="0.3">
      <c r="A364" t="s">
        <v>24</v>
      </c>
      <c r="B364">
        <v>2019</v>
      </c>
      <c r="C364" t="s">
        <v>2</v>
      </c>
      <c r="D364">
        <v>8970.5300000000007</v>
      </c>
      <c r="E364">
        <v>10242.07</v>
      </c>
      <c r="F364">
        <v>51.07</v>
      </c>
      <c r="G364">
        <v>118.38</v>
      </c>
      <c r="H364">
        <f>E364*1000000/D364</f>
        <v>1141746.3628124536</v>
      </c>
      <c r="I364" t="str">
        <f>IF(AND(B364&gt;=2018, B364&lt;=2021), "2018-2021", IF(AND(B364&gt;=2022, B364&lt;=2024), "2022-2024", "Other"))</f>
        <v>2018-2021</v>
      </c>
    </row>
    <row r="365" spans="1:9" x14ac:dyDescent="0.3">
      <c r="A365" t="s">
        <v>27</v>
      </c>
      <c r="B365">
        <v>2018</v>
      </c>
      <c r="C365" t="s">
        <v>6</v>
      </c>
      <c r="D365">
        <v>8375.59</v>
      </c>
      <c r="E365">
        <v>9834.6200000000008</v>
      </c>
      <c r="F365">
        <v>174.41</v>
      </c>
      <c r="G365">
        <v>103.26</v>
      </c>
      <c r="H365">
        <f>E365*1000000/D365</f>
        <v>1174200.2652947435</v>
      </c>
      <c r="I365" t="str">
        <f>IF(AND(B365&gt;=2018, B365&lt;=2021), "2018-2021", IF(AND(B365&gt;=2022, B365&lt;=2024), "2022-2024", "Other"))</f>
        <v>2018-2021</v>
      </c>
    </row>
    <row r="366" spans="1:9" x14ac:dyDescent="0.3">
      <c r="A366" t="s">
        <v>19</v>
      </c>
      <c r="B366">
        <v>2023</v>
      </c>
      <c r="C366" t="s">
        <v>8</v>
      </c>
      <c r="D366">
        <v>42828.76</v>
      </c>
      <c r="E366">
        <v>44223.92</v>
      </c>
      <c r="F366">
        <v>108.41</v>
      </c>
      <c r="G366">
        <v>1372.05</v>
      </c>
      <c r="H366">
        <f>E366*1000000/D366</f>
        <v>1032575.3068732319</v>
      </c>
      <c r="I366" t="str">
        <f>IF(AND(B366&gt;=2018, B366&lt;=2021), "2018-2021", IF(AND(B366&gt;=2022, B366&lt;=2024), "2022-2024", "Other"))</f>
        <v>2022-2024</v>
      </c>
    </row>
    <row r="367" spans="1:9" x14ac:dyDescent="0.3">
      <c r="A367" t="s">
        <v>24</v>
      </c>
      <c r="B367">
        <v>2018</v>
      </c>
      <c r="C367" t="s">
        <v>6</v>
      </c>
      <c r="D367">
        <v>11621.64</v>
      </c>
      <c r="E367">
        <v>13270.71</v>
      </c>
      <c r="F367">
        <v>172.63</v>
      </c>
      <c r="G367">
        <v>1099.3</v>
      </c>
      <c r="H367">
        <f>E367*1000000/D367</f>
        <v>1141896.4965357729</v>
      </c>
      <c r="I367" t="str">
        <f>IF(AND(B367&gt;=2018, B367&lt;=2021), "2018-2021", IF(AND(B367&gt;=2022, B367&lt;=2024), "2022-2024", "Other"))</f>
        <v>2018-2021</v>
      </c>
    </row>
    <row r="368" spans="1:9" x14ac:dyDescent="0.3">
      <c r="A368" t="s">
        <v>19</v>
      </c>
      <c r="B368">
        <v>2024</v>
      </c>
      <c r="C368" t="s">
        <v>14</v>
      </c>
      <c r="D368">
        <v>47299.18</v>
      </c>
      <c r="E368">
        <v>47088.76</v>
      </c>
      <c r="F368">
        <v>69.3</v>
      </c>
      <c r="G368">
        <v>1087.99</v>
      </c>
      <c r="H368">
        <f>E368*1000000/D368</f>
        <v>995551.29708379717</v>
      </c>
      <c r="I368" t="str">
        <f>IF(AND(B368&gt;=2018, B368&lt;=2021), "2018-2021", IF(AND(B368&gt;=2022, B368&lt;=2024), "2022-2024", "Other"))</f>
        <v>2022-2024</v>
      </c>
    </row>
    <row r="369" spans="1:9" x14ac:dyDescent="0.3">
      <c r="A369" t="s">
        <v>22</v>
      </c>
      <c r="B369">
        <v>2018</v>
      </c>
      <c r="C369" t="s">
        <v>0</v>
      </c>
      <c r="D369">
        <v>32067.33</v>
      </c>
      <c r="E369">
        <v>35582.94</v>
      </c>
      <c r="F369">
        <v>67.69</v>
      </c>
      <c r="G369">
        <v>1068.74</v>
      </c>
      <c r="H369">
        <f>E369*1000000/D369</f>
        <v>1109632.1396262175</v>
      </c>
      <c r="I369" t="str">
        <f>IF(AND(B369&gt;=2018, B369&lt;=2021), "2018-2021", IF(AND(B369&gt;=2022, B369&lt;=2024), "2022-2024", "Other"))</f>
        <v>2018-2021</v>
      </c>
    </row>
    <row r="370" spans="1:9" x14ac:dyDescent="0.3">
      <c r="A370" t="s">
        <v>22</v>
      </c>
      <c r="B370">
        <v>2020</v>
      </c>
      <c r="C370" t="s">
        <v>2</v>
      </c>
      <c r="D370">
        <v>20253.990000000002</v>
      </c>
      <c r="E370">
        <v>19827.79</v>
      </c>
      <c r="F370">
        <v>141.59</v>
      </c>
      <c r="G370">
        <v>1243.45</v>
      </c>
      <c r="H370">
        <f>E370*1000000/D370</f>
        <v>978957.23262428783</v>
      </c>
      <c r="I370" t="str">
        <f>IF(AND(B370&gt;=2018, B370&lt;=2021), "2018-2021", IF(AND(B370&gt;=2022, B370&lt;=2024), "2022-2024", "Other"))</f>
        <v>2018-2021</v>
      </c>
    </row>
    <row r="371" spans="1:9" x14ac:dyDescent="0.3">
      <c r="A371" t="s">
        <v>26</v>
      </c>
      <c r="B371">
        <v>2021</v>
      </c>
      <c r="C371" t="s">
        <v>0</v>
      </c>
      <c r="D371">
        <v>16436.490000000002</v>
      </c>
      <c r="E371">
        <v>13228.23</v>
      </c>
      <c r="F371">
        <v>189.1</v>
      </c>
      <c r="G371">
        <v>833.92</v>
      </c>
      <c r="H371">
        <f>E371*1000000/D371</f>
        <v>804808.69090663514</v>
      </c>
      <c r="I371" t="str">
        <f>IF(AND(B371&gt;=2018, B371&lt;=2021), "2018-2021", IF(AND(B371&gt;=2022, B371&lt;=2024), "2022-2024", "Other"))</f>
        <v>2018-2021</v>
      </c>
    </row>
    <row r="372" spans="1:9" x14ac:dyDescent="0.3">
      <c r="A372" t="s">
        <v>19</v>
      </c>
      <c r="B372">
        <v>2020</v>
      </c>
      <c r="C372" t="s">
        <v>12</v>
      </c>
      <c r="D372">
        <v>7871.05</v>
      </c>
      <c r="E372">
        <v>6643.78</v>
      </c>
      <c r="F372">
        <v>69.87</v>
      </c>
      <c r="G372">
        <v>451.84</v>
      </c>
      <c r="H372">
        <f>E372*1000000/D372</f>
        <v>844077.98197190976</v>
      </c>
      <c r="I372" t="str">
        <f>IF(AND(B372&gt;=2018, B372&lt;=2021), "2018-2021", IF(AND(B372&gt;=2022, B372&lt;=2024), "2022-2024", "Other"))</f>
        <v>2018-2021</v>
      </c>
    </row>
    <row r="373" spans="1:9" x14ac:dyDescent="0.3">
      <c r="A373" t="s">
        <v>19</v>
      </c>
      <c r="B373">
        <v>2021</v>
      </c>
      <c r="C373" t="s">
        <v>14</v>
      </c>
      <c r="D373">
        <v>17352.04</v>
      </c>
      <c r="E373">
        <v>19072.79</v>
      </c>
      <c r="F373">
        <v>125.83</v>
      </c>
      <c r="G373">
        <v>622.35</v>
      </c>
      <c r="H373">
        <f>E373*1000000/D373</f>
        <v>1099167.0143683394</v>
      </c>
      <c r="I373" t="str">
        <f>IF(AND(B373&gt;=2018, B373&lt;=2021), "2018-2021", IF(AND(B373&gt;=2022, B373&lt;=2024), "2022-2024", "Other"))</f>
        <v>2018-2021</v>
      </c>
    </row>
    <row r="374" spans="1:9" x14ac:dyDescent="0.3">
      <c r="A374" t="s">
        <v>15</v>
      </c>
      <c r="B374">
        <v>2021</v>
      </c>
      <c r="C374" t="s">
        <v>8</v>
      </c>
      <c r="D374">
        <v>48936.24</v>
      </c>
      <c r="E374">
        <v>52003.78</v>
      </c>
      <c r="F374">
        <v>110.24</v>
      </c>
      <c r="G374">
        <v>210.58</v>
      </c>
      <c r="H374">
        <f>E374*1000000/D374</f>
        <v>1062684.4236500394</v>
      </c>
      <c r="I374" t="str">
        <f>IF(AND(B374&gt;=2018, B374&lt;=2021), "2018-2021", IF(AND(B374&gt;=2022, B374&lt;=2024), "2022-2024", "Other"))</f>
        <v>2018-2021</v>
      </c>
    </row>
    <row r="375" spans="1:9" x14ac:dyDescent="0.3">
      <c r="A375" t="s">
        <v>10</v>
      </c>
      <c r="B375">
        <v>2018</v>
      </c>
      <c r="C375" t="s">
        <v>4</v>
      </c>
      <c r="D375">
        <v>45513.32</v>
      </c>
      <c r="E375">
        <v>41588.01</v>
      </c>
      <c r="F375">
        <v>33.520000000000003</v>
      </c>
      <c r="G375">
        <v>1267.31</v>
      </c>
      <c r="H375">
        <f>E375*1000000/D375</f>
        <v>913754.69862449064</v>
      </c>
      <c r="I375" t="str">
        <f>IF(AND(B375&gt;=2018, B375&lt;=2021), "2018-2021", IF(AND(B375&gt;=2022, B375&lt;=2024), "2022-2024", "Other"))</f>
        <v>2018-2021</v>
      </c>
    </row>
    <row r="376" spans="1:9" x14ac:dyDescent="0.3">
      <c r="A376" t="s">
        <v>16</v>
      </c>
      <c r="B376">
        <v>2024</v>
      </c>
      <c r="C376" t="s">
        <v>0</v>
      </c>
      <c r="D376">
        <v>13588.97</v>
      </c>
      <c r="E376">
        <v>12125.32</v>
      </c>
      <c r="F376">
        <v>192.19</v>
      </c>
      <c r="G376">
        <v>430.73</v>
      </c>
      <c r="H376">
        <f>E376*1000000/D376</f>
        <v>892291.32156447473</v>
      </c>
      <c r="I376" t="str">
        <f>IF(AND(B376&gt;=2018, B376&lt;=2021), "2018-2021", IF(AND(B376&gt;=2022, B376&lt;=2024), "2022-2024", "Other"))</f>
        <v>2022-2024</v>
      </c>
    </row>
    <row r="377" spans="1:9" x14ac:dyDescent="0.3">
      <c r="A377" t="s">
        <v>25</v>
      </c>
      <c r="B377">
        <v>2024</v>
      </c>
      <c r="C377" t="s">
        <v>0</v>
      </c>
      <c r="D377">
        <v>42905.2</v>
      </c>
      <c r="E377">
        <v>43781.19</v>
      </c>
      <c r="F377">
        <v>147.07</v>
      </c>
      <c r="G377">
        <v>866.71</v>
      </c>
      <c r="H377">
        <f>E377*1000000/D377</f>
        <v>1020416.8725469174</v>
      </c>
      <c r="I377" t="str">
        <f>IF(AND(B377&gt;=2018, B377&lt;=2021), "2018-2021", IF(AND(B377&gt;=2022, B377&lt;=2024), "2022-2024", "Other"))</f>
        <v>2022-2024</v>
      </c>
    </row>
    <row r="378" spans="1:9" x14ac:dyDescent="0.3">
      <c r="A378" t="s">
        <v>16</v>
      </c>
      <c r="B378">
        <v>2019</v>
      </c>
      <c r="C378" t="s">
        <v>9</v>
      </c>
      <c r="D378">
        <v>13942.38</v>
      </c>
      <c r="E378">
        <v>11285.35</v>
      </c>
      <c r="F378">
        <v>182.91</v>
      </c>
      <c r="G378">
        <v>792.65</v>
      </c>
      <c r="H378">
        <f>E378*1000000/D378</f>
        <v>809427.80213995033</v>
      </c>
      <c r="I378" t="str">
        <f>IF(AND(B378&gt;=2018, B378&lt;=2021), "2018-2021", IF(AND(B378&gt;=2022, B378&lt;=2024), "2022-2024", "Other"))</f>
        <v>2018-2021</v>
      </c>
    </row>
    <row r="379" spans="1:9" x14ac:dyDescent="0.3">
      <c r="A379" t="s">
        <v>16</v>
      </c>
      <c r="B379">
        <v>2021</v>
      </c>
      <c r="C379" t="s">
        <v>14</v>
      </c>
      <c r="D379">
        <v>6632.86</v>
      </c>
      <c r="E379">
        <v>6267.87</v>
      </c>
      <c r="F379">
        <v>37.729999999999997</v>
      </c>
      <c r="G379">
        <v>246.88</v>
      </c>
      <c r="H379">
        <f>E379*1000000/D379</f>
        <v>944972.45532093255</v>
      </c>
      <c r="I379" t="str">
        <f>IF(AND(B379&gt;=2018, B379&lt;=2021), "2018-2021", IF(AND(B379&gt;=2022, B379&lt;=2024), "2022-2024", "Other"))</f>
        <v>2018-2021</v>
      </c>
    </row>
    <row r="380" spans="1:9" x14ac:dyDescent="0.3">
      <c r="A380" t="s">
        <v>24</v>
      </c>
      <c r="B380">
        <v>2022</v>
      </c>
      <c r="C380" t="s">
        <v>0</v>
      </c>
      <c r="D380">
        <v>39084.33</v>
      </c>
      <c r="E380">
        <v>38765.74</v>
      </c>
      <c r="F380">
        <v>137.49</v>
      </c>
      <c r="G380">
        <v>443.4</v>
      </c>
      <c r="H380">
        <f>E380*1000000/D380</f>
        <v>991848.65136488201</v>
      </c>
      <c r="I380" t="str">
        <f>IF(AND(B380&gt;=2018, B380&lt;=2021), "2018-2021", IF(AND(B380&gt;=2022, B380&lt;=2024), "2022-2024", "Other"))</f>
        <v>2022-2024</v>
      </c>
    </row>
    <row r="381" spans="1:9" x14ac:dyDescent="0.3">
      <c r="A381" t="s">
        <v>20</v>
      </c>
      <c r="B381">
        <v>2021</v>
      </c>
      <c r="C381" t="s">
        <v>8</v>
      </c>
      <c r="D381">
        <v>24682.87</v>
      </c>
      <c r="E381">
        <v>29268.22</v>
      </c>
      <c r="F381">
        <v>95.83</v>
      </c>
      <c r="G381">
        <v>652.14</v>
      </c>
      <c r="H381">
        <f>E381*1000000/D381</f>
        <v>1185770.5364084486</v>
      </c>
      <c r="I381" t="str">
        <f>IF(AND(B381&gt;=2018, B381&lt;=2021), "2018-2021", IF(AND(B381&gt;=2022, B381&lt;=2024), "2022-2024", "Other"))</f>
        <v>2018-2021</v>
      </c>
    </row>
    <row r="382" spans="1:9" x14ac:dyDescent="0.3">
      <c r="A382" t="s">
        <v>19</v>
      </c>
      <c r="B382">
        <v>2022</v>
      </c>
      <c r="C382" t="s">
        <v>14</v>
      </c>
      <c r="D382">
        <v>37496.51</v>
      </c>
      <c r="E382">
        <v>42211.61</v>
      </c>
      <c r="F382">
        <v>156.9</v>
      </c>
      <c r="G382">
        <v>70.03</v>
      </c>
      <c r="H382">
        <f>E382*1000000/D382</f>
        <v>1125747.7029195516</v>
      </c>
      <c r="I382" t="str">
        <f>IF(AND(B382&gt;=2018, B382&lt;=2021), "2018-2021", IF(AND(B382&gt;=2022, B382&lt;=2024), "2022-2024", "Other"))</f>
        <v>2022-2024</v>
      </c>
    </row>
    <row r="383" spans="1:9" x14ac:dyDescent="0.3">
      <c r="A383" t="s">
        <v>25</v>
      </c>
      <c r="B383">
        <v>2019</v>
      </c>
      <c r="C383" t="s">
        <v>0</v>
      </c>
      <c r="D383">
        <v>15309.05</v>
      </c>
      <c r="E383">
        <v>17658.66</v>
      </c>
      <c r="F383">
        <v>55.57</v>
      </c>
      <c r="G383">
        <v>766.96</v>
      </c>
      <c r="H383">
        <f>E383*1000000/D383</f>
        <v>1153478.4980126135</v>
      </c>
      <c r="I383" t="str">
        <f>IF(AND(B383&gt;=2018, B383&lt;=2021), "2018-2021", IF(AND(B383&gt;=2022, B383&lt;=2024), "2022-2024", "Other"))</f>
        <v>2018-2021</v>
      </c>
    </row>
    <row r="384" spans="1:9" x14ac:dyDescent="0.3">
      <c r="A384" t="s">
        <v>7</v>
      </c>
      <c r="B384">
        <v>2020</v>
      </c>
      <c r="C384" t="s">
        <v>0</v>
      </c>
      <c r="D384">
        <v>9225.11</v>
      </c>
      <c r="E384">
        <v>9884.5400000000009</v>
      </c>
      <c r="F384">
        <v>119.89</v>
      </c>
      <c r="G384">
        <v>932.8</v>
      </c>
      <c r="H384">
        <f>E384*1000000/D384</f>
        <v>1071482.0744684886</v>
      </c>
      <c r="I384" t="str">
        <f>IF(AND(B384&gt;=2018, B384&lt;=2021), "2018-2021", IF(AND(B384&gt;=2022, B384&lt;=2024), "2022-2024", "Other"))</f>
        <v>2018-2021</v>
      </c>
    </row>
    <row r="385" spans="1:9" x14ac:dyDescent="0.3">
      <c r="A385" t="s">
        <v>15</v>
      </c>
      <c r="B385">
        <v>2022</v>
      </c>
      <c r="C385" t="s">
        <v>0</v>
      </c>
      <c r="D385">
        <v>17933.14</v>
      </c>
      <c r="E385">
        <v>16338.87</v>
      </c>
      <c r="F385">
        <v>55.04</v>
      </c>
      <c r="G385">
        <v>533.84</v>
      </c>
      <c r="H385">
        <f>E385*1000000/D385</f>
        <v>911099.22746379056</v>
      </c>
      <c r="I385" t="str">
        <f>IF(AND(B385&gt;=2018, B385&lt;=2021), "2018-2021", IF(AND(B385&gt;=2022, B385&lt;=2024), "2022-2024", "Other"))</f>
        <v>2022-2024</v>
      </c>
    </row>
    <row r="386" spans="1:9" x14ac:dyDescent="0.3">
      <c r="A386" t="s">
        <v>1</v>
      </c>
      <c r="B386">
        <v>2022</v>
      </c>
      <c r="C386" t="s">
        <v>6</v>
      </c>
      <c r="D386">
        <v>47744.44</v>
      </c>
      <c r="E386">
        <v>53650.75</v>
      </c>
      <c r="F386">
        <v>31.56</v>
      </c>
      <c r="G386">
        <v>760.44</v>
      </c>
      <c r="H386">
        <f>E386*1000000/D386</f>
        <v>1123706.7604102173</v>
      </c>
      <c r="I386" t="str">
        <f>IF(AND(B386&gt;=2018, B386&lt;=2021), "2018-2021", IF(AND(B386&gt;=2022, B386&lt;=2024), "2022-2024", "Other"))</f>
        <v>2022-2024</v>
      </c>
    </row>
    <row r="387" spans="1:9" x14ac:dyDescent="0.3">
      <c r="A387" t="s">
        <v>1</v>
      </c>
      <c r="B387">
        <v>2023</v>
      </c>
      <c r="C387" t="s">
        <v>0</v>
      </c>
      <c r="D387">
        <v>24942.52</v>
      </c>
      <c r="E387">
        <v>22397.14</v>
      </c>
      <c r="F387">
        <v>156.77000000000001</v>
      </c>
      <c r="G387">
        <v>791.47</v>
      </c>
      <c r="H387">
        <f>E387*1000000/D387</f>
        <v>897950.16702402162</v>
      </c>
      <c r="I387" t="str">
        <f>IF(AND(B387&gt;=2018, B387&lt;=2021), "2018-2021", IF(AND(B387&gt;=2022, B387&lt;=2024), "2022-2024", "Other"))</f>
        <v>2022-2024</v>
      </c>
    </row>
    <row r="388" spans="1:9" x14ac:dyDescent="0.3">
      <c r="A388" t="s">
        <v>24</v>
      </c>
      <c r="B388">
        <v>2019</v>
      </c>
      <c r="C388" t="s">
        <v>4</v>
      </c>
      <c r="D388">
        <v>21830.31</v>
      </c>
      <c r="E388">
        <v>25941.84</v>
      </c>
      <c r="F388">
        <v>135.31</v>
      </c>
      <c r="G388">
        <v>888.62</v>
      </c>
      <c r="H388">
        <f>E388*1000000/D388</f>
        <v>1188340.4312627718</v>
      </c>
      <c r="I388" t="str">
        <f>IF(AND(B388&gt;=2018, B388&lt;=2021), "2018-2021", IF(AND(B388&gt;=2022, B388&lt;=2024), "2022-2024", "Other"))</f>
        <v>2018-2021</v>
      </c>
    </row>
    <row r="389" spans="1:9" x14ac:dyDescent="0.3">
      <c r="A389" t="s">
        <v>10</v>
      </c>
      <c r="B389">
        <v>2024</v>
      </c>
      <c r="C389" t="s">
        <v>8</v>
      </c>
      <c r="D389">
        <v>38667.49</v>
      </c>
      <c r="E389">
        <v>32165.91</v>
      </c>
      <c r="F389">
        <v>104.41</v>
      </c>
      <c r="G389">
        <v>759.94</v>
      </c>
      <c r="H389">
        <f>E389*1000000/D389</f>
        <v>831859.2698931325</v>
      </c>
      <c r="I389" t="str">
        <f>IF(AND(B389&gt;=2018, B389&lt;=2021), "2018-2021", IF(AND(B389&gt;=2022, B389&lt;=2024), "2022-2024", "Other"))</f>
        <v>2022-2024</v>
      </c>
    </row>
    <row r="390" spans="1:9" x14ac:dyDescent="0.3">
      <c r="A390" t="s">
        <v>13</v>
      </c>
      <c r="B390">
        <v>2022</v>
      </c>
      <c r="C390" t="s">
        <v>6</v>
      </c>
      <c r="D390">
        <v>1452.89</v>
      </c>
      <c r="E390">
        <v>1463.53</v>
      </c>
      <c r="F390">
        <v>151.26</v>
      </c>
      <c r="G390">
        <v>967.76</v>
      </c>
      <c r="H390">
        <f>E390*1000000/D390</f>
        <v>1007323.3348704994</v>
      </c>
      <c r="I390" t="str">
        <f>IF(AND(B390&gt;=2018, B390&lt;=2021), "2018-2021", IF(AND(B390&gt;=2022, B390&lt;=2024), "2022-2024", "Other"))</f>
        <v>2022-2024</v>
      </c>
    </row>
    <row r="391" spans="1:9" x14ac:dyDescent="0.3">
      <c r="A391" t="s">
        <v>18</v>
      </c>
      <c r="B391">
        <v>2022</v>
      </c>
      <c r="C391" t="s">
        <v>14</v>
      </c>
      <c r="D391">
        <v>11765.21</v>
      </c>
      <c r="E391">
        <v>13641.61</v>
      </c>
      <c r="F391">
        <v>174.43</v>
      </c>
      <c r="G391">
        <v>1237.19</v>
      </c>
      <c r="H391">
        <f>E391*1000000/D391</f>
        <v>1159487.1659749381</v>
      </c>
      <c r="I391" t="str">
        <f>IF(AND(B391&gt;=2018, B391&lt;=2021), "2018-2021", IF(AND(B391&gt;=2022, B391&lt;=2024), "2022-2024", "Other"))</f>
        <v>2022-2024</v>
      </c>
    </row>
    <row r="392" spans="1:9" x14ac:dyDescent="0.3">
      <c r="A392" t="s">
        <v>10</v>
      </c>
      <c r="B392">
        <v>2023</v>
      </c>
      <c r="C392" t="s">
        <v>4</v>
      </c>
      <c r="D392">
        <v>20556.93</v>
      </c>
      <c r="E392">
        <v>17089.990000000002</v>
      </c>
      <c r="F392">
        <v>48.42</v>
      </c>
      <c r="G392">
        <v>1128.96</v>
      </c>
      <c r="H392">
        <f>E392*1000000/D392</f>
        <v>831349.33085825562</v>
      </c>
      <c r="I392" t="str">
        <f>IF(AND(B392&gt;=2018, B392&lt;=2021), "2018-2021", IF(AND(B392&gt;=2022, B392&lt;=2024), "2022-2024", "Other"))</f>
        <v>2022-2024</v>
      </c>
    </row>
    <row r="393" spans="1:9" x14ac:dyDescent="0.3">
      <c r="A393" t="s">
        <v>11</v>
      </c>
      <c r="B393">
        <v>2018</v>
      </c>
      <c r="C393" t="s">
        <v>12</v>
      </c>
      <c r="D393">
        <v>6607.86</v>
      </c>
      <c r="E393">
        <v>6138.7</v>
      </c>
      <c r="F393">
        <v>71.260000000000005</v>
      </c>
      <c r="G393">
        <v>534.92999999999995</v>
      </c>
      <c r="H393">
        <f>E393*1000000/D393</f>
        <v>928999.70641024481</v>
      </c>
      <c r="I393" t="str">
        <f>IF(AND(B393&gt;=2018, B393&lt;=2021), "2018-2021", IF(AND(B393&gt;=2022, B393&lt;=2024), "2022-2024", "Other"))</f>
        <v>2018-2021</v>
      </c>
    </row>
    <row r="394" spans="1:9" x14ac:dyDescent="0.3">
      <c r="A394" t="s">
        <v>26</v>
      </c>
      <c r="B394">
        <v>2022</v>
      </c>
      <c r="C394" t="s">
        <v>4</v>
      </c>
      <c r="D394">
        <v>17362.259999999998</v>
      </c>
      <c r="E394">
        <v>16343.72</v>
      </c>
      <c r="F394">
        <v>139.27000000000001</v>
      </c>
      <c r="G394">
        <v>710.02</v>
      </c>
      <c r="H394">
        <f>E394*1000000/D394</f>
        <v>941335.97815030999</v>
      </c>
      <c r="I394" t="str">
        <f>IF(AND(B394&gt;=2018, B394&lt;=2021), "2018-2021", IF(AND(B394&gt;=2022, B394&lt;=2024), "2022-2024", "Other"))</f>
        <v>2022-2024</v>
      </c>
    </row>
    <row r="395" spans="1:9" x14ac:dyDescent="0.3">
      <c r="A395" t="s">
        <v>19</v>
      </c>
      <c r="B395">
        <v>2023</v>
      </c>
      <c r="C395" t="s">
        <v>6</v>
      </c>
      <c r="D395">
        <v>32521.119999999999</v>
      </c>
      <c r="E395">
        <v>32543.38</v>
      </c>
      <c r="F395">
        <v>136.11000000000001</v>
      </c>
      <c r="G395">
        <v>754.46</v>
      </c>
      <c r="H395">
        <f>E395*1000000/D395</f>
        <v>1000684.4782713511</v>
      </c>
      <c r="I395" t="str">
        <f>IF(AND(B395&gt;=2018, B395&lt;=2021), "2018-2021", IF(AND(B395&gt;=2022, B395&lt;=2024), "2022-2024", "Other"))</f>
        <v>2022-2024</v>
      </c>
    </row>
    <row r="396" spans="1:9" x14ac:dyDescent="0.3">
      <c r="A396" t="s">
        <v>5</v>
      </c>
      <c r="B396">
        <v>2020</v>
      </c>
      <c r="C396" t="s">
        <v>9</v>
      </c>
      <c r="D396">
        <v>48689.95</v>
      </c>
      <c r="E396">
        <v>41106.230000000003</v>
      </c>
      <c r="F396">
        <v>93.46</v>
      </c>
      <c r="G396">
        <v>746.18</v>
      </c>
      <c r="H396">
        <f>E396*1000000/D396</f>
        <v>844244.65418428241</v>
      </c>
      <c r="I396" t="str">
        <f>IF(AND(B396&gt;=2018, B396&lt;=2021), "2018-2021", IF(AND(B396&gt;=2022, B396&lt;=2024), "2022-2024", "Other"))</f>
        <v>2018-2021</v>
      </c>
    </row>
    <row r="397" spans="1:9" x14ac:dyDescent="0.3">
      <c r="A397" t="s">
        <v>17</v>
      </c>
      <c r="B397">
        <v>2020</v>
      </c>
      <c r="C397" t="s">
        <v>0</v>
      </c>
      <c r="D397">
        <v>29313.73</v>
      </c>
      <c r="E397">
        <v>30309.69</v>
      </c>
      <c r="F397">
        <v>143.83000000000001</v>
      </c>
      <c r="G397">
        <v>1291.82</v>
      </c>
      <c r="H397">
        <f>E397*1000000/D397</f>
        <v>1033975.887749529</v>
      </c>
      <c r="I397" t="str">
        <f>IF(AND(B397&gt;=2018, B397&lt;=2021), "2018-2021", IF(AND(B397&gt;=2022, B397&lt;=2024), "2022-2024", "Other"))</f>
        <v>2018-2021</v>
      </c>
    </row>
    <row r="398" spans="1:9" x14ac:dyDescent="0.3">
      <c r="A398" t="s">
        <v>1</v>
      </c>
      <c r="B398">
        <v>2019</v>
      </c>
      <c r="C398" t="s">
        <v>4</v>
      </c>
      <c r="D398">
        <v>22523.27</v>
      </c>
      <c r="E398">
        <v>25385.21</v>
      </c>
      <c r="F398">
        <v>197.42</v>
      </c>
      <c r="G398">
        <v>939.34</v>
      </c>
      <c r="H398">
        <f>E398*1000000/D398</f>
        <v>1127065.9189362824</v>
      </c>
      <c r="I398" t="str">
        <f>IF(AND(B398&gt;=2018, B398&lt;=2021), "2018-2021", IF(AND(B398&gt;=2022, B398&lt;=2024), "2022-2024", "Other"))</f>
        <v>2018-2021</v>
      </c>
    </row>
    <row r="399" spans="1:9" x14ac:dyDescent="0.3">
      <c r="A399" t="s">
        <v>24</v>
      </c>
      <c r="B399">
        <v>2023</v>
      </c>
      <c r="C399" t="s">
        <v>0</v>
      </c>
      <c r="D399">
        <v>41431.57</v>
      </c>
      <c r="E399">
        <v>41218.18</v>
      </c>
      <c r="F399">
        <v>87.76</v>
      </c>
      <c r="G399">
        <v>644.84</v>
      </c>
      <c r="H399">
        <f>E399*1000000/D399</f>
        <v>994849.57968042244</v>
      </c>
      <c r="I399" t="str">
        <f>IF(AND(B399&gt;=2018, B399&lt;=2021), "2018-2021", IF(AND(B399&gt;=2022, B399&lt;=2024), "2022-2024", "Other"))</f>
        <v>2022-2024</v>
      </c>
    </row>
    <row r="400" spans="1:9" x14ac:dyDescent="0.3">
      <c r="A400" t="s">
        <v>22</v>
      </c>
      <c r="B400">
        <v>2020</v>
      </c>
      <c r="C400" t="s">
        <v>0</v>
      </c>
      <c r="D400">
        <v>13613.53</v>
      </c>
      <c r="E400">
        <v>13351.41</v>
      </c>
      <c r="F400">
        <v>66.86</v>
      </c>
      <c r="G400">
        <v>320.08</v>
      </c>
      <c r="H400">
        <f>E400*1000000/D400</f>
        <v>980745.62585898</v>
      </c>
      <c r="I400" t="str">
        <f>IF(AND(B400&gt;=2018, B400&lt;=2021), "2018-2021", IF(AND(B400&gt;=2022, B400&lt;=2024), "2022-2024", "Other"))</f>
        <v>2018-2021</v>
      </c>
    </row>
    <row r="401" spans="1:9" x14ac:dyDescent="0.3">
      <c r="A401" t="s">
        <v>22</v>
      </c>
      <c r="B401">
        <v>2019</v>
      </c>
      <c r="C401" t="s">
        <v>0</v>
      </c>
      <c r="D401">
        <v>44602.78</v>
      </c>
      <c r="E401">
        <v>51869.78</v>
      </c>
      <c r="F401">
        <v>24.9</v>
      </c>
      <c r="G401">
        <v>1182.44</v>
      </c>
      <c r="H401">
        <f>E401*1000000/D401</f>
        <v>1162927.064187479</v>
      </c>
      <c r="I401" t="str">
        <f>IF(AND(B401&gt;=2018, B401&lt;=2021), "2018-2021", IF(AND(B401&gt;=2022, B401&lt;=2024), "2022-2024", "Other"))</f>
        <v>2018-2021</v>
      </c>
    </row>
    <row r="402" spans="1:9" x14ac:dyDescent="0.3">
      <c r="A402" t="s">
        <v>26</v>
      </c>
      <c r="B402">
        <v>2023</v>
      </c>
      <c r="C402" t="s">
        <v>12</v>
      </c>
      <c r="D402">
        <v>33865.11</v>
      </c>
      <c r="E402">
        <v>38931.11</v>
      </c>
      <c r="F402">
        <v>113.98</v>
      </c>
      <c r="G402">
        <v>353.68</v>
      </c>
      <c r="H402">
        <f>E402*1000000/D402</f>
        <v>1149593.4901732195</v>
      </c>
      <c r="I402" t="str">
        <f>IF(AND(B402&gt;=2018, B402&lt;=2021), "2018-2021", IF(AND(B402&gt;=2022, B402&lt;=2024), "2022-2024", "Other"))</f>
        <v>2022-2024</v>
      </c>
    </row>
    <row r="403" spans="1:9" x14ac:dyDescent="0.3">
      <c r="A403" t="s">
        <v>22</v>
      </c>
      <c r="B403">
        <v>2022</v>
      </c>
      <c r="C403" t="s">
        <v>4</v>
      </c>
      <c r="D403">
        <v>34057.08</v>
      </c>
      <c r="E403">
        <v>39020.78</v>
      </c>
      <c r="F403">
        <v>184.44</v>
      </c>
      <c r="G403">
        <v>361.57</v>
      </c>
      <c r="H403">
        <f>E403*1000000/D403</f>
        <v>1145746.4938274215</v>
      </c>
      <c r="I403" t="str">
        <f>IF(AND(B403&gt;=2018, B403&lt;=2021), "2018-2021", IF(AND(B403&gt;=2022, B403&lt;=2024), "2022-2024", "Other"))</f>
        <v>2022-2024</v>
      </c>
    </row>
    <row r="404" spans="1:9" x14ac:dyDescent="0.3">
      <c r="A404" t="s">
        <v>10</v>
      </c>
      <c r="B404">
        <v>2022</v>
      </c>
      <c r="C404" t="s">
        <v>14</v>
      </c>
      <c r="D404">
        <v>4585.3</v>
      </c>
      <c r="E404">
        <v>5242.22</v>
      </c>
      <c r="F404">
        <v>190.76</v>
      </c>
      <c r="G404">
        <v>683.92</v>
      </c>
      <c r="H404">
        <f>E404*1000000/D404</f>
        <v>1143266.5256362725</v>
      </c>
      <c r="I404" t="str">
        <f>IF(AND(B404&gt;=2018, B404&lt;=2021), "2018-2021", IF(AND(B404&gt;=2022, B404&lt;=2024), "2022-2024", "Other"))</f>
        <v>2022-2024</v>
      </c>
    </row>
    <row r="405" spans="1:9" x14ac:dyDescent="0.3">
      <c r="A405" t="s">
        <v>7</v>
      </c>
      <c r="B405">
        <v>2023</v>
      </c>
      <c r="C405" t="s">
        <v>14</v>
      </c>
      <c r="D405">
        <v>3191.57</v>
      </c>
      <c r="E405">
        <v>3288.83</v>
      </c>
      <c r="F405">
        <v>59.33</v>
      </c>
      <c r="G405">
        <v>841.8</v>
      </c>
      <c r="H405">
        <f>E405*1000000/D405</f>
        <v>1030474.0300228414</v>
      </c>
      <c r="I405" t="str">
        <f>IF(AND(B405&gt;=2018, B405&lt;=2021), "2018-2021", IF(AND(B405&gt;=2022, B405&lt;=2024), "2022-2024", "Other"))</f>
        <v>2022-2024</v>
      </c>
    </row>
    <row r="406" spans="1:9" x14ac:dyDescent="0.3">
      <c r="A406" t="s">
        <v>19</v>
      </c>
      <c r="B406">
        <v>2019</v>
      </c>
      <c r="C406" t="s">
        <v>0</v>
      </c>
      <c r="D406">
        <v>37475.82</v>
      </c>
      <c r="E406">
        <v>30740.02</v>
      </c>
      <c r="F406">
        <v>87.45</v>
      </c>
      <c r="G406">
        <v>992.1</v>
      </c>
      <c r="H406">
        <f>E406*1000000/D406</f>
        <v>820262.77210211812</v>
      </c>
      <c r="I406" t="str">
        <f>IF(AND(B406&gt;=2018, B406&lt;=2021), "2018-2021", IF(AND(B406&gt;=2022, B406&lt;=2024), "2022-2024", "Other"))</f>
        <v>2018-2021</v>
      </c>
    </row>
    <row r="407" spans="1:9" x14ac:dyDescent="0.3">
      <c r="A407" t="s">
        <v>18</v>
      </c>
      <c r="B407">
        <v>2018</v>
      </c>
      <c r="C407" t="s">
        <v>12</v>
      </c>
      <c r="D407">
        <v>15547.35</v>
      </c>
      <c r="E407">
        <v>12545.33</v>
      </c>
      <c r="F407">
        <v>150.15</v>
      </c>
      <c r="G407">
        <v>1166.98</v>
      </c>
      <c r="H407">
        <f>E407*1000000/D407</f>
        <v>806911.14562931948</v>
      </c>
      <c r="I407" t="str">
        <f>IF(AND(B407&gt;=2018, B407&lt;=2021), "2018-2021", IF(AND(B407&gt;=2022, B407&lt;=2024), "2022-2024", "Other"))</f>
        <v>2018-2021</v>
      </c>
    </row>
    <row r="408" spans="1:9" x14ac:dyDescent="0.3">
      <c r="A408" t="s">
        <v>7</v>
      </c>
      <c r="B408">
        <v>2020</v>
      </c>
      <c r="C408" t="s">
        <v>6</v>
      </c>
      <c r="D408">
        <v>33358.71</v>
      </c>
      <c r="E408">
        <v>35916.660000000003</v>
      </c>
      <c r="F408">
        <v>165.02</v>
      </c>
      <c r="G408">
        <v>1075.6500000000001</v>
      </c>
      <c r="H408">
        <f>E408*1000000/D408</f>
        <v>1076680.1234220387</v>
      </c>
      <c r="I408" t="str">
        <f>IF(AND(B408&gt;=2018, B408&lt;=2021), "2018-2021", IF(AND(B408&gt;=2022, B408&lt;=2024), "2022-2024", "Other"))</f>
        <v>2018-2021</v>
      </c>
    </row>
    <row r="409" spans="1:9" x14ac:dyDescent="0.3">
      <c r="A409" t="s">
        <v>1</v>
      </c>
      <c r="B409">
        <v>2018</v>
      </c>
      <c r="C409" t="s">
        <v>0</v>
      </c>
      <c r="D409">
        <v>1508.85</v>
      </c>
      <c r="E409">
        <v>1646.31</v>
      </c>
      <c r="F409">
        <v>71.489999999999995</v>
      </c>
      <c r="G409">
        <v>1345.58</v>
      </c>
      <c r="H409">
        <f>E409*1000000/D409</f>
        <v>1091102.4952778607</v>
      </c>
      <c r="I409" t="str">
        <f>IF(AND(B409&gt;=2018, B409&lt;=2021), "2018-2021", IF(AND(B409&gt;=2022, B409&lt;=2024), "2022-2024", "Other"))</f>
        <v>2018-2021</v>
      </c>
    </row>
    <row r="410" spans="1:9" x14ac:dyDescent="0.3">
      <c r="A410" t="s">
        <v>10</v>
      </c>
      <c r="B410">
        <v>2021</v>
      </c>
      <c r="C410" t="s">
        <v>14</v>
      </c>
      <c r="D410">
        <v>38783.980000000003</v>
      </c>
      <c r="E410">
        <v>31056.35</v>
      </c>
      <c r="F410">
        <v>22.59</v>
      </c>
      <c r="G410">
        <v>577.65</v>
      </c>
      <c r="H410">
        <f>E410*1000000/D410</f>
        <v>800752.01152640849</v>
      </c>
      <c r="I410" t="str">
        <f>IF(AND(B410&gt;=2018, B410&lt;=2021), "2018-2021", IF(AND(B410&gt;=2022, B410&lt;=2024), "2022-2024", "Other"))</f>
        <v>2018-2021</v>
      </c>
    </row>
    <row r="411" spans="1:9" x14ac:dyDescent="0.3">
      <c r="A411" t="s">
        <v>5</v>
      </c>
      <c r="B411">
        <v>2020</v>
      </c>
      <c r="C411" t="s">
        <v>8</v>
      </c>
      <c r="D411">
        <v>14578.42</v>
      </c>
      <c r="E411">
        <v>12421.07</v>
      </c>
      <c r="F411">
        <v>27.85</v>
      </c>
      <c r="G411">
        <v>989.21</v>
      </c>
      <c r="H411">
        <f>E411*1000000/D411</f>
        <v>852017.57117712346</v>
      </c>
      <c r="I411" t="str">
        <f>IF(AND(B411&gt;=2018, B411&lt;=2021), "2018-2021", IF(AND(B411&gt;=2022, B411&lt;=2024), "2022-2024", "Other"))</f>
        <v>2018-2021</v>
      </c>
    </row>
    <row r="412" spans="1:9" x14ac:dyDescent="0.3">
      <c r="A412" t="s">
        <v>13</v>
      </c>
      <c r="B412">
        <v>2018</v>
      </c>
      <c r="C412" t="s">
        <v>2</v>
      </c>
      <c r="D412">
        <v>38111.67</v>
      </c>
      <c r="E412">
        <v>34589.19</v>
      </c>
      <c r="F412">
        <v>193.35</v>
      </c>
      <c r="G412">
        <v>1339.54</v>
      </c>
      <c r="H412">
        <f>E412*1000000/D412</f>
        <v>907574.76646916813</v>
      </c>
      <c r="I412" t="str">
        <f>IF(AND(B412&gt;=2018, B412&lt;=2021), "2018-2021", IF(AND(B412&gt;=2022, B412&lt;=2024), "2022-2024", "Other"))</f>
        <v>2018-2021</v>
      </c>
    </row>
    <row r="413" spans="1:9" x14ac:dyDescent="0.3">
      <c r="A413" t="s">
        <v>13</v>
      </c>
      <c r="B413">
        <v>2022</v>
      </c>
      <c r="C413" t="s">
        <v>2</v>
      </c>
      <c r="D413">
        <v>24701.03</v>
      </c>
      <c r="E413">
        <v>25708.18</v>
      </c>
      <c r="F413">
        <v>54.58</v>
      </c>
      <c r="G413">
        <v>1017.71</v>
      </c>
      <c r="H413">
        <f>E413*1000000/D413</f>
        <v>1040773.6033679568</v>
      </c>
      <c r="I413" t="str">
        <f>IF(AND(B413&gt;=2018, B413&lt;=2021), "2018-2021", IF(AND(B413&gt;=2022, B413&lt;=2024), "2022-2024", "Other"))</f>
        <v>2022-2024</v>
      </c>
    </row>
    <row r="414" spans="1:9" x14ac:dyDescent="0.3">
      <c r="A414" t="s">
        <v>20</v>
      </c>
      <c r="B414">
        <v>2023</v>
      </c>
      <c r="C414" t="s">
        <v>4</v>
      </c>
      <c r="D414">
        <v>7153.42</v>
      </c>
      <c r="E414">
        <v>7576.53</v>
      </c>
      <c r="F414">
        <v>161.84</v>
      </c>
      <c r="G414">
        <v>773.92</v>
      </c>
      <c r="H414">
        <f>E414*1000000/D414</f>
        <v>1059147.9320381021</v>
      </c>
      <c r="I414" t="str">
        <f>IF(AND(B414&gt;=2018, B414&lt;=2021), "2018-2021", IF(AND(B414&gt;=2022, B414&lt;=2024), "2022-2024", "Other"))</f>
        <v>2022-2024</v>
      </c>
    </row>
    <row r="415" spans="1:9" x14ac:dyDescent="0.3">
      <c r="A415" t="s">
        <v>26</v>
      </c>
      <c r="B415">
        <v>2018</v>
      </c>
      <c r="C415" t="s">
        <v>4</v>
      </c>
      <c r="D415">
        <v>24143.37</v>
      </c>
      <c r="E415">
        <v>22274.87</v>
      </c>
      <c r="F415">
        <v>101.35</v>
      </c>
      <c r="G415">
        <v>183.01</v>
      </c>
      <c r="H415">
        <f>E415*1000000/D415</f>
        <v>922608.15288006607</v>
      </c>
      <c r="I415" t="str">
        <f>IF(AND(B415&gt;=2018, B415&lt;=2021), "2018-2021", IF(AND(B415&gt;=2022, B415&lt;=2024), "2022-2024", "Other"))</f>
        <v>2018-2021</v>
      </c>
    </row>
    <row r="416" spans="1:9" x14ac:dyDescent="0.3">
      <c r="A416" t="s">
        <v>23</v>
      </c>
      <c r="B416">
        <v>2023</v>
      </c>
      <c r="C416" t="s">
        <v>14</v>
      </c>
      <c r="D416">
        <v>19324.439999999999</v>
      </c>
      <c r="E416">
        <v>22476.63</v>
      </c>
      <c r="F416">
        <v>132.93</v>
      </c>
      <c r="G416">
        <v>131.5</v>
      </c>
      <c r="H416">
        <f>E416*1000000/D416</f>
        <v>1163119.3452436398</v>
      </c>
      <c r="I416" t="str">
        <f>IF(AND(B416&gt;=2018, B416&lt;=2021), "2018-2021", IF(AND(B416&gt;=2022, B416&lt;=2024), "2022-2024", "Other"))</f>
        <v>2022-2024</v>
      </c>
    </row>
    <row r="417" spans="1:9" x14ac:dyDescent="0.3">
      <c r="A417" t="s">
        <v>24</v>
      </c>
      <c r="B417">
        <v>2023</v>
      </c>
      <c r="C417" t="s">
        <v>4</v>
      </c>
      <c r="D417">
        <v>515.29999999999995</v>
      </c>
      <c r="E417">
        <v>467.63</v>
      </c>
      <c r="F417">
        <v>78.959999999999994</v>
      </c>
      <c r="G417">
        <v>70.77</v>
      </c>
      <c r="H417">
        <f>E417*1000000/D417</f>
        <v>907490.78206869797</v>
      </c>
      <c r="I417" t="str">
        <f>IF(AND(B417&gt;=2018, B417&lt;=2021), "2018-2021", IF(AND(B417&gt;=2022, B417&lt;=2024), "2022-2024", "Other"))</f>
        <v>2022-2024</v>
      </c>
    </row>
    <row r="418" spans="1:9" x14ac:dyDescent="0.3">
      <c r="A418" t="s">
        <v>11</v>
      </c>
      <c r="B418">
        <v>2024</v>
      </c>
      <c r="C418" t="s">
        <v>14</v>
      </c>
      <c r="D418">
        <v>42244.94</v>
      </c>
      <c r="E418">
        <v>47489.87</v>
      </c>
      <c r="F418">
        <v>110.12</v>
      </c>
      <c r="G418">
        <v>909.79</v>
      </c>
      <c r="H418">
        <f>E418*1000000/D418</f>
        <v>1124155.2242706462</v>
      </c>
      <c r="I418" t="str">
        <f>IF(AND(B418&gt;=2018, B418&lt;=2021), "2018-2021", IF(AND(B418&gt;=2022, B418&lt;=2024), "2022-2024", "Other"))</f>
        <v>2022-2024</v>
      </c>
    </row>
    <row r="419" spans="1:9" x14ac:dyDescent="0.3">
      <c r="A419" t="s">
        <v>5</v>
      </c>
      <c r="B419">
        <v>2020</v>
      </c>
      <c r="C419" t="s">
        <v>8</v>
      </c>
      <c r="D419">
        <v>44945.69</v>
      </c>
      <c r="E419">
        <v>52772.31</v>
      </c>
      <c r="F419">
        <v>73.47</v>
      </c>
      <c r="G419">
        <v>965.26</v>
      </c>
      <c r="H419">
        <f>E419*1000000/D419</f>
        <v>1174135.0505465595</v>
      </c>
      <c r="I419" t="str">
        <f>IF(AND(B419&gt;=2018, B419&lt;=2021), "2018-2021", IF(AND(B419&gt;=2022, B419&lt;=2024), "2022-2024", "Other"))</f>
        <v>2018-2021</v>
      </c>
    </row>
    <row r="420" spans="1:9" x14ac:dyDescent="0.3">
      <c r="A420" t="s">
        <v>13</v>
      </c>
      <c r="B420">
        <v>2018</v>
      </c>
      <c r="C420" t="s">
        <v>8</v>
      </c>
      <c r="D420">
        <v>31149.31</v>
      </c>
      <c r="E420">
        <v>36064.1</v>
      </c>
      <c r="F420">
        <v>186.72</v>
      </c>
      <c r="G420">
        <v>796.75</v>
      </c>
      <c r="H420">
        <f>E420*1000000/D420</f>
        <v>1157781.6651476389</v>
      </c>
      <c r="I420" t="str">
        <f>IF(AND(B420&gt;=2018, B420&lt;=2021), "2018-2021", IF(AND(B420&gt;=2022, B420&lt;=2024), "2022-2024", "Other"))</f>
        <v>2018-2021</v>
      </c>
    </row>
    <row r="421" spans="1:9" x14ac:dyDescent="0.3">
      <c r="A421" t="s">
        <v>19</v>
      </c>
      <c r="B421">
        <v>2022</v>
      </c>
      <c r="C421" t="s">
        <v>8</v>
      </c>
      <c r="D421">
        <v>19812.18</v>
      </c>
      <c r="E421">
        <v>21933.49</v>
      </c>
      <c r="F421">
        <v>39.200000000000003</v>
      </c>
      <c r="G421">
        <v>1005.65</v>
      </c>
      <c r="H421">
        <f>E421*1000000/D421</f>
        <v>1107071.0037966543</v>
      </c>
      <c r="I421" t="str">
        <f>IF(AND(B421&gt;=2018, B421&lt;=2021), "2018-2021", IF(AND(B421&gt;=2022, B421&lt;=2024), "2022-2024", "Other"))</f>
        <v>2022-2024</v>
      </c>
    </row>
    <row r="422" spans="1:9" x14ac:dyDescent="0.3">
      <c r="A422" t="s">
        <v>13</v>
      </c>
      <c r="B422">
        <v>2019</v>
      </c>
      <c r="C422" t="s">
        <v>6</v>
      </c>
      <c r="D422">
        <v>44530.83</v>
      </c>
      <c r="E422">
        <v>45440.33</v>
      </c>
      <c r="F422">
        <v>159.81</v>
      </c>
      <c r="G422">
        <v>1322.8</v>
      </c>
      <c r="H422">
        <f>E422*1000000/D422</f>
        <v>1020424.0522801842</v>
      </c>
      <c r="I422" t="str">
        <f>IF(AND(B422&gt;=2018, B422&lt;=2021), "2018-2021", IF(AND(B422&gt;=2022, B422&lt;=2024), "2022-2024", "Other"))</f>
        <v>2018-2021</v>
      </c>
    </row>
    <row r="423" spans="1:9" x14ac:dyDescent="0.3">
      <c r="A423" t="s">
        <v>11</v>
      </c>
      <c r="B423">
        <v>2020</v>
      </c>
      <c r="C423" t="s">
        <v>6</v>
      </c>
      <c r="D423">
        <v>43497.58</v>
      </c>
      <c r="E423">
        <v>35854.370000000003</v>
      </c>
      <c r="F423">
        <v>34.54</v>
      </c>
      <c r="G423">
        <v>856.38</v>
      </c>
      <c r="H423">
        <f>E423*1000000/D423</f>
        <v>824284.24753744912</v>
      </c>
      <c r="I423" t="str">
        <f>IF(AND(B423&gt;=2018, B423&lt;=2021), "2018-2021", IF(AND(B423&gt;=2022, B423&lt;=2024), "2022-2024", "Other"))</f>
        <v>2018-2021</v>
      </c>
    </row>
    <row r="424" spans="1:9" x14ac:dyDescent="0.3">
      <c r="A424" t="s">
        <v>17</v>
      </c>
      <c r="B424">
        <v>2023</v>
      </c>
      <c r="C424" t="s">
        <v>0</v>
      </c>
      <c r="D424">
        <v>37466.65</v>
      </c>
      <c r="E424">
        <v>37017.5</v>
      </c>
      <c r="F424">
        <v>42.3</v>
      </c>
      <c r="G424">
        <v>575.13</v>
      </c>
      <c r="H424">
        <f>E424*1000000/D424</f>
        <v>988012.00534341868</v>
      </c>
      <c r="I424" t="str">
        <f>IF(AND(B424&gt;=2018, B424&lt;=2021), "2018-2021", IF(AND(B424&gt;=2022, B424&lt;=2024), "2022-2024", "Other"))</f>
        <v>2022-2024</v>
      </c>
    </row>
    <row r="425" spans="1:9" x14ac:dyDescent="0.3">
      <c r="A425" t="s">
        <v>3</v>
      </c>
      <c r="B425">
        <v>2020</v>
      </c>
      <c r="C425" t="s">
        <v>14</v>
      </c>
      <c r="D425">
        <v>42719.21</v>
      </c>
      <c r="E425">
        <v>36764.089999999997</v>
      </c>
      <c r="F425">
        <v>103.18</v>
      </c>
      <c r="G425">
        <v>862.97</v>
      </c>
      <c r="H425">
        <f>E425*1000000/D425</f>
        <v>860598.54571280698</v>
      </c>
      <c r="I425" t="str">
        <f>IF(AND(B425&gt;=2018, B425&lt;=2021), "2018-2021", IF(AND(B425&gt;=2022, B425&lt;=2024), "2022-2024", "Other"))</f>
        <v>2018-2021</v>
      </c>
    </row>
    <row r="426" spans="1:9" x14ac:dyDescent="0.3">
      <c r="A426" t="s">
        <v>22</v>
      </c>
      <c r="B426">
        <v>2024</v>
      </c>
      <c r="C426" t="s">
        <v>12</v>
      </c>
      <c r="D426">
        <v>25477.84</v>
      </c>
      <c r="E426">
        <v>26272.99</v>
      </c>
      <c r="F426">
        <v>143.08000000000001</v>
      </c>
      <c r="G426">
        <v>432.71</v>
      </c>
      <c r="H426">
        <f>E426*1000000/D426</f>
        <v>1031209.4745865427</v>
      </c>
      <c r="I426" t="str">
        <f>IF(AND(B426&gt;=2018, B426&lt;=2021), "2018-2021", IF(AND(B426&gt;=2022, B426&lt;=2024), "2022-2024", "Other"))</f>
        <v>2022-2024</v>
      </c>
    </row>
    <row r="427" spans="1:9" x14ac:dyDescent="0.3">
      <c r="A427" t="s">
        <v>13</v>
      </c>
      <c r="B427">
        <v>2019</v>
      </c>
      <c r="C427" t="s">
        <v>6</v>
      </c>
      <c r="D427">
        <v>33716.46</v>
      </c>
      <c r="E427">
        <v>28974.75</v>
      </c>
      <c r="F427">
        <v>181.97</v>
      </c>
      <c r="G427">
        <v>309.42</v>
      </c>
      <c r="H427">
        <f>E427*1000000/D427</f>
        <v>859365.12907938741</v>
      </c>
      <c r="I427" t="str">
        <f>IF(AND(B427&gt;=2018, B427&lt;=2021), "2018-2021", IF(AND(B427&gt;=2022, B427&lt;=2024), "2022-2024", "Other"))</f>
        <v>2018-2021</v>
      </c>
    </row>
    <row r="428" spans="1:9" x14ac:dyDescent="0.3">
      <c r="A428" t="s">
        <v>11</v>
      </c>
      <c r="B428">
        <v>2022</v>
      </c>
      <c r="C428" t="s">
        <v>2</v>
      </c>
      <c r="D428">
        <v>33231.300000000003</v>
      </c>
      <c r="E428">
        <v>33766.93</v>
      </c>
      <c r="F428">
        <v>113.61</v>
      </c>
      <c r="G428">
        <v>1232.97</v>
      </c>
      <c r="H428">
        <f>E428*1000000/D428</f>
        <v>1016118.2379262923</v>
      </c>
      <c r="I428" t="str">
        <f>IF(AND(B428&gt;=2018, B428&lt;=2021), "2018-2021", IF(AND(B428&gt;=2022, B428&lt;=2024), "2022-2024", "Other"))</f>
        <v>2022-2024</v>
      </c>
    </row>
    <row r="429" spans="1:9" x14ac:dyDescent="0.3">
      <c r="A429" t="s">
        <v>24</v>
      </c>
      <c r="B429">
        <v>2022</v>
      </c>
      <c r="C429" t="s">
        <v>2</v>
      </c>
      <c r="D429">
        <v>12742.04</v>
      </c>
      <c r="E429">
        <v>12835.43</v>
      </c>
      <c r="F429">
        <v>66.34</v>
      </c>
      <c r="G429">
        <v>683.77</v>
      </c>
      <c r="H429">
        <f>E429*1000000/D429</f>
        <v>1007329.2816534871</v>
      </c>
      <c r="I429" t="str">
        <f>IF(AND(B429&gt;=2018, B429&lt;=2021), "2018-2021", IF(AND(B429&gt;=2022, B429&lt;=2024), "2022-2024", "Other"))</f>
        <v>2022-2024</v>
      </c>
    </row>
    <row r="430" spans="1:9" x14ac:dyDescent="0.3">
      <c r="A430" t="s">
        <v>3</v>
      </c>
      <c r="B430">
        <v>2018</v>
      </c>
      <c r="C430" t="s">
        <v>2</v>
      </c>
      <c r="D430">
        <v>49778.91</v>
      </c>
      <c r="E430">
        <v>43169.98</v>
      </c>
      <c r="F430">
        <v>36.840000000000003</v>
      </c>
      <c r="G430">
        <v>458.89</v>
      </c>
      <c r="H430">
        <f>E430*1000000/D430</f>
        <v>867234.33679041977</v>
      </c>
      <c r="I430" t="str">
        <f>IF(AND(B430&gt;=2018, B430&lt;=2021), "2018-2021", IF(AND(B430&gt;=2022, B430&lt;=2024), "2022-2024", "Other"))</f>
        <v>2018-2021</v>
      </c>
    </row>
    <row r="431" spans="1:9" x14ac:dyDescent="0.3">
      <c r="A431" t="s">
        <v>10</v>
      </c>
      <c r="B431">
        <v>2020</v>
      </c>
      <c r="C431" t="s">
        <v>12</v>
      </c>
      <c r="D431">
        <v>20105.439999999999</v>
      </c>
      <c r="E431">
        <v>20917.28</v>
      </c>
      <c r="F431">
        <v>106.83</v>
      </c>
      <c r="G431">
        <v>706.58</v>
      </c>
      <c r="H431">
        <f>E431*1000000/D431</f>
        <v>1040379.1212726507</v>
      </c>
      <c r="I431" t="str">
        <f>IF(AND(B431&gt;=2018, B431&lt;=2021), "2018-2021", IF(AND(B431&gt;=2022, B431&lt;=2024), "2022-2024", "Other"))</f>
        <v>2018-2021</v>
      </c>
    </row>
    <row r="432" spans="1:9" x14ac:dyDescent="0.3">
      <c r="A432" t="s">
        <v>17</v>
      </c>
      <c r="B432">
        <v>2024</v>
      </c>
      <c r="C432" t="s">
        <v>2</v>
      </c>
      <c r="D432">
        <v>38466.65</v>
      </c>
      <c r="E432">
        <v>45817.07</v>
      </c>
      <c r="F432">
        <v>134.68</v>
      </c>
      <c r="G432">
        <v>901.1</v>
      </c>
      <c r="H432">
        <f>E432*1000000/D432</f>
        <v>1191085.5247337627</v>
      </c>
      <c r="I432" t="str">
        <f>IF(AND(B432&gt;=2018, B432&lt;=2021), "2018-2021", IF(AND(B432&gt;=2022, B432&lt;=2024), "2022-2024", "Other"))</f>
        <v>2022-2024</v>
      </c>
    </row>
    <row r="433" spans="1:9" x14ac:dyDescent="0.3">
      <c r="A433" t="s">
        <v>26</v>
      </c>
      <c r="B433">
        <v>2022</v>
      </c>
      <c r="C433" t="s">
        <v>2</v>
      </c>
      <c r="D433">
        <v>29561.89</v>
      </c>
      <c r="E433">
        <v>27591.25</v>
      </c>
      <c r="F433">
        <v>169.82</v>
      </c>
      <c r="G433">
        <v>949.89</v>
      </c>
      <c r="H433">
        <f>E433*1000000/D433</f>
        <v>933338.49764003593</v>
      </c>
      <c r="I433" t="str">
        <f>IF(AND(B433&gt;=2018, B433&lt;=2021), "2018-2021", IF(AND(B433&gt;=2022, B433&lt;=2024), "2022-2024", "Other"))</f>
        <v>2022-2024</v>
      </c>
    </row>
    <row r="434" spans="1:9" x14ac:dyDescent="0.3">
      <c r="A434" t="s">
        <v>10</v>
      </c>
      <c r="B434">
        <v>2022</v>
      </c>
      <c r="C434" t="s">
        <v>8</v>
      </c>
      <c r="D434">
        <v>2157.21</v>
      </c>
      <c r="E434">
        <v>2050.67</v>
      </c>
      <c r="F434">
        <v>27.7</v>
      </c>
      <c r="G434">
        <v>1299.73</v>
      </c>
      <c r="H434">
        <f>E434*1000000/D434</f>
        <v>950612.13326472614</v>
      </c>
      <c r="I434" t="str">
        <f>IF(AND(B434&gt;=2018, B434&lt;=2021), "2018-2021", IF(AND(B434&gt;=2022, B434&lt;=2024), "2022-2024", "Other"))</f>
        <v>2022-2024</v>
      </c>
    </row>
    <row r="435" spans="1:9" x14ac:dyDescent="0.3">
      <c r="A435" t="s">
        <v>13</v>
      </c>
      <c r="B435">
        <v>2020</v>
      </c>
      <c r="C435" t="s">
        <v>12</v>
      </c>
      <c r="D435">
        <v>26368.68</v>
      </c>
      <c r="E435">
        <v>23936.55</v>
      </c>
      <c r="F435">
        <v>155.26</v>
      </c>
      <c r="G435">
        <v>28.75</v>
      </c>
      <c r="H435">
        <f>E435*1000000/D435</f>
        <v>907764.43872048205</v>
      </c>
      <c r="I435" t="str">
        <f>IF(AND(B435&gt;=2018, B435&lt;=2021), "2018-2021", IF(AND(B435&gt;=2022, B435&lt;=2024), "2022-2024", "Other"))</f>
        <v>2018-2021</v>
      </c>
    </row>
    <row r="436" spans="1:9" x14ac:dyDescent="0.3">
      <c r="A436" t="s">
        <v>26</v>
      </c>
      <c r="B436">
        <v>2018</v>
      </c>
      <c r="C436" t="s">
        <v>12</v>
      </c>
      <c r="D436">
        <v>33562.71</v>
      </c>
      <c r="E436">
        <v>39533.599999999999</v>
      </c>
      <c r="F436">
        <v>139.08000000000001</v>
      </c>
      <c r="G436">
        <v>827.58</v>
      </c>
      <c r="H436">
        <f>E436*1000000/D436</f>
        <v>1177902.4995299843</v>
      </c>
      <c r="I436" t="str">
        <f>IF(AND(B436&gt;=2018, B436&lt;=2021), "2018-2021", IF(AND(B436&gt;=2022, B436&lt;=2024), "2022-2024", "Other"))</f>
        <v>2018-2021</v>
      </c>
    </row>
    <row r="437" spans="1:9" x14ac:dyDescent="0.3">
      <c r="A437" t="s">
        <v>24</v>
      </c>
      <c r="B437">
        <v>2020</v>
      </c>
      <c r="C437" t="s">
        <v>9</v>
      </c>
      <c r="D437">
        <v>9609.17</v>
      </c>
      <c r="E437">
        <v>8928.64</v>
      </c>
      <c r="F437">
        <v>186.83</v>
      </c>
      <c r="G437">
        <v>62.41</v>
      </c>
      <c r="H437">
        <f>E437*1000000/D437</f>
        <v>929179.10704046243</v>
      </c>
      <c r="I437" t="str">
        <f>IF(AND(B437&gt;=2018, B437&lt;=2021), "2018-2021", IF(AND(B437&gt;=2022, B437&lt;=2024), "2022-2024", "Other"))</f>
        <v>2018-2021</v>
      </c>
    </row>
    <row r="438" spans="1:9" x14ac:dyDescent="0.3">
      <c r="A438" t="s">
        <v>7</v>
      </c>
      <c r="B438">
        <v>2020</v>
      </c>
      <c r="C438" t="s">
        <v>9</v>
      </c>
      <c r="D438">
        <v>21546.05</v>
      </c>
      <c r="E438">
        <v>17858.810000000001</v>
      </c>
      <c r="F438">
        <v>111.91</v>
      </c>
      <c r="G438">
        <v>742.85</v>
      </c>
      <c r="H438">
        <f>E438*1000000/D438</f>
        <v>828867.0081058942</v>
      </c>
      <c r="I438" t="str">
        <f>IF(AND(B438&gt;=2018, B438&lt;=2021), "2018-2021", IF(AND(B438&gt;=2022, B438&lt;=2024), "2022-2024", "Other"))</f>
        <v>2018-2021</v>
      </c>
    </row>
    <row r="439" spans="1:9" x14ac:dyDescent="0.3">
      <c r="A439" t="s">
        <v>21</v>
      </c>
      <c r="B439">
        <v>2021</v>
      </c>
      <c r="C439" t="s">
        <v>12</v>
      </c>
      <c r="D439">
        <v>49285.440000000002</v>
      </c>
      <c r="E439">
        <v>58668.959999999999</v>
      </c>
      <c r="F439">
        <v>128.66999999999999</v>
      </c>
      <c r="G439">
        <v>56.65</v>
      </c>
      <c r="H439">
        <f>E439*1000000/D439</f>
        <v>1190391.3204386528</v>
      </c>
      <c r="I439" t="str">
        <f>IF(AND(B439&gt;=2018, B439&lt;=2021), "2018-2021", IF(AND(B439&gt;=2022, B439&lt;=2024), "2022-2024", "Other"))</f>
        <v>2018-2021</v>
      </c>
    </row>
    <row r="440" spans="1:9" x14ac:dyDescent="0.3">
      <c r="A440" t="s">
        <v>19</v>
      </c>
      <c r="B440">
        <v>2020</v>
      </c>
      <c r="C440" t="s">
        <v>12</v>
      </c>
      <c r="D440">
        <v>25902.43</v>
      </c>
      <c r="E440">
        <v>29646.51</v>
      </c>
      <c r="F440">
        <v>189.28</v>
      </c>
      <c r="G440">
        <v>489.32</v>
      </c>
      <c r="H440">
        <f>E440*1000000/D440</f>
        <v>1144545.5117531444</v>
      </c>
      <c r="I440" t="str">
        <f>IF(AND(B440&gt;=2018, B440&lt;=2021), "2018-2021", IF(AND(B440&gt;=2022, B440&lt;=2024), "2022-2024", "Other"))</f>
        <v>2018-2021</v>
      </c>
    </row>
    <row r="441" spans="1:9" x14ac:dyDescent="0.3">
      <c r="A441" t="s">
        <v>13</v>
      </c>
      <c r="B441">
        <v>2018</v>
      </c>
      <c r="C441" t="s">
        <v>14</v>
      </c>
      <c r="D441">
        <v>10602.68</v>
      </c>
      <c r="E441">
        <v>12099.68</v>
      </c>
      <c r="F441">
        <v>36.26</v>
      </c>
      <c r="G441">
        <v>313.94</v>
      </c>
      <c r="H441">
        <f>E441*1000000/D441</f>
        <v>1141190.7178185137</v>
      </c>
      <c r="I441" t="str">
        <f>IF(AND(B441&gt;=2018, B441&lt;=2021), "2018-2021", IF(AND(B441&gt;=2022, B441&lt;=2024), "2022-2024", "Other"))</f>
        <v>2018-2021</v>
      </c>
    </row>
    <row r="442" spans="1:9" x14ac:dyDescent="0.3">
      <c r="A442" t="s">
        <v>5</v>
      </c>
      <c r="B442">
        <v>2018</v>
      </c>
      <c r="C442" t="s">
        <v>0</v>
      </c>
      <c r="D442">
        <v>5502.68</v>
      </c>
      <c r="E442">
        <v>6029.14</v>
      </c>
      <c r="F442">
        <v>191.85</v>
      </c>
      <c r="G442">
        <v>853.33</v>
      </c>
      <c r="H442">
        <f>E442*1000000/D442</f>
        <v>1095673.380970727</v>
      </c>
      <c r="I442" t="str">
        <f>IF(AND(B442&gt;=2018, B442&lt;=2021), "2018-2021", IF(AND(B442&gt;=2022, B442&lt;=2024), "2022-2024", "Other"))</f>
        <v>2018-2021</v>
      </c>
    </row>
    <row r="443" spans="1:9" x14ac:dyDescent="0.3">
      <c r="A443" t="s">
        <v>21</v>
      </c>
      <c r="B443">
        <v>2018</v>
      </c>
      <c r="C443" t="s">
        <v>0</v>
      </c>
      <c r="D443">
        <v>9028.01</v>
      </c>
      <c r="E443">
        <v>7669.53</v>
      </c>
      <c r="F443">
        <v>28.27</v>
      </c>
      <c r="G443">
        <v>997.9</v>
      </c>
      <c r="H443">
        <f>E443*1000000/D443</f>
        <v>849526.0860366791</v>
      </c>
      <c r="I443" t="str">
        <f>IF(AND(B443&gt;=2018, B443&lt;=2021), "2018-2021", IF(AND(B443&gt;=2022, B443&lt;=2024), "2022-2024", "Other"))</f>
        <v>2018-2021</v>
      </c>
    </row>
    <row r="444" spans="1:9" x14ac:dyDescent="0.3">
      <c r="A444" t="s">
        <v>23</v>
      </c>
      <c r="B444">
        <v>2023</v>
      </c>
      <c r="C444" t="s">
        <v>4</v>
      </c>
      <c r="D444">
        <v>11862.67</v>
      </c>
      <c r="E444">
        <v>10071.379999999999</v>
      </c>
      <c r="F444">
        <v>136.18</v>
      </c>
      <c r="G444">
        <v>1384.63</v>
      </c>
      <c r="H444">
        <f>E444*1000000/D444</f>
        <v>848997.73828320263</v>
      </c>
      <c r="I444" t="str">
        <f>IF(AND(B444&gt;=2018, B444&lt;=2021), "2018-2021", IF(AND(B444&gt;=2022, B444&lt;=2024), "2022-2024", "Other"))</f>
        <v>2022-2024</v>
      </c>
    </row>
    <row r="445" spans="1:9" x14ac:dyDescent="0.3">
      <c r="A445" t="s">
        <v>7</v>
      </c>
      <c r="B445">
        <v>2023</v>
      </c>
      <c r="C445" t="s">
        <v>12</v>
      </c>
      <c r="D445">
        <v>11877.33</v>
      </c>
      <c r="E445">
        <v>9911.33</v>
      </c>
      <c r="F445">
        <v>164.78</v>
      </c>
      <c r="G445">
        <v>269.02999999999997</v>
      </c>
      <c r="H445">
        <f>E445*1000000/D445</f>
        <v>834474.58309232804</v>
      </c>
      <c r="I445" t="str">
        <f>IF(AND(B445&gt;=2018, B445&lt;=2021), "2018-2021", IF(AND(B445&gt;=2022, B445&lt;=2024), "2022-2024", "Other"))</f>
        <v>2022-2024</v>
      </c>
    </row>
    <row r="446" spans="1:9" x14ac:dyDescent="0.3">
      <c r="A446" t="s">
        <v>7</v>
      </c>
      <c r="B446">
        <v>2023</v>
      </c>
      <c r="C446" t="s">
        <v>0</v>
      </c>
      <c r="D446">
        <v>22177.05</v>
      </c>
      <c r="E446">
        <v>19044.939999999999</v>
      </c>
      <c r="F446">
        <v>106.83</v>
      </c>
      <c r="G446">
        <v>1124.1300000000001</v>
      </c>
      <c r="H446">
        <f>E446*1000000/D446</f>
        <v>858767.96057185251</v>
      </c>
      <c r="I446" t="str">
        <f>IF(AND(B446&gt;=2018, B446&lt;=2021), "2018-2021", IF(AND(B446&gt;=2022, B446&lt;=2024), "2022-2024", "Other"))</f>
        <v>2022-2024</v>
      </c>
    </row>
    <row r="447" spans="1:9" x14ac:dyDescent="0.3">
      <c r="A447" t="s">
        <v>1</v>
      </c>
      <c r="B447">
        <v>2023</v>
      </c>
      <c r="C447" t="s">
        <v>8</v>
      </c>
      <c r="D447">
        <v>17060.48</v>
      </c>
      <c r="E447">
        <v>15970.34</v>
      </c>
      <c r="F447">
        <v>182.68</v>
      </c>
      <c r="G447">
        <v>97.29</v>
      </c>
      <c r="H447">
        <f>E447*1000000/D447</f>
        <v>936101.44614922907</v>
      </c>
      <c r="I447" t="str">
        <f>IF(AND(B447&gt;=2018, B447&lt;=2021), "2018-2021", IF(AND(B447&gt;=2022, B447&lt;=2024), "2022-2024", "Other"))</f>
        <v>2022-2024</v>
      </c>
    </row>
    <row r="448" spans="1:9" x14ac:dyDescent="0.3">
      <c r="A448" t="s">
        <v>23</v>
      </c>
      <c r="B448">
        <v>2018</v>
      </c>
      <c r="C448" t="s">
        <v>14</v>
      </c>
      <c r="D448">
        <v>22079.89</v>
      </c>
      <c r="E448">
        <v>24757.97</v>
      </c>
      <c r="F448">
        <v>61.95</v>
      </c>
      <c r="G448">
        <v>1372.67</v>
      </c>
      <c r="H448">
        <f>E448*1000000/D448</f>
        <v>1121290.4593274696</v>
      </c>
      <c r="I448" t="str">
        <f>IF(AND(B448&gt;=2018, B448&lt;=2021), "2018-2021", IF(AND(B448&gt;=2022, B448&lt;=2024), "2022-2024", "Other"))</f>
        <v>2018-2021</v>
      </c>
    </row>
    <row r="449" spans="1:9" x14ac:dyDescent="0.3">
      <c r="A449" t="s">
        <v>16</v>
      </c>
      <c r="B449">
        <v>2018</v>
      </c>
      <c r="C449" t="s">
        <v>14</v>
      </c>
      <c r="D449">
        <v>29030.31</v>
      </c>
      <c r="E449">
        <v>28892.66</v>
      </c>
      <c r="F449">
        <v>153.79</v>
      </c>
      <c r="G449">
        <v>762.69</v>
      </c>
      <c r="H449">
        <f>E449*1000000/D449</f>
        <v>995258.40406113467</v>
      </c>
      <c r="I449" t="str">
        <f>IF(AND(B449&gt;=2018, B449&lt;=2021), "2018-2021", IF(AND(B449&gt;=2022, B449&lt;=2024), "2022-2024", "Other"))</f>
        <v>2018-2021</v>
      </c>
    </row>
    <row r="450" spans="1:9" x14ac:dyDescent="0.3">
      <c r="A450" t="s">
        <v>27</v>
      </c>
      <c r="B450">
        <v>2019</v>
      </c>
      <c r="C450" t="s">
        <v>14</v>
      </c>
      <c r="D450">
        <v>10124.27</v>
      </c>
      <c r="E450">
        <v>10160.74</v>
      </c>
      <c r="F450">
        <v>154.41999999999999</v>
      </c>
      <c r="G450">
        <v>242.87</v>
      </c>
      <c r="H450">
        <f>E450*1000000/D450</f>
        <v>1003602.2350253401</v>
      </c>
      <c r="I450" t="str">
        <f>IF(AND(B450&gt;=2018, B450&lt;=2021), "2018-2021", IF(AND(B450&gt;=2022, B450&lt;=2024), "2022-2024", "Other"))</f>
        <v>2018-2021</v>
      </c>
    </row>
    <row r="451" spans="1:9" x14ac:dyDescent="0.3">
      <c r="A451" t="s">
        <v>11</v>
      </c>
      <c r="B451">
        <v>2020</v>
      </c>
      <c r="C451" t="s">
        <v>9</v>
      </c>
      <c r="D451">
        <v>41869.35</v>
      </c>
      <c r="E451">
        <v>41561.96</v>
      </c>
      <c r="F451">
        <v>117.62</v>
      </c>
      <c r="G451">
        <v>1390.71</v>
      </c>
      <c r="H451">
        <f>E451*1000000/D451</f>
        <v>992658.35270908196</v>
      </c>
      <c r="I451" t="str">
        <f>IF(AND(B451&gt;=2018, B451&lt;=2021), "2018-2021", IF(AND(B451&gt;=2022, B451&lt;=2024), "2022-2024", "Other"))</f>
        <v>2018-2021</v>
      </c>
    </row>
    <row r="452" spans="1:9" x14ac:dyDescent="0.3">
      <c r="A452" t="s">
        <v>19</v>
      </c>
      <c r="B452">
        <v>2020</v>
      </c>
      <c r="C452" t="s">
        <v>0</v>
      </c>
      <c r="D452">
        <v>30612.78</v>
      </c>
      <c r="E452">
        <v>29423.02</v>
      </c>
      <c r="F452">
        <v>69.19</v>
      </c>
      <c r="G452">
        <v>841.71</v>
      </c>
      <c r="H452">
        <f>E452*1000000/D452</f>
        <v>961135.18602361507</v>
      </c>
      <c r="I452" t="str">
        <f>IF(AND(B452&gt;=2018, B452&lt;=2021), "2018-2021", IF(AND(B452&gt;=2022, B452&lt;=2024), "2022-2024", "Other"))</f>
        <v>2018-2021</v>
      </c>
    </row>
    <row r="453" spans="1:9" x14ac:dyDescent="0.3">
      <c r="A453" t="s">
        <v>24</v>
      </c>
      <c r="B453">
        <v>2018</v>
      </c>
      <c r="C453" t="s">
        <v>2</v>
      </c>
      <c r="D453">
        <v>16676.990000000002</v>
      </c>
      <c r="E453">
        <v>15802.19</v>
      </c>
      <c r="F453">
        <v>140.28</v>
      </c>
      <c r="G453">
        <v>1308.9000000000001</v>
      </c>
      <c r="H453">
        <f>E453*1000000/D453</f>
        <v>947544.49094231019</v>
      </c>
      <c r="I453" t="str">
        <f>IF(AND(B453&gt;=2018, B453&lt;=2021), "2018-2021", IF(AND(B453&gt;=2022, B453&lt;=2024), "2022-2024", "Other"))</f>
        <v>2018-2021</v>
      </c>
    </row>
    <row r="454" spans="1:9" x14ac:dyDescent="0.3">
      <c r="A454" t="s">
        <v>1</v>
      </c>
      <c r="B454">
        <v>2024</v>
      </c>
      <c r="C454" t="s">
        <v>8</v>
      </c>
      <c r="D454">
        <v>4646.46</v>
      </c>
      <c r="E454">
        <v>5532.06</v>
      </c>
      <c r="F454">
        <v>31.12</v>
      </c>
      <c r="G454">
        <v>350.61</v>
      </c>
      <c r="H454">
        <f>E454*1000000/D454</f>
        <v>1190596.7123358427</v>
      </c>
      <c r="I454" t="str">
        <f>IF(AND(B454&gt;=2018, B454&lt;=2021), "2018-2021", IF(AND(B454&gt;=2022, B454&lt;=2024), "2022-2024", "Other"))</f>
        <v>2022-2024</v>
      </c>
    </row>
    <row r="455" spans="1:9" x14ac:dyDescent="0.3">
      <c r="A455" t="s">
        <v>27</v>
      </c>
      <c r="B455">
        <v>2024</v>
      </c>
      <c r="C455" t="s">
        <v>0</v>
      </c>
      <c r="D455">
        <v>7710.62</v>
      </c>
      <c r="E455">
        <v>8555.34</v>
      </c>
      <c r="F455">
        <v>82.11</v>
      </c>
      <c r="G455">
        <v>38.08</v>
      </c>
      <c r="H455">
        <f>E455*1000000/D455</f>
        <v>1109552.7986076346</v>
      </c>
      <c r="I455" t="str">
        <f>IF(AND(B455&gt;=2018, B455&lt;=2021), "2018-2021", IF(AND(B455&gt;=2022, B455&lt;=2024), "2022-2024", "Other"))</f>
        <v>2022-2024</v>
      </c>
    </row>
    <row r="456" spans="1:9" x14ac:dyDescent="0.3">
      <c r="A456" t="s">
        <v>17</v>
      </c>
      <c r="B456">
        <v>2022</v>
      </c>
      <c r="C456" t="s">
        <v>4</v>
      </c>
      <c r="D456">
        <v>39571.910000000003</v>
      </c>
      <c r="E456">
        <v>37077.050000000003</v>
      </c>
      <c r="F456">
        <v>89.73</v>
      </c>
      <c r="G456">
        <v>612.95000000000005</v>
      </c>
      <c r="H456">
        <f>E456*1000000/D456</f>
        <v>936953.76341450273</v>
      </c>
      <c r="I456" t="str">
        <f>IF(AND(B456&gt;=2018, B456&lt;=2021), "2018-2021", IF(AND(B456&gt;=2022, B456&lt;=2024), "2022-2024", "Other"))</f>
        <v>2022-2024</v>
      </c>
    </row>
    <row r="457" spans="1:9" x14ac:dyDescent="0.3">
      <c r="A457" t="s">
        <v>26</v>
      </c>
      <c r="B457">
        <v>2024</v>
      </c>
      <c r="C457" t="s">
        <v>12</v>
      </c>
      <c r="D457">
        <v>43629.68</v>
      </c>
      <c r="E457">
        <v>40012.99</v>
      </c>
      <c r="F457">
        <v>20.87</v>
      </c>
      <c r="G457">
        <v>787.2</v>
      </c>
      <c r="H457">
        <f>E457*1000000/D457</f>
        <v>917104.8240555512</v>
      </c>
      <c r="I457" t="str">
        <f>IF(AND(B457&gt;=2018, B457&lt;=2021), "2018-2021", IF(AND(B457&gt;=2022, B457&lt;=2024), "2022-2024", "Other"))</f>
        <v>2022-2024</v>
      </c>
    </row>
    <row r="458" spans="1:9" x14ac:dyDescent="0.3">
      <c r="A458" t="s">
        <v>11</v>
      </c>
      <c r="B458">
        <v>2019</v>
      </c>
      <c r="C458" t="s">
        <v>8</v>
      </c>
      <c r="D458">
        <v>34179.49</v>
      </c>
      <c r="E458">
        <v>37491.339999999997</v>
      </c>
      <c r="F458">
        <v>182.41</v>
      </c>
      <c r="G458">
        <v>147.33000000000001</v>
      </c>
      <c r="H458">
        <f>E458*1000000/D458</f>
        <v>1096895.82846321</v>
      </c>
      <c r="I458" t="str">
        <f>IF(AND(B458&gt;=2018, B458&lt;=2021), "2018-2021", IF(AND(B458&gt;=2022, B458&lt;=2024), "2022-2024", "Other"))</f>
        <v>2018-2021</v>
      </c>
    </row>
    <row r="459" spans="1:9" x14ac:dyDescent="0.3">
      <c r="A459" t="s">
        <v>1</v>
      </c>
      <c r="B459">
        <v>2021</v>
      </c>
      <c r="C459" t="s">
        <v>9</v>
      </c>
      <c r="D459">
        <v>32642.85</v>
      </c>
      <c r="E459">
        <v>31509.7</v>
      </c>
      <c r="F459">
        <v>47.56</v>
      </c>
      <c r="G459">
        <v>551.83000000000004</v>
      </c>
      <c r="H459">
        <f>E459*1000000/D459</f>
        <v>965286.42566442583</v>
      </c>
      <c r="I459" t="str">
        <f>IF(AND(B459&gt;=2018, B459&lt;=2021), "2018-2021", IF(AND(B459&gt;=2022, B459&lt;=2024), "2022-2024", "Other"))</f>
        <v>2018-2021</v>
      </c>
    </row>
    <row r="460" spans="1:9" x14ac:dyDescent="0.3">
      <c r="A460" t="s">
        <v>27</v>
      </c>
      <c r="B460">
        <v>2021</v>
      </c>
      <c r="C460" t="s">
        <v>6</v>
      </c>
      <c r="D460">
        <v>13763.5</v>
      </c>
      <c r="E460">
        <v>13330.87</v>
      </c>
      <c r="F460">
        <v>84.12</v>
      </c>
      <c r="G460">
        <v>598.94000000000005</v>
      </c>
      <c r="H460">
        <f>E460*1000000/D460</f>
        <v>968566.86162676651</v>
      </c>
      <c r="I460" t="str">
        <f>IF(AND(B460&gt;=2018, B460&lt;=2021), "2018-2021", IF(AND(B460&gt;=2022, B460&lt;=2024), "2022-2024", "Other"))</f>
        <v>2018-2021</v>
      </c>
    </row>
    <row r="461" spans="1:9" x14ac:dyDescent="0.3">
      <c r="A461" t="s">
        <v>7</v>
      </c>
      <c r="B461">
        <v>2023</v>
      </c>
      <c r="C461" t="s">
        <v>9</v>
      </c>
      <c r="D461">
        <v>37589.730000000003</v>
      </c>
      <c r="E461">
        <v>35781.769999999997</v>
      </c>
      <c r="F461">
        <v>79.67</v>
      </c>
      <c r="G461">
        <v>1203.93</v>
      </c>
      <c r="H461">
        <f>E461*1000000/D461</f>
        <v>951902.82026500313</v>
      </c>
      <c r="I461" t="str">
        <f>IF(AND(B461&gt;=2018, B461&lt;=2021), "2018-2021", IF(AND(B461&gt;=2022, B461&lt;=2024), "2022-2024", "Other"))</f>
        <v>2022-2024</v>
      </c>
    </row>
    <row r="462" spans="1:9" x14ac:dyDescent="0.3">
      <c r="A462" t="s">
        <v>1</v>
      </c>
      <c r="B462">
        <v>2020</v>
      </c>
      <c r="C462" t="s">
        <v>9</v>
      </c>
      <c r="D462">
        <v>47544.6</v>
      </c>
      <c r="E462">
        <v>38386.61</v>
      </c>
      <c r="F462">
        <v>153.13</v>
      </c>
      <c r="G462">
        <v>629.59</v>
      </c>
      <c r="H462">
        <f>E462*1000000/D462</f>
        <v>807381.06956415658</v>
      </c>
      <c r="I462" t="str">
        <f>IF(AND(B462&gt;=2018, B462&lt;=2021), "2018-2021", IF(AND(B462&gt;=2022, B462&lt;=2024), "2022-2024", "Other"))</f>
        <v>2018-2021</v>
      </c>
    </row>
    <row r="463" spans="1:9" x14ac:dyDescent="0.3">
      <c r="A463" t="s">
        <v>17</v>
      </c>
      <c r="B463">
        <v>2023</v>
      </c>
      <c r="C463" t="s">
        <v>4</v>
      </c>
      <c r="D463">
        <v>4220.33</v>
      </c>
      <c r="E463">
        <v>4951.63</v>
      </c>
      <c r="F463">
        <v>37.86</v>
      </c>
      <c r="G463">
        <v>290.17</v>
      </c>
      <c r="H463">
        <f>E463*1000000/D463</f>
        <v>1173280.2885082446</v>
      </c>
      <c r="I463" t="str">
        <f>IF(AND(B463&gt;=2018, B463&lt;=2021), "2018-2021", IF(AND(B463&gt;=2022, B463&lt;=2024), "2022-2024", "Other"))</f>
        <v>2022-2024</v>
      </c>
    </row>
    <row r="464" spans="1:9" x14ac:dyDescent="0.3">
      <c r="A464" t="s">
        <v>27</v>
      </c>
      <c r="B464">
        <v>2018</v>
      </c>
      <c r="C464" t="s">
        <v>14</v>
      </c>
      <c r="D464">
        <v>20192.240000000002</v>
      </c>
      <c r="E464">
        <v>22576.99</v>
      </c>
      <c r="F464">
        <v>147.53</v>
      </c>
      <c r="G464">
        <v>21.62</v>
      </c>
      <c r="H464">
        <f>E464*1000000/D464</f>
        <v>1118102.3006858078</v>
      </c>
      <c r="I464" t="str">
        <f>IF(AND(B464&gt;=2018, B464&lt;=2021), "2018-2021", IF(AND(B464&gt;=2022, B464&lt;=2024), "2022-2024", "Other"))</f>
        <v>2018-2021</v>
      </c>
    </row>
    <row r="465" spans="1:9" x14ac:dyDescent="0.3">
      <c r="A465" t="s">
        <v>10</v>
      </c>
      <c r="B465">
        <v>2019</v>
      </c>
      <c r="C465" t="s">
        <v>14</v>
      </c>
      <c r="D465">
        <v>48064.86</v>
      </c>
      <c r="E465">
        <v>43609.06</v>
      </c>
      <c r="F465">
        <v>74.989999999999995</v>
      </c>
      <c r="G465">
        <v>426.47</v>
      </c>
      <c r="H465">
        <f>E465*1000000/D465</f>
        <v>907296.09947891242</v>
      </c>
      <c r="I465" t="str">
        <f>IF(AND(B465&gt;=2018, B465&lt;=2021), "2018-2021", IF(AND(B465&gt;=2022, B465&lt;=2024), "2022-2024", "Other"))</f>
        <v>2018-2021</v>
      </c>
    </row>
    <row r="466" spans="1:9" x14ac:dyDescent="0.3">
      <c r="A466" t="s">
        <v>10</v>
      </c>
      <c r="B466">
        <v>2024</v>
      </c>
      <c r="C466" t="s">
        <v>2</v>
      </c>
      <c r="D466">
        <v>28113.02</v>
      </c>
      <c r="E466">
        <v>22698.02</v>
      </c>
      <c r="F466">
        <v>108.53</v>
      </c>
      <c r="G466">
        <v>191.39</v>
      </c>
      <c r="H466">
        <f>E466*1000000/D466</f>
        <v>807384.62107592856</v>
      </c>
      <c r="I466" t="str">
        <f>IF(AND(B466&gt;=2018, B466&lt;=2021), "2018-2021", IF(AND(B466&gt;=2022, B466&lt;=2024), "2022-2024", "Other"))</f>
        <v>2022-2024</v>
      </c>
    </row>
    <row r="467" spans="1:9" x14ac:dyDescent="0.3">
      <c r="A467" t="s">
        <v>26</v>
      </c>
      <c r="B467">
        <v>2024</v>
      </c>
      <c r="C467" t="s">
        <v>12</v>
      </c>
      <c r="D467">
        <v>32749.78</v>
      </c>
      <c r="E467">
        <v>35677.31</v>
      </c>
      <c r="F467">
        <v>130.84</v>
      </c>
      <c r="G467">
        <v>574.11</v>
      </c>
      <c r="H467">
        <f>E467*1000000/D467</f>
        <v>1089390.8294956486</v>
      </c>
      <c r="I467" t="str">
        <f>IF(AND(B467&gt;=2018, B467&lt;=2021), "2018-2021", IF(AND(B467&gt;=2022, B467&lt;=2024), "2022-2024", "Other"))</f>
        <v>2022-2024</v>
      </c>
    </row>
    <row r="468" spans="1:9" x14ac:dyDescent="0.3">
      <c r="A468" t="s">
        <v>10</v>
      </c>
      <c r="B468">
        <v>2018</v>
      </c>
      <c r="C468" t="s">
        <v>9</v>
      </c>
      <c r="D468">
        <v>18838.27</v>
      </c>
      <c r="E468">
        <v>16086.77</v>
      </c>
      <c r="F468">
        <v>53.22</v>
      </c>
      <c r="G468">
        <v>1219.4100000000001</v>
      </c>
      <c r="H468">
        <f>E468*1000000/D468</f>
        <v>853940.94043667486</v>
      </c>
      <c r="I468" t="str">
        <f>IF(AND(B468&gt;=2018, B468&lt;=2021), "2018-2021", IF(AND(B468&gt;=2022, B468&lt;=2024), "2022-2024", "Other"))</f>
        <v>2018-2021</v>
      </c>
    </row>
    <row r="469" spans="1:9" x14ac:dyDescent="0.3">
      <c r="A469" t="s">
        <v>26</v>
      </c>
      <c r="B469">
        <v>2024</v>
      </c>
      <c r="C469" t="s">
        <v>8</v>
      </c>
      <c r="D469">
        <v>46372.26</v>
      </c>
      <c r="E469">
        <v>48183.74</v>
      </c>
      <c r="F469">
        <v>181.94</v>
      </c>
      <c r="G469">
        <v>453.34</v>
      </c>
      <c r="H469">
        <f>E469*1000000/D469</f>
        <v>1039063.8713748262</v>
      </c>
      <c r="I469" t="str">
        <f>IF(AND(B469&gt;=2018, B469&lt;=2021), "2018-2021", IF(AND(B469&gt;=2022, B469&lt;=2024), "2022-2024", "Other"))</f>
        <v>2022-2024</v>
      </c>
    </row>
    <row r="470" spans="1:9" x14ac:dyDescent="0.3">
      <c r="A470" t="s">
        <v>5</v>
      </c>
      <c r="B470">
        <v>2018</v>
      </c>
      <c r="C470" t="s">
        <v>4</v>
      </c>
      <c r="D470">
        <v>40724.83</v>
      </c>
      <c r="E470">
        <v>34325.21</v>
      </c>
      <c r="F470">
        <v>167.3</v>
      </c>
      <c r="G470">
        <v>831.65</v>
      </c>
      <c r="H470">
        <f>E470*1000000/D470</f>
        <v>842857.04814482958</v>
      </c>
      <c r="I470" t="str">
        <f>IF(AND(B470&gt;=2018, B470&lt;=2021), "2018-2021", IF(AND(B470&gt;=2022, B470&lt;=2024), "2022-2024", "Other"))</f>
        <v>2018-2021</v>
      </c>
    </row>
    <row r="471" spans="1:9" x14ac:dyDescent="0.3">
      <c r="A471" t="s">
        <v>26</v>
      </c>
      <c r="B471">
        <v>2021</v>
      </c>
      <c r="C471" t="s">
        <v>9</v>
      </c>
      <c r="D471">
        <v>28669.98</v>
      </c>
      <c r="E471">
        <v>30460.6</v>
      </c>
      <c r="F471">
        <v>107.63</v>
      </c>
      <c r="G471">
        <v>721.12</v>
      </c>
      <c r="H471">
        <f>E471*1000000/D471</f>
        <v>1062456.2695893056</v>
      </c>
      <c r="I471" t="str">
        <f>IF(AND(B471&gt;=2018, B471&lt;=2021), "2018-2021", IF(AND(B471&gt;=2022, B471&lt;=2024), "2022-2024", "Other"))</f>
        <v>2018-2021</v>
      </c>
    </row>
    <row r="472" spans="1:9" x14ac:dyDescent="0.3">
      <c r="A472" t="s">
        <v>16</v>
      </c>
      <c r="B472">
        <v>2022</v>
      </c>
      <c r="C472" t="s">
        <v>6</v>
      </c>
      <c r="D472">
        <v>27081.29</v>
      </c>
      <c r="E472">
        <v>24870.73</v>
      </c>
      <c r="F472">
        <v>52.05</v>
      </c>
      <c r="G472">
        <v>1101.68</v>
      </c>
      <c r="H472">
        <f>E472*1000000/D472</f>
        <v>918373.16464614496</v>
      </c>
      <c r="I472" t="str">
        <f>IF(AND(B472&gt;=2018, B472&lt;=2021), "2018-2021", IF(AND(B472&gt;=2022, B472&lt;=2024), "2022-2024", "Other"))</f>
        <v>2022-2024</v>
      </c>
    </row>
    <row r="473" spans="1:9" x14ac:dyDescent="0.3">
      <c r="A473" t="s">
        <v>19</v>
      </c>
      <c r="B473">
        <v>2019</v>
      </c>
      <c r="C473" t="s">
        <v>0</v>
      </c>
      <c r="D473">
        <v>13508.24</v>
      </c>
      <c r="E473">
        <v>15870.96</v>
      </c>
      <c r="F473">
        <v>175.87</v>
      </c>
      <c r="G473">
        <v>481.19</v>
      </c>
      <c r="H473">
        <f>E473*1000000/D473</f>
        <v>1174909.536697601</v>
      </c>
      <c r="I473" t="str">
        <f>IF(AND(B473&gt;=2018, B473&lt;=2021), "2018-2021", IF(AND(B473&gt;=2022, B473&lt;=2024), "2022-2024", "Other"))</f>
        <v>2018-2021</v>
      </c>
    </row>
    <row r="474" spans="1:9" x14ac:dyDescent="0.3">
      <c r="A474" t="s">
        <v>26</v>
      </c>
      <c r="B474">
        <v>2020</v>
      </c>
      <c r="C474" t="s">
        <v>6</v>
      </c>
      <c r="D474">
        <v>3043.2</v>
      </c>
      <c r="E474">
        <v>2749.9</v>
      </c>
      <c r="F474">
        <v>143.94</v>
      </c>
      <c r="G474">
        <v>493.01</v>
      </c>
      <c r="H474">
        <f>E474*1000000/D474</f>
        <v>903621.18822292332</v>
      </c>
      <c r="I474" t="str">
        <f>IF(AND(B474&gt;=2018, B474&lt;=2021), "2018-2021", IF(AND(B474&gt;=2022, B474&lt;=2024), "2022-2024", "Other"))</f>
        <v>2018-2021</v>
      </c>
    </row>
    <row r="475" spans="1:9" x14ac:dyDescent="0.3">
      <c r="A475" t="s">
        <v>11</v>
      </c>
      <c r="B475">
        <v>2023</v>
      </c>
      <c r="C475" t="s">
        <v>2</v>
      </c>
      <c r="D475">
        <v>8389.64</v>
      </c>
      <c r="E475">
        <v>7379.73</v>
      </c>
      <c r="F475">
        <v>155.47</v>
      </c>
      <c r="G475">
        <v>1172.1199999999999</v>
      </c>
      <c r="H475">
        <f>E475*1000000/D475</f>
        <v>879624.15550607664</v>
      </c>
      <c r="I475" t="str">
        <f>IF(AND(B475&gt;=2018, B475&lt;=2021), "2018-2021", IF(AND(B475&gt;=2022, B475&lt;=2024), "2022-2024", "Other"))</f>
        <v>2022-2024</v>
      </c>
    </row>
    <row r="476" spans="1:9" x14ac:dyDescent="0.3">
      <c r="A476" t="s">
        <v>21</v>
      </c>
      <c r="B476">
        <v>2023</v>
      </c>
      <c r="C476" t="s">
        <v>12</v>
      </c>
      <c r="D476">
        <v>40294.06</v>
      </c>
      <c r="E476">
        <v>35993.26</v>
      </c>
      <c r="F476">
        <v>157.24</v>
      </c>
      <c r="G476">
        <v>620.35</v>
      </c>
      <c r="H476">
        <f>E476*1000000/D476</f>
        <v>893264.66481660085</v>
      </c>
      <c r="I476" t="str">
        <f>IF(AND(B476&gt;=2018, B476&lt;=2021), "2018-2021", IF(AND(B476&gt;=2022, B476&lt;=2024), "2022-2024", "Other"))</f>
        <v>2022-2024</v>
      </c>
    </row>
    <row r="477" spans="1:9" x14ac:dyDescent="0.3">
      <c r="A477" t="s">
        <v>19</v>
      </c>
      <c r="B477">
        <v>2019</v>
      </c>
      <c r="C477" t="s">
        <v>4</v>
      </c>
      <c r="D477">
        <v>22942.54</v>
      </c>
      <c r="E477">
        <v>19760.77</v>
      </c>
      <c r="F477">
        <v>39.799999999999997</v>
      </c>
      <c r="G477">
        <v>1156.17</v>
      </c>
      <c r="H477">
        <f>E477*1000000/D477</f>
        <v>861315.70436403295</v>
      </c>
      <c r="I477" t="str">
        <f>IF(AND(B477&gt;=2018, B477&lt;=2021), "2018-2021", IF(AND(B477&gt;=2022, B477&lt;=2024), "2022-2024", "Other"))</f>
        <v>2018-2021</v>
      </c>
    </row>
    <row r="478" spans="1:9" x14ac:dyDescent="0.3">
      <c r="A478" t="s">
        <v>16</v>
      </c>
      <c r="B478">
        <v>2023</v>
      </c>
      <c r="C478" t="s">
        <v>9</v>
      </c>
      <c r="D478">
        <v>40851.800000000003</v>
      </c>
      <c r="E478">
        <v>40926.25</v>
      </c>
      <c r="F478">
        <v>47.25</v>
      </c>
      <c r="G478">
        <v>1080.3499999999999</v>
      </c>
      <c r="H478">
        <f>E478*1000000/D478</f>
        <v>1001822.4411164257</v>
      </c>
      <c r="I478" t="str">
        <f>IF(AND(B478&gt;=2018, B478&lt;=2021), "2018-2021", IF(AND(B478&gt;=2022, B478&lt;=2024), "2022-2024", "Other"))</f>
        <v>2022-2024</v>
      </c>
    </row>
    <row r="479" spans="1:9" x14ac:dyDescent="0.3">
      <c r="A479" t="s">
        <v>22</v>
      </c>
      <c r="B479">
        <v>2019</v>
      </c>
      <c r="C479" t="s">
        <v>6</v>
      </c>
      <c r="D479">
        <v>34166.400000000001</v>
      </c>
      <c r="E479">
        <v>40937.71</v>
      </c>
      <c r="F479">
        <v>105.59</v>
      </c>
      <c r="G479">
        <v>419.51</v>
      </c>
      <c r="H479">
        <f>E479*1000000/D479</f>
        <v>1198186.2297461834</v>
      </c>
      <c r="I479" t="str">
        <f>IF(AND(B479&gt;=2018, B479&lt;=2021), "2018-2021", IF(AND(B479&gt;=2022, B479&lt;=2024), "2022-2024", "Other"))</f>
        <v>2018-2021</v>
      </c>
    </row>
    <row r="480" spans="1:9" x14ac:dyDescent="0.3">
      <c r="A480" t="s">
        <v>26</v>
      </c>
      <c r="B480">
        <v>2019</v>
      </c>
      <c r="C480" t="s">
        <v>6</v>
      </c>
      <c r="D480">
        <v>31130.68</v>
      </c>
      <c r="E480">
        <v>34061.129999999997</v>
      </c>
      <c r="F480">
        <v>94.35</v>
      </c>
      <c r="G480">
        <v>208.45</v>
      </c>
      <c r="H480">
        <f>E480*1000000/D480</f>
        <v>1094133.8255380222</v>
      </c>
      <c r="I480" t="str">
        <f>IF(AND(B480&gt;=2018, B480&lt;=2021), "2018-2021", IF(AND(B480&gt;=2022, B480&lt;=2024), "2022-2024", "Other"))</f>
        <v>2018-2021</v>
      </c>
    </row>
    <row r="481" spans="1:9" x14ac:dyDescent="0.3">
      <c r="A481" t="s">
        <v>18</v>
      </c>
      <c r="B481">
        <v>2023</v>
      </c>
      <c r="C481" t="s">
        <v>8</v>
      </c>
      <c r="D481">
        <v>14249.66</v>
      </c>
      <c r="E481">
        <v>14160.14</v>
      </c>
      <c r="F481">
        <v>77.06</v>
      </c>
      <c r="G481">
        <v>639.32000000000005</v>
      </c>
      <c r="H481">
        <f>E481*1000000/D481</f>
        <v>993717.74484443839</v>
      </c>
      <c r="I481" t="str">
        <f>IF(AND(B481&gt;=2018, B481&lt;=2021), "2018-2021", IF(AND(B481&gt;=2022, B481&lt;=2024), "2022-2024", "Other"))</f>
        <v>2022-2024</v>
      </c>
    </row>
    <row r="482" spans="1:9" x14ac:dyDescent="0.3">
      <c r="A482" t="s">
        <v>7</v>
      </c>
      <c r="B482">
        <v>2018</v>
      </c>
      <c r="C482" t="s">
        <v>14</v>
      </c>
      <c r="D482">
        <v>5962.53</v>
      </c>
      <c r="E482">
        <v>5420.45</v>
      </c>
      <c r="F482">
        <v>79.010000000000005</v>
      </c>
      <c r="G482">
        <v>182.36</v>
      </c>
      <c r="H482">
        <f>E482*1000000/D482</f>
        <v>909085.57273506385</v>
      </c>
      <c r="I482" t="str">
        <f>IF(AND(B482&gt;=2018, B482&lt;=2021), "2018-2021", IF(AND(B482&gt;=2022, B482&lt;=2024), "2022-2024", "Other"))</f>
        <v>2018-2021</v>
      </c>
    </row>
    <row r="483" spans="1:9" x14ac:dyDescent="0.3">
      <c r="A483" t="s">
        <v>21</v>
      </c>
      <c r="B483">
        <v>2021</v>
      </c>
      <c r="C483" t="s">
        <v>12</v>
      </c>
      <c r="D483">
        <v>44001.94</v>
      </c>
      <c r="E483">
        <v>46100.59</v>
      </c>
      <c r="F483">
        <v>127.6</v>
      </c>
      <c r="G483">
        <v>828.31</v>
      </c>
      <c r="H483">
        <f>E483*1000000/D483</f>
        <v>1047694.4880157557</v>
      </c>
      <c r="I483" t="str">
        <f>IF(AND(B483&gt;=2018, B483&lt;=2021), "2018-2021", IF(AND(B483&gt;=2022, B483&lt;=2024), "2022-2024", "Other"))</f>
        <v>2018-2021</v>
      </c>
    </row>
    <row r="484" spans="1:9" x14ac:dyDescent="0.3">
      <c r="A484" t="s">
        <v>13</v>
      </c>
      <c r="B484">
        <v>2020</v>
      </c>
      <c r="C484" t="s">
        <v>14</v>
      </c>
      <c r="D484">
        <v>28279.75</v>
      </c>
      <c r="E484">
        <v>25265.27</v>
      </c>
      <c r="F484">
        <v>67.41</v>
      </c>
      <c r="G484">
        <v>910.03</v>
      </c>
      <c r="H484">
        <f>E484*1000000/D484</f>
        <v>893404.99827615172</v>
      </c>
      <c r="I484" t="str">
        <f>IF(AND(B484&gt;=2018, B484&lt;=2021), "2018-2021", IF(AND(B484&gt;=2022, B484&lt;=2024), "2022-2024", "Other"))</f>
        <v>2018-2021</v>
      </c>
    </row>
    <row r="485" spans="1:9" x14ac:dyDescent="0.3">
      <c r="A485" t="s">
        <v>3</v>
      </c>
      <c r="B485">
        <v>2021</v>
      </c>
      <c r="C485" t="s">
        <v>14</v>
      </c>
      <c r="D485">
        <v>5147.13</v>
      </c>
      <c r="E485">
        <v>4816.3999999999996</v>
      </c>
      <c r="F485">
        <v>137.27000000000001</v>
      </c>
      <c r="G485">
        <v>603.46</v>
      </c>
      <c r="H485">
        <f>E485*1000000/D485</f>
        <v>935744.77427226433</v>
      </c>
      <c r="I485" t="str">
        <f>IF(AND(B485&gt;=2018, B485&lt;=2021), "2018-2021", IF(AND(B485&gt;=2022, B485&lt;=2024), "2022-2024", "Other"))</f>
        <v>2018-2021</v>
      </c>
    </row>
    <row r="486" spans="1:9" x14ac:dyDescent="0.3">
      <c r="A486" t="s">
        <v>26</v>
      </c>
      <c r="B486">
        <v>2019</v>
      </c>
      <c r="C486" t="s">
        <v>12</v>
      </c>
      <c r="D486">
        <v>6994.9</v>
      </c>
      <c r="E486">
        <v>6098.7</v>
      </c>
      <c r="F486">
        <v>52.34</v>
      </c>
      <c r="G486">
        <v>51.37</v>
      </c>
      <c r="H486">
        <f>E486*1000000/D486</f>
        <v>871878.08260303945</v>
      </c>
      <c r="I486" t="str">
        <f>IF(AND(B486&gt;=2018, B486&lt;=2021), "2018-2021", IF(AND(B486&gt;=2022, B486&lt;=2024), "2022-2024", "Other"))</f>
        <v>2018-2021</v>
      </c>
    </row>
    <row r="487" spans="1:9" x14ac:dyDescent="0.3">
      <c r="A487" t="s">
        <v>22</v>
      </c>
      <c r="B487">
        <v>2022</v>
      </c>
      <c r="C487" t="s">
        <v>6</v>
      </c>
      <c r="D487">
        <v>7696.78</v>
      </c>
      <c r="E487">
        <v>8450.6</v>
      </c>
      <c r="F487">
        <v>77.25</v>
      </c>
      <c r="G487">
        <v>1340.4</v>
      </c>
      <c r="H487">
        <f>E487*1000000/D487</f>
        <v>1097939.657882907</v>
      </c>
      <c r="I487" t="str">
        <f>IF(AND(B487&gt;=2018, B487&lt;=2021), "2018-2021", IF(AND(B487&gt;=2022, B487&lt;=2024), "2022-2024", "Other"))</f>
        <v>2022-2024</v>
      </c>
    </row>
    <row r="488" spans="1:9" x14ac:dyDescent="0.3">
      <c r="A488" t="s">
        <v>18</v>
      </c>
      <c r="B488">
        <v>2023</v>
      </c>
      <c r="C488" t="s">
        <v>14</v>
      </c>
      <c r="D488">
        <v>32010.17</v>
      </c>
      <c r="E488">
        <v>35709.120000000003</v>
      </c>
      <c r="F488">
        <v>64.25</v>
      </c>
      <c r="G488">
        <v>1231.6199999999999</v>
      </c>
      <c r="H488">
        <f>E488*1000000/D488</f>
        <v>1115555.462529565</v>
      </c>
      <c r="I488" t="str">
        <f>IF(AND(B488&gt;=2018, B488&lt;=2021), "2018-2021", IF(AND(B488&gt;=2022, B488&lt;=2024), "2022-2024", "Other"))</f>
        <v>2022-2024</v>
      </c>
    </row>
    <row r="489" spans="1:9" x14ac:dyDescent="0.3">
      <c r="A489" t="s">
        <v>27</v>
      </c>
      <c r="B489">
        <v>2023</v>
      </c>
      <c r="C489" t="s">
        <v>9</v>
      </c>
      <c r="D489">
        <v>4159.18</v>
      </c>
      <c r="E489">
        <v>4790.84</v>
      </c>
      <c r="F489">
        <v>46.69</v>
      </c>
      <c r="G489">
        <v>1251.98</v>
      </c>
      <c r="H489">
        <f>E489*1000000/D489</f>
        <v>1151871.2823200726</v>
      </c>
      <c r="I489" t="str">
        <f>IF(AND(B489&gt;=2018, B489&lt;=2021), "2018-2021", IF(AND(B489&gt;=2022, B489&lt;=2024), "2022-2024", "Other"))</f>
        <v>2022-2024</v>
      </c>
    </row>
    <row r="490" spans="1:9" x14ac:dyDescent="0.3">
      <c r="A490" t="s">
        <v>5</v>
      </c>
      <c r="B490">
        <v>2021</v>
      </c>
      <c r="C490" t="s">
        <v>4</v>
      </c>
      <c r="D490">
        <v>1264.68</v>
      </c>
      <c r="E490">
        <v>1294.02</v>
      </c>
      <c r="F490">
        <v>94.71</v>
      </c>
      <c r="G490">
        <v>223.83</v>
      </c>
      <c r="H490">
        <f>E490*1000000/D490</f>
        <v>1023199.5445488186</v>
      </c>
      <c r="I490" t="str">
        <f>IF(AND(B490&gt;=2018, B490&lt;=2021), "2018-2021", IF(AND(B490&gt;=2022, B490&lt;=2024), "2022-2024", "Other"))</f>
        <v>2018-2021</v>
      </c>
    </row>
    <row r="491" spans="1:9" x14ac:dyDescent="0.3">
      <c r="A491" t="s">
        <v>10</v>
      </c>
      <c r="B491">
        <v>2023</v>
      </c>
      <c r="C491" t="s">
        <v>6</v>
      </c>
      <c r="D491">
        <v>13538.84</v>
      </c>
      <c r="E491">
        <v>13488.94</v>
      </c>
      <c r="F491">
        <v>118.35</v>
      </c>
      <c r="G491">
        <v>1357.24</v>
      </c>
      <c r="H491">
        <f>E491*1000000/D491</f>
        <v>996314.30757731094</v>
      </c>
      <c r="I491" t="str">
        <f>IF(AND(B491&gt;=2018, B491&lt;=2021), "2018-2021", IF(AND(B491&gt;=2022, B491&lt;=2024), "2022-2024", "Other"))</f>
        <v>2022-2024</v>
      </c>
    </row>
    <row r="492" spans="1:9" x14ac:dyDescent="0.3">
      <c r="A492" t="s">
        <v>3</v>
      </c>
      <c r="B492">
        <v>2024</v>
      </c>
      <c r="C492" t="s">
        <v>14</v>
      </c>
      <c r="D492">
        <v>7143.71</v>
      </c>
      <c r="E492">
        <v>7952.53</v>
      </c>
      <c r="F492">
        <v>27.61</v>
      </c>
      <c r="G492">
        <v>88.75</v>
      </c>
      <c r="H492">
        <f>E492*1000000/D492</f>
        <v>1113221.2813790033</v>
      </c>
      <c r="I492" t="str">
        <f>IF(AND(B492&gt;=2018, B492&lt;=2021), "2018-2021", IF(AND(B492&gt;=2022, B492&lt;=2024), "2022-2024", "Other"))</f>
        <v>2022-2024</v>
      </c>
    </row>
    <row r="493" spans="1:9" x14ac:dyDescent="0.3">
      <c r="A493" t="s">
        <v>11</v>
      </c>
      <c r="B493">
        <v>2023</v>
      </c>
      <c r="C493" t="s">
        <v>9</v>
      </c>
      <c r="D493">
        <v>24038.76</v>
      </c>
      <c r="E493">
        <v>22319.98</v>
      </c>
      <c r="F493">
        <v>63.27</v>
      </c>
      <c r="G493">
        <v>1189.8699999999999</v>
      </c>
      <c r="H493">
        <f>E493*1000000/D493</f>
        <v>928499.63974847295</v>
      </c>
      <c r="I493" t="str">
        <f>IF(AND(B493&gt;=2018, B493&lt;=2021), "2018-2021", IF(AND(B493&gt;=2022, B493&lt;=2024), "2022-2024", "Other"))</f>
        <v>2022-2024</v>
      </c>
    </row>
    <row r="494" spans="1:9" x14ac:dyDescent="0.3">
      <c r="A494" t="s">
        <v>25</v>
      </c>
      <c r="B494">
        <v>2018</v>
      </c>
      <c r="C494" t="s">
        <v>8</v>
      </c>
      <c r="D494">
        <v>6040.4</v>
      </c>
      <c r="E494">
        <v>6825.51</v>
      </c>
      <c r="F494">
        <v>185.41</v>
      </c>
      <c r="G494">
        <v>860.1</v>
      </c>
      <c r="H494">
        <f>E494*1000000/D494</f>
        <v>1129976.4916230715</v>
      </c>
      <c r="I494" t="str">
        <f>IF(AND(B494&gt;=2018, B494&lt;=2021), "2018-2021", IF(AND(B494&gt;=2022, B494&lt;=2024), "2022-2024", "Other"))</f>
        <v>2018-2021</v>
      </c>
    </row>
    <row r="495" spans="1:9" x14ac:dyDescent="0.3">
      <c r="A495" t="s">
        <v>1</v>
      </c>
      <c r="B495">
        <v>2018</v>
      </c>
      <c r="C495" t="s">
        <v>14</v>
      </c>
      <c r="D495">
        <v>41959.48</v>
      </c>
      <c r="E495">
        <v>33789.279999999999</v>
      </c>
      <c r="F495">
        <v>100.25</v>
      </c>
      <c r="G495">
        <v>122.85</v>
      </c>
      <c r="H495">
        <f>E495*1000000/D495</f>
        <v>805283.5735809881</v>
      </c>
      <c r="I495" t="str">
        <f>IF(AND(B495&gt;=2018, B495&lt;=2021), "2018-2021", IF(AND(B495&gt;=2022, B495&lt;=2024), "2022-2024", "Other"))</f>
        <v>2018-2021</v>
      </c>
    </row>
    <row r="496" spans="1:9" x14ac:dyDescent="0.3">
      <c r="A496" t="s">
        <v>10</v>
      </c>
      <c r="B496">
        <v>2024</v>
      </c>
      <c r="C496" t="s">
        <v>9</v>
      </c>
      <c r="D496">
        <v>3044.54</v>
      </c>
      <c r="E496">
        <v>3598.9</v>
      </c>
      <c r="F496">
        <v>177.55</v>
      </c>
      <c r="G496">
        <v>1285.6099999999999</v>
      </c>
      <c r="H496">
        <f>E496*1000000/D496</f>
        <v>1182083.3360704738</v>
      </c>
      <c r="I496" t="str">
        <f>IF(AND(B496&gt;=2018, B496&lt;=2021), "2018-2021", IF(AND(B496&gt;=2022, B496&lt;=2024), "2022-2024", "Other"))</f>
        <v>2022-2024</v>
      </c>
    </row>
    <row r="497" spans="1:9" x14ac:dyDescent="0.3">
      <c r="A497" t="s">
        <v>20</v>
      </c>
      <c r="B497">
        <v>2021</v>
      </c>
      <c r="C497" t="s">
        <v>2</v>
      </c>
      <c r="D497">
        <v>2124.6799999999998</v>
      </c>
      <c r="E497">
        <v>1743.54</v>
      </c>
      <c r="F497">
        <v>199.84</v>
      </c>
      <c r="G497">
        <v>326.11</v>
      </c>
      <c r="H497">
        <f>E497*1000000/D497</f>
        <v>820612.98642619129</v>
      </c>
      <c r="I497" t="str">
        <f>IF(AND(B497&gt;=2018, B497&lt;=2021), "2018-2021", IF(AND(B497&gt;=2022, B497&lt;=2024), "2022-2024", "Other"))</f>
        <v>2018-2021</v>
      </c>
    </row>
    <row r="498" spans="1:9" x14ac:dyDescent="0.3">
      <c r="A498" t="s">
        <v>11</v>
      </c>
      <c r="B498">
        <v>2023</v>
      </c>
      <c r="C498" t="s">
        <v>0</v>
      </c>
      <c r="D498">
        <v>4162.13</v>
      </c>
      <c r="E498">
        <v>3946.3</v>
      </c>
      <c r="F498">
        <v>97.69</v>
      </c>
      <c r="G498">
        <v>739.64</v>
      </c>
      <c r="H498">
        <f>E498*1000000/D498</f>
        <v>948144.33955690952</v>
      </c>
      <c r="I498" t="str">
        <f>IF(AND(B498&gt;=2018, B498&lt;=2021), "2018-2021", IF(AND(B498&gt;=2022, B498&lt;=2024), "2022-2024", "Other"))</f>
        <v>2022-2024</v>
      </c>
    </row>
    <row r="499" spans="1:9" x14ac:dyDescent="0.3">
      <c r="A499" t="s">
        <v>5</v>
      </c>
      <c r="B499">
        <v>2021</v>
      </c>
      <c r="C499" t="s">
        <v>0</v>
      </c>
      <c r="D499">
        <v>1116.5</v>
      </c>
      <c r="E499">
        <v>1142.6300000000001</v>
      </c>
      <c r="F499">
        <v>46.69</v>
      </c>
      <c r="G499">
        <v>1295.29</v>
      </c>
      <c r="H499">
        <f>E499*1000000/D499</f>
        <v>1023403.4930586654</v>
      </c>
      <c r="I499" t="str">
        <f>IF(AND(B499&gt;=2018, B499&lt;=2021), "2018-2021", IF(AND(B499&gt;=2022, B499&lt;=2024), "2022-2024", "Other"))</f>
        <v>2018-2021</v>
      </c>
    </row>
    <row r="500" spans="1:9" x14ac:dyDescent="0.3">
      <c r="A500" t="s">
        <v>19</v>
      </c>
      <c r="B500">
        <v>2018</v>
      </c>
      <c r="C500" t="s">
        <v>4</v>
      </c>
      <c r="D500">
        <v>15659.36</v>
      </c>
      <c r="E500">
        <v>15841.03</v>
      </c>
      <c r="F500">
        <v>120</v>
      </c>
      <c r="G500">
        <v>570.91999999999996</v>
      </c>
      <c r="H500">
        <f>E500*1000000/D500</f>
        <v>1011601.368127433</v>
      </c>
      <c r="I500" t="str">
        <f>IF(AND(B500&gt;=2018, B500&lt;=2021), "2018-2021", IF(AND(B500&gt;=2022, B500&lt;=2024), "2022-2024", "Other"))</f>
        <v>2018-2021</v>
      </c>
    </row>
    <row r="501" spans="1:9" x14ac:dyDescent="0.3">
      <c r="A501" t="s">
        <v>27</v>
      </c>
      <c r="B501">
        <v>2023</v>
      </c>
      <c r="C501" t="s">
        <v>14</v>
      </c>
      <c r="D501">
        <v>41189.15</v>
      </c>
      <c r="E501">
        <v>40978.800000000003</v>
      </c>
      <c r="F501">
        <v>104.1</v>
      </c>
      <c r="G501">
        <v>323.72000000000003</v>
      </c>
      <c r="H501">
        <f>E501*1000000/D501</f>
        <v>994893.07256886817</v>
      </c>
      <c r="I501" t="str">
        <f>IF(AND(B501&gt;=2018, B501&lt;=2021), "2018-2021", IF(AND(B501&gt;=2022, B501&lt;=2024), "2022-2024", "Other"))</f>
        <v>2022-2024</v>
      </c>
    </row>
    <row r="502" spans="1:9" x14ac:dyDescent="0.3">
      <c r="A502" t="s">
        <v>21</v>
      </c>
      <c r="B502">
        <v>2020</v>
      </c>
      <c r="C502" t="s">
        <v>2</v>
      </c>
      <c r="D502">
        <v>13192.66</v>
      </c>
      <c r="E502">
        <v>12870.35</v>
      </c>
      <c r="F502">
        <v>138.68</v>
      </c>
      <c r="G502">
        <v>1347.93</v>
      </c>
      <c r="H502">
        <f>E502*1000000/D502</f>
        <v>975568.99063570204</v>
      </c>
      <c r="I502" t="str">
        <f>IF(AND(B502&gt;=2018, B502&lt;=2021), "2018-2021", IF(AND(B502&gt;=2022, B502&lt;=2024), "2022-2024", "Other"))</f>
        <v>2018-2021</v>
      </c>
    </row>
    <row r="503" spans="1:9" x14ac:dyDescent="0.3">
      <c r="A503" t="s">
        <v>5</v>
      </c>
      <c r="B503">
        <v>2019</v>
      </c>
      <c r="C503" t="s">
        <v>6</v>
      </c>
      <c r="D503">
        <v>26698.82</v>
      </c>
      <c r="E503">
        <v>23943.29</v>
      </c>
      <c r="F503">
        <v>164.01</v>
      </c>
      <c r="G503">
        <v>1267.25</v>
      </c>
      <c r="H503">
        <f>E503*1000000/D503</f>
        <v>896792.06796405232</v>
      </c>
      <c r="I503" t="str">
        <f>IF(AND(B503&gt;=2018, B503&lt;=2021), "2018-2021", IF(AND(B503&gt;=2022, B503&lt;=2024), "2022-2024", "Other"))</f>
        <v>2018-2021</v>
      </c>
    </row>
    <row r="504" spans="1:9" x14ac:dyDescent="0.3">
      <c r="A504" t="s">
        <v>25</v>
      </c>
      <c r="B504">
        <v>2023</v>
      </c>
      <c r="C504" t="s">
        <v>9</v>
      </c>
      <c r="D504">
        <v>11292.96</v>
      </c>
      <c r="E504">
        <v>12418.68</v>
      </c>
      <c r="F504">
        <v>191.13</v>
      </c>
      <c r="G504">
        <v>690.74</v>
      </c>
      <c r="H504">
        <f>E504*1000000/D504</f>
        <v>1099683.3425426106</v>
      </c>
      <c r="I504" t="str">
        <f>IF(AND(B504&gt;=2018, B504&lt;=2021), "2018-2021", IF(AND(B504&gt;=2022, B504&lt;=2024), "2022-2024", "Other"))</f>
        <v>2022-2024</v>
      </c>
    </row>
    <row r="505" spans="1:9" x14ac:dyDescent="0.3">
      <c r="A505" t="s">
        <v>13</v>
      </c>
      <c r="B505">
        <v>2024</v>
      </c>
      <c r="C505" t="s">
        <v>4</v>
      </c>
      <c r="D505">
        <v>6791.87</v>
      </c>
      <c r="E505">
        <v>5504.78</v>
      </c>
      <c r="F505">
        <v>191.39</v>
      </c>
      <c r="G505">
        <v>72.75</v>
      </c>
      <c r="H505">
        <f>E505*1000000/D505</f>
        <v>810495.48946019285</v>
      </c>
      <c r="I505" t="str">
        <f>IF(AND(B505&gt;=2018, B505&lt;=2021), "2018-2021", IF(AND(B505&gt;=2022, B505&lt;=2024), "2022-2024", "Other"))</f>
        <v>2022-2024</v>
      </c>
    </row>
    <row r="506" spans="1:9" x14ac:dyDescent="0.3">
      <c r="A506" t="s">
        <v>10</v>
      </c>
      <c r="B506">
        <v>2022</v>
      </c>
      <c r="C506" t="s">
        <v>8</v>
      </c>
      <c r="D506">
        <v>7115.91</v>
      </c>
      <c r="E506">
        <v>7979.12</v>
      </c>
      <c r="F506">
        <v>40.1</v>
      </c>
      <c r="G506">
        <v>175.89</v>
      </c>
      <c r="H506">
        <f>E506*1000000/D506</f>
        <v>1121307.0429502341</v>
      </c>
      <c r="I506" t="str">
        <f>IF(AND(B506&gt;=2018, B506&lt;=2021), "2018-2021", IF(AND(B506&gt;=2022, B506&lt;=2024), "2022-2024", "Other"))</f>
        <v>2022-2024</v>
      </c>
    </row>
    <row r="507" spans="1:9" x14ac:dyDescent="0.3">
      <c r="A507" t="s">
        <v>22</v>
      </c>
      <c r="B507">
        <v>2020</v>
      </c>
      <c r="C507" t="s">
        <v>9</v>
      </c>
      <c r="D507">
        <v>16740.03</v>
      </c>
      <c r="E507">
        <v>13885.5</v>
      </c>
      <c r="F507">
        <v>102.4</v>
      </c>
      <c r="G507">
        <v>232.44</v>
      </c>
      <c r="H507">
        <f>E507*1000000/D507</f>
        <v>829478.80021720391</v>
      </c>
      <c r="I507" t="str">
        <f>IF(AND(B507&gt;=2018, B507&lt;=2021), "2018-2021", IF(AND(B507&gt;=2022, B507&lt;=2024), "2022-2024", "Other"))</f>
        <v>2018-2021</v>
      </c>
    </row>
    <row r="508" spans="1:9" x14ac:dyDescent="0.3">
      <c r="A508" t="s">
        <v>27</v>
      </c>
      <c r="B508">
        <v>2021</v>
      </c>
      <c r="C508" t="s">
        <v>0</v>
      </c>
      <c r="D508">
        <v>36475.35</v>
      </c>
      <c r="E508">
        <v>36156.44</v>
      </c>
      <c r="F508">
        <v>169.79</v>
      </c>
      <c r="G508">
        <v>185.45</v>
      </c>
      <c r="H508">
        <f>E508*1000000/D508</f>
        <v>991256.8350954823</v>
      </c>
      <c r="I508" t="str">
        <f>IF(AND(B508&gt;=2018, B508&lt;=2021), "2018-2021", IF(AND(B508&gt;=2022, B508&lt;=2024), "2022-2024", "Other"))</f>
        <v>2018-2021</v>
      </c>
    </row>
    <row r="509" spans="1:9" x14ac:dyDescent="0.3">
      <c r="A509" t="s">
        <v>21</v>
      </c>
      <c r="B509">
        <v>2023</v>
      </c>
      <c r="C509" t="s">
        <v>2</v>
      </c>
      <c r="D509">
        <v>7329.99</v>
      </c>
      <c r="E509">
        <v>7119.51</v>
      </c>
      <c r="F509">
        <v>27.24</v>
      </c>
      <c r="G509">
        <v>774.64</v>
      </c>
      <c r="H509">
        <f>E509*1000000/D509</f>
        <v>971285.09042986424</v>
      </c>
      <c r="I509" t="str">
        <f>IF(AND(B509&gt;=2018, B509&lt;=2021), "2018-2021", IF(AND(B509&gt;=2022, B509&lt;=2024), "2022-2024", "Other"))</f>
        <v>2022-2024</v>
      </c>
    </row>
    <row r="510" spans="1:9" x14ac:dyDescent="0.3">
      <c r="A510" t="s">
        <v>11</v>
      </c>
      <c r="B510">
        <v>2019</v>
      </c>
      <c r="C510" t="s">
        <v>8</v>
      </c>
      <c r="D510">
        <v>30026.37</v>
      </c>
      <c r="E510">
        <v>30917.26</v>
      </c>
      <c r="F510">
        <v>176.89</v>
      </c>
      <c r="G510">
        <v>550.44000000000005</v>
      </c>
      <c r="H510">
        <f>E510*1000000/D510</f>
        <v>1029670.2531807874</v>
      </c>
      <c r="I510" t="str">
        <f>IF(AND(B510&gt;=2018, B510&lt;=2021), "2018-2021", IF(AND(B510&gt;=2022, B510&lt;=2024), "2022-2024", "Other"))</f>
        <v>2018-2021</v>
      </c>
    </row>
    <row r="511" spans="1:9" x14ac:dyDescent="0.3">
      <c r="A511" t="s">
        <v>23</v>
      </c>
      <c r="B511">
        <v>2023</v>
      </c>
      <c r="C511" t="s">
        <v>2</v>
      </c>
      <c r="D511">
        <v>43508.87</v>
      </c>
      <c r="E511">
        <v>38666.550000000003</v>
      </c>
      <c r="F511">
        <v>70.84</v>
      </c>
      <c r="G511">
        <v>1354.06</v>
      </c>
      <c r="H511">
        <f>E511*1000000/D511</f>
        <v>888704.99279802025</v>
      </c>
      <c r="I511" t="str">
        <f>IF(AND(B511&gt;=2018, B511&lt;=2021), "2018-2021", IF(AND(B511&gt;=2022, B511&lt;=2024), "2022-2024", "Other"))</f>
        <v>2022-2024</v>
      </c>
    </row>
    <row r="512" spans="1:9" x14ac:dyDescent="0.3">
      <c r="A512" t="s">
        <v>16</v>
      </c>
      <c r="B512">
        <v>2018</v>
      </c>
      <c r="C512" t="s">
        <v>4</v>
      </c>
      <c r="D512">
        <v>39209.050000000003</v>
      </c>
      <c r="E512">
        <v>45135.64</v>
      </c>
      <c r="F512">
        <v>83.84</v>
      </c>
      <c r="G512">
        <v>531.02</v>
      </c>
      <c r="H512">
        <f>E512*1000000/D512</f>
        <v>1151153.6239720166</v>
      </c>
      <c r="I512" t="str">
        <f>IF(AND(B512&gt;=2018, B512&lt;=2021), "2018-2021", IF(AND(B512&gt;=2022, B512&lt;=2024), "2022-2024", "Other"))</f>
        <v>2018-2021</v>
      </c>
    </row>
    <row r="513" spans="1:9" x14ac:dyDescent="0.3">
      <c r="A513" t="s">
        <v>23</v>
      </c>
      <c r="B513">
        <v>2024</v>
      </c>
      <c r="C513" t="s">
        <v>9</v>
      </c>
      <c r="D513">
        <v>14042.05</v>
      </c>
      <c r="E513">
        <v>13913.87</v>
      </c>
      <c r="F513">
        <v>159.81</v>
      </c>
      <c r="G513">
        <v>671.9</v>
      </c>
      <c r="H513">
        <f>E513*1000000/D513</f>
        <v>990871.70320572855</v>
      </c>
      <c r="I513" t="str">
        <f>IF(AND(B513&gt;=2018, B513&lt;=2021), "2018-2021", IF(AND(B513&gt;=2022, B513&lt;=2024), "2022-2024", "Other"))</f>
        <v>2022-2024</v>
      </c>
    </row>
    <row r="514" spans="1:9" x14ac:dyDescent="0.3">
      <c r="A514" t="s">
        <v>3</v>
      </c>
      <c r="B514">
        <v>2023</v>
      </c>
      <c r="C514" t="s">
        <v>9</v>
      </c>
      <c r="D514">
        <v>45075.81</v>
      </c>
      <c r="E514">
        <v>49946.6</v>
      </c>
      <c r="F514">
        <v>98.29</v>
      </c>
      <c r="G514">
        <v>918.86</v>
      </c>
      <c r="H514">
        <f>E514*1000000/D514</f>
        <v>1108057.7365110023</v>
      </c>
      <c r="I514" t="str">
        <f>IF(AND(B514&gt;=2018, B514&lt;=2021), "2018-2021", IF(AND(B514&gt;=2022, B514&lt;=2024), "2022-2024", "Other"))</f>
        <v>2022-2024</v>
      </c>
    </row>
    <row r="515" spans="1:9" x14ac:dyDescent="0.3">
      <c r="A515" t="s">
        <v>26</v>
      </c>
      <c r="B515">
        <v>2020</v>
      </c>
      <c r="C515" t="s">
        <v>9</v>
      </c>
      <c r="D515">
        <v>2396.5300000000002</v>
      </c>
      <c r="E515">
        <v>2509.06</v>
      </c>
      <c r="F515">
        <v>193.85</v>
      </c>
      <c r="G515">
        <v>1394.56</v>
      </c>
      <c r="H515">
        <f>E515*1000000/D515</f>
        <v>1046955.3896675609</v>
      </c>
      <c r="I515" t="str">
        <f>IF(AND(B515&gt;=2018, B515&lt;=2021), "2018-2021", IF(AND(B515&gt;=2022, B515&lt;=2024), "2022-2024", "Other"))</f>
        <v>2018-2021</v>
      </c>
    </row>
    <row r="516" spans="1:9" x14ac:dyDescent="0.3">
      <c r="A516" t="s">
        <v>3</v>
      </c>
      <c r="B516">
        <v>2023</v>
      </c>
      <c r="C516" t="s">
        <v>14</v>
      </c>
      <c r="D516">
        <v>37062.879999999997</v>
      </c>
      <c r="E516">
        <v>34362.980000000003</v>
      </c>
      <c r="F516">
        <v>36.36</v>
      </c>
      <c r="G516">
        <v>1205.5899999999999</v>
      </c>
      <c r="H516">
        <f>E516*1000000/D516</f>
        <v>927153.52935335843</v>
      </c>
      <c r="I516" t="str">
        <f>IF(AND(B516&gt;=2018, B516&lt;=2021), "2018-2021", IF(AND(B516&gt;=2022, B516&lt;=2024), "2022-2024", "Other"))</f>
        <v>2022-2024</v>
      </c>
    </row>
    <row r="517" spans="1:9" x14ac:dyDescent="0.3">
      <c r="A517" t="s">
        <v>25</v>
      </c>
      <c r="B517">
        <v>2019</v>
      </c>
      <c r="C517" t="s">
        <v>2</v>
      </c>
      <c r="D517">
        <v>16866.23</v>
      </c>
      <c r="E517">
        <v>14349.29</v>
      </c>
      <c r="F517">
        <v>34.729999999999997</v>
      </c>
      <c r="G517">
        <v>1331.25</v>
      </c>
      <c r="H517">
        <f>E517*1000000/D517</f>
        <v>850770.44484748517</v>
      </c>
      <c r="I517" t="str">
        <f>IF(AND(B517&gt;=2018, B517&lt;=2021), "2018-2021", IF(AND(B517&gt;=2022, B517&lt;=2024), "2022-2024", "Other"))</f>
        <v>2018-2021</v>
      </c>
    </row>
    <row r="518" spans="1:9" x14ac:dyDescent="0.3">
      <c r="A518" t="s">
        <v>20</v>
      </c>
      <c r="B518">
        <v>2018</v>
      </c>
      <c r="C518" t="s">
        <v>0</v>
      </c>
      <c r="D518">
        <v>22795.27</v>
      </c>
      <c r="E518">
        <v>27006.77</v>
      </c>
      <c r="F518">
        <v>49.55</v>
      </c>
      <c r="G518">
        <v>1224.24</v>
      </c>
      <c r="H518">
        <f>E518*1000000/D518</f>
        <v>1184753.2404748879</v>
      </c>
      <c r="I518" t="str">
        <f>IF(AND(B518&gt;=2018, B518&lt;=2021), "2018-2021", IF(AND(B518&gt;=2022, B518&lt;=2024), "2022-2024", "Other"))</f>
        <v>2018-2021</v>
      </c>
    </row>
    <row r="519" spans="1:9" x14ac:dyDescent="0.3">
      <c r="A519" t="s">
        <v>19</v>
      </c>
      <c r="B519">
        <v>2021</v>
      </c>
      <c r="C519" t="s">
        <v>6</v>
      </c>
      <c r="D519">
        <v>43186.82</v>
      </c>
      <c r="E519">
        <v>38566.31</v>
      </c>
      <c r="F519">
        <v>37.630000000000003</v>
      </c>
      <c r="G519">
        <v>1012.7</v>
      </c>
      <c r="H519">
        <f>E519*1000000/D519</f>
        <v>893011.1084817081</v>
      </c>
      <c r="I519" t="str">
        <f>IF(AND(B519&gt;=2018, B519&lt;=2021), "2018-2021", IF(AND(B519&gt;=2022, B519&lt;=2024), "2022-2024", "Other"))</f>
        <v>2018-2021</v>
      </c>
    </row>
    <row r="520" spans="1:9" x14ac:dyDescent="0.3">
      <c r="A520" t="s">
        <v>20</v>
      </c>
      <c r="B520">
        <v>2023</v>
      </c>
      <c r="C520" t="s">
        <v>12</v>
      </c>
      <c r="D520">
        <v>23699.63</v>
      </c>
      <c r="E520">
        <v>24189.61</v>
      </c>
      <c r="F520">
        <v>70.28</v>
      </c>
      <c r="G520">
        <v>1303.0999999999999</v>
      </c>
      <c r="H520">
        <f>E520*1000000/D520</f>
        <v>1020674.5843711484</v>
      </c>
      <c r="I520" t="str">
        <f>IF(AND(B520&gt;=2018, B520&lt;=2021), "2018-2021", IF(AND(B520&gt;=2022, B520&lt;=2024), "2022-2024", "Other"))</f>
        <v>2022-2024</v>
      </c>
    </row>
    <row r="521" spans="1:9" x14ac:dyDescent="0.3">
      <c r="A521" t="s">
        <v>26</v>
      </c>
      <c r="B521">
        <v>2018</v>
      </c>
      <c r="C521" t="s">
        <v>6</v>
      </c>
      <c r="D521">
        <v>5143.07</v>
      </c>
      <c r="E521">
        <v>4171.2299999999996</v>
      </c>
      <c r="F521">
        <v>119.45</v>
      </c>
      <c r="G521">
        <v>108.34</v>
      </c>
      <c r="H521">
        <f>E521*1000000/D521</f>
        <v>811038.93199975882</v>
      </c>
      <c r="I521" t="str">
        <f>IF(AND(B521&gt;=2018, B521&lt;=2021), "2018-2021", IF(AND(B521&gt;=2022, B521&lt;=2024), "2022-2024", "Other"))</f>
        <v>2018-2021</v>
      </c>
    </row>
    <row r="522" spans="1:9" x14ac:dyDescent="0.3">
      <c r="A522" t="s">
        <v>22</v>
      </c>
      <c r="B522">
        <v>2021</v>
      </c>
      <c r="C522" t="s">
        <v>8</v>
      </c>
      <c r="D522">
        <v>23679.43</v>
      </c>
      <c r="E522">
        <v>24717.39</v>
      </c>
      <c r="F522">
        <v>105.91</v>
      </c>
      <c r="G522">
        <v>24.62</v>
      </c>
      <c r="H522">
        <f>E522*1000000/D522</f>
        <v>1043833.8253919119</v>
      </c>
      <c r="I522" t="str">
        <f>IF(AND(B522&gt;=2018, B522&lt;=2021), "2018-2021", IF(AND(B522&gt;=2022, B522&lt;=2024), "2022-2024", "Other"))</f>
        <v>2018-2021</v>
      </c>
    </row>
    <row r="523" spans="1:9" x14ac:dyDescent="0.3">
      <c r="A523" t="s">
        <v>13</v>
      </c>
      <c r="B523">
        <v>2021</v>
      </c>
      <c r="C523" t="s">
        <v>9</v>
      </c>
      <c r="D523">
        <v>27720.79</v>
      </c>
      <c r="E523">
        <v>23629.95</v>
      </c>
      <c r="F523">
        <v>35.700000000000003</v>
      </c>
      <c r="G523">
        <v>483.41</v>
      </c>
      <c r="H523">
        <f>E523*1000000/D523</f>
        <v>852427.00514667865</v>
      </c>
      <c r="I523" t="str">
        <f>IF(AND(B523&gt;=2018, B523&lt;=2021), "2018-2021", IF(AND(B523&gt;=2022, B523&lt;=2024), "2022-2024", "Other"))</f>
        <v>2018-2021</v>
      </c>
    </row>
    <row r="524" spans="1:9" x14ac:dyDescent="0.3">
      <c r="A524" t="s">
        <v>26</v>
      </c>
      <c r="B524">
        <v>2022</v>
      </c>
      <c r="C524" t="s">
        <v>4</v>
      </c>
      <c r="D524">
        <v>22093.45</v>
      </c>
      <c r="E524">
        <v>22206.46</v>
      </c>
      <c r="F524">
        <v>43.27</v>
      </c>
      <c r="G524">
        <v>636</v>
      </c>
      <c r="H524">
        <f>E524*1000000/D524</f>
        <v>1005115.0906716696</v>
      </c>
      <c r="I524" t="str">
        <f>IF(AND(B524&gt;=2018, B524&lt;=2021), "2018-2021", IF(AND(B524&gt;=2022, B524&lt;=2024), "2022-2024", "Other"))</f>
        <v>2022-2024</v>
      </c>
    </row>
    <row r="525" spans="1:9" x14ac:dyDescent="0.3">
      <c r="A525" t="s">
        <v>27</v>
      </c>
      <c r="B525">
        <v>2018</v>
      </c>
      <c r="C525" t="s">
        <v>14</v>
      </c>
      <c r="D525">
        <v>3556.98</v>
      </c>
      <c r="E525">
        <v>3687.98</v>
      </c>
      <c r="F525">
        <v>153.96</v>
      </c>
      <c r="G525">
        <v>888.42</v>
      </c>
      <c r="H525">
        <f>E525*1000000/D525</f>
        <v>1036828.9953837243</v>
      </c>
      <c r="I525" t="str">
        <f>IF(AND(B525&gt;=2018, B525&lt;=2021), "2018-2021", IF(AND(B525&gt;=2022, B525&lt;=2024), "2022-2024", "Other"))</f>
        <v>2018-2021</v>
      </c>
    </row>
    <row r="526" spans="1:9" x14ac:dyDescent="0.3">
      <c r="A526" t="s">
        <v>19</v>
      </c>
      <c r="B526">
        <v>2024</v>
      </c>
      <c r="C526" t="s">
        <v>2</v>
      </c>
      <c r="D526">
        <v>13936.71</v>
      </c>
      <c r="E526">
        <v>13293.1</v>
      </c>
      <c r="F526">
        <v>31.23</v>
      </c>
      <c r="G526">
        <v>548.69000000000005</v>
      </c>
      <c r="H526">
        <f>E526*1000000/D526</f>
        <v>953819.0864271411</v>
      </c>
      <c r="I526" t="str">
        <f>IF(AND(B526&gt;=2018, B526&lt;=2021), "2018-2021", IF(AND(B526&gt;=2022, B526&lt;=2024), "2022-2024", "Other"))</f>
        <v>2022-2024</v>
      </c>
    </row>
    <row r="527" spans="1:9" x14ac:dyDescent="0.3">
      <c r="A527" t="s">
        <v>17</v>
      </c>
      <c r="B527">
        <v>2022</v>
      </c>
      <c r="C527" t="s">
        <v>0</v>
      </c>
      <c r="D527">
        <v>2909.42</v>
      </c>
      <c r="E527">
        <v>3013.57</v>
      </c>
      <c r="F527">
        <v>165.59</v>
      </c>
      <c r="G527">
        <v>497.79</v>
      </c>
      <c r="H527">
        <f>E527*1000000/D527</f>
        <v>1035797.5129063524</v>
      </c>
      <c r="I527" t="str">
        <f>IF(AND(B527&gt;=2018, B527&lt;=2021), "2018-2021", IF(AND(B527&gt;=2022, B527&lt;=2024), "2022-2024", "Other"))</f>
        <v>2022-2024</v>
      </c>
    </row>
    <row r="528" spans="1:9" x14ac:dyDescent="0.3">
      <c r="A528" t="s">
        <v>5</v>
      </c>
      <c r="B528">
        <v>2019</v>
      </c>
      <c r="C528" t="s">
        <v>0</v>
      </c>
      <c r="D528">
        <v>42999.33</v>
      </c>
      <c r="E528">
        <v>46248.08</v>
      </c>
      <c r="F528">
        <v>176.09</v>
      </c>
      <c r="G528">
        <v>238.5</v>
      </c>
      <c r="H528">
        <f>E528*1000000/D528</f>
        <v>1075553.5028103925</v>
      </c>
      <c r="I528" t="str">
        <f>IF(AND(B528&gt;=2018, B528&lt;=2021), "2018-2021", IF(AND(B528&gt;=2022, B528&lt;=2024), "2022-2024", "Other"))</f>
        <v>2018-2021</v>
      </c>
    </row>
    <row r="529" spans="1:9" x14ac:dyDescent="0.3">
      <c r="A529" t="s">
        <v>24</v>
      </c>
      <c r="B529">
        <v>2018</v>
      </c>
      <c r="C529" t="s">
        <v>6</v>
      </c>
      <c r="D529">
        <v>30566.99</v>
      </c>
      <c r="E529">
        <v>29522.29</v>
      </c>
      <c r="F529">
        <v>132.9</v>
      </c>
      <c r="G529">
        <v>773.92</v>
      </c>
      <c r="H529">
        <f>E529*1000000/D529</f>
        <v>965822.60798331792</v>
      </c>
      <c r="I529" t="str">
        <f>IF(AND(B529&gt;=2018, B529&lt;=2021), "2018-2021", IF(AND(B529&gt;=2022, B529&lt;=2024), "2022-2024", "Other"))</f>
        <v>2018-2021</v>
      </c>
    </row>
    <row r="530" spans="1:9" x14ac:dyDescent="0.3">
      <c r="A530" t="s">
        <v>15</v>
      </c>
      <c r="B530">
        <v>2024</v>
      </c>
      <c r="C530" t="s">
        <v>12</v>
      </c>
      <c r="D530">
        <v>9448.44</v>
      </c>
      <c r="E530">
        <v>9574.7800000000007</v>
      </c>
      <c r="F530">
        <v>136.94999999999999</v>
      </c>
      <c r="G530">
        <v>395.09</v>
      </c>
      <c r="H530">
        <f>E530*1000000/D530</f>
        <v>1013371.5195312665</v>
      </c>
      <c r="I530" t="str">
        <f>IF(AND(B530&gt;=2018, B530&lt;=2021), "2018-2021", IF(AND(B530&gt;=2022, B530&lt;=2024), "2022-2024", "Other"))</f>
        <v>2022-2024</v>
      </c>
    </row>
    <row r="531" spans="1:9" x14ac:dyDescent="0.3">
      <c r="A531" t="s">
        <v>3</v>
      </c>
      <c r="B531">
        <v>2021</v>
      </c>
      <c r="C531" t="s">
        <v>12</v>
      </c>
      <c r="D531">
        <v>6306.54</v>
      </c>
      <c r="E531">
        <v>6017.22</v>
      </c>
      <c r="F531">
        <v>160.19999999999999</v>
      </c>
      <c r="G531">
        <v>1257.48</v>
      </c>
      <c r="H531">
        <f>E531*1000000/D531</f>
        <v>954123.81432608049</v>
      </c>
      <c r="I531" t="str">
        <f>IF(AND(B531&gt;=2018, B531&lt;=2021), "2018-2021", IF(AND(B531&gt;=2022, B531&lt;=2024), "2022-2024", "Other"))</f>
        <v>2018-2021</v>
      </c>
    </row>
    <row r="532" spans="1:9" x14ac:dyDescent="0.3">
      <c r="A532" t="s">
        <v>17</v>
      </c>
      <c r="B532">
        <v>2018</v>
      </c>
      <c r="C532" t="s">
        <v>9</v>
      </c>
      <c r="D532">
        <v>17195.43</v>
      </c>
      <c r="E532">
        <v>16888.39</v>
      </c>
      <c r="F532">
        <v>76.790000000000006</v>
      </c>
      <c r="G532">
        <v>302.27</v>
      </c>
      <c r="H532">
        <f>E532*1000000/D532</f>
        <v>982144.09293632081</v>
      </c>
      <c r="I532" t="str">
        <f>IF(AND(B532&gt;=2018, B532&lt;=2021), "2018-2021", IF(AND(B532&gt;=2022, B532&lt;=2024), "2022-2024", "Other"))</f>
        <v>2018-2021</v>
      </c>
    </row>
    <row r="533" spans="1:9" x14ac:dyDescent="0.3">
      <c r="A533" t="s">
        <v>13</v>
      </c>
      <c r="B533">
        <v>2020</v>
      </c>
      <c r="C533" t="s">
        <v>6</v>
      </c>
      <c r="D533">
        <v>13560.18</v>
      </c>
      <c r="E533">
        <v>12193.31</v>
      </c>
      <c r="F533">
        <v>198.08</v>
      </c>
      <c r="G533">
        <v>1021.17</v>
      </c>
      <c r="H533">
        <f>E533*1000000/D533</f>
        <v>899199.71563799295</v>
      </c>
      <c r="I533" t="str">
        <f>IF(AND(B533&gt;=2018, B533&lt;=2021), "2018-2021", IF(AND(B533&gt;=2022, B533&lt;=2024), "2022-2024", "Other"))</f>
        <v>2018-2021</v>
      </c>
    </row>
    <row r="534" spans="1:9" x14ac:dyDescent="0.3">
      <c r="A534" t="s">
        <v>3</v>
      </c>
      <c r="B534">
        <v>2018</v>
      </c>
      <c r="C534" t="s">
        <v>0</v>
      </c>
      <c r="D534">
        <v>27437.11</v>
      </c>
      <c r="E534">
        <v>32891.879999999997</v>
      </c>
      <c r="F534">
        <v>196.25</v>
      </c>
      <c r="G534">
        <v>711.52</v>
      </c>
      <c r="H534">
        <f>E534*1000000/D534</f>
        <v>1198809.9329703455</v>
      </c>
      <c r="I534" t="str">
        <f>IF(AND(B534&gt;=2018, B534&lt;=2021), "2018-2021", IF(AND(B534&gt;=2022, B534&lt;=2024), "2022-2024", "Other"))</f>
        <v>2018-2021</v>
      </c>
    </row>
    <row r="535" spans="1:9" x14ac:dyDescent="0.3">
      <c r="A535" t="s">
        <v>20</v>
      </c>
      <c r="B535">
        <v>2022</v>
      </c>
      <c r="C535" t="s">
        <v>8</v>
      </c>
      <c r="D535">
        <v>34191.949999999997</v>
      </c>
      <c r="E535">
        <v>27453.58</v>
      </c>
      <c r="F535">
        <v>88.82</v>
      </c>
      <c r="G535">
        <v>1025.1199999999999</v>
      </c>
      <c r="H535">
        <f>E535*1000000/D535</f>
        <v>802925.24994918401</v>
      </c>
      <c r="I535" t="str">
        <f>IF(AND(B535&gt;=2018, B535&lt;=2021), "2018-2021", IF(AND(B535&gt;=2022, B535&lt;=2024), "2022-2024", "Other"))</f>
        <v>2022-2024</v>
      </c>
    </row>
    <row r="536" spans="1:9" x14ac:dyDescent="0.3">
      <c r="A536" t="s">
        <v>22</v>
      </c>
      <c r="B536">
        <v>2023</v>
      </c>
      <c r="C536" t="s">
        <v>2</v>
      </c>
      <c r="D536">
        <v>27838.3</v>
      </c>
      <c r="E536">
        <v>22942.91</v>
      </c>
      <c r="F536">
        <v>107.53</v>
      </c>
      <c r="G536">
        <v>768.74</v>
      </c>
      <c r="H536">
        <f>E536*1000000/D536</f>
        <v>824149.10393235215</v>
      </c>
      <c r="I536" t="str">
        <f>IF(AND(B536&gt;=2018, B536&lt;=2021), "2018-2021", IF(AND(B536&gt;=2022, B536&lt;=2024), "2022-2024", "Other"))</f>
        <v>2022-2024</v>
      </c>
    </row>
    <row r="537" spans="1:9" x14ac:dyDescent="0.3">
      <c r="A537" t="s">
        <v>23</v>
      </c>
      <c r="B537">
        <v>2024</v>
      </c>
      <c r="C537" t="s">
        <v>4</v>
      </c>
      <c r="D537">
        <v>32261.02</v>
      </c>
      <c r="E537">
        <v>30056.23</v>
      </c>
      <c r="F537">
        <v>37.22</v>
      </c>
      <c r="G537">
        <v>1061.95</v>
      </c>
      <c r="H537">
        <f>E537*1000000/D537</f>
        <v>931657.77151497384</v>
      </c>
      <c r="I537" t="str">
        <f>IF(AND(B537&gt;=2018, B537&lt;=2021), "2018-2021", IF(AND(B537&gt;=2022, B537&lt;=2024), "2022-2024", "Other"))</f>
        <v>2022-2024</v>
      </c>
    </row>
    <row r="538" spans="1:9" x14ac:dyDescent="0.3">
      <c r="A538" t="s">
        <v>16</v>
      </c>
      <c r="B538">
        <v>2018</v>
      </c>
      <c r="C538" t="s">
        <v>0</v>
      </c>
      <c r="D538">
        <v>46469.96</v>
      </c>
      <c r="E538">
        <v>43064.09</v>
      </c>
      <c r="F538">
        <v>62.5</v>
      </c>
      <c r="G538">
        <v>1228.7</v>
      </c>
      <c r="H538">
        <f>E538*1000000/D538</f>
        <v>926708.1357504935</v>
      </c>
      <c r="I538" t="str">
        <f>IF(AND(B538&gt;=2018, B538&lt;=2021), "2018-2021", IF(AND(B538&gt;=2022, B538&lt;=2024), "2022-2024", "Other"))</f>
        <v>2018-2021</v>
      </c>
    </row>
    <row r="539" spans="1:9" x14ac:dyDescent="0.3">
      <c r="A539" t="s">
        <v>25</v>
      </c>
      <c r="B539">
        <v>2021</v>
      </c>
      <c r="C539" t="s">
        <v>4</v>
      </c>
      <c r="D539">
        <v>28457.93</v>
      </c>
      <c r="E539">
        <v>28368.1</v>
      </c>
      <c r="F539">
        <v>151.29</v>
      </c>
      <c r="G539">
        <v>138.07</v>
      </c>
      <c r="H539">
        <f>E539*1000000/D539</f>
        <v>996843.41060646367</v>
      </c>
      <c r="I539" t="str">
        <f>IF(AND(B539&gt;=2018, B539&lt;=2021), "2018-2021", IF(AND(B539&gt;=2022, B539&lt;=2024), "2022-2024", "Other"))</f>
        <v>2018-2021</v>
      </c>
    </row>
    <row r="540" spans="1:9" x14ac:dyDescent="0.3">
      <c r="A540" t="s">
        <v>23</v>
      </c>
      <c r="B540">
        <v>2018</v>
      </c>
      <c r="C540" t="s">
        <v>4</v>
      </c>
      <c r="D540">
        <v>32782.58</v>
      </c>
      <c r="E540">
        <v>28850.82</v>
      </c>
      <c r="F540">
        <v>50.32</v>
      </c>
      <c r="G540">
        <v>237.61</v>
      </c>
      <c r="H540">
        <f>E540*1000000/D540</f>
        <v>880065.57141018182</v>
      </c>
      <c r="I540" t="str">
        <f>IF(AND(B540&gt;=2018, B540&lt;=2021), "2018-2021", IF(AND(B540&gt;=2022, B540&lt;=2024), "2022-2024", "Other"))</f>
        <v>2018-2021</v>
      </c>
    </row>
    <row r="541" spans="1:9" x14ac:dyDescent="0.3">
      <c r="A541" t="s">
        <v>22</v>
      </c>
      <c r="B541">
        <v>2023</v>
      </c>
      <c r="C541" t="s">
        <v>6</v>
      </c>
      <c r="D541">
        <v>29270.959999999999</v>
      </c>
      <c r="E541">
        <v>28088.74</v>
      </c>
      <c r="F541">
        <v>53.89</v>
      </c>
      <c r="G541">
        <v>194.08</v>
      </c>
      <c r="H541">
        <f>E541*1000000/D541</f>
        <v>959611.16410257819</v>
      </c>
      <c r="I541" t="str">
        <f>IF(AND(B541&gt;=2018, B541&lt;=2021), "2018-2021", IF(AND(B541&gt;=2022, B541&lt;=2024), "2022-2024", "Other"))</f>
        <v>2022-2024</v>
      </c>
    </row>
    <row r="542" spans="1:9" x14ac:dyDescent="0.3">
      <c r="A542" t="s">
        <v>11</v>
      </c>
      <c r="B542">
        <v>2018</v>
      </c>
      <c r="C542" t="s">
        <v>0</v>
      </c>
      <c r="D542">
        <v>46279.34</v>
      </c>
      <c r="E542">
        <v>49889.95</v>
      </c>
      <c r="F542">
        <v>59.23</v>
      </c>
      <c r="G542">
        <v>26.96</v>
      </c>
      <c r="H542">
        <f>E542*1000000/D542</f>
        <v>1078017.7504692159</v>
      </c>
      <c r="I542" t="str">
        <f>IF(AND(B542&gt;=2018, B542&lt;=2021), "2018-2021", IF(AND(B542&gt;=2022, B542&lt;=2024), "2022-2024", "Other"))</f>
        <v>2018-2021</v>
      </c>
    </row>
    <row r="543" spans="1:9" x14ac:dyDescent="0.3">
      <c r="A543" t="s">
        <v>18</v>
      </c>
      <c r="B543">
        <v>2023</v>
      </c>
      <c r="C543" t="s">
        <v>4</v>
      </c>
      <c r="D543">
        <v>30627.200000000001</v>
      </c>
      <c r="E543">
        <v>32844.639999999999</v>
      </c>
      <c r="F543">
        <v>191.73</v>
      </c>
      <c r="G543">
        <v>453.18</v>
      </c>
      <c r="H543">
        <f>E543*1000000/D543</f>
        <v>1072401.0030299863</v>
      </c>
      <c r="I543" t="str">
        <f>IF(AND(B543&gt;=2018, B543&lt;=2021), "2018-2021", IF(AND(B543&gt;=2022, B543&lt;=2024), "2022-2024", "Other"))</f>
        <v>2022-2024</v>
      </c>
    </row>
    <row r="544" spans="1:9" x14ac:dyDescent="0.3">
      <c r="A544" t="s">
        <v>7</v>
      </c>
      <c r="B544">
        <v>2020</v>
      </c>
      <c r="C544" t="s">
        <v>2</v>
      </c>
      <c r="D544">
        <v>19025.02</v>
      </c>
      <c r="E544">
        <v>15990.02</v>
      </c>
      <c r="F544">
        <v>93.52</v>
      </c>
      <c r="G544">
        <v>350.41</v>
      </c>
      <c r="H544">
        <f>E544*1000000/D544</f>
        <v>840473.22946309648</v>
      </c>
      <c r="I544" t="str">
        <f>IF(AND(B544&gt;=2018, B544&lt;=2021), "2018-2021", IF(AND(B544&gt;=2022, B544&lt;=2024), "2022-2024", "Other"))</f>
        <v>2018-2021</v>
      </c>
    </row>
    <row r="545" spans="1:9" x14ac:dyDescent="0.3">
      <c r="A545" t="s">
        <v>21</v>
      </c>
      <c r="B545">
        <v>2024</v>
      </c>
      <c r="C545" t="s">
        <v>14</v>
      </c>
      <c r="D545">
        <v>24562.19</v>
      </c>
      <c r="E545">
        <v>22556.23</v>
      </c>
      <c r="F545">
        <v>163.15</v>
      </c>
      <c r="G545">
        <v>799.37</v>
      </c>
      <c r="H545">
        <f>E545*1000000/D545</f>
        <v>918331.38657424285</v>
      </c>
      <c r="I545" t="str">
        <f>IF(AND(B545&gt;=2018, B545&lt;=2021), "2018-2021", IF(AND(B545&gt;=2022, B545&lt;=2024), "2022-2024", "Other"))</f>
        <v>2022-2024</v>
      </c>
    </row>
    <row r="546" spans="1:9" x14ac:dyDescent="0.3">
      <c r="A546" t="s">
        <v>10</v>
      </c>
      <c r="B546">
        <v>2024</v>
      </c>
      <c r="C546" t="s">
        <v>12</v>
      </c>
      <c r="D546">
        <v>13311.78</v>
      </c>
      <c r="E546">
        <v>15226.26</v>
      </c>
      <c r="F546">
        <v>49.49</v>
      </c>
      <c r="G546">
        <v>93.63</v>
      </c>
      <c r="H546">
        <f>E546*1000000/D546</f>
        <v>1143818.4825770857</v>
      </c>
      <c r="I546" t="str">
        <f>IF(AND(B546&gt;=2018, B546&lt;=2021), "2018-2021", IF(AND(B546&gt;=2022, B546&lt;=2024), "2022-2024", "Other"))</f>
        <v>2022-2024</v>
      </c>
    </row>
    <row r="547" spans="1:9" x14ac:dyDescent="0.3">
      <c r="A547" t="s">
        <v>27</v>
      </c>
      <c r="B547">
        <v>2024</v>
      </c>
      <c r="C547" t="s">
        <v>6</v>
      </c>
      <c r="D547">
        <v>11274.34</v>
      </c>
      <c r="E547">
        <v>9453.84</v>
      </c>
      <c r="F547">
        <v>162.85</v>
      </c>
      <c r="G547">
        <v>898.82</v>
      </c>
      <c r="H547">
        <f>E547*1000000/D547</f>
        <v>838527.13329560752</v>
      </c>
      <c r="I547" t="str">
        <f>IF(AND(B547&gt;=2018, B547&lt;=2021), "2018-2021", IF(AND(B547&gt;=2022, B547&lt;=2024), "2022-2024", "Other"))</f>
        <v>2022-2024</v>
      </c>
    </row>
    <row r="548" spans="1:9" x14ac:dyDescent="0.3">
      <c r="A548" t="s">
        <v>15</v>
      </c>
      <c r="B548">
        <v>2020</v>
      </c>
      <c r="C548" t="s">
        <v>2</v>
      </c>
      <c r="D548">
        <v>20221.650000000001</v>
      </c>
      <c r="E548">
        <v>18088.05</v>
      </c>
      <c r="F548">
        <v>196.72</v>
      </c>
      <c r="G548">
        <v>469.53</v>
      </c>
      <c r="H548">
        <f>E548*1000000/D548</f>
        <v>894489.32208796008</v>
      </c>
      <c r="I548" t="str">
        <f>IF(AND(B548&gt;=2018, B548&lt;=2021), "2018-2021", IF(AND(B548&gt;=2022, B548&lt;=2024), "2022-2024", "Other"))</f>
        <v>2018-2021</v>
      </c>
    </row>
    <row r="549" spans="1:9" x14ac:dyDescent="0.3">
      <c r="A549" t="s">
        <v>27</v>
      </c>
      <c r="B549">
        <v>2022</v>
      </c>
      <c r="C549" t="s">
        <v>8</v>
      </c>
      <c r="D549">
        <v>36554.67</v>
      </c>
      <c r="E549">
        <v>38456.400000000001</v>
      </c>
      <c r="F549">
        <v>132.91999999999999</v>
      </c>
      <c r="G549">
        <v>327.44</v>
      </c>
      <c r="H549">
        <f>E549*1000000/D549</f>
        <v>1052024.2694025142</v>
      </c>
      <c r="I549" t="str">
        <f>IF(AND(B549&gt;=2018, B549&lt;=2021), "2018-2021", IF(AND(B549&gt;=2022, B549&lt;=2024), "2022-2024", "Other"))</f>
        <v>2022-2024</v>
      </c>
    </row>
    <row r="550" spans="1:9" x14ac:dyDescent="0.3">
      <c r="A550" t="s">
        <v>22</v>
      </c>
      <c r="B550">
        <v>2020</v>
      </c>
      <c r="C550" t="s">
        <v>9</v>
      </c>
      <c r="D550">
        <v>36147.050000000003</v>
      </c>
      <c r="E550">
        <v>34984.68</v>
      </c>
      <c r="F550">
        <v>105.09</v>
      </c>
      <c r="G550">
        <v>1336</v>
      </c>
      <c r="H550">
        <f>E550*1000000/D550</f>
        <v>967843.29564929905</v>
      </c>
      <c r="I550" t="str">
        <f>IF(AND(B550&gt;=2018, B550&lt;=2021), "2018-2021", IF(AND(B550&gt;=2022, B550&lt;=2024), "2022-2024", "Other"))</f>
        <v>2018-2021</v>
      </c>
    </row>
    <row r="551" spans="1:9" x14ac:dyDescent="0.3">
      <c r="A551" t="s">
        <v>15</v>
      </c>
      <c r="B551">
        <v>2018</v>
      </c>
      <c r="C551" t="s">
        <v>12</v>
      </c>
      <c r="D551">
        <v>9120.4599999999991</v>
      </c>
      <c r="E551">
        <v>9814.7900000000009</v>
      </c>
      <c r="F551">
        <v>145.25</v>
      </c>
      <c r="G551">
        <v>1389.14</v>
      </c>
      <c r="H551">
        <f>E551*1000000/D551</f>
        <v>1076128.8356069762</v>
      </c>
      <c r="I551" t="str">
        <f>IF(AND(B551&gt;=2018, B551&lt;=2021), "2018-2021", IF(AND(B551&gt;=2022, B551&lt;=2024), "2022-2024", "Other"))</f>
        <v>2018-2021</v>
      </c>
    </row>
    <row r="552" spans="1:9" x14ac:dyDescent="0.3">
      <c r="A552" t="s">
        <v>18</v>
      </c>
      <c r="B552">
        <v>2023</v>
      </c>
      <c r="C552" t="s">
        <v>8</v>
      </c>
      <c r="D552">
        <v>31856.68</v>
      </c>
      <c r="E552">
        <v>28869.02</v>
      </c>
      <c r="F552">
        <v>185.37</v>
      </c>
      <c r="G552">
        <v>820.56</v>
      </c>
      <c r="H552">
        <f>E552*1000000/D552</f>
        <v>906215.58806504635</v>
      </c>
      <c r="I552" t="str">
        <f>IF(AND(B552&gt;=2018, B552&lt;=2021), "2018-2021", IF(AND(B552&gt;=2022, B552&lt;=2024), "2022-2024", "Other"))</f>
        <v>2022-2024</v>
      </c>
    </row>
    <row r="553" spans="1:9" x14ac:dyDescent="0.3">
      <c r="A553" t="s">
        <v>15</v>
      </c>
      <c r="B553">
        <v>2020</v>
      </c>
      <c r="C553" t="s">
        <v>4</v>
      </c>
      <c r="D553">
        <v>12106.78</v>
      </c>
      <c r="E553">
        <v>13854.25</v>
      </c>
      <c r="F553">
        <v>25.09</v>
      </c>
      <c r="G553">
        <v>263.89999999999998</v>
      </c>
      <c r="H553">
        <f>E553*1000000/D553</f>
        <v>1144338.1311959084</v>
      </c>
      <c r="I553" t="str">
        <f>IF(AND(B553&gt;=2018, B553&lt;=2021), "2018-2021", IF(AND(B553&gt;=2022, B553&lt;=2024), "2022-2024", "Other"))</f>
        <v>2018-2021</v>
      </c>
    </row>
    <row r="554" spans="1:9" x14ac:dyDescent="0.3">
      <c r="A554" t="s">
        <v>27</v>
      </c>
      <c r="B554">
        <v>2019</v>
      </c>
      <c r="C554" t="s">
        <v>6</v>
      </c>
      <c r="D554">
        <v>48412.38</v>
      </c>
      <c r="E554">
        <v>45154.71</v>
      </c>
      <c r="F554">
        <v>82.96</v>
      </c>
      <c r="G554">
        <v>410.8</v>
      </c>
      <c r="H554">
        <f>E554*1000000/D554</f>
        <v>932709.98038105131</v>
      </c>
      <c r="I554" t="str">
        <f>IF(AND(B554&gt;=2018, B554&lt;=2021), "2018-2021", IF(AND(B554&gt;=2022, B554&lt;=2024), "2022-2024", "Other"))</f>
        <v>2018-2021</v>
      </c>
    </row>
    <row r="555" spans="1:9" x14ac:dyDescent="0.3">
      <c r="A555" t="s">
        <v>19</v>
      </c>
      <c r="B555">
        <v>2019</v>
      </c>
      <c r="C555" t="s">
        <v>4</v>
      </c>
      <c r="D555">
        <v>25633.360000000001</v>
      </c>
      <c r="E555">
        <v>28551.45</v>
      </c>
      <c r="F555">
        <v>184.24</v>
      </c>
      <c r="G555">
        <v>1198.29</v>
      </c>
      <c r="H555">
        <f>E555*1000000/D555</f>
        <v>1113839.5434699156</v>
      </c>
      <c r="I555" t="str">
        <f>IF(AND(B555&gt;=2018, B555&lt;=2021), "2018-2021", IF(AND(B555&gt;=2022, B555&lt;=2024), "2022-2024", "Other"))</f>
        <v>2018-2021</v>
      </c>
    </row>
    <row r="556" spans="1:9" x14ac:dyDescent="0.3">
      <c r="A556" t="s">
        <v>22</v>
      </c>
      <c r="B556">
        <v>2020</v>
      </c>
      <c r="C556" t="s">
        <v>12</v>
      </c>
      <c r="D556">
        <v>23142.09</v>
      </c>
      <c r="E556">
        <v>21236.33</v>
      </c>
      <c r="F556">
        <v>21.84</v>
      </c>
      <c r="G556">
        <v>943.38</v>
      </c>
      <c r="H556">
        <f>E556*1000000/D556</f>
        <v>917649.61591628066</v>
      </c>
      <c r="I556" t="str">
        <f>IF(AND(B556&gt;=2018, B556&lt;=2021), "2018-2021", IF(AND(B556&gt;=2022, B556&lt;=2024), "2022-2024", "Other"))</f>
        <v>2018-2021</v>
      </c>
    </row>
    <row r="557" spans="1:9" x14ac:dyDescent="0.3">
      <c r="A557" t="s">
        <v>7</v>
      </c>
      <c r="B557">
        <v>2018</v>
      </c>
      <c r="C557" t="s">
        <v>6</v>
      </c>
      <c r="D557">
        <v>44944.160000000003</v>
      </c>
      <c r="E557">
        <v>47468.77</v>
      </c>
      <c r="F557">
        <v>135.79</v>
      </c>
      <c r="G557">
        <v>1222.9100000000001</v>
      </c>
      <c r="H557">
        <f>E557*1000000/D557</f>
        <v>1056172.1478385623</v>
      </c>
      <c r="I557" t="str">
        <f>IF(AND(B557&gt;=2018, B557&lt;=2021), "2018-2021", IF(AND(B557&gt;=2022, B557&lt;=2024), "2022-2024", "Other"))</f>
        <v>2018-2021</v>
      </c>
    </row>
    <row r="558" spans="1:9" x14ac:dyDescent="0.3">
      <c r="A558" t="s">
        <v>25</v>
      </c>
      <c r="B558">
        <v>2020</v>
      </c>
      <c r="C558" t="s">
        <v>6</v>
      </c>
      <c r="D558">
        <v>34376.019999999997</v>
      </c>
      <c r="E558">
        <v>33216.93</v>
      </c>
      <c r="F558">
        <v>31.23</v>
      </c>
      <c r="G558">
        <v>341.62</v>
      </c>
      <c r="H558">
        <f>E558*1000000/D558</f>
        <v>966282.01868628198</v>
      </c>
      <c r="I558" t="str">
        <f>IF(AND(B558&gt;=2018, B558&lt;=2021), "2018-2021", IF(AND(B558&gt;=2022, B558&lt;=2024), "2022-2024", "Other"))</f>
        <v>2018-2021</v>
      </c>
    </row>
    <row r="559" spans="1:9" x14ac:dyDescent="0.3">
      <c r="A559" t="s">
        <v>1</v>
      </c>
      <c r="B559">
        <v>2021</v>
      </c>
      <c r="C559" t="s">
        <v>6</v>
      </c>
      <c r="D559">
        <v>8164.82</v>
      </c>
      <c r="E559">
        <v>7396.43</v>
      </c>
      <c r="F559">
        <v>55.7</v>
      </c>
      <c r="G559">
        <v>974.57</v>
      </c>
      <c r="H559">
        <f>E559*1000000/D559</f>
        <v>905890.14822127135</v>
      </c>
      <c r="I559" t="str">
        <f>IF(AND(B559&gt;=2018, B559&lt;=2021), "2018-2021", IF(AND(B559&gt;=2022, B559&lt;=2024), "2022-2024", "Other"))</f>
        <v>2018-2021</v>
      </c>
    </row>
    <row r="560" spans="1:9" x14ac:dyDescent="0.3">
      <c r="A560" t="s">
        <v>10</v>
      </c>
      <c r="B560">
        <v>2018</v>
      </c>
      <c r="C560" t="s">
        <v>8</v>
      </c>
      <c r="D560">
        <v>15882.09</v>
      </c>
      <c r="E560">
        <v>17533.349999999999</v>
      </c>
      <c r="F560">
        <v>64.38</v>
      </c>
      <c r="G560">
        <v>43.75</v>
      </c>
      <c r="H560">
        <f>E560*1000000/D560</f>
        <v>1103969.943502398</v>
      </c>
      <c r="I560" t="str">
        <f>IF(AND(B560&gt;=2018, B560&lt;=2021), "2018-2021", IF(AND(B560&gt;=2022, B560&lt;=2024), "2022-2024", "Other"))</f>
        <v>2018-2021</v>
      </c>
    </row>
    <row r="561" spans="1:9" x14ac:dyDescent="0.3">
      <c r="A561" t="s">
        <v>21</v>
      </c>
      <c r="B561">
        <v>2021</v>
      </c>
      <c r="C561" t="s">
        <v>6</v>
      </c>
      <c r="D561">
        <v>17180.080000000002</v>
      </c>
      <c r="E561">
        <v>16230.16</v>
      </c>
      <c r="F561">
        <v>167.41</v>
      </c>
      <c r="G561">
        <v>555.15</v>
      </c>
      <c r="H561">
        <f>E561*1000000/D561</f>
        <v>944708.05723838299</v>
      </c>
      <c r="I561" t="str">
        <f>IF(AND(B561&gt;=2018, B561&lt;=2021), "2018-2021", IF(AND(B561&gt;=2022, B561&lt;=2024), "2022-2024", "Other"))</f>
        <v>2018-2021</v>
      </c>
    </row>
    <row r="562" spans="1:9" x14ac:dyDescent="0.3">
      <c r="A562" t="s">
        <v>25</v>
      </c>
      <c r="B562">
        <v>2023</v>
      </c>
      <c r="C562" t="s">
        <v>2</v>
      </c>
      <c r="D562">
        <v>35046.879999999997</v>
      </c>
      <c r="E562">
        <v>28836.400000000001</v>
      </c>
      <c r="F562">
        <v>61.06</v>
      </c>
      <c r="G562">
        <v>877.75</v>
      </c>
      <c r="H562">
        <f>E562*1000000/D562</f>
        <v>822795.06763512199</v>
      </c>
      <c r="I562" t="str">
        <f>IF(AND(B562&gt;=2018, B562&lt;=2021), "2018-2021", IF(AND(B562&gt;=2022, B562&lt;=2024), "2022-2024", "Other"))</f>
        <v>2022-2024</v>
      </c>
    </row>
    <row r="563" spans="1:9" x14ac:dyDescent="0.3">
      <c r="A563" t="s">
        <v>20</v>
      </c>
      <c r="B563">
        <v>2019</v>
      </c>
      <c r="C563" t="s">
        <v>14</v>
      </c>
      <c r="D563">
        <v>18282.900000000001</v>
      </c>
      <c r="E563">
        <v>19907.88</v>
      </c>
      <c r="F563">
        <v>117.04</v>
      </c>
      <c r="G563">
        <v>218.42</v>
      </c>
      <c r="H563">
        <f>E563*1000000/D563</f>
        <v>1088879.7729025481</v>
      </c>
      <c r="I563" t="str">
        <f>IF(AND(B563&gt;=2018, B563&lt;=2021), "2018-2021", IF(AND(B563&gt;=2022, B563&lt;=2024), "2022-2024", "Other"))</f>
        <v>2018-2021</v>
      </c>
    </row>
    <row r="564" spans="1:9" x14ac:dyDescent="0.3">
      <c r="A564" t="s">
        <v>22</v>
      </c>
      <c r="B564">
        <v>2019</v>
      </c>
      <c r="C564" t="s">
        <v>9</v>
      </c>
      <c r="D564">
        <v>27908.29</v>
      </c>
      <c r="E564">
        <v>31702.71</v>
      </c>
      <c r="F564">
        <v>122.95</v>
      </c>
      <c r="G564">
        <v>839.65</v>
      </c>
      <c r="H564">
        <f>E564*1000000/D564</f>
        <v>1135960.3186006739</v>
      </c>
      <c r="I564" t="str">
        <f>IF(AND(B564&gt;=2018, B564&lt;=2021), "2018-2021", IF(AND(B564&gt;=2022, B564&lt;=2024), "2022-2024", "Other"))</f>
        <v>2018-2021</v>
      </c>
    </row>
    <row r="565" spans="1:9" x14ac:dyDescent="0.3">
      <c r="A565" t="s">
        <v>23</v>
      </c>
      <c r="B565">
        <v>2018</v>
      </c>
      <c r="C565" t="s">
        <v>4</v>
      </c>
      <c r="D565">
        <v>24333.7</v>
      </c>
      <c r="E565">
        <v>23559.3</v>
      </c>
      <c r="F565">
        <v>144.41</v>
      </c>
      <c r="G565">
        <v>764.54</v>
      </c>
      <c r="H565">
        <f>E565*1000000/D565</f>
        <v>968175.82200816146</v>
      </c>
      <c r="I565" t="str">
        <f>IF(AND(B565&gt;=2018, B565&lt;=2021), "2018-2021", IF(AND(B565&gt;=2022, B565&lt;=2024), "2022-2024", "Other"))</f>
        <v>2018-2021</v>
      </c>
    </row>
    <row r="566" spans="1:9" x14ac:dyDescent="0.3">
      <c r="A566" t="s">
        <v>5</v>
      </c>
      <c r="B566">
        <v>2021</v>
      </c>
      <c r="C566" t="s">
        <v>8</v>
      </c>
      <c r="D566">
        <v>27103.78</v>
      </c>
      <c r="E566">
        <v>29818.560000000001</v>
      </c>
      <c r="F566">
        <v>34.950000000000003</v>
      </c>
      <c r="G566">
        <v>724.83</v>
      </c>
      <c r="H566">
        <f>E566*1000000/D566</f>
        <v>1100162.4127704697</v>
      </c>
      <c r="I566" t="str">
        <f>IF(AND(B566&gt;=2018, B566&lt;=2021), "2018-2021", IF(AND(B566&gt;=2022, B566&lt;=2024), "2022-2024", "Other"))</f>
        <v>2018-2021</v>
      </c>
    </row>
    <row r="567" spans="1:9" x14ac:dyDescent="0.3">
      <c r="A567" t="s">
        <v>21</v>
      </c>
      <c r="B567">
        <v>2019</v>
      </c>
      <c r="C567" t="s">
        <v>4</v>
      </c>
      <c r="D567">
        <v>23412.25</v>
      </c>
      <c r="E567">
        <v>23514.13</v>
      </c>
      <c r="F567">
        <v>178.36</v>
      </c>
      <c r="G567">
        <v>712.72</v>
      </c>
      <c r="H567">
        <f>E567*1000000/D567</f>
        <v>1004351.5680893549</v>
      </c>
      <c r="I567" t="str">
        <f>IF(AND(B567&gt;=2018, B567&lt;=2021), "2018-2021", IF(AND(B567&gt;=2022, B567&lt;=2024), "2022-2024", "Other"))</f>
        <v>2018-2021</v>
      </c>
    </row>
    <row r="568" spans="1:9" x14ac:dyDescent="0.3">
      <c r="A568" t="s">
        <v>22</v>
      </c>
      <c r="B568">
        <v>2021</v>
      </c>
      <c r="C568" t="s">
        <v>8</v>
      </c>
      <c r="D568">
        <v>24006.25</v>
      </c>
      <c r="E568">
        <v>24000.12</v>
      </c>
      <c r="F568">
        <v>149.30000000000001</v>
      </c>
      <c r="G568">
        <v>346.78</v>
      </c>
      <c r="H568">
        <f>E568*1000000/D568</f>
        <v>999744.64983077324</v>
      </c>
      <c r="I568" t="str">
        <f>IF(AND(B568&gt;=2018, B568&lt;=2021), "2018-2021", IF(AND(B568&gt;=2022, B568&lt;=2024), "2022-2024", "Other"))</f>
        <v>2018-2021</v>
      </c>
    </row>
    <row r="569" spans="1:9" x14ac:dyDescent="0.3">
      <c r="A569" t="s">
        <v>20</v>
      </c>
      <c r="B569">
        <v>2020</v>
      </c>
      <c r="C569" t="s">
        <v>9</v>
      </c>
      <c r="D569">
        <v>20684.599999999999</v>
      </c>
      <c r="E569">
        <v>23718.31</v>
      </c>
      <c r="F569">
        <v>177.96</v>
      </c>
      <c r="G569">
        <v>906.28</v>
      </c>
      <c r="H569">
        <f>E569*1000000/D569</f>
        <v>1146665.1518521027</v>
      </c>
      <c r="I569" t="str">
        <f>IF(AND(B569&gt;=2018, B569&lt;=2021), "2018-2021", IF(AND(B569&gt;=2022, B569&lt;=2024), "2022-2024", "Other"))</f>
        <v>2018-2021</v>
      </c>
    </row>
    <row r="570" spans="1:9" x14ac:dyDescent="0.3">
      <c r="A570" t="s">
        <v>26</v>
      </c>
      <c r="B570">
        <v>2019</v>
      </c>
      <c r="C570" t="s">
        <v>2</v>
      </c>
      <c r="D570">
        <v>43986.15</v>
      </c>
      <c r="E570">
        <v>45143.65</v>
      </c>
      <c r="F570">
        <v>98.37</v>
      </c>
      <c r="G570">
        <v>806.13</v>
      </c>
      <c r="H570">
        <f>E570*1000000/D570</f>
        <v>1026315.1014580725</v>
      </c>
      <c r="I570" t="str">
        <f>IF(AND(B570&gt;=2018, B570&lt;=2021), "2018-2021", IF(AND(B570&gt;=2022, B570&lt;=2024), "2022-2024", "Other"))</f>
        <v>2018-2021</v>
      </c>
    </row>
    <row r="571" spans="1:9" x14ac:dyDescent="0.3">
      <c r="A571" t="s">
        <v>7</v>
      </c>
      <c r="B571">
        <v>2019</v>
      </c>
      <c r="C571" t="s">
        <v>4</v>
      </c>
      <c r="D571">
        <v>43932.7</v>
      </c>
      <c r="E571">
        <v>51906.76</v>
      </c>
      <c r="F571">
        <v>52.28</v>
      </c>
      <c r="G571">
        <v>1223.81</v>
      </c>
      <c r="H571">
        <f>E571*1000000/D571</f>
        <v>1181506.258436199</v>
      </c>
      <c r="I571" t="str">
        <f>IF(AND(B571&gt;=2018, B571&lt;=2021), "2018-2021", IF(AND(B571&gt;=2022, B571&lt;=2024), "2022-2024", "Other"))</f>
        <v>2018-2021</v>
      </c>
    </row>
    <row r="572" spans="1:9" x14ac:dyDescent="0.3">
      <c r="A572" t="s">
        <v>26</v>
      </c>
      <c r="B572">
        <v>2022</v>
      </c>
      <c r="C572" t="s">
        <v>6</v>
      </c>
      <c r="D572">
        <v>34297.800000000003</v>
      </c>
      <c r="E572">
        <v>39263.78</v>
      </c>
      <c r="F572">
        <v>50.86</v>
      </c>
      <c r="G572">
        <v>1032.2</v>
      </c>
      <c r="H572">
        <f>E572*1000000/D572</f>
        <v>1144790.0448425263</v>
      </c>
      <c r="I572" t="str">
        <f>IF(AND(B572&gt;=2018, B572&lt;=2021), "2018-2021", IF(AND(B572&gt;=2022, B572&lt;=2024), "2022-2024", "Other"))</f>
        <v>2022-2024</v>
      </c>
    </row>
    <row r="573" spans="1:9" x14ac:dyDescent="0.3">
      <c r="A573" t="s">
        <v>11</v>
      </c>
      <c r="B573">
        <v>2019</v>
      </c>
      <c r="C573" t="s">
        <v>6</v>
      </c>
      <c r="D573">
        <v>46009.35</v>
      </c>
      <c r="E573">
        <v>45497.33</v>
      </c>
      <c r="F573">
        <v>40.04</v>
      </c>
      <c r="G573">
        <v>1157.17</v>
      </c>
      <c r="H573">
        <f>E573*1000000/D573</f>
        <v>988871.39244523132</v>
      </c>
      <c r="I573" t="str">
        <f>IF(AND(B573&gt;=2018, B573&lt;=2021), "2018-2021", IF(AND(B573&gt;=2022, B573&lt;=2024), "2022-2024", "Other"))</f>
        <v>2018-2021</v>
      </c>
    </row>
    <row r="574" spans="1:9" x14ac:dyDescent="0.3">
      <c r="A574" t="s">
        <v>20</v>
      </c>
      <c r="B574">
        <v>2023</v>
      </c>
      <c r="C574" t="s">
        <v>14</v>
      </c>
      <c r="D574">
        <v>34738.28</v>
      </c>
      <c r="E574">
        <v>27945.72</v>
      </c>
      <c r="F574">
        <v>133.57</v>
      </c>
      <c r="G574">
        <v>126.33</v>
      </c>
      <c r="H574">
        <f>E574*1000000/D574</f>
        <v>804464.70003696217</v>
      </c>
      <c r="I574" t="str">
        <f>IF(AND(B574&gt;=2018, B574&lt;=2021), "2018-2021", IF(AND(B574&gt;=2022, B574&lt;=2024), "2022-2024", "Other"))</f>
        <v>2022-2024</v>
      </c>
    </row>
    <row r="575" spans="1:9" x14ac:dyDescent="0.3">
      <c r="A575" t="s">
        <v>15</v>
      </c>
      <c r="B575">
        <v>2024</v>
      </c>
      <c r="C575" t="s">
        <v>2</v>
      </c>
      <c r="D575">
        <v>32804.559999999998</v>
      </c>
      <c r="E575">
        <v>27648.66</v>
      </c>
      <c r="F575">
        <v>199.49</v>
      </c>
      <c r="G575">
        <v>832.19</v>
      </c>
      <c r="H575">
        <f>E575*1000000/D575</f>
        <v>842829.77732364042</v>
      </c>
      <c r="I575" t="str">
        <f>IF(AND(B575&gt;=2018, B575&lt;=2021), "2018-2021", IF(AND(B575&gt;=2022, B575&lt;=2024), "2022-2024", "Other"))</f>
        <v>2022-2024</v>
      </c>
    </row>
    <row r="576" spans="1:9" x14ac:dyDescent="0.3">
      <c r="A576" t="s">
        <v>3</v>
      </c>
      <c r="B576">
        <v>2018</v>
      </c>
      <c r="C576" t="s">
        <v>6</v>
      </c>
      <c r="D576">
        <v>16184.37</v>
      </c>
      <c r="E576">
        <v>13070.43</v>
      </c>
      <c r="F576">
        <v>87.6</v>
      </c>
      <c r="G576">
        <v>779.58</v>
      </c>
      <c r="H576">
        <f>E576*1000000/D576</f>
        <v>807595.84710433579</v>
      </c>
      <c r="I576" t="str">
        <f>IF(AND(B576&gt;=2018, B576&lt;=2021), "2018-2021", IF(AND(B576&gt;=2022, B576&lt;=2024), "2022-2024", "Other"))</f>
        <v>2018-2021</v>
      </c>
    </row>
    <row r="577" spans="1:9" x14ac:dyDescent="0.3">
      <c r="A577" t="s">
        <v>25</v>
      </c>
      <c r="B577">
        <v>2023</v>
      </c>
      <c r="C577" t="s">
        <v>2</v>
      </c>
      <c r="D577">
        <v>29511.37</v>
      </c>
      <c r="E577">
        <v>26246.42</v>
      </c>
      <c r="F577">
        <v>29.4</v>
      </c>
      <c r="G577">
        <v>55.16</v>
      </c>
      <c r="H577">
        <f>E577*1000000/D577</f>
        <v>889366.36963990494</v>
      </c>
      <c r="I577" t="str">
        <f>IF(AND(B577&gt;=2018, B577&lt;=2021), "2018-2021", IF(AND(B577&gt;=2022, B577&lt;=2024), "2022-2024", "Other"))</f>
        <v>2022-2024</v>
      </c>
    </row>
    <row r="578" spans="1:9" x14ac:dyDescent="0.3">
      <c r="A578" t="s">
        <v>15</v>
      </c>
      <c r="B578">
        <v>2019</v>
      </c>
      <c r="C578" t="s">
        <v>8</v>
      </c>
      <c r="D578">
        <v>31122.240000000002</v>
      </c>
      <c r="E578">
        <v>29274.75</v>
      </c>
      <c r="F578">
        <v>53.28</v>
      </c>
      <c r="G578">
        <v>1090.3800000000001</v>
      </c>
      <c r="H578">
        <f>E578*1000000/D578</f>
        <v>940637.62762577494</v>
      </c>
      <c r="I578" t="str">
        <f>IF(AND(B578&gt;=2018, B578&lt;=2021), "2018-2021", IF(AND(B578&gt;=2022, B578&lt;=2024), "2022-2024", "Other"))</f>
        <v>2018-2021</v>
      </c>
    </row>
    <row r="579" spans="1:9" x14ac:dyDescent="0.3">
      <c r="A579" t="s">
        <v>15</v>
      </c>
      <c r="B579">
        <v>2024</v>
      </c>
      <c r="C579" t="s">
        <v>14</v>
      </c>
      <c r="D579">
        <v>7521.02</v>
      </c>
      <c r="E579">
        <v>6162.1</v>
      </c>
      <c r="F579">
        <v>125.48</v>
      </c>
      <c r="G579">
        <v>811.53</v>
      </c>
      <c r="H579">
        <f>E579*1000000/D579</f>
        <v>819317.06071782811</v>
      </c>
      <c r="I579" t="str">
        <f>IF(AND(B579&gt;=2018, B579&lt;=2021), "2018-2021", IF(AND(B579&gt;=2022, B579&lt;=2024), "2022-2024", "Other"))</f>
        <v>2022-2024</v>
      </c>
    </row>
    <row r="580" spans="1:9" x14ac:dyDescent="0.3">
      <c r="A580" t="s">
        <v>21</v>
      </c>
      <c r="B580">
        <v>2022</v>
      </c>
      <c r="C580" t="s">
        <v>4</v>
      </c>
      <c r="D580">
        <v>28725.46</v>
      </c>
      <c r="E580">
        <v>28821.33</v>
      </c>
      <c r="F580">
        <v>126.02</v>
      </c>
      <c r="G580">
        <v>412.4</v>
      </c>
      <c r="H580">
        <f>E580*1000000/D580</f>
        <v>1003337.4574332318</v>
      </c>
      <c r="I580" t="str">
        <f>IF(AND(B580&gt;=2018, B580&lt;=2021), "2018-2021", IF(AND(B580&gt;=2022, B580&lt;=2024), "2022-2024", "Other"))</f>
        <v>2022-2024</v>
      </c>
    </row>
    <row r="581" spans="1:9" x14ac:dyDescent="0.3">
      <c r="A581" t="s">
        <v>16</v>
      </c>
      <c r="B581">
        <v>2018</v>
      </c>
      <c r="C581" t="s">
        <v>0</v>
      </c>
      <c r="D581">
        <v>18905.86</v>
      </c>
      <c r="E581">
        <v>18077.939999999999</v>
      </c>
      <c r="F581">
        <v>47.45</v>
      </c>
      <c r="G581">
        <v>630.44000000000005</v>
      </c>
      <c r="H581">
        <f>E581*1000000/D581</f>
        <v>956208.28674284054</v>
      </c>
      <c r="I581" t="str">
        <f>IF(AND(B581&gt;=2018, B581&lt;=2021), "2018-2021", IF(AND(B581&gt;=2022, B581&lt;=2024), "2022-2024", "Other"))</f>
        <v>2018-2021</v>
      </c>
    </row>
    <row r="582" spans="1:9" x14ac:dyDescent="0.3">
      <c r="A582" t="s">
        <v>5</v>
      </c>
      <c r="B582">
        <v>2021</v>
      </c>
      <c r="C582" t="s">
        <v>4</v>
      </c>
      <c r="D582">
        <v>44966.77</v>
      </c>
      <c r="E582">
        <v>51324.35</v>
      </c>
      <c r="F582">
        <v>194.58</v>
      </c>
      <c r="G582">
        <v>743.47</v>
      </c>
      <c r="H582">
        <f>E582*1000000/D582</f>
        <v>1141383.9597551704</v>
      </c>
      <c r="I582" t="str">
        <f>IF(AND(B582&gt;=2018, B582&lt;=2021), "2018-2021", IF(AND(B582&gt;=2022, B582&lt;=2024), "2022-2024", "Other"))</f>
        <v>2018-2021</v>
      </c>
    </row>
    <row r="583" spans="1:9" x14ac:dyDescent="0.3">
      <c r="A583" t="s">
        <v>13</v>
      </c>
      <c r="B583">
        <v>2020</v>
      </c>
      <c r="C583" t="s">
        <v>12</v>
      </c>
      <c r="D583">
        <v>30142.42</v>
      </c>
      <c r="E583">
        <v>34331.56</v>
      </c>
      <c r="F583">
        <v>185.41</v>
      </c>
      <c r="G583">
        <v>182.81</v>
      </c>
      <c r="H583">
        <f>E583*1000000/D583</f>
        <v>1138978.2240443865</v>
      </c>
      <c r="I583" t="str">
        <f>IF(AND(B583&gt;=2018, B583&lt;=2021), "2018-2021", IF(AND(B583&gt;=2022, B583&lt;=2024), "2022-2024", "Other"))</f>
        <v>2018-2021</v>
      </c>
    </row>
    <row r="584" spans="1:9" x14ac:dyDescent="0.3">
      <c r="A584" t="s">
        <v>22</v>
      </c>
      <c r="B584">
        <v>2024</v>
      </c>
      <c r="C584" t="s">
        <v>9</v>
      </c>
      <c r="D584">
        <v>1034.78</v>
      </c>
      <c r="E584">
        <v>918.78</v>
      </c>
      <c r="F584">
        <v>144.59</v>
      </c>
      <c r="G584">
        <v>1097.06</v>
      </c>
      <c r="H584">
        <f>E584*1000000/D584</f>
        <v>887898.87705599261</v>
      </c>
      <c r="I584" t="str">
        <f>IF(AND(B584&gt;=2018, B584&lt;=2021), "2018-2021", IF(AND(B584&gt;=2022, B584&lt;=2024), "2022-2024", "Other"))</f>
        <v>2022-2024</v>
      </c>
    </row>
    <row r="585" spans="1:9" x14ac:dyDescent="0.3">
      <c r="A585" t="s">
        <v>1</v>
      </c>
      <c r="B585">
        <v>2020</v>
      </c>
      <c r="C585" t="s">
        <v>14</v>
      </c>
      <c r="D585">
        <v>23031.759999999998</v>
      </c>
      <c r="E585">
        <v>25472.53</v>
      </c>
      <c r="F585">
        <v>117.75</v>
      </c>
      <c r="G585">
        <v>1061.0899999999999</v>
      </c>
      <c r="H585">
        <f>E585*1000000/D585</f>
        <v>1105974.0983754608</v>
      </c>
      <c r="I585" t="str">
        <f>IF(AND(B585&gt;=2018, B585&lt;=2021), "2018-2021", IF(AND(B585&gt;=2022, B585&lt;=2024), "2022-2024", "Other"))</f>
        <v>2018-2021</v>
      </c>
    </row>
    <row r="586" spans="1:9" x14ac:dyDescent="0.3">
      <c r="A586" t="s">
        <v>16</v>
      </c>
      <c r="B586">
        <v>2023</v>
      </c>
      <c r="C586" t="s">
        <v>8</v>
      </c>
      <c r="D586">
        <v>22878.01</v>
      </c>
      <c r="E586">
        <v>18853.740000000002</v>
      </c>
      <c r="F586">
        <v>96.88</v>
      </c>
      <c r="G586">
        <v>731.86</v>
      </c>
      <c r="H586">
        <f>E586*1000000/D586</f>
        <v>824098.77432521456</v>
      </c>
      <c r="I586" t="str">
        <f>IF(AND(B586&gt;=2018, B586&lt;=2021), "2018-2021", IF(AND(B586&gt;=2022, B586&lt;=2024), "2022-2024", "Other"))</f>
        <v>2022-2024</v>
      </c>
    </row>
    <row r="587" spans="1:9" x14ac:dyDescent="0.3">
      <c r="A587" t="s">
        <v>24</v>
      </c>
      <c r="B587">
        <v>2019</v>
      </c>
      <c r="C587" t="s">
        <v>0</v>
      </c>
      <c r="D587">
        <v>31125.26</v>
      </c>
      <c r="E587">
        <v>28142.7</v>
      </c>
      <c r="F587">
        <v>128.08000000000001</v>
      </c>
      <c r="G587">
        <v>902.52</v>
      </c>
      <c r="H587">
        <f>E587*1000000/D587</f>
        <v>904175.57957748789</v>
      </c>
      <c r="I587" t="str">
        <f>IF(AND(B587&gt;=2018, B587&lt;=2021), "2018-2021", IF(AND(B587&gt;=2022, B587&lt;=2024), "2022-2024", "Other"))</f>
        <v>2018-2021</v>
      </c>
    </row>
    <row r="588" spans="1:9" x14ac:dyDescent="0.3">
      <c r="A588" t="s">
        <v>27</v>
      </c>
      <c r="B588">
        <v>2019</v>
      </c>
      <c r="C588" t="s">
        <v>14</v>
      </c>
      <c r="D588">
        <v>47749.85</v>
      </c>
      <c r="E588">
        <v>39215.5</v>
      </c>
      <c r="F588">
        <v>82.49</v>
      </c>
      <c r="G588">
        <v>514.45000000000005</v>
      </c>
      <c r="H588">
        <f>E588*1000000/D588</f>
        <v>821269.5956112952</v>
      </c>
      <c r="I588" t="str">
        <f>IF(AND(B588&gt;=2018, B588&lt;=2021), "2018-2021", IF(AND(B588&gt;=2022, B588&lt;=2024), "2022-2024", "Other"))</f>
        <v>2018-2021</v>
      </c>
    </row>
    <row r="589" spans="1:9" x14ac:dyDescent="0.3">
      <c r="A589" t="s">
        <v>22</v>
      </c>
      <c r="B589">
        <v>2021</v>
      </c>
      <c r="C589" t="s">
        <v>8</v>
      </c>
      <c r="D589">
        <v>40454.79</v>
      </c>
      <c r="E589">
        <v>34950.620000000003</v>
      </c>
      <c r="F589">
        <v>42.27</v>
      </c>
      <c r="G589">
        <v>1135.99</v>
      </c>
      <c r="H589">
        <f>E589*1000000/D589</f>
        <v>863942.68762734893</v>
      </c>
      <c r="I589" t="str">
        <f>IF(AND(B589&gt;=2018, B589&lt;=2021), "2018-2021", IF(AND(B589&gt;=2022, B589&lt;=2024), "2022-2024", "Other"))</f>
        <v>2018-2021</v>
      </c>
    </row>
    <row r="590" spans="1:9" x14ac:dyDescent="0.3">
      <c r="A590" t="s">
        <v>10</v>
      </c>
      <c r="B590">
        <v>2024</v>
      </c>
      <c r="C590" t="s">
        <v>9</v>
      </c>
      <c r="D590">
        <v>39984.129999999997</v>
      </c>
      <c r="E590">
        <v>38330.43</v>
      </c>
      <c r="F590">
        <v>165.75</v>
      </c>
      <c r="G590">
        <v>849.12</v>
      </c>
      <c r="H590">
        <f>E590*1000000/D590</f>
        <v>958641.09085279587</v>
      </c>
      <c r="I590" t="str">
        <f>IF(AND(B590&gt;=2018, B590&lt;=2021), "2018-2021", IF(AND(B590&gt;=2022, B590&lt;=2024), "2022-2024", "Other"))</f>
        <v>2022-2024</v>
      </c>
    </row>
    <row r="591" spans="1:9" x14ac:dyDescent="0.3">
      <c r="A591" t="s">
        <v>16</v>
      </c>
      <c r="B591">
        <v>2021</v>
      </c>
      <c r="C591" t="s">
        <v>4</v>
      </c>
      <c r="D591">
        <v>23379.55</v>
      </c>
      <c r="E591">
        <v>21260.31</v>
      </c>
      <c r="F591">
        <v>97.11</v>
      </c>
      <c r="G591">
        <v>1086.3499999999999</v>
      </c>
      <c r="H591">
        <f>E591*1000000/D591</f>
        <v>909354.97047633515</v>
      </c>
      <c r="I591" t="str">
        <f>IF(AND(B591&gt;=2018, B591&lt;=2021), "2018-2021", IF(AND(B591&gt;=2022, B591&lt;=2024), "2022-2024", "Other"))</f>
        <v>2018-2021</v>
      </c>
    </row>
    <row r="592" spans="1:9" x14ac:dyDescent="0.3">
      <c r="A592" t="s">
        <v>7</v>
      </c>
      <c r="B592">
        <v>2018</v>
      </c>
      <c r="C592" t="s">
        <v>9</v>
      </c>
      <c r="D592">
        <v>47458.45</v>
      </c>
      <c r="E592">
        <v>55336.83</v>
      </c>
      <c r="F592">
        <v>20.91</v>
      </c>
      <c r="G592">
        <v>1379.22</v>
      </c>
      <c r="H592">
        <f>E592*1000000/D592</f>
        <v>1166005.8430058295</v>
      </c>
      <c r="I592" t="str">
        <f>IF(AND(B592&gt;=2018, B592&lt;=2021), "2018-2021", IF(AND(B592&gt;=2022, B592&lt;=2024), "2022-2024", "Other"))</f>
        <v>2018-2021</v>
      </c>
    </row>
    <row r="593" spans="1:9" x14ac:dyDescent="0.3">
      <c r="A593" t="s">
        <v>5</v>
      </c>
      <c r="B593">
        <v>2020</v>
      </c>
      <c r="C593" t="s">
        <v>9</v>
      </c>
      <c r="D593">
        <v>20230.7</v>
      </c>
      <c r="E593">
        <v>24122.91</v>
      </c>
      <c r="F593">
        <v>32.229999999999997</v>
      </c>
      <c r="G593">
        <v>920.19</v>
      </c>
      <c r="H593">
        <f>E593*1000000/D593</f>
        <v>1192391.2667381752</v>
      </c>
      <c r="I593" t="str">
        <f>IF(AND(B593&gt;=2018, B593&lt;=2021), "2018-2021", IF(AND(B593&gt;=2022, B593&lt;=2024), "2022-2024", "Other"))</f>
        <v>2018-2021</v>
      </c>
    </row>
    <row r="594" spans="1:9" x14ac:dyDescent="0.3">
      <c r="A594" t="s">
        <v>21</v>
      </c>
      <c r="B594">
        <v>2020</v>
      </c>
      <c r="C594" t="s">
        <v>6</v>
      </c>
      <c r="D594">
        <v>36543.9</v>
      </c>
      <c r="E594">
        <v>42077.440000000002</v>
      </c>
      <c r="F594">
        <v>75.66</v>
      </c>
      <c r="G594">
        <v>742.48</v>
      </c>
      <c r="H594">
        <f>E594*1000000/D594</f>
        <v>1151421.7147047797</v>
      </c>
      <c r="I594" t="str">
        <f>IF(AND(B594&gt;=2018, B594&lt;=2021), "2018-2021", IF(AND(B594&gt;=2022, B594&lt;=2024), "2022-2024", "Other"))</f>
        <v>2018-2021</v>
      </c>
    </row>
    <row r="595" spans="1:9" x14ac:dyDescent="0.3">
      <c r="A595" t="s">
        <v>20</v>
      </c>
      <c r="B595">
        <v>2020</v>
      </c>
      <c r="C595" t="s">
        <v>4</v>
      </c>
      <c r="D595">
        <v>37140.65</v>
      </c>
      <c r="E595">
        <v>31065.59</v>
      </c>
      <c r="F595">
        <v>160.88999999999999</v>
      </c>
      <c r="G595">
        <v>194.7</v>
      </c>
      <c r="H595">
        <f>E595*1000000/D595</f>
        <v>836430.97253279085</v>
      </c>
      <c r="I595" t="str">
        <f>IF(AND(B595&gt;=2018, B595&lt;=2021), "2018-2021", IF(AND(B595&gt;=2022, B595&lt;=2024), "2022-2024", "Other"))</f>
        <v>2018-2021</v>
      </c>
    </row>
    <row r="596" spans="1:9" x14ac:dyDescent="0.3">
      <c r="A596" t="s">
        <v>17</v>
      </c>
      <c r="B596">
        <v>2018</v>
      </c>
      <c r="C596" t="s">
        <v>8</v>
      </c>
      <c r="D596">
        <v>14616.52</v>
      </c>
      <c r="E596">
        <v>17039.16</v>
      </c>
      <c r="F596">
        <v>165.79</v>
      </c>
      <c r="G596">
        <v>283.04000000000002</v>
      </c>
      <c r="H596">
        <f>E596*1000000/D596</f>
        <v>1165746.703045595</v>
      </c>
      <c r="I596" t="str">
        <f>IF(AND(B596&gt;=2018, B596&lt;=2021), "2018-2021", IF(AND(B596&gt;=2022, B596&lt;=2024), "2022-2024", "Other"))</f>
        <v>2018-2021</v>
      </c>
    </row>
    <row r="597" spans="1:9" x14ac:dyDescent="0.3">
      <c r="A597" t="s">
        <v>10</v>
      </c>
      <c r="B597">
        <v>2019</v>
      </c>
      <c r="C597" t="s">
        <v>9</v>
      </c>
      <c r="D597">
        <v>28457.58</v>
      </c>
      <c r="E597">
        <v>28855.919999999998</v>
      </c>
      <c r="F597">
        <v>156.07</v>
      </c>
      <c r="G597">
        <v>1277.54</v>
      </c>
      <c r="H597">
        <f>E597*1000000/D597</f>
        <v>1013997.6765417157</v>
      </c>
      <c r="I597" t="str">
        <f>IF(AND(B597&gt;=2018, B597&lt;=2021), "2018-2021", IF(AND(B597&gt;=2022, B597&lt;=2024), "2022-2024", "Other"))</f>
        <v>2018-2021</v>
      </c>
    </row>
    <row r="598" spans="1:9" x14ac:dyDescent="0.3">
      <c r="A598" t="s">
        <v>26</v>
      </c>
      <c r="B598">
        <v>2019</v>
      </c>
      <c r="C598" t="s">
        <v>8</v>
      </c>
      <c r="D598">
        <v>37997.83</v>
      </c>
      <c r="E598">
        <v>43183.88</v>
      </c>
      <c r="F598">
        <v>104.24</v>
      </c>
      <c r="G598">
        <v>268.41000000000003</v>
      </c>
      <c r="H598">
        <f>E598*1000000/D598</f>
        <v>1136482.7938858613</v>
      </c>
      <c r="I598" t="str">
        <f>IF(AND(B598&gt;=2018, B598&lt;=2021), "2018-2021", IF(AND(B598&gt;=2022, B598&lt;=2024), "2022-2024", "Other"))</f>
        <v>2018-2021</v>
      </c>
    </row>
    <row r="599" spans="1:9" x14ac:dyDescent="0.3">
      <c r="A599" t="s">
        <v>15</v>
      </c>
      <c r="B599">
        <v>2019</v>
      </c>
      <c r="C599" t="s">
        <v>12</v>
      </c>
      <c r="D599">
        <v>4786.6099999999997</v>
      </c>
      <c r="E599">
        <v>4613.1400000000003</v>
      </c>
      <c r="F599">
        <v>56.82</v>
      </c>
      <c r="G599">
        <v>687.26</v>
      </c>
      <c r="H599">
        <f>E599*1000000/D599</f>
        <v>963759.32027050469</v>
      </c>
      <c r="I599" t="str">
        <f>IF(AND(B599&gt;=2018, B599&lt;=2021), "2018-2021", IF(AND(B599&gt;=2022, B599&lt;=2024), "2022-2024", "Other"))</f>
        <v>2018-2021</v>
      </c>
    </row>
    <row r="600" spans="1:9" x14ac:dyDescent="0.3">
      <c r="A600" t="s">
        <v>21</v>
      </c>
      <c r="B600">
        <v>2019</v>
      </c>
      <c r="C600" t="s">
        <v>0</v>
      </c>
      <c r="D600">
        <v>34188.550000000003</v>
      </c>
      <c r="E600">
        <v>27863.119999999999</v>
      </c>
      <c r="F600">
        <v>100.58</v>
      </c>
      <c r="G600">
        <v>1126.98</v>
      </c>
      <c r="H600">
        <f>E600*1000000/D600</f>
        <v>814983.9639294442</v>
      </c>
      <c r="I600" t="str">
        <f>IF(AND(B600&gt;=2018, B600&lt;=2021), "2018-2021", IF(AND(B600&gt;=2022, B600&lt;=2024), "2022-2024", "Other"))</f>
        <v>2018-2021</v>
      </c>
    </row>
    <row r="601" spans="1:9" x14ac:dyDescent="0.3">
      <c r="A601" t="s">
        <v>23</v>
      </c>
      <c r="B601">
        <v>2022</v>
      </c>
      <c r="C601" t="s">
        <v>12</v>
      </c>
      <c r="D601">
        <v>34773.589999999997</v>
      </c>
      <c r="E601">
        <v>38031.519999999997</v>
      </c>
      <c r="F601">
        <v>147.56</v>
      </c>
      <c r="G601">
        <v>665.77</v>
      </c>
      <c r="H601">
        <f>E601*1000000/D601</f>
        <v>1093689.780088855</v>
      </c>
      <c r="I601" t="str">
        <f>IF(AND(B601&gt;=2018, B601&lt;=2021), "2018-2021", IF(AND(B601&gt;=2022, B601&lt;=2024), "2022-2024", "Other"))</f>
        <v>2022-2024</v>
      </c>
    </row>
    <row r="602" spans="1:9" x14ac:dyDescent="0.3">
      <c r="A602" t="s">
        <v>22</v>
      </c>
      <c r="B602">
        <v>2022</v>
      </c>
      <c r="C602" t="s">
        <v>12</v>
      </c>
      <c r="D602">
        <v>22312.82</v>
      </c>
      <c r="E602">
        <v>23816.82</v>
      </c>
      <c r="F602">
        <v>165.49</v>
      </c>
      <c r="G602">
        <v>680.69</v>
      </c>
      <c r="H602">
        <f>E602*1000000/D602</f>
        <v>1067405.1957574165</v>
      </c>
      <c r="I602" t="str">
        <f>IF(AND(B602&gt;=2018, B602&lt;=2021), "2018-2021", IF(AND(B602&gt;=2022, B602&lt;=2024), "2022-2024", "Other"))</f>
        <v>2022-2024</v>
      </c>
    </row>
    <row r="603" spans="1:9" x14ac:dyDescent="0.3">
      <c r="A603" t="s">
        <v>25</v>
      </c>
      <c r="B603">
        <v>2024</v>
      </c>
      <c r="C603" t="s">
        <v>2</v>
      </c>
      <c r="D603">
        <v>14354.36</v>
      </c>
      <c r="E603">
        <v>15921.53</v>
      </c>
      <c r="F603">
        <v>83.92</v>
      </c>
      <c r="G603">
        <v>777.68</v>
      </c>
      <c r="H603">
        <f>E603*1000000/D603</f>
        <v>1109177.2813277638</v>
      </c>
      <c r="I603" t="str">
        <f>IF(AND(B603&gt;=2018, B603&lt;=2021), "2018-2021", IF(AND(B603&gt;=2022, B603&lt;=2024), "2022-2024", "Other"))</f>
        <v>2022-2024</v>
      </c>
    </row>
    <row r="604" spans="1:9" x14ac:dyDescent="0.3">
      <c r="A604" t="s">
        <v>7</v>
      </c>
      <c r="B604">
        <v>2019</v>
      </c>
      <c r="C604" t="s">
        <v>9</v>
      </c>
      <c r="D604">
        <v>23496.66</v>
      </c>
      <c r="E604">
        <v>22381.03</v>
      </c>
      <c r="F604">
        <v>79.81</v>
      </c>
      <c r="G604">
        <v>637.86</v>
      </c>
      <c r="H604">
        <f>E604*1000000/D604</f>
        <v>952519.63470552838</v>
      </c>
      <c r="I604" t="str">
        <f>IF(AND(B604&gt;=2018, B604&lt;=2021), "2018-2021", IF(AND(B604&gt;=2022, B604&lt;=2024), "2022-2024", "Other"))</f>
        <v>2018-2021</v>
      </c>
    </row>
    <row r="605" spans="1:9" x14ac:dyDescent="0.3">
      <c r="A605" t="s">
        <v>24</v>
      </c>
      <c r="B605">
        <v>2018</v>
      </c>
      <c r="C605" t="s">
        <v>4</v>
      </c>
      <c r="D605">
        <v>27955.74</v>
      </c>
      <c r="E605">
        <v>27444.880000000001</v>
      </c>
      <c r="F605">
        <v>180.8</v>
      </c>
      <c r="G605">
        <v>107.24</v>
      </c>
      <c r="H605">
        <f>E605*1000000/D605</f>
        <v>981726.11420767254</v>
      </c>
      <c r="I605" t="str">
        <f>IF(AND(B605&gt;=2018, B605&lt;=2021), "2018-2021", IF(AND(B605&gt;=2022, B605&lt;=2024), "2022-2024", "Other"))</f>
        <v>2018-2021</v>
      </c>
    </row>
    <row r="606" spans="1:9" x14ac:dyDescent="0.3">
      <c r="A606" t="s">
        <v>11</v>
      </c>
      <c r="B606">
        <v>2023</v>
      </c>
      <c r="C606" t="s">
        <v>14</v>
      </c>
      <c r="D606">
        <v>8999.8799999999992</v>
      </c>
      <c r="E606">
        <v>8655.15</v>
      </c>
      <c r="F606">
        <v>196.23</v>
      </c>
      <c r="G606">
        <v>1269.93</v>
      </c>
      <c r="H606">
        <f>E606*1000000/D606</f>
        <v>961696.15594874602</v>
      </c>
      <c r="I606" t="str">
        <f>IF(AND(B606&gt;=2018, B606&lt;=2021), "2018-2021", IF(AND(B606&gt;=2022, B606&lt;=2024), "2022-2024", "Other"))</f>
        <v>2022-2024</v>
      </c>
    </row>
    <row r="607" spans="1:9" x14ac:dyDescent="0.3">
      <c r="A607" t="s">
        <v>11</v>
      </c>
      <c r="B607">
        <v>2019</v>
      </c>
      <c r="C607" t="s">
        <v>9</v>
      </c>
      <c r="D607">
        <v>8371.48</v>
      </c>
      <c r="E607">
        <v>8826.82</v>
      </c>
      <c r="F607">
        <v>92.24</v>
      </c>
      <c r="G607">
        <v>543.11</v>
      </c>
      <c r="H607">
        <f>E607*1000000/D607</f>
        <v>1054391.8160229733</v>
      </c>
      <c r="I607" t="str">
        <f>IF(AND(B607&gt;=2018, B607&lt;=2021), "2018-2021", IF(AND(B607&gt;=2022, B607&lt;=2024), "2022-2024", "Other"))</f>
        <v>2018-2021</v>
      </c>
    </row>
    <row r="608" spans="1:9" x14ac:dyDescent="0.3">
      <c r="A608" t="s">
        <v>7</v>
      </c>
      <c r="B608">
        <v>2019</v>
      </c>
      <c r="C608" t="s">
        <v>8</v>
      </c>
      <c r="D608">
        <v>7175.3</v>
      </c>
      <c r="E608">
        <v>7270.2</v>
      </c>
      <c r="F608">
        <v>31.16</v>
      </c>
      <c r="G608">
        <v>195.78</v>
      </c>
      <c r="H608">
        <f>E608*1000000/D608</f>
        <v>1013225.92783577</v>
      </c>
      <c r="I608" t="str">
        <f>IF(AND(B608&gt;=2018, B608&lt;=2021), "2018-2021", IF(AND(B608&gt;=2022, B608&lt;=2024), "2022-2024", "Other"))</f>
        <v>2018-2021</v>
      </c>
    </row>
    <row r="609" spans="1:9" x14ac:dyDescent="0.3">
      <c r="A609" t="s">
        <v>1</v>
      </c>
      <c r="B609">
        <v>2019</v>
      </c>
      <c r="C609" t="s">
        <v>9</v>
      </c>
      <c r="D609">
        <v>35394.14</v>
      </c>
      <c r="E609">
        <v>33417.83</v>
      </c>
      <c r="F609">
        <v>73.87</v>
      </c>
      <c r="G609">
        <v>876.52</v>
      </c>
      <c r="H609">
        <f>E609*1000000/D609</f>
        <v>944162.79078966181</v>
      </c>
      <c r="I609" t="str">
        <f>IF(AND(B609&gt;=2018, B609&lt;=2021), "2018-2021", IF(AND(B609&gt;=2022, B609&lt;=2024), "2022-2024", "Other"))</f>
        <v>2018-2021</v>
      </c>
    </row>
    <row r="610" spans="1:9" x14ac:dyDescent="0.3">
      <c r="A610" t="s">
        <v>1</v>
      </c>
      <c r="B610">
        <v>2018</v>
      </c>
      <c r="C610" t="s">
        <v>14</v>
      </c>
      <c r="D610">
        <v>44601.51</v>
      </c>
      <c r="E610">
        <v>40578.39</v>
      </c>
      <c r="F610">
        <v>48.8</v>
      </c>
      <c r="G610">
        <v>163</v>
      </c>
      <c r="H610">
        <f>E610*1000000/D610</f>
        <v>909798.56959999783</v>
      </c>
      <c r="I610" t="str">
        <f>IF(AND(B610&gt;=2018, B610&lt;=2021), "2018-2021", IF(AND(B610&gt;=2022, B610&lt;=2024), "2022-2024", "Other"))</f>
        <v>2018-2021</v>
      </c>
    </row>
    <row r="611" spans="1:9" x14ac:dyDescent="0.3">
      <c r="A611" t="s">
        <v>11</v>
      </c>
      <c r="B611">
        <v>2019</v>
      </c>
      <c r="C611" t="s">
        <v>6</v>
      </c>
      <c r="D611">
        <v>16335.15</v>
      </c>
      <c r="E611">
        <v>15430.81</v>
      </c>
      <c r="F611">
        <v>23.54</v>
      </c>
      <c r="G611">
        <v>1127.3399999999999</v>
      </c>
      <c r="H611">
        <f>E611*1000000/D611</f>
        <v>944638.40246339946</v>
      </c>
      <c r="I611" t="str">
        <f>IF(AND(B611&gt;=2018, B611&lt;=2021), "2018-2021", IF(AND(B611&gt;=2022, B611&lt;=2024), "2022-2024", "Other"))</f>
        <v>2018-2021</v>
      </c>
    </row>
    <row r="612" spans="1:9" x14ac:dyDescent="0.3">
      <c r="A612" t="s">
        <v>11</v>
      </c>
      <c r="B612">
        <v>2024</v>
      </c>
      <c r="C612" t="s">
        <v>6</v>
      </c>
      <c r="D612">
        <v>44823.94</v>
      </c>
      <c r="E612">
        <v>52763.9</v>
      </c>
      <c r="F612">
        <v>103.61</v>
      </c>
      <c r="G612">
        <v>227.69</v>
      </c>
      <c r="H612">
        <f>E612*1000000/D612</f>
        <v>1177136.5926333114</v>
      </c>
      <c r="I612" t="str">
        <f>IF(AND(B612&gt;=2018, B612&lt;=2021), "2018-2021", IF(AND(B612&gt;=2022, B612&lt;=2024), "2022-2024", "Other"))</f>
        <v>2022-2024</v>
      </c>
    </row>
    <row r="613" spans="1:9" x14ac:dyDescent="0.3">
      <c r="A613" t="s">
        <v>11</v>
      </c>
      <c r="B613">
        <v>2020</v>
      </c>
      <c r="C613" t="s">
        <v>9</v>
      </c>
      <c r="D613">
        <v>9384.3799999999992</v>
      </c>
      <c r="E613">
        <v>11112.64</v>
      </c>
      <c r="F613">
        <v>47.73</v>
      </c>
      <c r="G613">
        <v>1318.98</v>
      </c>
      <c r="H613">
        <f>E613*1000000/D613</f>
        <v>1184163.4716411741</v>
      </c>
      <c r="I613" t="str">
        <f>IF(AND(B613&gt;=2018, B613&lt;=2021), "2018-2021", IF(AND(B613&gt;=2022, B613&lt;=2024), "2022-2024", "Other"))</f>
        <v>2018-2021</v>
      </c>
    </row>
    <row r="614" spans="1:9" x14ac:dyDescent="0.3">
      <c r="A614" t="s">
        <v>25</v>
      </c>
      <c r="B614">
        <v>2024</v>
      </c>
      <c r="C614" t="s">
        <v>12</v>
      </c>
      <c r="D614">
        <v>3826.59</v>
      </c>
      <c r="E614">
        <v>3414.23</v>
      </c>
      <c r="F614">
        <v>167.08</v>
      </c>
      <c r="G614">
        <v>1380.53</v>
      </c>
      <c r="H614">
        <f>E614*1000000/D614</f>
        <v>892238.25912888499</v>
      </c>
      <c r="I614" t="str">
        <f>IF(AND(B614&gt;=2018, B614&lt;=2021), "2018-2021", IF(AND(B614&gt;=2022, B614&lt;=2024), "2022-2024", "Other"))</f>
        <v>2022-2024</v>
      </c>
    </row>
    <row r="615" spans="1:9" x14ac:dyDescent="0.3">
      <c r="A615" t="s">
        <v>20</v>
      </c>
      <c r="B615">
        <v>2019</v>
      </c>
      <c r="C615" t="s">
        <v>8</v>
      </c>
      <c r="D615">
        <v>23249.73</v>
      </c>
      <c r="E615">
        <v>20742.89</v>
      </c>
      <c r="F615">
        <v>165.17</v>
      </c>
      <c r="G615">
        <v>234.1</v>
      </c>
      <c r="H615">
        <f>E615*1000000/D615</f>
        <v>892177.67260092916</v>
      </c>
      <c r="I615" t="str">
        <f>IF(AND(B615&gt;=2018, B615&lt;=2021), "2018-2021", IF(AND(B615&gt;=2022, B615&lt;=2024), "2022-2024", "Other"))</f>
        <v>2018-2021</v>
      </c>
    </row>
    <row r="616" spans="1:9" x14ac:dyDescent="0.3">
      <c r="A616" t="s">
        <v>22</v>
      </c>
      <c r="B616">
        <v>2024</v>
      </c>
      <c r="C616" t="s">
        <v>12</v>
      </c>
      <c r="D616">
        <v>32314.45</v>
      </c>
      <c r="E616">
        <v>34638.559999999998</v>
      </c>
      <c r="F616">
        <v>25.06</v>
      </c>
      <c r="G616">
        <v>1144.69</v>
      </c>
      <c r="H616">
        <f>E616*1000000/D616</f>
        <v>1071921.6944741439</v>
      </c>
      <c r="I616" t="str">
        <f>IF(AND(B616&gt;=2018, B616&lt;=2021), "2018-2021", IF(AND(B616&gt;=2022, B616&lt;=2024), "2022-2024", "Other"))</f>
        <v>2022-2024</v>
      </c>
    </row>
    <row r="617" spans="1:9" x14ac:dyDescent="0.3">
      <c r="A617" t="s">
        <v>24</v>
      </c>
      <c r="B617">
        <v>2021</v>
      </c>
      <c r="C617" t="s">
        <v>14</v>
      </c>
      <c r="D617">
        <v>4823.97</v>
      </c>
      <c r="E617">
        <v>4800.67</v>
      </c>
      <c r="F617">
        <v>93.91</v>
      </c>
      <c r="G617">
        <v>699.56</v>
      </c>
      <c r="H617">
        <f>E617*1000000/D617</f>
        <v>995169.95337864861</v>
      </c>
      <c r="I617" t="str">
        <f>IF(AND(B617&gt;=2018, B617&lt;=2021), "2018-2021", IF(AND(B617&gt;=2022, B617&lt;=2024), "2022-2024", "Other"))</f>
        <v>2018-2021</v>
      </c>
    </row>
    <row r="618" spans="1:9" x14ac:dyDescent="0.3">
      <c r="A618" t="s">
        <v>13</v>
      </c>
      <c r="B618">
        <v>2024</v>
      </c>
      <c r="C618" t="s">
        <v>8</v>
      </c>
      <c r="D618">
        <v>14124.13</v>
      </c>
      <c r="E618">
        <v>12918.47</v>
      </c>
      <c r="F618">
        <v>198.89</v>
      </c>
      <c r="G618">
        <v>800.59</v>
      </c>
      <c r="H618">
        <f>E618*1000000/D618</f>
        <v>914638.28214551986</v>
      </c>
      <c r="I618" t="str">
        <f>IF(AND(B618&gt;=2018, B618&lt;=2021), "2018-2021", IF(AND(B618&gt;=2022, B618&lt;=2024), "2022-2024", "Other"))</f>
        <v>2022-2024</v>
      </c>
    </row>
    <row r="619" spans="1:9" x14ac:dyDescent="0.3">
      <c r="A619" t="s">
        <v>15</v>
      </c>
      <c r="B619">
        <v>2019</v>
      </c>
      <c r="C619" t="s">
        <v>12</v>
      </c>
      <c r="D619">
        <v>36202.160000000003</v>
      </c>
      <c r="E619">
        <v>35040.6</v>
      </c>
      <c r="F619">
        <v>48.78</v>
      </c>
      <c r="G619">
        <v>1147.96</v>
      </c>
      <c r="H619">
        <f>E619*1000000/D619</f>
        <v>967914.62166898325</v>
      </c>
      <c r="I619" t="str">
        <f>IF(AND(B619&gt;=2018, B619&lt;=2021), "2018-2021", IF(AND(B619&gt;=2022, B619&lt;=2024), "2022-2024", "Other"))</f>
        <v>2018-2021</v>
      </c>
    </row>
    <row r="620" spans="1:9" x14ac:dyDescent="0.3">
      <c r="A620" t="s">
        <v>25</v>
      </c>
      <c r="B620">
        <v>2018</v>
      </c>
      <c r="C620" t="s">
        <v>8</v>
      </c>
      <c r="D620">
        <v>502.61</v>
      </c>
      <c r="E620">
        <v>406.69</v>
      </c>
      <c r="F620">
        <v>159.84</v>
      </c>
      <c r="G620">
        <v>818.87</v>
      </c>
      <c r="H620">
        <f>E620*1000000/D620</f>
        <v>809156.20461192576</v>
      </c>
      <c r="I620" t="str">
        <f>IF(AND(B620&gt;=2018, B620&lt;=2021), "2018-2021", IF(AND(B620&gt;=2022, B620&lt;=2024), "2022-2024", "Other"))</f>
        <v>2018-2021</v>
      </c>
    </row>
    <row r="621" spans="1:9" x14ac:dyDescent="0.3">
      <c r="A621" t="s">
        <v>15</v>
      </c>
      <c r="B621">
        <v>2022</v>
      </c>
      <c r="C621" t="s">
        <v>4</v>
      </c>
      <c r="D621">
        <v>31865.01</v>
      </c>
      <c r="E621">
        <v>30788.79</v>
      </c>
      <c r="F621">
        <v>181.09</v>
      </c>
      <c r="G621">
        <v>1304.01</v>
      </c>
      <c r="H621">
        <f>E621*1000000/D621</f>
        <v>966225.65001548722</v>
      </c>
      <c r="I621" t="str">
        <f>IF(AND(B621&gt;=2018, B621&lt;=2021), "2018-2021", IF(AND(B621&gt;=2022, B621&lt;=2024), "2022-2024", "Other"))</f>
        <v>2022-2024</v>
      </c>
    </row>
    <row r="622" spans="1:9" x14ac:dyDescent="0.3">
      <c r="A622" t="s">
        <v>25</v>
      </c>
      <c r="B622">
        <v>2018</v>
      </c>
      <c r="C622" t="s">
        <v>12</v>
      </c>
      <c r="D622">
        <v>6328.46</v>
      </c>
      <c r="E622">
        <v>6402.8</v>
      </c>
      <c r="F622">
        <v>77.930000000000007</v>
      </c>
      <c r="G622">
        <v>643.41999999999996</v>
      </c>
      <c r="H622">
        <f>E622*1000000/D622</f>
        <v>1011746.9336931892</v>
      </c>
      <c r="I622" t="str">
        <f>IF(AND(B622&gt;=2018, B622&lt;=2021), "2018-2021", IF(AND(B622&gt;=2022, B622&lt;=2024), "2022-2024", "Other"))</f>
        <v>2018-2021</v>
      </c>
    </row>
    <row r="623" spans="1:9" x14ac:dyDescent="0.3">
      <c r="A623" t="s">
        <v>23</v>
      </c>
      <c r="B623">
        <v>2019</v>
      </c>
      <c r="C623" t="s">
        <v>9</v>
      </c>
      <c r="D623">
        <v>4760.53</v>
      </c>
      <c r="E623">
        <v>4322.82</v>
      </c>
      <c r="F623">
        <v>45.4</v>
      </c>
      <c r="G623">
        <v>981.51</v>
      </c>
      <c r="H623">
        <f>E623*1000000/D623</f>
        <v>908054.35529237299</v>
      </c>
      <c r="I623" t="str">
        <f>IF(AND(B623&gt;=2018, B623&lt;=2021), "2018-2021", IF(AND(B623&gt;=2022, B623&lt;=2024), "2022-2024", "Other"))</f>
        <v>2018-2021</v>
      </c>
    </row>
    <row r="624" spans="1:9" x14ac:dyDescent="0.3">
      <c r="A624" t="s">
        <v>10</v>
      </c>
      <c r="B624">
        <v>2024</v>
      </c>
      <c r="C624" t="s">
        <v>2</v>
      </c>
      <c r="D624">
        <v>42759.18</v>
      </c>
      <c r="E624">
        <v>42036.89</v>
      </c>
      <c r="F624">
        <v>117.14</v>
      </c>
      <c r="G624">
        <v>483.78</v>
      </c>
      <c r="H624">
        <f>E624*1000000/D624</f>
        <v>983107.95482981671</v>
      </c>
      <c r="I624" t="str">
        <f>IF(AND(B624&gt;=2018, B624&lt;=2021), "2018-2021", IF(AND(B624&gt;=2022, B624&lt;=2024), "2022-2024", "Other"))</f>
        <v>2022-2024</v>
      </c>
    </row>
    <row r="625" spans="1:9" x14ac:dyDescent="0.3">
      <c r="A625" t="s">
        <v>23</v>
      </c>
      <c r="B625">
        <v>2022</v>
      </c>
      <c r="C625" t="s">
        <v>8</v>
      </c>
      <c r="D625">
        <v>31901.94</v>
      </c>
      <c r="E625">
        <v>36181.410000000003</v>
      </c>
      <c r="F625">
        <v>103.08</v>
      </c>
      <c r="G625">
        <v>157.44999999999999</v>
      </c>
      <c r="H625">
        <f>E625*1000000/D625</f>
        <v>1134144.5065723276</v>
      </c>
      <c r="I625" t="str">
        <f>IF(AND(B625&gt;=2018, B625&lt;=2021), "2018-2021", IF(AND(B625&gt;=2022, B625&lt;=2024), "2022-2024", "Other"))</f>
        <v>2022-2024</v>
      </c>
    </row>
    <row r="626" spans="1:9" x14ac:dyDescent="0.3">
      <c r="A626" t="s">
        <v>3</v>
      </c>
      <c r="B626">
        <v>2018</v>
      </c>
      <c r="C626" t="s">
        <v>0</v>
      </c>
      <c r="D626">
        <v>13304.77</v>
      </c>
      <c r="E626">
        <v>14606.84</v>
      </c>
      <c r="F626">
        <v>73.11</v>
      </c>
      <c r="G626">
        <v>1051.6600000000001</v>
      </c>
      <c r="H626">
        <f>E626*1000000/D626</f>
        <v>1097864.9010843479</v>
      </c>
      <c r="I626" t="str">
        <f>IF(AND(B626&gt;=2018, B626&lt;=2021), "2018-2021", IF(AND(B626&gt;=2022, B626&lt;=2024), "2022-2024", "Other"))</f>
        <v>2018-2021</v>
      </c>
    </row>
    <row r="627" spans="1:9" x14ac:dyDescent="0.3">
      <c r="A627" t="s">
        <v>7</v>
      </c>
      <c r="B627">
        <v>2018</v>
      </c>
      <c r="C627" t="s">
        <v>14</v>
      </c>
      <c r="D627">
        <v>26115</v>
      </c>
      <c r="E627">
        <v>30823.67</v>
      </c>
      <c r="F627">
        <v>144.24</v>
      </c>
      <c r="G627">
        <v>1182.1400000000001</v>
      </c>
      <c r="H627">
        <f>E627*1000000/D627</f>
        <v>1180305.1885889336</v>
      </c>
      <c r="I627" t="str">
        <f>IF(AND(B627&gt;=2018, B627&lt;=2021), "2018-2021", IF(AND(B627&gt;=2022, B627&lt;=2024), "2022-2024", "Other"))</f>
        <v>2018-2021</v>
      </c>
    </row>
    <row r="628" spans="1:9" x14ac:dyDescent="0.3">
      <c r="A628" t="s">
        <v>25</v>
      </c>
      <c r="B628">
        <v>2021</v>
      </c>
      <c r="C628" t="s">
        <v>8</v>
      </c>
      <c r="D628">
        <v>38697.269999999997</v>
      </c>
      <c r="E628">
        <v>39372.589999999997</v>
      </c>
      <c r="F628">
        <v>164.88</v>
      </c>
      <c r="G628">
        <v>1322.3</v>
      </c>
      <c r="H628">
        <f>E628*1000000/D628</f>
        <v>1017451.3602639154</v>
      </c>
      <c r="I628" t="str">
        <f>IF(AND(B628&gt;=2018, B628&lt;=2021), "2018-2021", IF(AND(B628&gt;=2022, B628&lt;=2024), "2022-2024", "Other"))</f>
        <v>2018-2021</v>
      </c>
    </row>
    <row r="629" spans="1:9" x14ac:dyDescent="0.3">
      <c r="A629" t="s">
        <v>23</v>
      </c>
      <c r="B629">
        <v>2018</v>
      </c>
      <c r="C629" t="s">
        <v>8</v>
      </c>
      <c r="D629">
        <v>4642.49</v>
      </c>
      <c r="E629">
        <v>5249.63</v>
      </c>
      <c r="F629">
        <v>195.04</v>
      </c>
      <c r="G629">
        <v>925.89</v>
      </c>
      <c r="H629">
        <f>E629*1000000/D629</f>
        <v>1130778.9569821367</v>
      </c>
      <c r="I629" t="str">
        <f>IF(AND(B629&gt;=2018, B629&lt;=2021), "2018-2021", IF(AND(B629&gt;=2022, B629&lt;=2024), "2022-2024", "Other"))</f>
        <v>2018-2021</v>
      </c>
    </row>
    <row r="630" spans="1:9" x14ac:dyDescent="0.3">
      <c r="A630" t="s">
        <v>23</v>
      </c>
      <c r="B630">
        <v>2020</v>
      </c>
      <c r="C630" t="s">
        <v>14</v>
      </c>
      <c r="D630">
        <v>32534.82</v>
      </c>
      <c r="E630">
        <v>28567.08</v>
      </c>
      <c r="F630">
        <v>55.41</v>
      </c>
      <c r="G630">
        <v>548.24</v>
      </c>
      <c r="H630">
        <f>E630*1000000/D630</f>
        <v>878046.35157040984</v>
      </c>
      <c r="I630" t="str">
        <f>IF(AND(B630&gt;=2018, B630&lt;=2021), "2018-2021", IF(AND(B630&gt;=2022, B630&lt;=2024), "2022-2024", "Other"))</f>
        <v>2018-2021</v>
      </c>
    </row>
    <row r="631" spans="1:9" x14ac:dyDescent="0.3">
      <c r="A631" t="s">
        <v>13</v>
      </c>
      <c r="B631">
        <v>2018</v>
      </c>
      <c r="C631" t="s">
        <v>6</v>
      </c>
      <c r="D631">
        <v>33461.64</v>
      </c>
      <c r="E631">
        <v>38879.360000000001</v>
      </c>
      <c r="F631">
        <v>46.66</v>
      </c>
      <c r="G631">
        <v>74.94</v>
      </c>
      <c r="H631">
        <f>E631*1000000/D631</f>
        <v>1161908.382255024</v>
      </c>
      <c r="I631" t="str">
        <f>IF(AND(B631&gt;=2018, B631&lt;=2021), "2018-2021", IF(AND(B631&gt;=2022, B631&lt;=2024), "2022-2024", "Other"))</f>
        <v>2018-2021</v>
      </c>
    </row>
    <row r="632" spans="1:9" x14ac:dyDescent="0.3">
      <c r="A632" t="s">
        <v>15</v>
      </c>
      <c r="B632">
        <v>2018</v>
      </c>
      <c r="C632" t="s">
        <v>14</v>
      </c>
      <c r="D632">
        <v>29875.17</v>
      </c>
      <c r="E632">
        <v>26717.15</v>
      </c>
      <c r="F632">
        <v>152.07</v>
      </c>
      <c r="G632">
        <v>1029.81</v>
      </c>
      <c r="H632">
        <f>E632*1000000/D632</f>
        <v>894292.81908688729</v>
      </c>
      <c r="I632" t="str">
        <f>IF(AND(B632&gt;=2018, B632&lt;=2021), "2018-2021", IF(AND(B632&gt;=2022, B632&lt;=2024), "2022-2024", "Other"))</f>
        <v>2018-2021</v>
      </c>
    </row>
    <row r="633" spans="1:9" x14ac:dyDescent="0.3">
      <c r="A633" t="s">
        <v>18</v>
      </c>
      <c r="B633">
        <v>2023</v>
      </c>
      <c r="C633" t="s">
        <v>9</v>
      </c>
      <c r="D633">
        <v>30809.52</v>
      </c>
      <c r="E633">
        <v>29577.54</v>
      </c>
      <c r="F633">
        <v>165.09</v>
      </c>
      <c r="G633">
        <v>1303.1099999999999</v>
      </c>
      <c r="H633">
        <f>E633*1000000/D633</f>
        <v>960013.00896605977</v>
      </c>
      <c r="I633" t="str">
        <f>IF(AND(B633&gt;=2018, B633&lt;=2021), "2018-2021", IF(AND(B633&gt;=2022, B633&lt;=2024), "2022-2024", "Other"))</f>
        <v>2022-2024</v>
      </c>
    </row>
    <row r="634" spans="1:9" x14ac:dyDescent="0.3">
      <c r="A634" t="s">
        <v>5</v>
      </c>
      <c r="B634">
        <v>2019</v>
      </c>
      <c r="C634" t="s">
        <v>6</v>
      </c>
      <c r="D634">
        <v>29803.85</v>
      </c>
      <c r="E634">
        <v>33831.42</v>
      </c>
      <c r="F634">
        <v>124.2</v>
      </c>
      <c r="G634">
        <v>549.85</v>
      </c>
      <c r="H634">
        <f>E634*1000000/D634</f>
        <v>1135135.896872384</v>
      </c>
      <c r="I634" t="str">
        <f>IF(AND(B634&gt;=2018, B634&lt;=2021), "2018-2021", IF(AND(B634&gt;=2022, B634&lt;=2024), "2022-2024", "Other"))</f>
        <v>2018-2021</v>
      </c>
    </row>
    <row r="635" spans="1:9" x14ac:dyDescent="0.3">
      <c r="A635" t="s">
        <v>7</v>
      </c>
      <c r="B635">
        <v>2024</v>
      </c>
      <c r="C635" t="s">
        <v>12</v>
      </c>
      <c r="D635">
        <v>40420.06</v>
      </c>
      <c r="E635">
        <v>41377.71</v>
      </c>
      <c r="F635">
        <v>148.52000000000001</v>
      </c>
      <c r="G635">
        <v>1078.0899999999999</v>
      </c>
      <c r="H635">
        <f>E635*1000000/D635</f>
        <v>1023692.4438014195</v>
      </c>
      <c r="I635" t="str">
        <f>IF(AND(B635&gt;=2018, B635&lt;=2021), "2018-2021", IF(AND(B635&gt;=2022, B635&lt;=2024), "2022-2024", "Other"))</f>
        <v>2022-2024</v>
      </c>
    </row>
    <row r="636" spans="1:9" x14ac:dyDescent="0.3">
      <c r="A636" t="s">
        <v>24</v>
      </c>
      <c r="B636">
        <v>2018</v>
      </c>
      <c r="C636" t="s">
        <v>8</v>
      </c>
      <c r="D636">
        <v>29193.22</v>
      </c>
      <c r="E636">
        <v>32608.45</v>
      </c>
      <c r="F636">
        <v>153.99</v>
      </c>
      <c r="G636">
        <v>920.99</v>
      </c>
      <c r="H636">
        <f>E636*1000000/D636</f>
        <v>1116987.0949487586</v>
      </c>
      <c r="I636" t="str">
        <f>IF(AND(B636&gt;=2018, B636&lt;=2021), "2018-2021", IF(AND(B636&gt;=2022, B636&lt;=2024), "2022-2024", "Other"))</f>
        <v>2018-2021</v>
      </c>
    </row>
    <row r="637" spans="1:9" x14ac:dyDescent="0.3">
      <c r="A637" t="s">
        <v>3</v>
      </c>
      <c r="B637">
        <v>2018</v>
      </c>
      <c r="C637" t="s">
        <v>6</v>
      </c>
      <c r="D637">
        <v>19741.34</v>
      </c>
      <c r="E637">
        <v>21470.57</v>
      </c>
      <c r="F637">
        <v>156.19999999999999</v>
      </c>
      <c r="G637">
        <v>362.02</v>
      </c>
      <c r="H637">
        <f>E637*1000000/D637</f>
        <v>1087594.3578298129</v>
      </c>
      <c r="I637" t="str">
        <f>IF(AND(B637&gt;=2018, B637&lt;=2021), "2018-2021", IF(AND(B637&gt;=2022, B637&lt;=2024), "2022-2024", "Other"))</f>
        <v>2018-2021</v>
      </c>
    </row>
    <row r="638" spans="1:9" x14ac:dyDescent="0.3">
      <c r="A638" t="s">
        <v>20</v>
      </c>
      <c r="B638">
        <v>2020</v>
      </c>
      <c r="C638" t="s">
        <v>9</v>
      </c>
      <c r="D638">
        <v>9847.1299999999992</v>
      </c>
      <c r="E638">
        <v>7935</v>
      </c>
      <c r="F638">
        <v>154.38999999999999</v>
      </c>
      <c r="G638">
        <v>1322.17</v>
      </c>
      <c r="H638">
        <f>E638*1000000/D638</f>
        <v>805818.54814550036</v>
      </c>
      <c r="I638" t="str">
        <f>IF(AND(B638&gt;=2018, B638&lt;=2021), "2018-2021", IF(AND(B638&gt;=2022, B638&lt;=2024), "2022-2024", "Other"))</f>
        <v>2018-2021</v>
      </c>
    </row>
    <row r="639" spans="1:9" x14ac:dyDescent="0.3">
      <c r="A639" t="s">
        <v>5</v>
      </c>
      <c r="B639">
        <v>2024</v>
      </c>
      <c r="C639" t="s">
        <v>4</v>
      </c>
      <c r="D639">
        <v>21595.8</v>
      </c>
      <c r="E639">
        <v>20770.57</v>
      </c>
      <c r="F639">
        <v>187.58</v>
      </c>
      <c r="G639">
        <v>363.04</v>
      </c>
      <c r="H639">
        <f>E639*1000000/D639</f>
        <v>961787.47719463974</v>
      </c>
      <c r="I639" t="str">
        <f>IF(AND(B639&gt;=2018, B639&lt;=2021), "2018-2021", IF(AND(B639&gt;=2022, B639&lt;=2024), "2022-2024", "Other"))</f>
        <v>2022-2024</v>
      </c>
    </row>
    <row r="640" spans="1:9" x14ac:dyDescent="0.3">
      <c r="A640" t="s">
        <v>20</v>
      </c>
      <c r="B640">
        <v>2022</v>
      </c>
      <c r="C640" t="s">
        <v>4</v>
      </c>
      <c r="D640">
        <v>19458.71</v>
      </c>
      <c r="E640">
        <v>22447.19</v>
      </c>
      <c r="F640">
        <v>82.62</v>
      </c>
      <c r="G640">
        <v>1061.73</v>
      </c>
      <c r="H640">
        <f>E640*1000000/D640</f>
        <v>1153580.5816521239</v>
      </c>
      <c r="I640" t="str">
        <f>IF(AND(B640&gt;=2018, B640&lt;=2021), "2018-2021", IF(AND(B640&gt;=2022, B640&lt;=2024), "2022-2024", "Other"))</f>
        <v>2022-2024</v>
      </c>
    </row>
    <row r="641" spans="1:9" x14ac:dyDescent="0.3">
      <c r="A641" t="s">
        <v>19</v>
      </c>
      <c r="B641">
        <v>2022</v>
      </c>
      <c r="C641" t="s">
        <v>0</v>
      </c>
      <c r="D641">
        <v>40766.07</v>
      </c>
      <c r="E641">
        <v>40014.78</v>
      </c>
      <c r="F641">
        <v>102.87</v>
      </c>
      <c r="G641">
        <v>956.46</v>
      </c>
      <c r="H641">
        <f>E641*1000000/D641</f>
        <v>981570.70328339224</v>
      </c>
      <c r="I641" t="str">
        <f>IF(AND(B641&gt;=2018, B641&lt;=2021), "2018-2021", IF(AND(B641&gt;=2022, B641&lt;=2024), "2022-2024", "Other"))</f>
        <v>2022-2024</v>
      </c>
    </row>
    <row r="642" spans="1:9" x14ac:dyDescent="0.3">
      <c r="A642" t="s">
        <v>27</v>
      </c>
      <c r="B642">
        <v>2023</v>
      </c>
      <c r="C642" t="s">
        <v>2</v>
      </c>
      <c r="D642">
        <v>7828.63</v>
      </c>
      <c r="E642">
        <v>6513.48</v>
      </c>
      <c r="F642">
        <v>174.68</v>
      </c>
      <c r="G642">
        <v>1393.99</v>
      </c>
      <c r="H642">
        <f>E642*1000000/D642</f>
        <v>832007.64373843186</v>
      </c>
      <c r="I642" t="str">
        <f>IF(AND(B642&gt;=2018, B642&lt;=2021), "2018-2021", IF(AND(B642&gt;=2022, B642&lt;=2024), "2022-2024", "Other"))</f>
        <v>2022-2024</v>
      </c>
    </row>
    <row r="643" spans="1:9" x14ac:dyDescent="0.3">
      <c r="A643" t="s">
        <v>13</v>
      </c>
      <c r="B643">
        <v>2022</v>
      </c>
      <c r="C643" t="s">
        <v>2</v>
      </c>
      <c r="D643">
        <v>15899.39</v>
      </c>
      <c r="E643">
        <v>16551.560000000001</v>
      </c>
      <c r="F643">
        <v>196.11</v>
      </c>
      <c r="G643">
        <v>1357.47</v>
      </c>
      <c r="H643">
        <f>E643*1000000/D643</f>
        <v>1041018.5547999013</v>
      </c>
      <c r="I643" t="str">
        <f>IF(AND(B643&gt;=2018, B643&lt;=2021), "2018-2021", IF(AND(B643&gt;=2022, B643&lt;=2024), "2022-2024", "Other"))</f>
        <v>2022-2024</v>
      </c>
    </row>
    <row r="644" spans="1:9" x14ac:dyDescent="0.3">
      <c r="A644" t="s">
        <v>25</v>
      </c>
      <c r="B644">
        <v>2021</v>
      </c>
      <c r="C644" t="s">
        <v>9</v>
      </c>
      <c r="D644">
        <v>10037.84</v>
      </c>
      <c r="E644">
        <v>10618.35</v>
      </c>
      <c r="F644">
        <v>107.95</v>
      </c>
      <c r="G644">
        <v>1192.3800000000001</v>
      </c>
      <c r="H644">
        <f>E644*1000000/D644</f>
        <v>1057832.1630948491</v>
      </c>
      <c r="I644" t="str">
        <f>IF(AND(B644&gt;=2018, B644&lt;=2021), "2018-2021", IF(AND(B644&gt;=2022, B644&lt;=2024), "2022-2024", "Other"))</f>
        <v>2018-2021</v>
      </c>
    </row>
    <row r="645" spans="1:9" x14ac:dyDescent="0.3">
      <c r="A645" t="s">
        <v>16</v>
      </c>
      <c r="B645">
        <v>2019</v>
      </c>
      <c r="C645" t="s">
        <v>14</v>
      </c>
      <c r="D645">
        <v>28818.65</v>
      </c>
      <c r="E645">
        <v>26518.28</v>
      </c>
      <c r="F645">
        <v>185.1</v>
      </c>
      <c r="G645">
        <v>890.73</v>
      </c>
      <c r="H645">
        <f>E645*1000000/D645</f>
        <v>920177.73212832655</v>
      </c>
      <c r="I645" t="str">
        <f>IF(AND(B645&gt;=2018, B645&lt;=2021), "2018-2021", IF(AND(B645&gt;=2022, B645&lt;=2024), "2022-2024", "Other"))</f>
        <v>2018-2021</v>
      </c>
    </row>
    <row r="646" spans="1:9" x14ac:dyDescent="0.3">
      <c r="A646" t="s">
        <v>3</v>
      </c>
      <c r="B646">
        <v>2023</v>
      </c>
      <c r="C646" t="s">
        <v>6</v>
      </c>
      <c r="D646">
        <v>13625.18</v>
      </c>
      <c r="E646">
        <v>13845.11</v>
      </c>
      <c r="F646">
        <v>128.26</v>
      </c>
      <c r="G646">
        <v>12.22</v>
      </c>
      <c r="H646">
        <f>E646*1000000/D646</f>
        <v>1016141.4381314595</v>
      </c>
      <c r="I646" t="str">
        <f>IF(AND(B646&gt;=2018, B646&lt;=2021), "2018-2021", IF(AND(B646&gt;=2022, B646&lt;=2024), "2022-2024", "Other"))</f>
        <v>2022-2024</v>
      </c>
    </row>
    <row r="647" spans="1:9" x14ac:dyDescent="0.3">
      <c r="A647" t="s">
        <v>26</v>
      </c>
      <c r="B647">
        <v>2019</v>
      </c>
      <c r="C647" t="s">
        <v>2</v>
      </c>
      <c r="D647">
        <v>49616.68</v>
      </c>
      <c r="E647">
        <v>47664.9</v>
      </c>
      <c r="F647">
        <v>111.65</v>
      </c>
      <c r="G647">
        <v>1195.6099999999999</v>
      </c>
      <c r="H647">
        <f>E647*1000000/D647</f>
        <v>960662.82548530051</v>
      </c>
      <c r="I647" t="str">
        <f>IF(AND(B647&gt;=2018, B647&lt;=2021), "2018-2021", IF(AND(B647&gt;=2022, B647&lt;=2024), "2022-2024", "Other"))</f>
        <v>2018-2021</v>
      </c>
    </row>
    <row r="648" spans="1:9" x14ac:dyDescent="0.3">
      <c r="A648" t="s">
        <v>1</v>
      </c>
      <c r="B648">
        <v>2021</v>
      </c>
      <c r="C648" t="s">
        <v>12</v>
      </c>
      <c r="D648">
        <v>42837.63</v>
      </c>
      <c r="E648">
        <v>46371.3</v>
      </c>
      <c r="F648">
        <v>57.13</v>
      </c>
      <c r="G648">
        <v>90.51</v>
      </c>
      <c r="H648">
        <f>E648*1000000/D648</f>
        <v>1082489.85763218</v>
      </c>
      <c r="I648" t="str">
        <f>IF(AND(B648&gt;=2018, B648&lt;=2021), "2018-2021", IF(AND(B648&gt;=2022, B648&lt;=2024), "2022-2024", "Other"))</f>
        <v>2018-2021</v>
      </c>
    </row>
    <row r="649" spans="1:9" x14ac:dyDescent="0.3">
      <c r="A649" t="s">
        <v>24</v>
      </c>
      <c r="B649">
        <v>2024</v>
      </c>
      <c r="C649" t="s">
        <v>4</v>
      </c>
      <c r="D649">
        <v>816.85</v>
      </c>
      <c r="E649">
        <v>717.12</v>
      </c>
      <c r="F649">
        <v>108.96</v>
      </c>
      <c r="G649">
        <v>916.84</v>
      </c>
      <c r="H649">
        <f>E649*1000000/D649</f>
        <v>877909.04082756932</v>
      </c>
      <c r="I649" t="str">
        <f>IF(AND(B649&gt;=2018, B649&lt;=2021), "2018-2021", IF(AND(B649&gt;=2022, B649&lt;=2024), "2022-2024", "Other"))</f>
        <v>2022-2024</v>
      </c>
    </row>
    <row r="650" spans="1:9" x14ac:dyDescent="0.3">
      <c r="A650" t="s">
        <v>23</v>
      </c>
      <c r="B650">
        <v>2018</v>
      </c>
      <c r="C650" t="s">
        <v>4</v>
      </c>
      <c r="D650">
        <v>17134.55</v>
      </c>
      <c r="E650">
        <v>19550.91</v>
      </c>
      <c r="F650">
        <v>185.98</v>
      </c>
      <c r="G650">
        <v>588.94000000000005</v>
      </c>
      <c r="H650">
        <f>E650*1000000/D650</f>
        <v>1141022.6705691132</v>
      </c>
      <c r="I650" t="str">
        <f>IF(AND(B650&gt;=2018, B650&lt;=2021), "2018-2021", IF(AND(B650&gt;=2022, B650&lt;=2024), "2022-2024", "Other"))</f>
        <v>2018-2021</v>
      </c>
    </row>
    <row r="651" spans="1:9" x14ac:dyDescent="0.3">
      <c r="A651" t="s">
        <v>7</v>
      </c>
      <c r="B651">
        <v>2021</v>
      </c>
      <c r="C651" t="s">
        <v>12</v>
      </c>
      <c r="D651">
        <v>38562.46</v>
      </c>
      <c r="E651">
        <v>44717.25</v>
      </c>
      <c r="F651">
        <v>76.12</v>
      </c>
      <c r="G651">
        <v>1332.68</v>
      </c>
      <c r="H651">
        <f>E651*1000000/D651</f>
        <v>1159605.7409200554</v>
      </c>
      <c r="I651" t="str">
        <f>IF(AND(B651&gt;=2018, B651&lt;=2021), "2018-2021", IF(AND(B651&gt;=2022, B651&lt;=2024), "2022-2024", "Other"))</f>
        <v>2018-2021</v>
      </c>
    </row>
    <row r="652" spans="1:9" x14ac:dyDescent="0.3">
      <c r="A652" t="s">
        <v>27</v>
      </c>
      <c r="B652">
        <v>2023</v>
      </c>
      <c r="C652" t="s">
        <v>6</v>
      </c>
      <c r="D652">
        <v>14451.64</v>
      </c>
      <c r="E652">
        <v>12964.99</v>
      </c>
      <c r="F652">
        <v>197.13</v>
      </c>
      <c r="G652">
        <v>1209.0899999999999</v>
      </c>
      <c r="H652">
        <f>E652*1000000/D652</f>
        <v>897129.32234680629</v>
      </c>
      <c r="I652" t="str">
        <f>IF(AND(B652&gt;=2018, B652&lt;=2021), "2018-2021", IF(AND(B652&gt;=2022, B652&lt;=2024), "2022-2024", "Other"))</f>
        <v>2022-2024</v>
      </c>
    </row>
    <row r="653" spans="1:9" x14ac:dyDescent="0.3">
      <c r="A653" t="s">
        <v>13</v>
      </c>
      <c r="B653">
        <v>2021</v>
      </c>
      <c r="C653" t="s">
        <v>6</v>
      </c>
      <c r="D653">
        <v>13211.89</v>
      </c>
      <c r="E653">
        <v>12016.28</v>
      </c>
      <c r="F653">
        <v>98.46</v>
      </c>
      <c r="G653">
        <v>452.4</v>
      </c>
      <c r="H653">
        <f>E653*1000000/D653</f>
        <v>909504.9989062883</v>
      </c>
      <c r="I653" t="str">
        <f>IF(AND(B653&gt;=2018, B653&lt;=2021), "2018-2021", IF(AND(B653&gt;=2022, B653&lt;=2024), "2022-2024", "Other"))</f>
        <v>2018-2021</v>
      </c>
    </row>
    <row r="654" spans="1:9" x14ac:dyDescent="0.3">
      <c r="A654" t="s">
        <v>24</v>
      </c>
      <c r="B654">
        <v>2020</v>
      </c>
      <c r="C654" t="s">
        <v>4</v>
      </c>
      <c r="D654">
        <v>23277.43</v>
      </c>
      <c r="E654">
        <v>23991.94</v>
      </c>
      <c r="F654">
        <v>95.85</v>
      </c>
      <c r="G654">
        <v>387.53</v>
      </c>
      <c r="H654">
        <f>E654*1000000/D654</f>
        <v>1030695.3989336451</v>
      </c>
      <c r="I654" t="str">
        <f>IF(AND(B654&gt;=2018, B654&lt;=2021), "2018-2021", IF(AND(B654&gt;=2022, B654&lt;=2024), "2022-2024", "Other"))</f>
        <v>2018-2021</v>
      </c>
    </row>
    <row r="655" spans="1:9" x14ac:dyDescent="0.3">
      <c r="A655" t="s">
        <v>21</v>
      </c>
      <c r="B655">
        <v>2022</v>
      </c>
      <c r="C655" t="s">
        <v>9</v>
      </c>
      <c r="D655">
        <v>33412.339999999997</v>
      </c>
      <c r="E655">
        <v>34850.589999999997</v>
      </c>
      <c r="F655">
        <v>104.15</v>
      </c>
      <c r="G655">
        <v>331.23</v>
      </c>
      <c r="H655">
        <f>E655*1000000/D655</f>
        <v>1043045.4736184297</v>
      </c>
      <c r="I655" t="str">
        <f>IF(AND(B655&gt;=2018, B655&lt;=2021), "2018-2021", IF(AND(B655&gt;=2022, B655&lt;=2024), "2022-2024", "Other"))</f>
        <v>2022-2024</v>
      </c>
    </row>
    <row r="656" spans="1:9" x14ac:dyDescent="0.3">
      <c r="A656" t="s">
        <v>18</v>
      </c>
      <c r="B656">
        <v>2019</v>
      </c>
      <c r="C656" t="s">
        <v>9</v>
      </c>
      <c r="D656">
        <v>12212.08</v>
      </c>
      <c r="E656">
        <v>14310.38</v>
      </c>
      <c r="F656">
        <v>72.569999999999993</v>
      </c>
      <c r="G656">
        <v>338.84</v>
      </c>
      <c r="H656">
        <f>E656*1000000/D656</f>
        <v>1171821.6716562617</v>
      </c>
      <c r="I656" t="str">
        <f>IF(AND(B656&gt;=2018, B656&lt;=2021), "2018-2021", IF(AND(B656&gt;=2022, B656&lt;=2024), "2022-2024", "Other"))</f>
        <v>2018-2021</v>
      </c>
    </row>
    <row r="657" spans="1:9" x14ac:dyDescent="0.3">
      <c r="A657" t="s">
        <v>7</v>
      </c>
      <c r="B657">
        <v>2021</v>
      </c>
      <c r="C657" t="s">
        <v>9</v>
      </c>
      <c r="D657">
        <v>33260.089999999997</v>
      </c>
      <c r="E657">
        <v>27667.81</v>
      </c>
      <c r="F657">
        <v>111.38</v>
      </c>
      <c r="G657">
        <v>1389.54</v>
      </c>
      <c r="H657">
        <f>E657*1000000/D657</f>
        <v>831862.15070374147</v>
      </c>
      <c r="I657" t="str">
        <f>IF(AND(B657&gt;=2018, B657&lt;=2021), "2018-2021", IF(AND(B657&gt;=2022, B657&lt;=2024), "2022-2024", "Other"))</f>
        <v>2018-2021</v>
      </c>
    </row>
    <row r="658" spans="1:9" x14ac:dyDescent="0.3">
      <c r="A658" t="s">
        <v>23</v>
      </c>
      <c r="B658">
        <v>2020</v>
      </c>
      <c r="C658" t="s">
        <v>14</v>
      </c>
      <c r="D658">
        <v>21604.19</v>
      </c>
      <c r="E658">
        <v>20115.5</v>
      </c>
      <c r="F658">
        <v>154.15</v>
      </c>
      <c r="G658">
        <v>439.98</v>
      </c>
      <c r="H658">
        <f>E658*1000000/D658</f>
        <v>931092.53343911539</v>
      </c>
      <c r="I658" t="str">
        <f>IF(AND(B658&gt;=2018, B658&lt;=2021), "2018-2021", IF(AND(B658&gt;=2022, B658&lt;=2024), "2022-2024", "Other"))</f>
        <v>2018-2021</v>
      </c>
    </row>
    <row r="659" spans="1:9" x14ac:dyDescent="0.3">
      <c r="A659" t="s">
        <v>24</v>
      </c>
      <c r="B659">
        <v>2021</v>
      </c>
      <c r="C659" t="s">
        <v>6</v>
      </c>
      <c r="D659">
        <v>37107.01</v>
      </c>
      <c r="E659">
        <v>30234.05</v>
      </c>
      <c r="F659">
        <v>177.34</v>
      </c>
      <c r="G659">
        <v>603.55999999999995</v>
      </c>
      <c r="H659">
        <f>E659*1000000/D659</f>
        <v>814780.01056943147</v>
      </c>
      <c r="I659" t="str">
        <f>IF(AND(B659&gt;=2018, B659&lt;=2021), "2018-2021", IF(AND(B659&gt;=2022, B659&lt;=2024), "2022-2024", "Other"))</f>
        <v>2018-2021</v>
      </c>
    </row>
    <row r="660" spans="1:9" x14ac:dyDescent="0.3">
      <c r="A660" t="s">
        <v>15</v>
      </c>
      <c r="B660">
        <v>2020</v>
      </c>
      <c r="C660" t="s">
        <v>14</v>
      </c>
      <c r="D660">
        <v>19907.82</v>
      </c>
      <c r="E660">
        <v>22080.71</v>
      </c>
      <c r="F660">
        <v>66.88</v>
      </c>
      <c r="G660">
        <v>745.39</v>
      </c>
      <c r="H660">
        <f>E660*1000000/D660</f>
        <v>1109147.5611091522</v>
      </c>
      <c r="I660" t="str">
        <f>IF(AND(B660&gt;=2018, B660&lt;=2021), "2018-2021", IF(AND(B660&gt;=2022, B660&lt;=2024), "2022-2024", "Other"))</f>
        <v>2018-2021</v>
      </c>
    </row>
    <row r="661" spans="1:9" x14ac:dyDescent="0.3">
      <c r="A661" t="s">
        <v>5</v>
      </c>
      <c r="B661">
        <v>2020</v>
      </c>
      <c r="C661" t="s">
        <v>6</v>
      </c>
      <c r="D661">
        <v>13556.49</v>
      </c>
      <c r="E661">
        <v>12779.94</v>
      </c>
      <c r="F661">
        <v>30.6</v>
      </c>
      <c r="G661">
        <v>1254.3900000000001</v>
      </c>
      <c r="H661">
        <f>E661*1000000/D661</f>
        <v>942717.47332827304</v>
      </c>
      <c r="I661" t="str">
        <f>IF(AND(B661&gt;=2018, B661&lt;=2021), "2018-2021", IF(AND(B661&gt;=2022, B661&lt;=2024), "2022-2024", "Other"))</f>
        <v>2018-2021</v>
      </c>
    </row>
    <row r="662" spans="1:9" x14ac:dyDescent="0.3">
      <c r="A662" t="s">
        <v>20</v>
      </c>
      <c r="B662">
        <v>2019</v>
      </c>
      <c r="C662" t="s">
        <v>2</v>
      </c>
      <c r="D662">
        <v>42337.48</v>
      </c>
      <c r="E662">
        <v>47448.959999999999</v>
      </c>
      <c r="F662">
        <v>159.22999999999999</v>
      </c>
      <c r="G662">
        <v>659.36</v>
      </c>
      <c r="H662">
        <f>E662*1000000/D662</f>
        <v>1120731.796035097</v>
      </c>
      <c r="I662" t="str">
        <f>IF(AND(B662&gt;=2018, B662&lt;=2021), "2018-2021", IF(AND(B662&gt;=2022, B662&lt;=2024), "2022-2024", "Other"))</f>
        <v>2018-2021</v>
      </c>
    </row>
    <row r="663" spans="1:9" x14ac:dyDescent="0.3">
      <c r="A663" t="s">
        <v>19</v>
      </c>
      <c r="B663">
        <v>2022</v>
      </c>
      <c r="C663" t="s">
        <v>14</v>
      </c>
      <c r="D663">
        <v>4388.4399999999996</v>
      </c>
      <c r="E663">
        <v>4018.63</v>
      </c>
      <c r="F663">
        <v>81.760000000000005</v>
      </c>
      <c r="G663">
        <v>1385.96</v>
      </c>
      <c r="H663">
        <f>E663*1000000/D663</f>
        <v>915730.87475275958</v>
      </c>
      <c r="I663" t="str">
        <f>IF(AND(B663&gt;=2018, B663&lt;=2021), "2018-2021", IF(AND(B663&gt;=2022, B663&lt;=2024), "2022-2024", "Other"))</f>
        <v>2022-2024</v>
      </c>
    </row>
    <row r="664" spans="1:9" x14ac:dyDescent="0.3">
      <c r="A664" t="s">
        <v>7</v>
      </c>
      <c r="B664">
        <v>2019</v>
      </c>
      <c r="C664" t="s">
        <v>6</v>
      </c>
      <c r="D664">
        <v>14058.04</v>
      </c>
      <c r="E664">
        <v>11492.19</v>
      </c>
      <c r="F664">
        <v>37.06</v>
      </c>
      <c r="G664">
        <v>340.82</v>
      </c>
      <c r="H664">
        <f>E664*1000000/D664</f>
        <v>817481.66885284148</v>
      </c>
      <c r="I664" t="str">
        <f>IF(AND(B664&gt;=2018, B664&lt;=2021), "2018-2021", IF(AND(B664&gt;=2022, B664&lt;=2024), "2022-2024", "Other"))</f>
        <v>2018-2021</v>
      </c>
    </row>
    <row r="665" spans="1:9" x14ac:dyDescent="0.3">
      <c r="A665" t="s">
        <v>10</v>
      </c>
      <c r="B665">
        <v>2022</v>
      </c>
      <c r="C665" t="s">
        <v>12</v>
      </c>
      <c r="D665">
        <v>11625.2</v>
      </c>
      <c r="E665">
        <v>13304.61</v>
      </c>
      <c r="F665">
        <v>51.32</v>
      </c>
      <c r="G665">
        <v>1224.54</v>
      </c>
      <c r="H665">
        <f>E665*1000000/D665</f>
        <v>1144462.8909610156</v>
      </c>
      <c r="I665" t="str">
        <f>IF(AND(B665&gt;=2018, B665&lt;=2021), "2018-2021", IF(AND(B665&gt;=2022, B665&lt;=2024), "2022-2024", "Other"))</f>
        <v>2022-2024</v>
      </c>
    </row>
    <row r="666" spans="1:9" x14ac:dyDescent="0.3">
      <c r="A666" t="s">
        <v>16</v>
      </c>
      <c r="B666">
        <v>2018</v>
      </c>
      <c r="C666" t="s">
        <v>8</v>
      </c>
      <c r="D666">
        <v>26758.51</v>
      </c>
      <c r="E666">
        <v>31431.22</v>
      </c>
      <c r="F666">
        <v>68.180000000000007</v>
      </c>
      <c r="G666">
        <v>1214.68</v>
      </c>
      <c r="H666">
        <f>E666*1000000/D666</f>
        <v>1174625.1940037021</v>
      </c>
      <c r="I666" t="str">
        <f>IF(AND(B666&gt;=2018, B666&lt;=2021), "2018-2021", IF(AND(B666&gt;=2022, B666&lt;=2024), "2022-2024", "Other"))</f>
        <v>2018-2021</v>
      </c>
    </row>
    <row r="667" spans="1:9" x14ac:dyDescent="0.3">
      <c r="A667" t="s">
        <v>1</v>
      </c>
      <c r="B667">
        <v>2018</v>
      </c>
      <c r="C667" t="s">
        <v>0</v>
      </c>
      <c r="D667">
        <v>30566.39</v>
      </c>
      <c r="E667">
        <v>30720.11</v>
      </c>
      <c r="F667">
        <v>172.65</v>
      </c>
      <c r="G667">
        <v>1128.7</v>
      </c>
      <c r="H667">
        <f>E667*1000000/D667</f>
        <v>1005029.0531528257</v>
      </c>
      <c r="I667" t="str">
        <f>IF(AND(B667&gt;=2018, B667&lt;=2021), "2018-2021", IF(AND(B667&gt;=2022, B667&lt;=2024), "2022-2024", "Other"))</f>
        <v>2018-2021</v>
      </c>
    </row>
    <row r="668" spans="1:9" x14ac:dyDescent="0.3">
      <c r="A668" t="s">
        <v>19</v>
      </c>
      <c r="B668">
        <v>2018</v>
      </c>
      <c r="C668" t="s">
        <v>14</v>
      </c>
      <c r="D668">
        <v>41903.980000000003</v>
      </c>
      <c r="E668">
        <v>47300.42</v>
      </c>
      <c r="F668">
        <v>70.08</v>
      </c>
      <c r="G668">
        <v>1013.45</v>
      </c>
      <c r="H668">
        <f>E668*1000000/D668</f>
        <v>1128781.0847561497</v>
      </c>
      <c r="I668" t="str">
        <f>IF(AND(B668&gt;=2018, B668&lt;=2021), "2018-2021", IF(AND(B668&gt;=2022, B668&lt;=2024), "2022-2024", "Other"))</f>
        <v>2018-2021</v>
      </c>
    </row>
    <row r="669" spans="1:9" x14ac:dyDescent="0.3">
      <c r="A669" t="s">
        <v>25</v>
      </c>
      <c r="B669">
        <v>2024</v>
      </c>
      <c r="C669" t="s">
        <v>2</v>
      </c>
      <c r="D669">
        <v>9530.67</v>
      </c>
      <c r="E669">
        <v>11364.44</v>
      </c>
      <c r="F669">
        <v>155.78</v>
      </c>
      <c r="G669">
        <v>61.85</v>
      </c>
      <c r="H669">
        <f>E669*1000000/D669</f>
        <v>1192407.2494378674</v>
      </c>
      <c r="I669" t="str">
        <f>IF(AND(B669&gt;=2018, B669&lt;=2021), "2018-2021", IF(AND(B669&gt;=2022, B669&lt;=2024), "2022-2024", "Other"))</f>
        <v>2022-2024</v>
      </c>
    </row>
    <row r="670" spans="1:9" x14ac:dyDescent="0.3">
      <c r="A670" t="s">
        <v>18</v>
      </c>
      <c r="B670">
        <v>2021</v>
      </c>
      <c r="C670" t="s">
        <v>6</v>
      </c>
      <c r="D670">
        <v>18670.95</v>
      </c>
      <c r="E670">
        <v>21899.65</v>
      </c>
      <c r="F670">
        <v>117.64</v>
      </c>
      <c r="G670">
        <v>23.25</v>
      </c>
      <c r="H670">
        <f>E670*1000000/D670</f>
        <v>1172926.39099778</v>
      </c>
      <c r="I670" t="str">
        <f>IF(AND(B670&gt;=2018, B670&lt;=2021), "2018-2021", IF(AND(B670&gt;=2022, B670&lt;=2024), "2022-2024", "Other"))</f>
        <v>2018-2021</v>
      </c>
    </row>
    <row r="671" spans="1:9" x14ac:dyDescent="0.3">
      <c r="A671" t="s">
        <v>27</v>
      </c>
      <c r="B671">
        <v>2019</v>
      </c>
      <c r="C671" t="s">
        <v>2</v>
      </c>
      <c r="D671">
        <v>7445.37</v>
      </c>
      <c r="E671">
        <v>7752.69</v>
      </c>
      <c r="F671">
        <v>165.9</v>
      </c>
      <c r="G671">
        <v>239.21</v>
      </c>
      <c r="H671">
        <f>E671*1000000/D671</f>
        <v>1041276.6591855072</v>
      </c>
      <c r="I671" t="str">
        <f>IF(AND(B671&gt;=2018, B671&lt;=2021), "2018-2021", IF(AND(B671&gt;=2022, B671&lt;=2024), "2022-2024", "Other"))</f>
        <v>2018-2021</v>
      </c>
    </row>
    <row r="672" spans="1:9" x14ac:dyDescent="0.3">
      <c r="A672" t="s">
        <v>22</v>
      </c>
      <c r="B672">
        <v>2018</v>
      </c>
      <c r="C672" t="s">
        <v>2</v>
      </c>
      <c r="D672">
        <v>36240.18</v>
      </c>
      <c r="E672">
        <v>36650.65</v>
      </c>
      <c r="F672">
        <v>143.13</v>
      </c>
      <c r="G672">
        <v>327.18</v>
      </c>
      <c r="H672">
        <f>E672*1000000/D672</f>
        <v>1011326.3786217397</v>
      </c>
      <c r="I672" t="str">
        <f>IF(AND(B672&gt;=2018, B672&lt;=2021), "2018-2021", IF(AND(B672&gt;=2022, B672&lt;=2024), "2022-2024", "Other"))</f>
        <v>2018-2021</v>
      </c>
    </row>
    <row r="673" spans="1:9" x14ac:dyDescent="0.3">
      <c r="A673" t="s">
        <v>20</v>
      </c>
      <c r="B673">
        <v>2020</v>
      </c>
      <c r="C673" t="s">
        <v>12</v>
      </c>
      <c r="D673">
        <v>9347.5300000000007</v>
      </c>
      <c r="E673">
        <v>8304.4599999999991</v>
      </c>
      <c r="F673">
        <v>49.01</v>
      </c>
      <c r="G673">
        <v>806.6</v>
      </c>
      <c r="H673">
        <f>E673*1000000/D673</f>
        <v>888412.23296421603</v>
      </c>
      <c r="I673" t="str">
        <f>IF(AND(B673&gt;=2018, B673&lt;=2021), "2018-2021", IF(AND(B673&gt;=2022, B673&lt;=2024), "2022-2024", "Other"))</f>
        <v>2018-2021</v>
      </c>
    </row>
    <row r="674" spans="1:9" x14ac:dyDescent="0.3">
      <c r="A674" t="s">
        <v>20</v>
      </c>
      <c r="B674">
        <v>2021</v>
      </c>
      <c r="C674" t="s">
        <v>2</v>
      </c>
      <c r="D674">
        <v>42369.17</v>
      </c>
      <c r="E674">
        <v>34591.370000000003</v>
      </c>
      <c r="F674">
        <v>87.31</v>
      </c>
      <c r="G674">
        <v>210.89</v>
      </c>
      <c r="H674">
        <f>E674*1000000/D674</f>
        <v>816427.84128176223</v>
      </c>
      <c r="I674" t="str">
        <f>IF(AND(B674&gt;=2018, B674&lt;=2021), "2018-2021", IF(AND(B674&gt;=2022, B674&lt;=2024), "2022-2024", "Other"))</f>
        <v>2018-2021</v>
      </c>
    </row>
    <row r="675" spans="1:9" x14ac:dyDescent="0.3">
      <c r="A675" t="s">
        <v>23</v>
      </c>
      <c r="B675">
        <v>2018</v>
      </c>
      <c r="C675" t="s">
        <v>0</v>
      </c>
      <c r="D675">
        <v>1683.27</v>
      </c>
      <c r="E675">
        <v>1442.35</v>
      </c>
      <c r="F675">
        <v>160.65</v>
      </c>
      <c r="G675">
        <v>975.58</v>
      </c>
      <c r="H675">
        <f>E675*1000000/D675</f>
        <v>856873.82297551795</v>
      </c>
      <c r="I675" t="str">
        <f>IF(AND(B675&gt;=2018, B675&lt;=2021), "2018-2021", IF(AND(B675&gt;=2022, B675&lt;=2024), "2022-2024", "Other"))</f>
        <v>2018-2021</v>
      </c>
    </row>
    <row r="676" spans="1:9" x14ac:dyDescent="0.3">
      <c r="A676" t="s">
        <v>16</v>
      </c>
      <c r="B676">
        <v>2021</v>
      </c>
      <c r="C676" t="s">
        <v>9</v>
      </c>
      <c r="D676">
        <v>17554.59</v>
      </c>
      <c r="E676">
        <v>19405.7</v>
      </c>
      <c r="F676">
        <v>93.22</v>
      </c>
      <c r="G676">
        <v>123.55</v>
      </c>
      <c r="H676">
        <f>E676*1000000/D676</f>
        <v>1105448.7743661345</v>
      </c>
      <c r="I676" t="str">
        <f>IF(AND(B676&gt;=2018, B676&lt;=2021), "2018-2021", IF(AND(B676&gt;=2022, B676&lt;=2024), "2022-2024", "Other"))</f>
        <v>2018-2021</v>
      </c>
    </row>
    <row r="677" spans="1:9" x14ac:dyDescent="0.3">
      <c r="A677" t="s">
        <v>21</v>
      </c>
      <c r="B677">
        <v>2019</v>
      </c>
      <c r="C677" t="s">
        <v>12</v>
      </c>
      <c r="D677">
        <v>3998.23</v>
      </c>
      <c r="E677">
        <v>3882.12</v>
      </c>
      <c r="F677">
        <v>49.84</v>
      </c>
      <c r="G677">
        <v>1072.29</v>
      </c>
      <c r="H677">
        <f>E677*1000000/D677</f>
        <v>970959.64964496787</v>
      </c>
      <c r="I677" t="str">
        <f>IF(AND(B677&gt;=2018, B677&lt;=2021), "2018-2021", IF(AND(B677&gt;=2022, B677&lt;=2024), "2022-2024", "Other"))</f>
        <v>2018-2021</v>
      </c>
    </row>
    <row r="678" spans="1:9" x14ac:dyDescent="0.3">
      <c r="A678" t="s">
        <v>21</v>
      </c>
      <c r="B678">
        <v>2024</v>
      </c>
      <c r="C678" t="s">
        <v>4</v>
      </c>
      <c r="D678">
        <v>1831.93</v>
      </c>
      <c r="E678">
        <v>1767.05</v>
      </c>
      <c r="F678">
        <v>77.489999999999995</v>
      </c>
      <c r="G678">
        <v>549.04999999999995</v>
      </c>
      <c r="H678">
        <f>E678*1000000/D678</f>
        <v>964583.79959932959</v>
      </c>
      <c r="I678" t="str">
        <f>IF(AND(B678&gt;=2018, B678&lt;=2021), "2018-2021", IF(AND(B678&gt;=2022, B678&lt;=2024), "2022-2024", "Other"))</f>
        <v>2022-2024</v>
      </c>
    </row>
    <row r="679" spans="1:9" x14ac:dyDescent="0.3">
      <c r="A679" t="s">
        <v>15</v>
      </c>
      <c r="B679">
        <v>2021</v>
      </c>
      <c r="C679" t="s">
        <v>9</v>
      </c>
      <c r="D679">
        <v>33764.19</v>
      </c>
      <c r="E679">
        <v>31725.21</v>
      </c>
      <c r="F679">
        <v>191.3</v>
      </c>
      <c r="G679">
        <v>366.18</v>
      </c>
      <c r="H679">
        <f>E679*1000000/D679</f>
        <v>939611.16792672942</v>
      </c>
      <c r="I679" t="str">
        <f>IF(AND(B679&gt;=2018, B679&lt;=2021), "2018-2021", IF(AND(B679&gt;=2022, B679&lt;=2024), "2022-2024", "Other"))</f>
        <v>2018-2021</v>
      </c>
    </row>
    <row r="680" spans="1:9" x14ac:dyDescent="0.3">
      <c r="A680" t="s">
        <v>15</v>
      </c>
      <c r="B680">
        <v>2021</v>
      </c>
      <c r="C680" t="s">
        <v>8</v>
      </c>
      <c r="D680">
        <v>33215.360000000001</v>
      </c>
      <c r="E680">
        <v>37140.57</v>
      </c>
      <c r="F680">
        <v>196.35</v>
      </c>
      <c r="G680">
        <v>11.68</v>
      </c>
      <c r="H680">
        <f>E680*1000000/D680</f>
        <v>1118174.5433438024</v>
      </c>
      <c r="I680" t="str">
        <f>IF(AND(B680&gt;=2018, B680&lt;=2021), "2018-2021", IF(AND(B680&gt;=2022, B680&lt;=2024), "2022-2024", "Other"))</f>
        <v>2018-2021</v>
      </c>
    </row>
    <row r="681" spans="1:9" x14ac:dyDescent="0.3">
      <c r="A681" t="s">
        <v>24</v>
      </c>
      <c r="B681">
        <v>2023</v>
      </c>
      <c r="C681" t="s">
        <v>0</v>
      </c>
      <c r="D681">
        <v>45674.14</v>
      </c>
      <c r="E681">
        <v>49013</v>
      </c>
      <c r="F681">
        <v>39.909999999999997</v>
      </c>
      <c r="G681">
        <v>403.69</v>
      </c>
      <c r="H681">
        <f>E681*1000000/D681</f>
        <v>1073101.7595514662</v>
      </c>
      <c r="I681" t="str">
        <f>IF(AND(B681&gt;=2018, B681&lt;=2021), "2018-2021", IF(AND(B681&gt;=2022, B681&lt;=2024), "2022-2024", "Other"))</f>
        <v>2022-2024</v>
      </c>
    </row>
    <row r="682" spans="1:9" x14ac:dyDescent="0.3">
      <c r="A682" t="s">
        <v>11</v>
      </c>
      <c r="B682">
        <v>2020</v>
      </c>
      <c r="C682" t="s">
        <v>0</v>
      </c>
      <c r="D682">
        <v>5856.51</v>
      </c>
      <c r="E682">
        <v>4821.21</v>
      </c>
      <c r="F682">
        <v>88.94</v>
      </c>
      <c r="G682">
        <v>54.84</v>
      </c>
      <c r="H682">
        <f>E682*1000000/D682</f>
        <v>823222.36280651786</v>
      </c>
      <c r="I682" t="str">
        <f>IF(AND(B682&gt;=2018, B682&lt;=2021), "2018-2021", IF(AND(B682&gt;=2022, B682&lt;=2024), "2022-2024", "Other"))</f>
        <v>2018-2021</v>
      </c>
    </row>
    <row r="683" spans="1:9" x14ac:dyDescent="0.3">
      <c r="A683" t="s">
        <v>13</v>
      </c>
      <c r="B683">
        <v>2019</v>
      </c>
      <c r="C683" t="s">
        <v>6</v>
      </c>
      <c r="D683">
        <v>31970.21</v>
      </c>
      <c r="E683">
        <v>29382.42</v>
      </c>
      <c r="F683">
        <v>46.54</v>
      </c>
      <c r="G683">
        <v>848.07</v>
      </c>
      <c r="H683">
        <f>E683*1000000/D683</f>
        <v>919056.2088894631</v>
      </c>
      <c r="I683" t="str">
        <f>IF(AND(B683&gt;=2018, B683&lt;=2021), "2018-2021", IF(AND(B683&gt;=2022, B683&lt;=2024), "2022-2024", "Other"))</f>
        <v>2018-2021</v>
      </c>
    </row>
    <row r="684" spans="1:9" x14ac:dyDescent="0.3">
      <c r="A684" t="s">
        <v>3</v>
      </c>
      <c r="B684">
        <v>2020</v>
      </c>
      <c r="C684" t="s">
        <v>6</v>
      </c>
      <c r="D684">
        <v>23528.03</v>
      </c>
      <c r="E684">
        <v>26354.400000000001</v>
      </c>
      <c r="F684">
        <v>29.26</v>
      </c>
      <c r="G684">
        <v>126.04</v>
      </c>
      <c r="H684">
        <f>E684*1000000/D684</f>
        <v>1120127.7795038514</v>
      </c>
      <c r="I684" t="str">
        <f>IF(AND(B684&gt;=2018, B684&lt;=2021), "2018-2021", IF(AND(B684&gt;=2022, B684&lt;=2024), "2022-2024", "Other"))</f>
        <v>2018-2021</v>
      </c>
    </row>
    <row r="685" spans="1:9" x14ac:dyDescent="0.3">
      <c r="A685" t="s">
        <v>3</v>
      </c>
      <c r="B685">
        <v>2024</v>
      </c>
      <c r="C685" t="s">
        <v>0</v>
      </c>
      <c r="D685">
        <v>10846.97</v>
      </c>
      <c r="E685">
        <v>10032.31</v>
      </c>
      <c r="F685">
        <v>45.76</v>
      </c>
      <c r="G685">
        <v>1099.76</v>
      </c>
      <c r="H685">
        <f>E685*1000000/D685</f>
        <v>924895.15505251708</v>
      </c>
      <c r="I685" t="str">
        <f>IF(AND(B685&gt;=2018, B685&lt;=2021), "2018-2021", IF(AND(B685&gt;=2022, B685&lt;=2024), "2022-2024", "Other"))</f>
        <v>2022-2024</v>
      </c>
    </row>
    <row r="686" spans="1:9" x14ac:dyDescent="0.3">
      <c r="A686" t="s">
        <v>3</v>
      </c>
      <c r="B686">
        <v>2021</v>
      </c>
      <c r="C686" t="s">
        <v>8</v>
      </c>
      <c r="D686">
        <v>42427.67</v>
      </c>
      <c r="E686">
        <v>42969.85</v>
      </c>
      <c r="F686">
        <v>133.84</v>
      </c>
      <c r="G686">
        <v>431.39</v>
      </c>
      <c r="H686">
        <f>E686*1000000/D686</f>
        <v>1012778.9246970197</v>
      </c>
      <c r="I686" t="str">
        <f>IF(AND(B686&gt;=2018, B686&lt;=2021), "2018-2021", IF(AND(B686&gt;=2022, B686&lt;=2024), "2022-2024", "Other"))</f>
        <v>2018-2021</v>
      </c>
    </row>
    <row r="687" spans="1:9" x14ac:dyDescent="0.3">
      <c r="A687" t="s">
        <v>24</v>
      </c>
      <c r="B687">
        <v>2023</v>
      </c>
      <c r="C687" t="s">
        <v>6</v>
      </c>
      <c r="D687">
        <v>14473.2</v>
      </c>
      <c r="E687">
        <v>12874.04</v>
      </c>
      <c r="F687">
        <v>112.53</v>
      </c>
      <c r="G687">
        <v>113.44</v>
      </c>
      <c r="H687">
        <f>E687*1000000/D687</f>
        <v>889508.88538816571</v>
      </c>
      <c r="I687" t="str">
        <f>IF(AND(B687&gt;=2018, B687&lt;=2021), "2018-2021", IF(AND(B687&gt;=2022, B687&lt;=2024), "2022-2024", "Other"))</f>
        <v>2022-2024</v>
      </c>
    </row>
    <row r="688" spans="1:9" x14ac:dyDescent="0.3">
      <c r="A688" t="s">
        <v>10</v>
      </c>
      <c r="B688">
        <v>2021</v>
      </c>
      <c r="C688" t="s">
        <v>14</v>
      </c>
      <c r="D688">
        <v>15835.41</v>
      </c>
      <c r="E688">
        <v>13294.51</v>
      </c>
      <c r="F688">
        <v>99.6</v>
      </c>
      <c r="G688">
        <v>931.71</v>
      </c>
      <c r="H688">
        <f>E688*1000000/D688</f>
        <v>839543.1504457416</v>
      </c>
      <c r="I688" t="str">
        <f>IF(AND(B688&gt;=2018, B688&lt;=2021), "2018-2021", IF(AND(B688&gt;=2022, B688&lt;=2024), "2022-2024", "Other"))</f>
        <v>2018-2021</v>
      </c>
    </row>
    <row r="689" spans="1:9" x14ac:dyDescent="0.3">
      <c r="A689" t="s">
        <v>25</v>
      </c>
      <c r="B689">
        <v>2022</v>
      </c>
      <c r="C689" t="s">
        <v>8</v>
      </c>
      <c r="D689">
        <v>32365.55</v>
      </c>
      <c r="E689">
        <v>27479.09</v>
      </c>
      <c r="F689">
        <v>191.92</v>
      </c>
      <c r="G689">
        <v>1218.2</v>
      </c>
      <c r="H689">
        <f>E689*1000000/D689</f>
        <v>849022.80356737331</v>
      </c>
      <c r="I689" t="str">
        <f>IF(AND(B689&gt;=2018, B689&lt;=2021), "2018-2021", IF(AND(B689&gt;=2022, B689&lt;=2024), "2022-2024", "Other"))</f>
        <v>2022-2024</v>
      </c>
    </row>
    <row r="690" spans="1:9" x14ac:dyDescent="0.3">
      <c r="A690" t="s">
        <v>1</v>
      </c>
      <c r="B690">
        <v>2023</v>
      </c>
      <c r="C690" t="s">
        <v>9</v>
      </c>
      <c r="D690">
        <v>20381.900000000001</v>
      </c>
      <c r="E690">
        <v>20085.37</v>
      </c>
      <c r="F690">
        <v>51.3</v>
      </c>
      <c r="G690">
        <v>654.89</v>
      </c>
      <c r="H690">
        <f>E690*1000000/D690</f>
        <v>985451.30728734797</v>
      </c>
      <c r="I690" t="str">
        <f>IF(AND(B690&gt;=2018, B690&lt;=2021), "2018-2021", IF(AND(B690&gt;=2022, B690&lt;=2024), "2022-2024", "Other"))</f>
        <v>2022-2024</v>
      </c>
    </row>
    <row r="691" spans="1:9" x14ac:dyDescent="0.3">
      <c r="A691" t="s">
        <v>17</v>
      </c>
      <c r="B691">
        <v>2019</v>
      </c>
      <c r="C691" t="s">
        <v>8</v>
      </c>
      <c r="D691">
        <v>5748.71</v>
      </c>
      <c r="E691">
        <v>6266.35</v>
      </c>
      <c r="F691">
        <v>133.37</v>
      </c>
      <c r="G691">
        <v>1255.1500000000001</v>
      </c>
      <c r="H691">
        <f>E691*1000000/D691</f>
        <v>1090044.549124934</v>
      </c>
      <c r="I691" t="str">
        <f>IF(AND(B691&gt;=2018, B691&lt;=2021), "2018-2021", IF(AND(B691&gt;=2022, B691&lt;=2024), "2022-2024", "Other"))</f>
        <v>2018-2021</v>
      </c>
    </row>
    <row r="692" spans="1:9" x14ac:dyDescent="0.3">
      <c r="A692" t="s">
        <v>11</v>
      </c>
      <c r="B692">
        <v>2019</v>
      </c>
      <c r="C692" t="s">
        <v>9</v>
      </c>
      <c r="D692">
        <v>40328</v>
      </c>
      <c r="E692">
        <v>37664.720000000001</v>
      </c>
      <c r="F692">
        <v>44.22</v>
      </c>
      <c r="G692">
        <v>223.33</v>
      </c>
      <c r="H692">
        <f>E692*1000000/D692</f>
        <v>933959.5318389209</v>
      </c>
      <c r="I692" t="str">
        <f>IF(AND(B692&gt;=2018, B692&lt;=2021), "2018-2021", IF(AND(B692&gt;=2022, B692&lt;=2024), "2022-2024", "Other"))</f>
        <v>2018-2021</v>
      </c>
    </row>
    <row r="693" spans="1:9" x14ac:dyDescent="0.3">
      <c r="A693" t="s">
        <v>19</v>
      </c>
      <c r="B693">
        <v>2021</v>
      </c>
      <c r="C693" t="s">
        <v>4</v>
      </c>
      <c r="D693">
        <v>16557.810000000001</v>
      </c>
      <c r="E693">
        <v>18891.23</v>
      </c>
      <c r="F693">
        <v>23.44</v>
      </c>
      <c r="G693">
        <v>431.46</v>
      </c>
      <c r="H693">
        <f>E693*1000000/D693</f>
        <v>1140925.6417364373</v>
      </c>
      <c r="I693" t="str">
        <f>IF(AND(B693&gt;=2018, B693&lt;=2021), "2018-2021", IF(AND(B693&gt;=2022, B693&lt;=2024), "2022-2024", "Other"))</f>
        <v>2018-2021</v>
      </c>
    </row>
    <row r="694" spans="1:9" x14ac:dyDescent="0.3">
      <c r="A694" t="s">
        <v>17</v>
      </c>
      <c r="B694">
        <v>2022</v>
      </c>
      <c r="C694" t="s">
        <v>0</v>
      </c>
      <c r="D694">
        <v>43533.11</v>
      </c>
      <c r="E694">
        <v>42609.120000000003</v>
      </c>
      <c r="F694">
        <v>100</v>
      </c>
      <c r="G694">
        <v>729.14</v>
      </c>
      <c r="H694">
        <f>E694*1000000/D694</f>
        <v>978775.00596672273</v>
      </c>
      <c r="I694" t="str">
        <f>IF(AND(B694&gt;=2018, B694&lt;=2021), "2018-2021", IF(AND(B694&gt;=2022, B694&lt;=2024), "2022-2024", "Other"))</f>
        <v>2022-2024</v>
      </c>
    </row>
    <row r="695" spans="1:9" x14ac:dyDescent="0.3">
      <c r="A695" t="s">
        <v>22</v>
      </c>
      <c r="B695">
        <v>2019</v>
      </c>
      <c r="C695" t="s">
        <v>4</v>
      </c>
      <c r="D695">
        <v>46093.27</v>
      </c>
      <c r="E695">
        <v>40675.22</v>
      </c>
      <c r="F695">
        <v>119.95</v>
      </c>
      <c r="G695">
        <v>1162.54</v>
      </c>
      <c r="H695">
        <f>E695*1000000/D695</f>
        <v>882454.64034120389</v>
      </c>
      <c r="I695" t="str">
        <f>IF(AND(B695&gt;=2018, B695&lt;=2021), "2018-2021", IF(AND(B695&gt;=2022, B695&lt;=2024), "2022-2024", "Other"))</f>
        <v>2018-2021</v>
      </c>
    </row>
    <row r="696" spans="1:9" x14ac:dyDescent="0.3">
      <c r="A696" t="s">
        <v>17</v>
      </c>
      <c r="B696">
        <v>2020</v>
      </c>
      <c r="C696" t="s">
        <v>12</v>
      </c>
      <c r="D696">
        <v>3092.34</v>
      </c>
      <c r="E696">
        <v>3485.97</v>
      </c>
      <c r="F696">
        <v>118.56</v>
      </c>
      <c r="G696">
        <v>1112.06</v>
      </c>
      <c r="H696">
        <f>E696*1000000/D696</f>
        <v>1127291.9536661557</v>
      </c>
      <c r="I696" t="str">
        <f>IF(AND(B696&gt;=2018, B696&lt;=2021), "2018-2021", IF(AND(B696&gt;=2022, B696&lt;=2024), "2022-2024", "Other"))</f>
        <v>2018-2021</v>
      </c>
    </row>
    <row r="697" spans="1:9" x14ac:dyDescent="0.3">
      <c r="A697" t="s">
        <v>26</v>
      </c>
      <c r="B697">
        <v>2020</v>
      </c>
      <c r="C697" t="s">
        <v>2</v>
      </c>
      <c r="D697">
        <v>4731.2</v>
      </c>
      <c r="E697">
        <v>3892.21</v>
      </c>
      <c r="F697">
        <v>189.07</v>
      </c>
      <c r="G697">
        <v>798.61</v>
      </c>
      <c r="H697">
        <f>E697*1000000/D697</f>
        <v>822668.66756848164</v>
      </c>
      <c r="I697" t="str">
        <f>IF(AND(B697&gt;=2018, B697&lt;=2021), "2018-2021", IF(AND(B697&gt;=2022, B697&lt;=2024), "2022-2024", "Other"))</f>
        <v>2018-2021</v>
      </c>
    </row>
    <row r="698" spans="1:9" x14ac:dyDescent="0.3">
      <c r="A698" t="s">
        <v>27</v>
      </c>
      <c r="B698">
        <v>2020</v>
      </c>
      <c r="C698" t="s">
        <v>8</v>
      </c>
      <c r="D698">
        <v>16302.75</v>
      </c>
      <c r="E698">
        <v>13133.25</v>
      </c>
      <c r="F698">
        <v>174.93</v>
      </c>
      <c r="G698">
        <v>610.6</v>
      </c>
      <c r="H698">
        <f>E698*1000000/D698</f>
        <v>805584.94732483779</v>
      </c>
      <c r="I698" t="str">
        <f>IF(AND(B698&gt;=2018, B698&lt;=2021), "2018-2021", IF(AND(B698&gt;=2022, B698&lt;=2024), "2022-2024", "Other"))</f>
        <v>2018-2021</v>
      </c>
    </row>
    <row r="699" spans="1:9" x14ac:dyDescent="0.3">
      <c r="A699" t="s">
        <v>17</v>
      </c>
      <c r="B699">
        <v>2018</v>
      </c>
      <c r="C699" t="s">
        <v>14</v>
      </c>
      <c r="D699">
        <v>16533.400000000001</v>
      </c>
      <c r="E699">
        <v>14169.22</v>
      </c>
      <c r="F699">
        <v>168.61</v>
      </c>
      <c r="G699">
        <v>766.69</v>
      </c>
      <c r="H699">
        <f>E699*1000000/D699</f>
        <v>857005.81852492527</v>
      </c>
      <c r="I699" t="str">
        <f>IF(AND(B699&gt;=2018, B699&lt;=2021), "2018-2021", IF(AND(B699&gt;=2022, B699&lt;=2024), "2022-2024", "Other"))</f>
        <v>2018-2021</v>
      </c>
    </row>
    <row r="700" spans="1:9" x14ac:dyDescent="0.3">
      <c r="A700" t="s">
        <v>20</v>
      </c>
      <c r="B700">
        <v>2019</v>
      </c>
      <c r="C700" t="s">
        <v>2</v>
      </c>
      <c r="D700">
        <v>26278.87</v>
      </c>
      <c r="E700">
        <v>23864.95</v>
      </c>
      <c r="F700">
        <v>63.04</v>
      </c>
      <c r="G700">
        <v>881.57</v>
      </c>
      <c r="H700">
        <f>E700*1000000/D700</f>
        <v>908142.16897454113</v>
      </c>
      <c r="I700" t="str">
        <f>IF(AND(B700&gt;=2018, B700&lt;=2021), "2018-2021", IF(AND(B700&gt;=2022, B700&lt;=2024), "2022-2024", "Other"))</f>
        <v>2018-2021</v>
      </c>
    </row>
    <row r="701" spans="1:9" x14ac:dyDescent="0.3">
      <c r="A701" t="s">
        <v>26</v>
      </c>
      <c r="B701">
        <v>2022</v>
      </c>
      <c r="C701" t="s">
        <v>12</v>
      </c>
      <c r="D701">
        <v>38657.089999999997</v>
      </c>
      <c r="E701">
        <v>36583.54</v>
      </c>
      <c r="F701">
        <v>67.33</v>
      </c>
      <c r="G701">
        <v>1013.78</v>
      </c>
      <c r="H701">
        <f>E701*1000000/D701</f>
        <v>946360.42185275722</v>
      </c>
      <c r="I701" t="str">
        <f>IF(AND(B701&gt;=2018, B701&lt;=2021), "2018-2021", IF(AND(B701&gt;=2022, B701&lt;=2024), "2022-2024", "Other"))</f>
        <v>2022-2024</v>
      </c>
    </row>
    <row r="702" spans="1:9" x14ac:dyDescent="0.3">
      <c r="A702" t="s">
        <v>26</v>
      </c>
      <c r="B702">
        <v>2021</v>
      </c>
      <c r="C702" t="s">
        <v>4</v>
      </c>
      <c r="D702">
        <v>47835.45</v>
      </c>
      <c r="E702">
        <v>49884.39</v>
      </c>
      <c r="F702">
        <v>151.93</v>
      </c>
      <c r="G702">
        <v>1164.3499999999999</v>
      </c>
      <c r="H702">
        <f>E702*1000000/D702</f>
        <v>1042833.0871769786</v>
      </c>
      <c r="I702" t="str">
        <f>IF(AND(B702&gt;=2018, B702&lt;=2021), "2018-2021", IF(AND(B702&gt;=2022, B702&lt;=2024), "2022-2024", "Other"))</f>
        <v>2018-2021</v>
      </c>
    </row>
    <row r="703" spans="1:9" x14ac:dyDescent="0.3">
      <c r="A703" t="s">
        <v>26</v>
      </c>
      <c r="B703">
        <v>2019</v>
      </c>
      <c r="C703" t="s">
        <v>2</v>
      </c>
      <c r="D703">
        <v>9916.26</v>
      </c>
      <c r="E703">
        <v>11592.97</v>
      </c>
      <c r="F703">
        <v>168.12</v>
      </c>
      <c r="G703">
        <v>519.82000000000005</v>
      </c>
      <c r="H703">
        <f>E703*1000000/D703</f>
        <v>1169086.9339851919</v>
      </c>
      <c r="I703" t="str">
        <f>IF(AND(B703&gt;=2018, B703&lt;=2021), "2018-2021", IF(AND(B703&gt;=2022, B703&lt;=2024), "2022-2024", "Other"))</f>
        <v>2018-2021</v>
      </c>
    </row>
    <row r="704" spans="1:9" x14ac:dyDescent="0.3">
      <c r="A704" t="s">
        <v>5</v>
      </c>
      <c r="B704">
        <v>2024</v>
      </c>
      <c r="C704" t="s">
        <v>4</v>
      </c>
      <c r="D704">
        <v>23632.77</v>
      </c>
      <c r="E704">
        <v>22368.76</v>
      </c>
      <c r="F704">
        <v>83.34</v>
      </c>
      <c r="G704">
        <v>39.28</v>
      </c>
      <c r="H704">
        <f>E704*1000000/D704</f>
        <v>946514.52199636353</v>
      </c>
      <c r="I704" t="str">
        <f>IF(AND(B704&gt;=2018, B704&lt;=2021), "2018-2021", IF(AND(B704&gt;=2022, B704&lt;=2024), "2022-2024", "Other"))</f>
        <v>2022-2024</v>
      </c>
    </row>
    <row r="705" spans="1:9" x14ac:dyDescent="0.3">
      <c r="A705" t="s">
        <v>17</v>
      </c>
      <c r="B705">
        <v>2022</v>
      </c>
      <c r="C705" t="s">
        <v>9</v>
      </c>
      <c r="D705">
        <v>1746.66</v>
      </c>
      <c r="E705">
        <v>1480.35</v>
      </c>
      <c r="F705">
        <v>104.05</v>
      </c>
      <c r="G705">
        <v>873.39</v>
      </c>
      <c r="H705">
        <f>E705*1000000/D705</f>
        <v>847531.86080862896</v>
      </c>
      <c r="I705" t="str">
        <f>IF(AND(B705&gt;=2018, B705&lt;=2021), "2018-2021", IF(AND(B705&gt;=2022, B705&lt;=2024), "2022-2024", "Other"))</f>
        <v>2022-2024</v>
      </c>
    </row>
    <row r="706" spans="1:9" x14ac:dyDescent="0.3">
      <c r="A706" t="s">
        <v>10</v>
      </c>
      <c r="B706">
        <v>2021</v>
      </c>
      <c r="C706" t="s">
        <v>6</v>
      </c>
      <c r="D706">
        <v>19252.09</v>
      </c>
      <c r="E706">
        <v>21204.560000000001</v>
      </c>
      <c r="F706">
        <v>114.12</v>
      </c>
      <c r="G706">
        <v>447.44</v>
      </c>
      <c r="H706">
        <f>E706*1000000/D706</f>
        <v>1101416.0021067841</v>
      </c>
      <c r="I706" t="str">
        <f>IF(AND(B706&gt;=2018, B706&lt;=2021), "2018-2021", IF(AND(B706&gt;=2022, B706&lt;=2024), "2022-2024", "Other"))</f>
        <v>2018-2021</v>
      </c>
    </row>
    <row r="707" spans="1:9" x14ac:dyDescent="0.3">
      <c r="A707" t="s">
        <v>26</v>
      </c>
      <c r="B707">
        <v>2022</v>
      </c>
      <c r="C707" t="s">
        <v>14</v>
      </c>
      <c r="D707">
        <v>41031.17</v>
      </c>
      <c r="E707">
        <v>41606</v>
      </c>
      <c r="F707">
        <v>198.76</v>
      </c>
      <c r="G707">
        <v>1379.01</v>
      </c>
      <c r="H707">
        <f>E707*1000000/D707</f>
        <v>1014009.5931946372</v>
      </c>
      <c r="I707" t="str">
        <f>IF(AND(B707&gt;=2018, B707&lt;=2021), "2018-2021", IF(AND(B707&gt;=2022, B707&lt;=2024), "2022-2024", "Other"))</f>
        <v>2022-2024</v>
      </c>
    </row>
    <row r="708" spans="1:9" x14ac:dyDescent="0.3">
      <c r="A708" t="s">
        <v>7</v>
      </c>
      <c r="B708">
        <v>2021</v>
      </c>
      <c r="C708" t="s">
        <v>14</v>
      </c>
      <c r="D708">
        <v>30286.7</v>
      </c>
      <c r="E708">
        <v>29077.279999999999</v>
      </c>
      <c r="F708">
        <v>105.28</v>
      </c>
      <c r="G708">
        <v>465.6</v>
      </c>
      <c r="H708">
        <f>E708*1000000/D708</f>
        <v>960067.62044065539</v>
      </c>
      <c r="I708" t="str">
        <f>IF(AND(B708&gt;=2018, B708&lt;=2021), "2018-2021", IF(AND(B708&gt;=2022, B708&lt;=2024), "2022-2024", "Other"))</f>
        <v>2018-2021</v>
      </c>
    </row>
    <row r="709" spans="1:9" x14ac:dyDescent="0.3">
      <c r="A709" t="s">
        <v>11</v>
      </c>
      <c r="B709">
        <v>2023</v>
      </c>
      <c r="C709" t="s">
        <v>2</v>
      </c>
      <c r="D709">
        <v>17647.73</v>
      </c>
      <c r="E709">
        <v>18779.23</v>
      </c>
      <c r="F709">
        <v>121.14</v>
      </c>
      <c r="G709">
        <v>958.1</v>
      </c>
      <c r="H709">
        <f>E709*1000000/D709</f>
        <v>1064115.8947921349</v>
      </c>
      <c r="I709" t="str">
        <f>IF(AND(B709&gt;=2018, B709&lt;=2021), "2018-2021", IF(AND(B709&gt;=2022, B709&lt;=2024), "2022-2024", "Other"))</f>
        <v>2022-2024</v>
      </c>
    </row>
    <row r="710" spans="1:9" x14ac:dyDescent="0.3">
      <c r="A710" t="s">
        <v>10</v>
      </c>
      <c r="B710">
        <v>2021</v>
      </c>
      <c r="C710" t="s">
        <v>9</v>
      </c>
      <c r="D710">
        <v>43069.52</v>
      </c>
      <c r="E710">
        <v>37488.26</v>
      </c>
      <c r="F710">
        <v>29.25</v>
      </c>
      <c r="G710">
        <v>1002.24</v>
      </c>
      <c r="H710">
        <f>E710*1000000/D710</f>
        <v>870412.76522236608</v>
      </c>
      <c r="I710" t="str">
        <f>IF(AND(B710&gt;=2018, B710&lt;=2021), "2018-2021", IF(AND(B710&gt;=2022, B710&lt;=2024), "2022-2024", "Other"))</f>
        <v>2018-2021</v>
      </c>
    </row>
    <row r="711" spans="1:9" x14ac:dyDescent="0.3">
      <c r="A711" t="s">
        <v>21</v>
      </c>
      <c r="B711">
        <v>2020</v>
      </c>
      <c r="C711" t="s">
        <v>9</v>
      </c>
      <c r="D711">
        <v>47333.67</v>
      </c>
      <c r="E711">
        <v>50584.97</v>
      </c>
      <c r="F711">
        <v>85</v>
      </c>
      <c r="G711">
        <v>1328.02</v>
      </c>
      <c r="H711">
        <f>E711*1000000/D711</f>
        <v>1068688.9480574823</v>
      </c>
      <c r="I711" t="str">
        <f>IF(AND(B711&gt;=2018, B711&lt;=2021), "2018-2021", IF(AND(B711&gt;=2022, B711&lt;=2024), "2022-2024", "Other"))</f>
        <v>2018-2021</v>
      </c>
    </row>
    <row r="712" spans="1:9" x14ac:dyDescent="0.3">
      <c r="A712" t="s">
        <v>23</v>
      </c>
      <c r="B712">
        <v>2018</v>
      </c>
      <c r="C712" t="s">
        <v>9</v>
      </c>
      <c r="D712">
        <v>38344.76</v>
      </c>
      <c r="E712">
        <v>38343.99</v>
      </c>
      <c r="F712">
        <v>176.9</v>
      </c>
      <c r="G712">
        <v>1012.62</v>
      </c>
      <c r="H712">
        <f>E712*1000000/D712</f>
        <v>999979.91902935365</v>
      </c>
      <c r="I712" t="str">
        <f>IF(AND(B712&gt;=2018, B712&lt;=2021), "2018-2021", IF(AND(B712&gt;=2022, B712&lt;=2024), "2022-2024", "Other"))</f>
        <v>2018-2021</v>
      </c>
    </row>
    <row r="713" spans="1:9" x14ac:dyDescent="0.3">
      <c r="A713" t="s">
        <v>18</v>
      </c>
      <c r="B713">
        <v>2020</v>
      </c>
      <c r="C713" t="s">
        <v>0</v>
      </c>
      <c r="D713">
        <v>18128.419999999998</v>
      </c>
      <c r="E713">
        <v>16756.25</v>
      </c>
      <c r="F713">
        <v>104.88</v>
      </c>
      <c r="G713">
        <v>430.89</v>
      </c>
      <c r="H713">
        <f>E713*1000000/D713</f>
        <v>924308.35119662946</v>
      </c>
      <c r="I713" t="str">
        <f>IF(AND(B713&gt;=2018, B713&lt;=2021), "2018-2021", IF(AND(B713&gt;=2022, B713&lt;=2024), "2022-2024", "Other"))</f>
        <v>2018-2021</v>
      </c>
    </row>
    <row r="714" spans="1:9" x14ac:dyDescent="0.3">
      <c r="A714" t="s">
        <v>21</v>
      </c>
      <c r="B714">
        <v>2018</v>
      </c>
      <c r="C714" t="s">
        <v>9</v>
      </c>
      <c r="D714">
        <v>17583.939999999999</v>
      </c>
      <c r="E714">
        <v>20555.060000000001</v>
      </c>
      <c r="F714">
        <v>109.29</v>
      </c>
      <c r="G714">
        <v>432.98</v>
      </c>
      <c r="H714">
        <f>E714*1000000/D714</f>
        <v>1168967.8194989292</v>
      </c>
      <c r="I714" t="str">
        <f>IF(AND(B714&gt;=2018, B714&lt;=2021), "2018-2021", IF(AND(B714&gt;=2022, B714&lt;=2024), "2022-2024", "Other"))</f>
        <v>2018-2021</v>
      </c>
    </row>
    <row r="715" spans="1:9" x14ac:dyDescent="0.3">
      <c r="A715" t="s">
        <v>7</v>
      </c>
      <c r="B715">
        <v>2022</v>
      </c>
      <c r="C715" t="s">
        <v>14</v>
      </c>
      <c r="D715">
        <v>17070.669999999998</v>
      </c>
      <c r="E715">
        <v>19787.98</v>
      </c>
      <c r="F715">
        <v>170.23</v>
      </c>
      <c r="G715">
        <v>216.56</v>
      </c>
      <c r="H715">
        <f>E715*1000000/D715</f>
        <v>1159180.0438998588</v>
      </c>
      <c r="I715" t="str">
        <f>IF(AND(B715&gt;=2018, B715&lt;=2021), "2018-2021", IF(AND(B715&gt;=2022, B715&lt;=2024), "2022-2024", "Other"))</f>
        <v>2022-2024</v>
      </c>
    </row>
    <row r="716" spans="1:9" x14ac:dyDescent="0.3">
      <c r="A716" t="s">
        <v>15</v>
      </c>
      <c r="B716">
        <v>2024</v>
      </c>
      <c r="C716" t="s">
        <v>9</v>
      </c>
      <c r="D716">
        <v>26229.040000000001</v>
      </c>
      <c r="E716">
        <v>24689.61</v>
      </c>
      <c r="F716">
        <v>152.53</v>
      </c>
      <c r="G716">
        <v>361.3</v>
      </c>
      <c r="H716">
        <f>E716*1000000/D716</f>
        <v>941308.1836010773</v>
      </c>
      <c r="I716" t="str">
        <f>IF(AND(B716&gt;=2018, B716&lt;=2021), "2018-2021", IF(AND(B716&gt;=2022, B716&lt;=2024), "2022-2024", "Other"))</f>
        <v>2022-2024</v>
      </c>
    </row>
    <row r="717" spans="1:9" x14ac:dyDescent="0.3">
      <c r="A717" t="s">
        <v>11</v>
      </c>
      <c r="B717">
        <v>2020</v>
      </c>
      <c r="C717" t="s">
        <v>2</v>
      </c>
      <c r="D717">
        <v>13833.36</v>
      </c>
      <c r="E717">
        <v>13544.7</v>
      </c>
      <c r="F717">
        <v>64.58</v>
      </c>
      <c r="G717">
        <v>727.8</v>
      </c>
      <c r="H717">
        <f>E717*1000000/D717</f>
        <v>979133.05227363412</v>
      </c>
      <c r="I717" t="str">
        <f>IF(AND(B717&gt;=2018, B717&lt;=2021), "2018-2021", IF(AND(B717&gt;=2022, B717&lt;=2024), "2022-2024", "Other"))</f>
        <v>2018-2021</v>
      </c>
    </row>
    <row r="718" spans="1:9" x14ac:dyDescent="0.3">
      <c r="A718" t="s">
        <v>19</v>
      </c>
      <c r="B718">
        <v>2022</v>
      </c>
      <c r="C718" t="s">
        <v>6</v>
      </c>
      <c r="D718">
        <v>39270.11</v>
      </c>
      <c r="E718">
        <v>33056.94</v>
      </c>
      <c r="F718">
        <v>67.81</v>
      </c>
      <c r="G718">
        <v>368.05</v>
      </c>
      <c r="H718">
        <f>E718*1000000/D718</f>
        <v>841783.73831904226</v>
      </c>
      <c r="I718" t="str">
        <f>IF(AND(B718&gt;=2018, B718&lt;=2021), "2018-2021", IF(AND(B718&gt;=2022, B718&lt;=2024), "2022-2024", "Other"))</f>
        <v>2022-2024</v>
      </c>
    </row>
    <row r="719" spans="1:9" x14ac:dyDescent="0.3">
      <c r="A719" t="s">
        <v>1</v>
      </c>
      <c r="B719">
        <v>2023</v>
      </c>
      <c r="C719" t="s">
        <v>9</v>
      </c>
      <c r="D719">
        <v>692.3</v>
      </c>
      <c r="E719">
        <v>823.34</v>
      </c>
      <c r="F719">
        <v>177.65</v>
      </c>
      <c r="G719">
        <v>175.57</v>
      </c>
      <c r="H719">
        <f>E719*1000000/D719</f>
        <v>1189282.1031344794</v>
      </c>
      <c r="I719" t="str">
        <f>IF(AND(B719&gt;=2018, B719&lt;=2021), "2018-2021", IF(AND(B719&gt;=2022, B719&lt;=2024), "2022-2024", "Other"))</f>
        <v>2022-2024</v>
      </c>
    </row>
    <row r="720" spans="1:9" x14ac:dyDescent="0.3">
      <c r="A720" t="s">
        <v>1</v>
      </c>
      <c r="B720">
        <v>2021</v>
      </c>
      <c r="C720" t="s">
        <v>6</v>
      </c>
      <c r="D720">
        <v>35983.910000000003</v>
      </c>
      <c r="E720">
        <v>32823.22</v>
      </c>
      <c r="F720">
        <v>26.35</v>
      </c>
      <c r="G720">
        <v>983.65</v>
      </c>
      <c r="H720">
        <f>E720*1000000/D720</f>
        <v>912163.79765289533</v>
      </c>
      <c r="I720" t="str">
        <f>IF(AND(B720&gt;=2018, B720&lt;=2021), "2018-2021", IF(AND(B720&gt;=2022, B720&lt;=2024), "2022-2024", "Other"))</f>
        <v>2018-2021</v>
      </c>
    </row>
    <row r="721" spans="1:9" x14ac:dyDescent="0.3">
      <c r="A721" t="s">
        <v>15</v>
      </c>
      <c r="B721">
        <v>2018</v>
      </c>
      <c r="C721" t="s">
        <v>4</v>
      </c>
      <c r="D721">
        <v>18612.96</v>
      </c>
      <c r="E721">
        <v>19427.45</v>
      </c>
      <c r="F721">
        <v>42.69</v>
      </c>
      <c r="G721">
        <v>1355.27</v>
      </c>
      <c r="H721">
        <f>E721*1000000/D721</f>
        <v>1043759.2945990321</v>
      </c>
      <c r="I721" t="str">
        <f>IF(AND(B721&gt;=2018, B721&lt;=2021), "2018-2021", IF(AND(B721&gt;=2022, B721&lt;=2024), "2022-2024", "Other"))</f>
        <v>2018-2021</v>
      </c>
    </row>
    <row r="722" spans="1:9" x14ac:dyDescent="0.3">
      <c r="A722" t="s">
        <v>25</v>
      </c>
      <c r="B722">
        <v>2018</v>
      </c>
      <c r="C722" t="s">
        <v>4</v>
      </c>
      <c r="D722">
        <v>25849.34</v>
      </c>
      <c r="E722">
        <v>24973.599999999999</v>
      </c>
      <c r="F722">
        <v>34.31</v>
      </c>
      <c r="G722">
        <v>797.25</v>
      </c>
      <c r="H722">
        <f>E722*1000000/D722</f>
        <v>966121.37872765807</v>
      </c>
      <c r="I722" t="str">
        <f>IF(AND(B722&gt;=2018, B722&lt;=2021), "2018-2021", IF(AND(B722&gt;=2022, B722&lt;=2024), "2022-2024", "Other"))</f>
        <v>2018-2021</v>
      </c>
    </row>
    <row r="723" spans="1:9" x14ac:dyDescent="0.3">
      <c r="A723" t="s">
        <v>1</v>
      </c>
      <c r="B723">
        <v>2022</v>
      </c>
      <c r="C723" t="s">
        <v>2</v>
      </c>
      <c r="D723">
        <v>41661.370000000003</v>
      </c>
      <c r="E723">
        <v>46602.71</v>
      </c>
      <c r="F723">
        <v>148.49</v>
      </c>
      <c r="G723">
        <v>1234.67</v>
      </c>
      <c r="H723">
        <f>E723*1000000/D723</f>
        <v>1118607.2373520122</v>
      </c>
      <c r="I723" t="str">
        <f>IF(AND(B723&gt;=2018, B723&lt;=2021), "2018-2021", IF(AND(B723&gt;=2022, B723&lt;=2024), "2022-2024", "Other"))</f>
        <v>2022-2024</v>
      </c>
    </row>
    <row r="724" spans="1:9" x14ac:dyDescent="0.3">
      <c r="A724" t="s">
        <v>19</v>
      </c>
      <c r="B724">
        <v>2018</v>
      </c>
      <c r="C724" t="s">
        <v>8</v>
      </c>
      <c r="D724">
        <v>44062.69</v>
      </c>
      <c r="E724">
        <v>40962.720000000001</v>
      </c>
      <c r="F724">
        <v>163.08000000000001</v>
      </c>
      <c r="G724">
        <v>105.88</v>
      </c>
      <c r="H724">
        <f>E724*1000000/D724</f>
        <v>929646.37429081148</v>
      </c>
      <c r="I724" t="str">
        <f>IF(AND(B724&gt;=2018, B724&lt;=2021), "2018-2021", IF(AND(B724&gt;=2022, B724&lt;=2024), "2022-2024", "Other"))</f>
        <v>2018-2021</v>
      </c>
    </row>
    <row r="725" spans="1:9" x14ac:dyDescent="0.3">
      <c r="A725" t="s">
        <v>19</v>
      </c>
      <c r="B725">
        <v>2024</v>
      </c>
      <c r="C725" t="s">
        <v>4</v>
      </c>
      <c r="D725">
        <v>31935.65</v>
      </c>
      <c r="E725">
        <v>27163.23</v>
      </c>
      <c r="F725">
        <v>121.64</v>
      </c>
      <c r="G725">
        <v>776.33</v>
      </c>
      <c r="H725">
        <f>E725*1000000/D725</f>
        <v>850561.36324139324</v>
      </c>
      <c r="I725" t="str">
        <f>IF(AND(B725&gt;=2018, B725&lt;=2021), "2018-2021", IF(AND(B725&gt;=2022, B725&lt;=2024), "2022-2024", "Other"))</f>
        <v>2022-2024</v>
      </c>
    </row>
    <row r="726" spans="1:9" x14ac:dyDescent="0.3">
      <c r="A726" t="s">
        <v>7</v>
      </c>
      <c r="B726">
        <v>2021</v>
      </c>
      <c r="C726" t="s">
        <v>6</v>
      </c>
      <c r="D726">
        <v>13173.08</v>
      </c>
      <c r="E726">
        <v>11332.58</v>
      </c>
      <c r="F726">
        <v>119.06</v>
      </c>
      <c r="G726">
        <v>1106.48</v>
      </c>
      <c r="H726">
        <f>E726*1000000/D726</f>
        <v>860283.2443134028</v>
      </c>
      <c r="I726" t="str">
        <f>IF(AND(B726&gt;=2018, B726&lt;=2021), "2018-2021", IF(AND(B726&gt;=2022, B726&lt;=2024), "2022-2024", "Other"))</f>
        <v>2018-2021</v>
      </c>
    </row>
    <row r="727" spans="1:9" x14ac:dyDescent="0.3">
      <c r="A727" t="s">
        <v>23</v>
      </c>
      <c r="B727">
        <v>2021</v>
      </c>
      <c r="C727" t="s">
        <v>0</v>
      </c>
      <c r="D727">
        <v>38807.86</v>
      </c>
      <c r="E727">
        <v>33303.360000000001</v>
      </c>
      <c r="F727">
        <v>120.93</v>
      </c>
      <c r="G727">
        <v>295.33999999999997</v>
      </c>
      <c r="H727">
        <f>E727*1000000/D727</f>
        <v>858160.17683015764</v>
      </c>
      <c r="I727" t="str">
        <f>IF(AND(B727&gt;=2018, B727&lt;=2021), "2018-2021", IF(AND(B727&gt;=2022, B727&lt;=2024), "2022-2024", "Other"))</f>
        <v>2018-2021</v>
      </c>
    </row>
    <row r="728" spans="1:9" x14ac:dyDescent="0.3">
      <c r="A728" t="s">
        <v>17</v>
      </c>
      <c r="B728">
        <v>2019</v>
      </c>
      <c r="C728" t="s">
        <v>6</v>
      </c>
      <c r="D728">
        <v>35944.75</v>
      </c>
      <c r="E728">
        <v>32280.28</v>
      </c>
      <c r="F728">
        <v>145.01</v>
      </c>
      <c r="G728">
        <v>1067.04</v>
      </c>
      <c r="H728">
        <f>E728*1000000/D728</f>
        <v>898052.70588889893</v>
      </c>
      <c r="I728" t="str">
        <f>IF(AND(B728&gt;=2018, B728&lt;=2021), "2018-2021", IF(AND(B728&gt;=2022, B728&lt;=2024), "2022-2024", "Other"))</f>
        <v>2018-2021</v>
      </c>
    </row>
    <row r="729" spans="1:9" x14ac:dyDescent="0.3">
      <c r="A729" t="s">
        <v>15</v>
      </c>
      <c r="B729">
        <v>2020</v>
      </c>
      <c r="C729" t="s">
        <v>12</v>
      </c>
      <c r="D729">
        <v>32102.11</v>
      </c>
      <c r="E729">
        <v>35880.14</v>
      </c>
      <c r="F729">
        <v>87.98</v>
      </c>
      <c r="G729">
        <v>1322.73</v>
      </c>
      <c r="H729">
        <f>E729*1000000/D729</f>
        <v>1117687.9027577939</v>
      </c>
      <c r="I729" t="str">
        <f>IF(AND(B729&gt;=2018, B729&lt;=2021), "2018-2021", IF(AND(B729&gt;=2022, B729&lt;=2024), "2022-2024", "Other"))</f>
        <v>2018-2021</v>
      </c>
    </row>
    <row r="730" spans="1:9" x14ac:dyDescent="0.3">
      <c r="A730" t="s">
        <v>17</v>
      </c>
      <c r="B730">
        <v>2021</v>
      </c>
      <c r="C730" t="s">
        <v>12</v>
      </c>
      <c r="D730">
        <v>47993.43</v>
      </c>
      <c r="E730">
        <v>40894.14</v>
      </c>
      <c r="F730">
        <v>89.28</v>
      </c>
      <c r="G730">
        <v>932.01</v>
      </c>
      <c r="H730">
        <f>E730*1000000/D730</f>
        <v>852077.87815957307</v>
      </c>
      <c r="I730" t="str">
        <f>IF(AND(B730&gt;=2018, B730&lt;=2021), "2018-2021", IF(AND(B730&gt;=2022, B730&lt;=2024), "2022-2024", "Other"))</f>
        <v>2018-2021</v>
      </c>
    </row>
    <row r="731" spans="1:9" x14ac:dyDescent="0.3">
      <c r="A731" t="s">
        <v>22</v>
      </c>
      <c r="B731">
        <v>2020</v>
      </c>
      <c r="C731" t="s">
        <v>4</v>
      </c>
      <c r="D731">
        <v>28261.040000000001</v>
      </c>
      <c r="E731">
        <v>30809.279999999999</v>
      </c>
      <c r="F731">
        <v>107.85</v>
      </c>
      <c r="G731">
        <v>1292.2</v>
      </c>
      <c r="H731">
        <f>E731*1000000/D731</f>
        <v>1090167.9485256027</v>
      </c>
      <c r="I731" t="str">
        <f>IF(AND(B731&gt;=2018, B731&lt;=2021), "2018-2021", IF(AND(B731&gt;=2022, B731&lt;=2024), "2022-2024", "Other"))</f>
        <v>2018-2021</v>
      </c>
    </row>
    <row r="732" spans="1:9" x14ac:dyDescent="0.3">
      <c r="A732" t="s">
        <v>3</v>
      </c>
      <c r="B732">
        <v>2020</v>
      </c>
      <c r="C732" t="s">
        <v>6</v>
      </c>
      <c r="D732">
        <v>16118.96</v>
      </c>
      <c r="E732">
        <v>13978.13</v>
      </c>
      <c r="F732">
        <v>97.51</v>
      </c>
      <c r="G732">
        <v>1059.7</v>
      </c>
      <c r="H732">
        <f>E732*1000000/D732</f>
        <v>867185.6000635277</v>
      </c>
      <c r="I732" t="str">
        <f>IF(AND(B732&gt;=2018, B732&lt;=2021), "2018-2021", IF(AND(B732&gt;=2022, B732&lt;=2024), "2022-2024", "Other"))</f>
        <v>2018-2021</v>
      </c>
    </row>
    <row r="733" spans="1:9" x14ac:dyDescent="0.3">
      <c r="A733" t="s">
        <v>20</v>
      </c>
      <c r="B733">
        <v>2021</v>
      </c>
      <c r="C733" t="s">
        <v>2</v>
      </c>
      <c r="D733">
        <v>45793.5</v>
      </c>
      <c r="E733">
        <v>41233</v>
      </c>
      <c r="F733">
        <v>179.37</v>
      </c>
      <c r="G733">
        <v>1161.6300000000001</v>
      </c>
      <c r="H733">
        <f>E733*1000000/D733</f>
        <v>900411.63047157344</v>
      </c>
      <c r="I733" t="str">
        <f>IF(AND(B733&gt;=2018, B733&lt;=2021), "2018-2021", IF(AND(B733&gt;=2022, B733&lt;=2024), "2022-2024", "Other"))</f>
        <v>2018-2021</v>
      </c>
    </row>
    <row r="734" spans="1:9" x14ac:dyDescent="0.3">
      <c r="A734" t="s">
        <v>10</v>
      </c>
      <c r="B734">
        <v>2022</v>
      </c>
      <c r="C734" t="s">
        <v>6</v>
      </c>
      <c r="D734">
        <v>45377.13</v>
      </c>
      <c r="E734">
        <v>37742</v>
      </c>
      <c r="F734">
        <v>155.56</v>
      </c>
      <c r="G734">
        <v>680.98</v>
      </c>
      <c r="H734">
        <f>E734*1000000/D734</f>
        <v>831740.57063547219</v>
      </c>
      <c r="I734" t="str">
        <f>IF(AND(B734&gt;=2018, B734&lt;=2021), "2018-2021", IF(AND(B734&gt;=2022, B734&lt;=2024), "2022-2024", "Other"))</f>
        <v>2022-2024</v>
      </c>
    </row>
    <row r="735" spans="1:9" x14ac:dyDescent="0.3">
      <c r="A735" t="s">
        <v>1</v>
      </c>
      <c r="B735">
        <v>2018</v>
      </c>
      <c r="C735" t="s">
        <v>9</v>
      </c>
      <c r="D735">
        <v>36547.58</v>
      </c>
      <c r="E735">
        <v>31061.02</v>
      </c>
      <c r="F735">
        <v>53.5</v>
      </c>
      <c r="G735">
        <v>680.03</v>
      </c>
      <c r="H735">
        <f>E735*1000000/D735</f>
        <v>849878.97967526165</v>
      </c>
      <c r="I735" t="str">
        <f>IF(AND(B735&gt;=2018, B735&lt;=2021), "2018-2021", IF(AND(B735&gt;=2022, B735&lt;=2024), "2022-2024", "Other"))</f>
        <v>2018-2021</v>
      </c>
    </row>
    <row r="736" spans="1:9" x14ac:dyDescent="0.3">
      <c r="A736" t="s">
        <v>25</v>
      </c>
      <c r="B736">
        <v>2019</v>
      </c>
      <c r="C736" t="s">
        <v>0</v>
      </c>
      <c r="D736">
        <v>38833.949999999997</v>
      </c>
      <c r="E736">
        <v>44329.65</v>
      </c>
      <c r="F736">
        <v>35.56</v>
      </c>
      <c r="G736">
        <v>1075.19</v>
      </c>
      <c r="H736">
        <f>E736*1000000/D736</f>
        <v>1141517.9243934753</v>
      </c>
      <c r="I736" t="str">
        <f>IF(AND(B736&gt;=2018, B736&lt;=2021), "2018-2021", IF(AND(B736&gt;=2022, B736&lt;=2024), "2022-2024", "Other"))</f>
        <v>2018-2021</v>
      </c>
    </row>
    <row r="737" spans="1:9" x14ac:dyDescent="0.3">
      <c r="A737" t="s">
        <v>13</v>
      </c>
      <c r="B737">
        <v>2024</v>
      </c>
      <c r="C737" t="s">
        <v>0</v>
      </c>
      <c r="D737">
        <v>47562.85</v>
      </c>
      <c r="E737">
        <v>55737.39</v>
      </c>
      <c r="F737">
        <v>165.18</v>
      </c>
      <c r="G737">
        <v>85.26</v>
      </c>
      <c r="H737">
        <f>E737*1000000/D737</f>
        <v>1171868.1702210864</v>
      </c>
      <c r="I737" t="str">
        <f>IF(AND(B737&gt;=2018, B737&lt;=2021), "2018-2021", IF(AND(B737&gt;=2022, B737&lt;=2024), "2022-2024", "Other"))</f>
        <v>2022-2024</v>
      </c>
    </row>
    <row r="738" spans="1:9" x14ac:dyDescent="0.3">
      <c r="A738" t="s">
        <v>22</v>
      </c>
      <c r="B738">
        <v>2019</v>
      </c>
      <c r="C738" t="s">
        <v>4</v>
      </c>
      <c r="D738">
        <v>8848.11</v>
      </c>
      <c r="E738">
        <v>9464.59</v>
      </c>
      <c r="F738">
        <v>131.91</v>
      </c>
      <c r="G738">
        <v>625.11</v>
      </c>
      <c r="H738">
        <f>E738*1000000/D738</f>
        <v>1069673.6365167249</v>
      </c>
      <c r="I738" t="str">
        <f>IF(AND(B738&gt;=2018, B738&lt;=2021), "2018-2021", IF(AND(B738&gt;=2022, B738&lt;=2024), "2022-2024", "Other"))</f>
        <v>2018-2021</v>
      </c>
    </row>
    <row r="739" spans="1:9" x14ac:dyDescent="0.3">
      <c r="A739" t="s">
        <v>15</v>
      </c>
      <c r="B739">
        <v>2023</v>
      </c>
      <c r="C739" t="s">
        <v>9</v>
      </c>
      <c r="D739">
        <v>20660.740000000002</v>
      </c>
      <c r="E739">
        <v>19312.939999999999</v>
      </c>
      <c r="F739">
        <v>111.07</v>
      </c>
      <c r="G739">
        <v>765.49</v>
      </c>
      <c r="H739">
        <f>E739*1000000/D739</f>
        <v>934765.16330005601</v>
      </c>
      <c r="I739" t="str">
        <f>IF(AND(B739&gt;=2018, B739&lt;=2021), "2018-2021", IF(AND(B739&gt;=2022, B739&lt;=2024), "2022-2024", "Other"))</f>
        <v>2022-2024</v>
      </c>
    </row>
    <row r="740" spans="1:9" x14ac:dyDescent="0.3">
      <c r="A740" t="s">
        <v>15</v>
      </c>
      <c r="B740">
        <v>2021</v>
      </c>
      <c r="C740" t="s">
        <v>2</v>
      </c>
      <c r="D740">
        <v>1109.54</v>
      </c>
      <c r="E740">
        <v>1214.82</v>
      </c>
      <c r="F740">
        <v>170.78</v>
      </c>
      <c r="G740">
        <v>49.27</v>
      </c>
      <c r="H740">
        <f>E740*1000000/D740</f>
        <v>1094886.1690430269</v>
      </c>
      <c r="I740" t="str">
        <f>IF(AND(B740&gt;=2018, B740&lt;=2021), "2018-2021", IF(AND(B740&gt;=2022, B740&lt;=2024), "2022-2024", "Other"))</f>
        <v>2018-2021</v>
      </c>
    </row>
    <row r="741" spans="1:9" x14ac:dyDescent="0.3">
      <c r="A741" t="s">
        <v>21</v>
      </c>
      <c r="B741">
        <v>2024</v>
      </c>
      <c r="C741" t="s">
        <v>14</v>
      </c>
      <c r="D741">
        <v>29583.53</v>
      </c>
      <c r="E741">
        <v>33481.65</v>
      </c>
      <c r="F741">
        <v>45.69</v>
      </c>
      <c r="G741">
        <v>1063.9100000000001</v>
      </c>
      <c r="H741">
        <f>E741*1000000/D741</f>
        <v>1131766.5606504702</v>
      </c>
      <c r="I741" t="str">
        <f>IF(AND(B741&gt;=2018, B741&lt;=2021), "2018-2021", IF(AND(B741&gt;=2022, B741&lt;=2024), "2022-2024", "Other"))</f>
        <v>2022-2024</v>
      </c>
    </row>
    <row r="742" spans="1:9" x14ac:dyDescent="0.3">
      <c r="A742" t="s">
        <v>26</v>
      </c>
      <c r="B742">
        <v>2023</v>
      </c>
      <c r="C742" t="s">
        <v>8</v>
      </c>
      <c r="D742">
        <v>36095.480000000003</v>
      </c>
      <c r="E742">
        <v>43115.74</v>
      </c>
      <c r="F742">
        <v>37.43</v>
      </c>
      <c r="G742">
        <v>899.35</v>
      </c>
      <c r="H742">
        <f>E742*1000000/D742</f>
        <v>1194491.3878413583</v>
      </c>
      <c r="I742" t="str">
        <f>IF(AND(B742&gt;=2018, B742&lt;=2021), "2018-2021", IF(AND(B742&gt;=2022, B742&lt;=2024), "2022-2024", "Other"))</f>
        <v>2022-2024</v>
      </c>
    </row>
    <row r="743" spans="1:9" x14ac:dyDescent="0.3">
      <c r="A743" t="s">
        <v>21</v>
      </c>
      <c r="B743">
        <v>2019</v>
      </c>
      <c r="C743" t="s">
        <v>8</v>
      </c>
      <c r="D743">
        <v>7738.36</v>
      </c>
      <c r="E743">
        <v>6877.19</v>
      </c>
      <c r="F743">
        <v>175.24</v>
      </c>
      <c r="G743">
        <v>1013.01</v>
      </c>
      <c r="H743">
        <f>E743*1000000/D743</f>
        <v>888714.14614983019</v>
      </c>
      <c r="I743" t="str">
        <f>IF(AND(B743&gt;=2018, B743&lt;=2021), "2018-2021", IF(AND(B743&gt;=2022, B743&lt;=2024), "2022-2024", "Other"))</f>
        <v>2018-2021</v>
      </c>
    </row>
    <row r="744" spans="1:9" x14ac:dyDescent="0.3">
      <c r="A744" t="s">
        <v>22</v>
      </c>
      <c r="B744">
        <v>2020</v>
      </c>
      <c r="C744" t="s">
        <v>6</v>
      </c>
      <c r="D744">
        <v>42303.27</v>
      </c>
      <c r="E744">
        <v>44822.91</v>
      </c>
      <c r="F744">
        <v>119.73</v>
      </c>
      <c r="G744">
        <v>505.7</v>
      </c>
      <c r="H744">
        <f>E744*1000000/D744</f>
        <v>1059561.3530585226</v>
      </c>
      <c r="I744" t="str">
        <f>IF(AND(B744&gt;=2018, B744&lt;=2021), "2018-2021", IF(AND(B744&gt;=2022, B744&lt;=2024), "2022-2024", "Other"))</f>
        <v>2018-2021</v>
      </c>
    </row>
    <row r="745" spans="1:9" x14ac:dyDescent="0.3">
      <c r="A745" t="s">
        <v>23</v>
      </c>
      <c r="B745">
        <v>2020</v>
      </c>
      <c r="C745" t="s">
        <v>2</v>
      </c>
      <c r="D745">
        <v>4989.08</v>
      </c>
      <c r="E745">
        <v>5864.14</v>
      </c>
      <c r="F745">
        <v>100.6</v>
      </c>
      <c r="G745">
        <v>1296.8699999999999</v>
      </c>
      <c r="H745">
        <f>E745*1000000/D745</f>
        <v>1175395.0628171929</v>
      </c>
      <c r="I745" t="str">
        <f>IF(AND(B745&gt;=2018, B745&lt;=2021), "2018-2021", IF(AND(B745&gt;=2022, B745&lt;=2024), "2022-2024", "Other"))</f>
        <v>2018-2021</v>
      </c>
    </row>
    <row r="746" spans="1:9" x14ac:dyDescent="0.3">
      <c r="A746" t="s">
        <v>5</v>
      </c>
      <c r="B746">
        <v>2020</v>
      </c>
      <c r="C746" t="s">
        <v>0</v>
      </c>
      <c r="D746">
        <v>27757.71</v>
      </c>
      <c r="E746">
        <v>22778.29</v>
      </c>
      <c r="F746">
        <v>193.39</v>
      </c>
      <c r="G746">
        <v>373.58</v>
      </c>
      <c r="H746">
        <f>E746*1000000/D746</f>
        <v>820611.28241486778</v>
      </c>
      <c r="I746" t="str">
        <f>IF(AND(B746&gt;=2018, B746&lt;=2021), "2018-2021", IF(AND(B746&gt;=2022, B746&lt;=2024), "2022-2024", "Other"))</f>
        <v>2018-2021</v>
      </c>
    </row>
    <row r="747" spans="1:9" x14ac:dyDescent="0.3">
      <c r="A747" t="s">
        <v>19</v>
      </c>
      <c r="B747">
        <v>2020</v>
      </c>
      <c r="C747" t="s">
        <v>0</v>
      </c>
      <c r="D747">
        <v>23311.38</v>
      </c>
      <c r="E747">
        <v>26725.02</v>
      </c>
      <c r="F747">
        <v>41.11</v>
      </c>
      <c r="G747">
        <v>643.79</v>
      </c>
      <c r="H747">
        <f>E747*1000000/D747</f>
        <v>1146436.6330950805</v>
      </c>
      <c r="I747" t="str">
        <f>IF(AND(B747&gt;=2018, B747&lt;=2021), "2018-2021", IF(AND(B747&gt;=2022, B747&lt;=2024), "2022-2024", "Other"))</f>
        <v>2018-2021</v>
      </c>
    </row>
    <row r="748" spans="1:9" x14ac:dyDescent="0.3">
      <c r="A748" t="s">
        <v>5</v>
      </c>
      <c r="B748">
        <v>2019</v>
      </c>
      <c r="C748" t="s">
        <v>4</v>
      </c>
      <c r="D748">
        <v>6679.89</v>
      </c>
      <c r="E748">
        <v>6925.21</v>
      </c>
      <c r="F748">
        <v>59.68</v>
      </c>
      <c r="G748">
        <v>310.56</v>
      </c>
      <c r="H748">
        <f>E748*1000000/D748</f>
        <v>1036725.1556537608</v>
      </c>
      <c r="I748" t="str">
        <f>IF(AND(B748&gt;=2018, B748&lt;=2021), "2018-2021", IF(AND(B748&gt;=2022, B748&lt;=2024), "2022-2024", "Other"))</f>
        <v>2018-2021</v>
      </c>
    </row>
    <row r="749" spans="1:9" x14ac:dyDescent="0.3">
      <c r="A749" t="s">
        <v>17</v>
      </c>
      <c r="B749">
        <v>2018</v>
      </c>
      <c r="C749" t="s">
        <v>9</v>
      </c>
      <c r="D749">
        <v>42469.51</v>
      </c>
      <c r="E749">
        <v>39368.14</v>
      </c>
      <c r="F749">
        <v>166.01</v>
      </c>
      <c r="G749">
        <v>1068.21</v>
      </c>
      <c r="H749">
        <f>E749*1000000/D749</f>
        <v>926974.19866629015</v>
      </c>
      <c r="I749" t="str">
        <f>IF(AND(B749&gt;=2018, B749&lt;=2021), "2018-2021", IF(AND(B749&gt;=2022, B749&lt;=2024), "2022-2024", "Other"))</f>
        <v>2018-2021</v>
      </c>
    </row>
    <row r="750" spans="1:9" x14ac:dyDescent="0.3">
      <c r="A750" t="s">
        <v>10</v>
      </c>
      <c r="B750">
        <v>2021</v>
      </c>
      <c r="C750" t="s">
        <v>0</v>
      </c>
      <c r="D750">
        <v>13761.51</v>
      </c>
      <c r="E750">
        <v>15410.13</v>
      </c>
      <c r="F750">
        <v>80.78</v>
      </c>
      <c r="G750">
        <v>1387.75</v>
      </c>
      <c r="H750">
        <f>E750*1000000/D750</f>
        <v>1119799.3534139786</v>
      </c>
      <c r="I750" t="str">
        <f>IF(AND(B750&gt;=2018, B750&lt;=2021), "2018-2021", IF(AND(B750&gt;=2022, B750&lt;=2024), "2022-2024", "Other"))</f>
        <v>2018-2021</v>
      </c>
    </row>
    <row r="751" spans="1:9" x14ac:dyDescent="0.3">
      <c r="A751" t="s">
        <v>21</v>
      </c>
      <c r="B751">
        <v>2020</v>
      </c>
      <c r="C751" t="s">
        <v>9</v>
      </c>
      <c r="D751">
        <v>40358.980000000003</v>
      </c>
      <c r="E751">
        <v>46152.36</v>
      </c>
      <c r="F751">
        <v>57.91</v>
      </c>
      <c r="G751">
        <v>728.64</v>
      </c>
      <c r="H751">
        <f>E751*1000000/D751</f>
        <v>1143546.2442311475</v>
      </c>
      <c r="I751" t="str">
        <f>IF(AND(B751&gt;=2018, B751&lt;=2021), "2018-2021", IF(AND(B751&gt;=2022, B751&lt;=2024), "2022-2024", "Other"))</f>
        <v>2018-2021</v>
      </c>
    </row>
    <row r="752" spans="1:9" x14ac:dyDescent="0.3">
      <c r="A752" t="s">
        <v>10</v>
      </c>
      <c r="B752">
        <v>2020</v>
      </c>
      <c r="C752" t="s">
        <v>14</v>
      </c>
      <c r="D752">
        <v>25957.96</v>
      </c>
      <c r="E752">
        <v>25162.71</v>
      </c>
      <c r="F752">
        <v>147.22999999999999</v>
      </c>
      <c r="G752">
        <v>1178.21</v>
      </c>
      <c r="H752">
        <f>E752*1000000/D752</f>
        <v>969363.92536239373</v>
      </c>
      <c r="I752" t="str">
        <f>IF(AND(B752&gt;=2018, B752&lt;=2021), "2018-2021", IF(AND(B752&gt;=2022, B752&lt;=2024), "2022-2024", "Other"))</f>
        <v>2018-2021</v>
      </c>
    </row>
    <row r="753" spans="1:9" x14ac:dyDescent="0.3">
      <c r="A753" t="s">
        <v>17</v>
      </c>
      <c r="B753">
        <v>2019</v>
      </c>
      <c r="C753" t="s">
        <v>9</v>
      </c>
      <c r="D753">
        <v>5059.87</v>
      </c>
      <c r="E753">
        <v>5395.54</v>
      </c>
      <c r="F753">
        <v>129.44</v>
      </c>
      <c r="G753">
        <v>305.35000000000002</v>
      </c>
      <c r="H753">
        <f>E753*1000000/D753</f>
        <v>1066339.6490423668</v>
      </c>
      <c r="I753" t="str">
        <f>IF(AND(B753&gt;=2018, B753&lt;=2021), "2018-2021", IF(AND(B753&gt;=2022, B753&lt;=2024), "2022-2024", "Other"))</f>
        <v>2018-2021</v>
      </c>
    </row>
    <row r="754" spans="1:9" x14ac:dyDescent="0.3">
      <c r="A754" t="s">
        <v>7</v>
      </c>
      <c r="B754">
        <v>2021</v>
      </c>
      <c r="C754" t="s">
        <v>2</v>
      </c>
      <c r="D754">
        <v>33470.6</v>
      </c>
      <c r="E754">
        <v>35751.86</v>
      </c>
      <c r="F754">
        <v>81.8</v>
      </c>
      <c r="G754">
        <v>95.58</v>
      </c>
      <c r="H754">
        <f>E754*1000000/D754</f>
        <v>1068157.1289430128</v>
      </c>
      <c r="I754" t="str">
        <f>IF(AND(B754&gt;=2018, B754&lt;=2021), "2018-2021", IF(AND(B754&gt;=2022, B754&lt;=2024), "2022-2024", "Other"))</f>
        <v>2018-2021</v>
      </c>
    </row>
    <row r="755" spans="1:9" x14ac:dyDescent="0.3">
      <c r="A755" t="s">
        <v>25</v>
      </c>
      <c r="B755">
        <v>2018</v>
      </c>
      <c r="C755" t="s">
        <v>9</v>
      </c>
      <c r="D755">
        <v>28760.38</v>
      </c>
      <c r="E755">
        <v>29664.82</v>
      </c>
      <c r="F755">
        <v>73.11</v>
      </c>
      <c r="G755">
        <v>329.62</v>
      </c>
      <c r="H755">
        <f>E755*1000000/D755</f>
        <v>1031447.4287196483</v>
      </c>
      <c r="I755" t="str">
        <f>IF(AND(B755&gt;=2018, B755&lt;=2021), "2018-2021", IF(AND(B755&gt;=2022, B755&lt;=2024), "2022-2024", "Other"))</f>
        <v>2018-2021</v>
      </c>
    </row>
    <row r="756" spans="1:9" x14ac:dyDescent="0.3">
      <c r="A756" t="s">
        <v>3</v>
      </c>
      <c r="B756">
        <v>2020</v>
      </c>
      <c r="C756" t="s">
        <v>14</v>
      </c>
      <c r="D756">
        <v>10200.44</v>
      </c>
      <c r="E756">
        <v>12125.39</v>
      </c>
      <c r="F756">
        <v>182.11</v>
      </c>
      <c r="G756">
        <v>893.25</v>
      </c>
      <c r="H756">
        <f>E756*1000000/D756</f>
        <v>1188712.4476983345</v>
      </c>
      <c r="I756" t="str">
        <f>IF(AND(B756&gt;=2018, B756&lt;=2021), "2018-2021", IF(AND(B756&gt;=2022, B756&lt;=2024), "2022-2024", "Other"))</f>
        <v>2018-2021</v>
      </c>
    </row>
    <row r="757" spans="1:9" x14ac:dyDescent="0.3">
      <c r="A757" t="s">
        <v>26</v>
      </c>
      <c r="B757">
        <v>2022</v>
      </c>
      <c r="C757" t="s">
        <v>6</v>
      </c>
      <c r="D757">
        <v>12914.29</v>
      </c>
      <c r="E757">
        <v>11233.79</v>
      </c>
      <c r="F757">
        <v>190.73</v>
      </c>
      <c r="G757">
        <v>1101.96</v>
      </c>
      <c r="H757">
        <f>E757*1000000/D757</f>
        <v>869872.83079441451</v>
      </c>
      <c r="I757" t="str">
        <f>IF(AND(B757&gt;=2018, B757&lt;=2021), "2018-2021", IF(AND(B757&gt;=2022, B757&lt;=2024), "2022-2024", "Other"))</f>
        <v>2022-2024</v>
      </c>
    </row>
    <row r="758" spans="1:9" x14ac:dyDescent="0.3">
      <c r="A758" t="s">
        <v>16</v>
      </c>
      <c r="B758">
        <v>2020</v>
      </c>
      <c r="C758" t="s">
        <v>8</v>
      </c>
      <c r="D758">
        <v>42307.43</v>
      </c>
      <c r="E758">
        <v>34262.07</v>
      </c>
      <c r="F758">
        <v>191.86</v>
      </c>
      <c r="G758">
        <v>1324.27</v>
      </c>
      <c r="H758">
        <f>E758*1000000/D758</f>
        <v>809835.76643629733</v>
      </c>
      <c r="I758" t="str">
        <f>IF(AND(B758&gt;=2018, B758&lt;=2021), "2018-2021", IF(AND(B758&gt;=2022, B758&lt;=2024), "2022-2024", "Other"))</f>
        <v>2018-2021</v>
      </c>
    </row>
    <row r="759" spans="1:9" x14ac:dyDescent="0.3">
      <c r="A759" t="s">
        <v>11</v>
      </c>
      <c r="B759">
        <v>2023</v>
      </c>
      <c r="C759" t="s">
        <v>4</v>
      </c>
      <c r="D759">
        <v>19445.22</v>
      </c>
      <c r="E759">
        <v>19020.37</v>
      </c>
      <c r="F759">
        <v>73.58</v>
      </c>
      <c r="G759">
        <v>1319.94</v>
      </c>
      <c r="H759">
        <f>E759*1000000/D759</f>
        <v>978151.4428738784</v>
      </c>
      <c r="I759" t="str">
        <f>IF(AND(B759&gt;=2018, B759&lt;=2021), "2018-2021", IF(AND(B759&gt;=2022, B759&lt;=2024), "2022-2024", "Other"))</f>
        <v>2022-2024</v>
      </c>
    </row>
    <row r="760" spans="1:9" x14ac:dyDescent="0.3">
      <c r="A760" t="s">
        <v>3</v>
      </c>
      <c r="B760">
        <v>2018</v>
      </c>
      <c r="C760" t="s">
        <v>6</v>
      </c>
      <c r="D760">
        <v>8659.7999999999993</v>
      </c>
      <c r="E760">
        <v>8592.27</v>
      </c>
      <c r="F760">
        <v>43.29</v>
      </c>
      <c r="G760">
        <v>421.95</v>
      </c>
      <c r="H760">
        <f>E760*1000000/D760</f>
        <v>992201.89842721552</v>
      </c>
      <c r="I760" t="str">
        <f>IF(AND(B760&gt;=2018, B760&lt;=2021), "2018-2021", IF(AND(B760&gt;=2022, B760&lt;=2024), "2022-2024", "Other"))</f>
        <v>2018-2021</v>
      </c>
    </row>
    <row r="761" spans="1:9" x14ac:dyDescent="0.3">
      <c r="A761" t="s">
        <v>11</v>
      </c>
      <c r="B761">
        <v>2020</v>
      </c>
      <c r="C761" t="s">
        <v>12</v>
      </c>
      <c r="D761">
        <v>33461.35</v>
      </c>
      <c r="E761">
        <v>35714.089999999997</v>
      </c>
      <c r="F761">
        <v>83.09</v>
      </c>
      <c r="G761">
        <v>386.41</v>
      </c>
      <c r="H761">
        <f>E761*1000000/D761</f>
        <v>1067323.643546958</v>
      </c>
      <c r="I761" t="str">
        <f>IF(AND(B761&gt;=2018, B761&lt;=2021), "2018-2021", IF(AND(B761&gt;=2022, B761&lt;=2024), "2022-2024", "Other"))</f>
        <v>2018-2021</v>
      </c>
    </row>
    <row r="762" spans="1:9" x14ac:dyDescent="0.3">
      <c r="A762" t="s">
        <v>15</v>
      </c>
      <c r="B762">
        <v>2024</v>
      </c>
      <c r="C762" t="s">
        <v>14</v>
      </c>
      <c r="D762">
        <v>14674.52</v>
      </c>
      <c r="E762">
        <v>14947.46</v>
      </c>
      <c r="F762">
        <v>133.02000000000001</v>
      </c>
      <c r="G762">
        <v>744.1</v>
      </c>
      <c r="H762">
        <f>E762*1000000/D762</f>
        <v>1018599.5862215596</v>
      </c>
      <c r="I762" t="str">
        <f>IF(AND(B762&gt;=2018, B762&lt;=2021), "2018-2021", IF(AND(B762&gt;=2022, B762&lt;=2024), "2022-2024", "Other"))</f>
        <v>2022-2024</v>
      </c>
    </row>
    <row r="763" spans="1:9" x14ac:dyDescent="0.3">
      <c r="A763" t="s">
        <v>7</v>
      </c>
      <c r="B763">
        <v>2020</v>
      </c>
      <c r="C763" t="s">
        <v>4</v>
      </c>
      <c r="D763">
        <v>31593.9</v>
      </c>
      <c r="E763">
        <v>37852.85</v>
      </c>
      <c r="F763">
        <v>170.62</v>
      </c>
      <c r="G763">
        <v>76.489999999999995</v>
      </c>
      <c r="H763">
        <f>E763*1000000/D763</f>
        <v>1198106.2800097486</v>
      </c>
      <c r="I763" t="str">
        <f>IF(AND(B763&gt;=2018, B763&lt;=2021), "2018-2021", IF(AND(B763&gt;=2022, B763&lt;=2024), "2022-2024", "Other"))</f>
        <v>2018-2021</v>
      </c>
    </row>
    <row r="764" spans="1:9" x14ac:dyDescent="0.3">
      <c r="A764" t="s">
        <v>21</v>
      </c>
      <c r="B764">
        <v>2021</v>
      </c>
      <c r="C764" t="s">
        <v>8</v>
      </c>
      <c r="D764">
        <v>29822.97</v>
      </c>
      <c r="E764">
        <v>24565.55</v>
      </c>
      <c r="F764">
        <v>52.23</v>
      </c>
      <c r="G764">
        <v>801.17</v>
      </c>
      <c r="H764">
        <f>E764*1000000/D764</f>
        <v>823712.39350071433</v>
      </c>
      <c r="I764" t="str">
        <f>IF(AND(B764&gt;=2018, B764&lt;=2021), "2018-2021", IF(AND(B764&gt;=2022, B764&lt;=2024), "2022-2024", "Other"))</f>
        <v>2018-2021</v>
      </c>
    </row>
    <row r="765" spans="1:9" x14ac:dyDescent="0.3">
      <c r="A765" t="s">
        <v>15</v>
      </c>
      <c r="B765">
        <v>2018</v>
      </c>
      <c r="C765" t="s">
        <v>2</v>
      </c>
      <c r="D765">
        <v>26503</v>
      </c>
      <c r="E765">
        <v>23734.01</v>
      </c>
      <c r="F765">
        <v>144.19</v>
      </c>
      <c r="G765">
        <v>590.83000000000004</v>
      </c>
      <c r="H765">
        <f>E765*1000000/D765</f>
        <v>895521.63905972906</v>
      </c>
      <c r="I765" t="str">
        <f>IF(AND(B765&gt;=2018, B765&lt;=2021), "2018-2021", IF(AND(B765&gt;=2022, B765&lt;=2024), "2022-2024", "Other"))</f>
        <v>2018-2021</v>
      </c>
    </row>
    <row r="766" spans="1:9" x14ac:dyDescent="0.3">
      <c r="A766" t="s">
        <v>24</v>
      </c>
      <c r="B766">
        <v>2024</v>
      </c>
      <c r="C766" t="s">
        <v>14</v>
      </c>
      <c r="D766">
        <v>23080.87</v>
      </c>
      <c r="E766">
        <v>20864.580000000002</v>
      </c>
      <c r="F766">
        <v>81.56</v>
      </c>
      <c r="G766">
        <v>581.19000000000005</v>
      </c>
      <c r="H766">
        <f>E766*1000000/D766</f>
        <v>903977.18976797676</v>
      </c>
      <c r="I766" t="str">
        <f>IF(AND(B766&gt;=2018, B766&lt;=2021), "2018-2021", IF(AND(B766&gt;=2022, B766&lt;=2024), "2022-2024", "Other"))</f>
        <v>2022-2024</v>
      </c>
    </row>
    <row r="767" spans="1:9" x14ac:dyDescent="0.3">
      <c r="A767" t="s">
        <v>25</v>
      </c>
      <c r="B767">
        <v>2019</v>
      </c>
      <c r="C767" t="s">
        <v>0</v>
      </c>
      <c r="D767">
        <v>34344.01</v>
      </c>
      <c r="E767">
        <v>34071.17</v>
      </c>
      <c r="F767">
        <v>91.93</v>
      </c>
      <c r="G767">
        <v>944.1</v>
      </c>
      <c r="H767">
        <f>E767*1000000/D767</f>
        <v>992055.67433738802</v>
      </c>
      <c r="I767" t="str">
        <f>IF(AND(B767&gt;=2018, B767&lt;=2021), "2018-2021", IF(AND(B767&gt;=2022, B767&lt;=2024), "2022-2024", "Other"))</f>
        <v>2018-2021</v>
      </c>
    </row>
    <row r="768" spans="1:9" x14ac:dyDescent="0.3">
      <c r="A768" t="s">
        <v>5</v>
      </c>
      <c r="B768">
        <v>2020</v>
      </c>
      <c r="C768" t="s">
        <v>4</v>
      </c>
      <c r="D768">
        <v>33660.29</v>
      </c>
      <c r="E768">
        <v>39305.74</v>
      </c>
      <c r="F768">
        <v>183.03</v>
      </c>
      <c r="G768">
        <v>772.31</v>
      </c>
      <c r="H768">
        <f>E768*1000000/D768</f>
        <v>1167718.4005247727</v>
      </c>
      <c r="I768" t="str">
        <f>IF(AND(B768&gt;=2018, B768&lt;=2021), "2018-2021", IF(AND(B768&gt;=2022, B768&lt;=2024), "2022-2024", "Other"))</f>
        <v>2018-2021</v>
      </c>
    </row>
    <row r="769" spans="1:9" x14ac:dyDescent="0.3">
      <c r="A769" t="s">
        <v>13</v>
      </c>
      <c r="B769">
        <v>2022</v>
      </c>
      <c r="C769" t="s">
        <v>6</v>
      </c>
      <c r="D769">
        <v>9735.2800000000007</v>
      </c>
      <c r="E769">
        <v>10734.45</v>
      </c>
      <c r="F769">
        <v>59.33</v>
      </c>
      <c r="G769">
        <v>969.71</v>
      </c>
      <c r="H769">
        <f>E769*1000000/D769</f>
        <v>1102633.9252697404</v>
      </c>
      <c r="I769" t="str">
        <f>IF(AND(B769&gt;=2018, B769&lt;=2021), "2018-2021", IF(AND(B769&gt;=2022, B769&lt;=2024), "2022-2024", "Other"))</f>
        <v>2022-2024</v>
      </c>
    </row>
    <row r="770" spans="1:9" x14ac:dyDescent="0.3">
      <c r="A770" t="s">
        <v>16</v>
      </c>
      <c r="B770">
        <v>2021</v>
      </c>
      <c r="C770" t="s">
        <v>6</v>
      </c>
      <c r="D770">
        <v>39944.94</v>
      </c>
      <c r="E770">
        <v>33732.85</v>
      </c>
      <c r="F770">
        <v>150.86000000000001</v>
      </c>
      <c r="G770">
        <v>763.58</v>
      </c>
      <c r="H770">
        <f>E770*1000000/D770</f>
        <v>844483.68178798107</v>
      </c>
      <c r="I770" t="str">
        <f>IF(AND(B770&gt;=2018, B770&lt;=2021), "2018-2021", IF(AND(B770&gt;=2022, B770&lt;=2024), "2022-2024", "Other"))</f>
        <v>2018-2021</v>
      </c>
    </row>
    <row r="771" spans="1:9" x14ac:dyDescent="0.3">
      <c r="A771" t="s">
        <v>16</v>
      </c>
      <c r="B771">
        <v>2019</v>
      </c>
      <c r="C771" t="s">
        <v>12</v>
      </c>
      <c r="D771">
        <v>14839.7</v>
      </c>
      <c r="E771">
        <v>16743.919999999998</v>
      </c>
      <c r="F771">
        <v>98.64</v>
      </c>
      <c r="G771">
        <v>838.81</v>
      </c>
      <c r="H771">
        <f>E771*1000000/D771</f>
        <v>1128319.3056463404</v>
      </c>
      <c r="I771" t="str">
        <f>IF(AND(B771&gt;=2018, B771&lt;=2021), "2018-2021", IF(AND(B771&gt;=2022, B771&lt;=2024), "2022-2024", "Other"))</f>
        <v>2018-2021</v>
      </c>
    </row>
    <row r="772" spans="1:9" x14ac:dyDescent="0.3">
      <c r="A772" t="s">
        <v>18</v>
      </c>
      <c r="B772">
        <v>2023</v>
      </c>
      <c r="C772" t="s">
        <v>8</v>
      </c>
      <c r="D772">
        <v>13744.82</v>
      </c>
      <c r="E772">
        <v>14829.62</v>
      </c>
      <c r="F772">
        <v>184.28</v>
      </c>
      <c r="G772">
        <v>877.75</v>
      </c>
      <c r="H772">
        <f>E772*1000000/D772</f>
        <v>1078924.2783826925</v>
      </c>
      <c r="I772" t="str">
        <f>IF(AND(B772&gt;=2018, B772&lt;=2021), "2018-2021", IF(AND(B772&gt;=2022, B772&lt;=2024), "2022-2024", "Other"))</f>
        <v>2022-2024</v>
      </c>
    </row>
    <row r="773" spans="1:9" x14ac:dyDescent="0.3">
      <c r="A773" t="s">
        <v>18</v>
      </c>
      <c r="B773">
        <v>2019</v>
      </c>
      <c r="C773" t="s">
        <v>0</v>
      </c>
      <c r="D773">
        <v>32860.51</v>
      </c>
      <c r="E773">
        <v>32933.760000000002</v>
      </c>
      <c r="F773">
        <v>44.7</v>
      </c>
      <c r="G773">
        <v>986.9</v>
      </c>
      <c r="H773">
        <f>E773*1000000/D773</f>
        <v>1002229.1193898086</v>
      </c>
      <c r="I773" t="str">
        <f>IF(AND(B773&gt;=2018, B773&lt;=2021), "2018-2021", IF(AND(B773&gt;=2022, B773&lt;=2024), "2022-2024", "Other"))</f>
        <v>2018-2021</v>
      </c>
    </row>
    <row r="774" spans="1:9" x14ac:dyDescent="0.3">
      <c r="A774" t="s">
        <v>21</v>
      </c>
      <c r="B774">
        <v>2024</v>
      </c>
      <c r="C774" t="s">
        <v>12</v>
      </c>
      <c r="D774">
        <v>48462.45</v>
      </c>
      <c r="E774">
        <v>49443.65</v>
      </c>
      <c r="F774">
        <v>71.760000000000005</v>
      </c>
      <c r="G774">
        <v>1061.3800000000001</v>
      </c>
      <c r="H774">
        <f>E774*1000000/D774</f>
        <v>1020246.6032980174</v>
      </c>
      <c r="I774" t="str">
        <f>IF(AND(B774&gt;=2018, B774&lt;=2021), "2018-2021", IF(AND(B774&gt;=2022, B774&lt;=2024), "2022-2024", "Other"))</f>
        <v>2022-2024</v>
      </c>
    </row>
    <row r="775" spans="1:9" x14ac:dyDescent="0.3">
      <c r="A775" t="s">
        <v>21</v>
      </c>
      <c r="B775">
        <v>2022</v>
      </c>
      <c r="C775" t="s">
        <v>2</v>
      </c>
      <c r="D775">
        <v>15696.72</v>
      </c>
      <c r="E775">
        <v>14452.61</v>
      </c>
      <c r="F775">
        <v>57.68</v>
      </c>
      <c r="G775">
        <v>1096.97</v>
      </c>
      <c r="H775">
        <f>E775*1000000/D775</f>
        <v>920740.76622377161</v>
      </c>
      <c r="I775" t="str">
        <f>IF(AND(B775&gt;=2018, B775&lt;=2021), "2018-2021", IF(AND(B775&gt;=2022, B775&lt;=2024), "2022-2024", "Other"))</f>
        <v>2022-2024</v>
      </c>
    </row>
    <row r="776" spans="1:9" x14ac:dyDescent="0.3">
      <c r="A776" t="s">
        <v>22</v>
      </c>
      <c r="B776">
        <v>2023</v>
      </c>
      <c r="C776" t="s">
        <v>9</v>
      </c>
      <c r="D776">
        <v>43576.62</v>
      </c>
      <c r="E776">
        <v>43775.85</v>
      </c>
      <c r="F776">
        <v>131.91</v>
      </c>
      <c r="G776">
        <v>583.79999999999995</v>
      </c>
      <c r="H776">
        <f>E776*1000000/D776</f>
        <v>1004571.947067028</v>
      </c>
      <c r="I776" t="str">
        <f>IF(AND(B776&gt;=2018, B776&lt;=2021), "2018-2021", IF(AND(B776&gt;=2022, B776&lt;=2024), "2022-2024", "Other"))</f>
        <v>2022-2024</v>
      </c>
    </row>
    <row r="777" spans="1:9" x14ac:dyDescent="0.3">
      <c r="A777" t="s">
        <v>7</v>
      </c>
      <c r="B777">
        <v>2024</v>
      </c>
      <c r="C777" t="s">
        <v>4</v>
      </c>
      <c r="D777">
        <v>8838.5300000000007</v>
      </c>
      <c r="E777">
        <v>8867.16</v>
      </c>
      <c r="F777">
        <v>107.69</v>
      </c>
      <c r="G777">
        <v>1064.1300000000001</v>
      </c>
      <c r="H777">
        <f>E777*1000000/D777</f>
        <v>1003239.2264324497</v>
      </c>
      <c r="I777" t="str">
        <f>IF(AND(B777&gt;=2018, B777&lt;=2021), "2018-2021", IF(AND(B777&gt;=2022, B777&lt;=2024), "2022-2024", "Other"))</f>
        <v>2022-2024</v>
      </c>
    </row>
    <row r="778" spans="1:9" x14ac:dyDescent="0.3">
      <c r="A778" t="s">
        <v>26</v>
      </c>
      <c r="B778">
        <v>2018</v>
      </c>
      <c r="C778" t="s">
        <v>9</v>
      </c>
      <c r="D778">
        <v>35652.980000000003</v>
      </c>
      <c r="E778">
        <v>29748.42</v>
      </c>
      <c r="F778">
        <v>57.03</v>
      </c>
      <c r="G778">
        <v>636.35</v>
      </c>
      <c r="H778">
        <f>E778*1000000/D778</f>
        <v>834388.03712901415</v>
      </c>
      <c r="I778" t="str">
        <f>IF(AND(B778&gt;=2018, B778&lt;=2021), "2018-2021", IF(AND(B778&gt;=2022, B778&lt;=2024), "2022-2024", "Other"))</f>
        <v>2018-2021</v>
      </c>
    </row>
    <row r="779" spans="1:9" x14ac:dyDescent="0.3">
      <c r="A779" t="s">
        <v>5</v>
      </c>
      <c r="B779">
        <v>2021</v>
      </c>
      <c r="C779" t="s">
        <v>6</v>
      </c>
      <c r="D779">
        <v>20674.88</v>
      </c>
      <c r="E779">
        <v>21332.67</v>
      </c>
      <c r="F779">
        <v>30.96</v>
      </c>
      <c r="G779">
        <v>627.41</v>
      </c>
      <c r="H779">
        <f>E779*1000000/D779</f>
        <v>1031815.9041310034</v>
      </c>
      <c r="I779" t="str">
        <f>IF(AND(B779&gt;=2018, B779&lt;=2021), "2018-2021", IF(AND(B779&gt;=2022, B779&lt;=2024), "2022-2024", "Other"))</f>
        <v>2018-2021</v>
      </c>
    </row>
    <row r="780" spans="1:9" x14ac:dyDescent="0.3">
      <c r="A780" t="s">
        <v>21</v>
      </c>
      <c r="B780">
        <v>2020</v>
      </c>
      <c r="C780" t="s">
        <v>12</v>
      </c>
      <c r="D780">
        <v>42565.57</v>
      </c>
      <c r="E780">
        <v>42401.65</v>
      </c>
      <c r="F780">
        <v>84.56</v>
      </c>
      <c r="G780">
        <v>682.36</v>
      </c>
      <c r="H780">
        <f>E780*1000000/D780</f>
        <v>996149.00023657619</v>
      </c>
      <c r="I780" t="str">
        <f>IF(AND(B780&gt;=2018, B780&lt;=2021), "2018-2021", IF(AND(B780&gt;=2022, B780&lt;=2024), "2022-2024", "Other"))</f>
        <v>2018-2021</v>
      </c>
    </row>
    <row r="781" spans="1:9" x14ac:dyDescent="0.3">
      <c r="A781" t="s">
        <v>22</v>
      </c>
      <c r="B781">
        <v>2023</v>
      </c>
      <c r="C781" t="s">
        <v>6</v>
      </c>
      <c r="D781">
        <v>9879.9599999999991</v>
      </c>
      <c r="E781">
        <v>10722.25</v>
      </c>
      <c r="F781">
        <v>95.61</v>
      </c>
      <c r="G781">
        <v>452.07</v>
      </c>
      <c r="H781">
        <f>E781*1000000/D781</f>
        <v>1085252.3694427914</v>
      </c>
      <c r="I781" t="str">
        <f>IF(AND(B781&gt;=2018, B781&lt;=2021), "2018-2021", IF(AND(B781&gt;=2022, B781&lt;=2024), "2022-2024", "Other"))</f>
        <v>2022-2024</v>
      </c>
    </row>
    <row r="782" spans="1:9" x14ac:dyDescent="0.3">
      <c r="A782" t="s">
        <v>25</v>
      </c>
      <c r="B782">
        <v>2019</v>
      </c>
      <c r="C782" t="s">
        <v>4</v>
      </c>
      <c r="D782">
        <v>31831.93</v>
      </c>
      <c r="E782">
        <v>31374.26</v>
      </c>
      <c r="F782">
        <v>167.48</v>
      </c>
      <c r="G782">
        <v>369.62</v>
      </c>
      <c r="H782">
        <f>E782*1000000/D782</f>
        <v>985622.29811387497</v>
      </c>
      <c r="I782" t="str">
        <f>IF(AND(B782&gt;=2018, B782&lt;=2021), "2018-2021", IF(AND(B782&gt;=2022, B782&lt;=2024), "2022-2024", "Other"))</f>
        <v>2018-2021</v>
      </c>
    </row>
    <row r="783" spans="1:9" x14ac:dyDescent="0.3">
      <c r="A783" t="s">
        <v>7</v>
      </c>
      <c r="B783">
        <v>2021</v>
      </c>
      <c r="C783" t="s">
        <v>8</v>
      </c>
      <c r="D783">
        <v>43627.15</v>
      </c>
      <c r="E783">
        <v>35038.76</v>
      </c>
      <c r="F783">
        <v>44.55</v>
      </c>
      <c r="G783">
        <v>953.68</v>
      </c>
      <c r="H783">
        <f>E783*1000000/D783</f>
        <v>803141.16324353067</v>
      </c>
      <c r="I783" t="str">
        <f>IF(AND(B783&gt;=2018, B783&lt;=2021), "2018-2021", IF(AND(B783&gt;=2022, B783&lt;=2024), "2022-2024", "Other"))</f>
        <v>2018-2021</v>
      </c>
    </row>
    <row r="784" spans="1:9" x14ac:dyDescent="0.3">
      <c r="A784" t="s">
        <v>19</v>
      </c>
      <c r="B784">
        <v>2024</v>
      </c>
      <c r="C784" t="s">
        <v>6</v>
      </c>
      <c r="D784">
        <v>37542.25</v>
      </c>
      <c r="E784">
        <v>32066.37</v>
      </c>
      <c r="F784">
        <v>156.09</v>
      </c>
      <c r="G784">
        <v>135.94999999999999</v>
      </c>
      <c r="H784">
        <f>E784*1000000/D784</f>
        <v>854140.86795543693</v>
      </c>
      <c r="I784" t="str">
        <f>IF(AND(B784&gt;=2018, B784&lt;=2021), "2018-2021", IF(AND(B784&gt;=2022, B784&lt;=2024), "2022-2024", "Other"))</f>
        <v>2022-2024</v>
      </c>
    </row>
    <row r="785" spans="1:9" x14ac:dyDescent="0.3">
      <c r="A785" t="s">
        <v>1</v>
      </c>
      <c r="B785">
        <v>2024</v>
      </c>
      <c r="C785" t="s">
        <v>12</v>
      </c>
      <c r="D785">
        <v>31099.34</v>
      </c>
      <c r="E785">
        <v>29441.29</v>
      </c>
      <c r="F785">
        <v>79.2</v>
      </c>
      <c r="G785">
        <v>984.27</v>
      </c>
      <c r="H785">
        <f>E785*1000000/D785</f>
        <v>946685.36374083825</v>
      </c>
      <c r="I785" t="str">
        <f>IF(AND(B785&gt;=2018, B785&lt;=2021), "2018-2021", IF(AND(B785&gt;=2022, B785&lt;=2024), "2022-2024", "Other"))</f>
        <v>2022-2024</v>
      </c>
    </row>
    <row r="786" spans="1:9" x14ac:dyDescent="0.3">
      <c r="A786" t="s">
        <v>5</v>
      </c>
      <c r="B786">
        <v>2021</v>
      </c>
      <c r="C786" t="s">
        <v>0</v>
      </c>
      <c r="D786">
        <v>41217.83</v>
      </c>
      <c r="E786">
        <v>37654.449999999997</v>
      </c>
      <c r="F786">
        <v>57.17</v>
      </c>
      <c r="G786">
        <v>1008.99</v>
      </c>
      <c r="H786">
        <f>E786*1000000/D786</f>
        <v>913547.60791628284</v>
      </c>
      <c r="I786" t="str">
        <f>IF(AND(B786&gt;=2018, B786&lt;=2021), "2018-2021", IF(AND(B786&gt;=2022, B786&lt;=2024), "2022-2024", "Other"))</f>
        <v>2018-2021</v>
      </c>
    </row>
    <row r="787" spans="1:9" x14ac:dyDescent="0.3">
      <c r="A787" t="s">
        <v>17</v>
      </c>
      <c r="B787">
        <v>2023</v>
      </c>
      <c r="C787" t="s">
        <v>12</v>
      </c>
      <c r="D787">
        <v>2475.4299999999998</v>
      </c>
      <c r="E787">
        <v>2330.35</v>
      </c>
      <c r="F787">
        <v>49.42</v>
      </c>
      <c r="G787">
        <v>911.06</v>
      </c>
      <c r="H787">
        <f>E787*1000000/D787</f>
        <v>941392.00058171724</v>
      </c>
      <c r="I787" t="str">
        <f>IF(AND(B787&gt;=2018, B787&lt;=2021), "2018-2021", IF(AND(B787&gt;=2022, B787&lt;=2024), "2022-2024", "Other"))</f>
        <v>2022-2024</v>
      </c>
    </row>
    <row r="788" spans="1:9" x14ac:dyDescent="0.3">
      <c r="A788" t="s">
        <v>26</v>
      </c>
      <c r="B788">
        <v>2022</v>
      </c>
      <c r="C788" t="s">
        <v>12</v>
      </c>
      <c r="D788">
        <v>28964.9</v>
      </c>
      <c r="E788">
        <v>26287.08</v>
      </c>
      <c r="F788">
        <v>123.57</v>
      </c>
      <c r="G788">
        <v>378.62</v>
      </c>
      <c r="H788">
        <f>E788*1000000/D788</f>
        <v>907549.4823044443</v>
      </c>
      <c r="I788" t="str">
        <f>IF(AND(B788&gt;=2018, B788&lt;=2021), "2018-2021", IF(AND(B788&gt;=2022, B788&lt;=2024), "2022-2024", "Other"))</f>
        <v>2022-2024</v>
      </c>
    </row>
    <row r="789" spans="1:9" x14ac:dyDescent="0.3">
      <c r="A789" t="s">
        <v>3</v>
      </c>
      <c r="B789">
        <v>2021</v>
      </c>
      <c r="C789" t="s">
        <v>14</v>
      </c>
      <c r="D789">
        <v>33322.199999999997</v>
      </c>
      <c r="E789">
        <v>39144.379999999997</v>
      </c>
      <c r="F789">
        <v>149.24</v>
      </c>
      <c r="G789">
        <v>1128.83</v>
      </c>
      <c r="H789">
        <f>E789*1000000/D789</f>
        <v>1174723.7577350836</v>
      </c>
      <c r="I789" t="str">
        <f>IF(AND(B789&gt;=2018, B789&lt;=2021), "2018-2021", IF(AND(B789&gt;=2022, B789&lt;=2024), "2022-2024", "Other"))</f>
        <v>2018-2021</v>
      </c>
    </row>
    <row r="790" spans="1:9" x14ac:dyDescent="0.3">
      <c r="A790" t="s">
        <v>18</v>
      </c>
      <c r="B790">
        <v>2023</v>
      </c>
      <c r="C790" t="s">
        <v>6</v>
      </c>
      <c r="D790">
        <v>48522.23</v>
      </c>
      <c r="E790">
        <v>44276.44</v>
      </c>
      <c r="F790">
        <v>171.9</v>
      </c>
      <c r="G790">
        <v>1123.8900000000001</v>
      </c>
      <c r="H790">
        <f>E790*1000000/D790</f>
        <v>912498.0447106408</v>
      </c>
      <c r="I790" t="str">
        <f>IF(AND(B790&gt;=2018, B790&lt;=2021), "2018-2021", IF(AND(B790&gt;=2022, B790&lt;=2024), "2022-2024", "Other"))</f>
        <v>2022-2024</v>
      </c>
    </row>
    <row r="791" spans="1:9" x14ac:dyDescent="0.3">
      <c r="A791" t="s">
        <v>7</v>
      </c>
      <c r="B791">
        <v>2018</v>
      </c>
      <c r="C791" t="s">
        <v>6</v>
      </c>
      <c r="D791">
        <v>40227.99</v>
      </c>
      <c r="E791">
        <v>36890.75</v>
      </c>
      <c r="F791">
        <v>55.64</v>
      </c>
      <c r="G791">
        <v>16.18</v>
      </c>
      <c r="H791">
        <f>E791*1000000/D791</f>
        <v>917041.84076808218</v>
      </c>
      <c r="I791" t="str">
        <f>IF(AND(B791&gt;=2018, B791&lt;=2021), "2018-2021", IF(AND(B791&gt;=2022, B791&lt;=2024), "2022-2024", "Other"))</f>
        <v>2018-2021</v>
      </c>
    </row>
    <row r="792" spans="1:9" x14ac:dyDescent="0.3">
      <c r="A792" t="s">
        <v>5</v>
      </c>
      <c r="B792">
        <v>2023</v>
      </c>
      <c r="C792" t="s">
        <v>6</v>
      </c>
      <c r="D792">
        <v>10738.97</v>
      </c>
      <c r="E792">
        <v>8613.14</v>
      </c>
      <c r="F792">
        <v>162.96</v>
      </c>
      <c r="G792">
        <v>987.99</v>
      </c>
      <c r="H792">
        <f>E792*1000000/D792</f>
        <v>802045.26132394455</v>
      </c>
      <c r="I792" t="str">
        <f>IF(AND(B792&gt;=2018, B792&lt;=2021), "2018-2021", IF(AND(B792&gt;=2022, B792&lt;=2024), "2022-2024", "Other"))</f>
        <v>2022-2024</v>
      </c>
    </row>
    <row r="793" spans="1:9" x14ac:dyDescent="0.3">
      <c r="A793" t="s">
        <v>17</v>
      </c>
      <c r="B793">
        <v>2022</v>
      </c>
      <c r="C793" t="s">
        <v>12</v>
      </c>
      <c r="D793">
        <v>26681.9</v>
      </c>
      <c r="E793">
        <v>27854.54</v>
      </c>
      <c r="F793">
        <v>70.709999999999994</v>
      </c>
      <c r="G793">
        <v>1159.1500000000001</v>
      </c>
      <c r="H793">
        <f>E793*1000000/D793</f>
        <v>1043948.8941941916</v>
      </c>
      <c r="I793" t="str">
        <f>IF(AND(B793&gt;=2018, B793&lt;=2021), "2018-2021", IF(AND(B793&gt;=2022, B793&lt;=2024), "2022-2024", "Other"))</f>
        <v>2022-2024</v>
      </c>
    </row>
    <row r="794" spans="1:9" x14ac:dyDescent="0.3">
      <c r="A794" t="s">
        <v>16</v>
      </c>
      <c r="B794">
        <v>2024</v>
      </c>
      <c r="C794" t="s">
        <v>6</v>
      </c>
      <c r="D794">
        <v>49164.98</v>
      </c>
      <c r="E794">
        <v>56638.77</v>
      </c>
      <c r="F794">
        <v>185.73</v>
      </c>
      <c r="G794">
        <v>662.41</v>
      </c>
      <c r="H794">
        <f>E794*1000000/D794</f>
        <v>1152014.5030060012</v>
      </c>
      <c r="I794" t="str">
        <f>IF(AND(B794&gt;=2018, B794&lt;=2021), "2018-2021", IF(AND(B794&gt;=2022, B794&lt;=2024), "2022-2024", "Other"))</f>
        <v>2022-2024</v>
      </c>
    </row>
    <row r="795" spans="1:9" x14ac:dyDescent="0.3">
      <c r="A795" t="s">
        <v>24</v>
      </c>
      <c r="B795">
        <v>2024</v>
      </c>
      <c r="C795" t="s">
        <v>12</v>
      </c>
      <c r="D795">
        <v>46577.19</v>
      </c>
      <c r="E795">
        <v>54740.160000000003</v>
      </c>
      <c r="F795">
        <v>138.28</v>
      </c>
      <c r="G795">
        <v>1022.88</v>
      </c>
      <c r="H795">
        <f>E795*1000000/D795</f>
        <v>1175256.8156215521</v>
      </c>
      <c r="I795" t="str">
        <f>IF(AND(B795&gt;=2018, B795&lt;=2021), "2018-2021", IF(AND(B795&gt;=2022, B795&lt;=2024), "2022-2024", "Other"))</f>
        <v>2022-2024</v>
      </c>
    </row>
    <row r="796" spans="1:9" x14ac:dyDescent="0.3">
      <c r="A796" t="s">
        <v>26</v>
      </c>
      <c r="B796">
        <v>2021</v>
      </c>
      <c r="C796" t="s">
        <v>6</v>
      </c>
      <c r="D796">
        <v>1633.99</v>
      </c>
      <c r="E796">
        <v>1856.49</v>
      </c>
      <c r="F796">
        <v>60.41</v>
      </c>
      <c r="G796">
        <v>611.82000000000005</v>
      </c>
      <c r="H796">
        <f>E796*1000000/D796</f>
        <v>1136169.7440008812</v>
      </c>
      <c r="I796" t="str">
        <f>IF(AND(B796&gt;=2018, B796&lt;=2021), "2018-2021", IF(AND(B796&gt;=2022, B796&lt;=2024), "2022-2024", "Other"))</f>
        <v>2018-2021</v>
      </c>
    </row>
    <row r="797" spans="1:9" x14ac:dyDescent="0.3">
      <c r="A797" t="s">
        <v>18</v>
      </c>
      <c r="B797">
        <v>2018</v>
      </c>
      <c r="C797" t="s">
        <v>0</v>
      </c>
      <c r="D797">
        <v>42496.97</v>
      </c>
      <c r="E797">
        <v>47062.1</v>
      </c>
      <c r="F797">
        <v>177.79</v>
      </c>
      <c r="G797">
        <v>378.56</v>
      </c>
      <c r="H797">
        <f>E797*1000000/D797</f>
        <v>1107422.4821204899</v>
      </c>
      <c r="I797" t="str">
        <f>IF(AND(B797&gt;=2018, B797&lt;=2021), "2018-2021", IF(AND(B797&gt;=2022, B797&lt;=2024), "2022-2024", "Other"))</f>
        <v>2018-2021</v>
      </c>
    </row>
    <row r="798" spans="1:9" x14ac:dyDescent="0.3">
      <c r="A798" t="s">
        <v>24</v>
      </c>
      <c r="B798">
        <v>2023</v>
      </c>
      <c r="C798" t="s">
        <v>12</v>
      </c>
      <c r="D798">
        <v>41515.29</v>
      </c>
      <c r="E798">
        <v>42488.1</v>
      </c>
      <c r="F798">
        <v>185.66</v>
      </c>
      <c r="G798">
        <v>62.21</v>
      </c>
      <c r="H798">
        <f>E798*1000000/D798</f>
        <v>1023432.5714694513</v>
      </c>
      <c r="I798" t="str">
        <f>IF(AND(B798&gt;=2018, B798&lt;=2021), "2018-2021", IF(AND(B798&gt;=2022, B798&lt;=2024), "2022-2024", "Other"))</f>
        <v>2022-2024</v>
      </c>
    </row>
    <row r="799" spans="1:9" x14ac:dyDescent="0.3">
      <c r="A799" t="s">
        <v>18</v>
      </c>
      <c r="B799">
        <v>2019</v>
      </c>
      <c r="C799" t="s">
        <v>8</v>
      </c>
      <c r="D799">
        <v>21203.25</v>
      </c>
      <c r="E799">
        <v>21102.37</v>
      </c>
      <c r="F799">
        <v>21.18</v>
      </c>
      <c r="G799">
        <v>1134.22</v>
      </c>
      <c r="H799">
        <f>E799*1000000/D799</f>
        <v>995242.23880772991</v>
      </c>
      <c r="I799" t="str">
        <f>IF(AND(B799&gt;=2018, B799&lt;=2021), "2018-2021", IF(AND(B799&gt;=2022, B799&lt;=2024), "2022-2024", "Other"))</f>
        <v>2018-2021</v>
      </c>
    </row>
    <row r="800" spans="1:9" x14ac:dyDescent="0.3">
      <c r="A800" t="s">
        <v>26</v>
      </c>
      <c r="B800">
        <v>2024</v>
      </c>
      <c r="C800" t="s">
        <v>9</v>
      </c>
      <c r="D800">
        <v>8352.67</v>
      </c>
      <c r="E800">
        <v>9536.98</v>
      </c>
      <c r="F800">
        <v>27.32</v>
      </c>
      <c r="G800">
        <v>1063.02</v>
      </c>
      <c r="H800">
        <f>E800*1000000/D800</f>
        <v>1141788.1946730805</v>
      </c>
      <c r="I800" t="str">
        <f>IF(AND(B800&gt;=2018, B800&lt;=2021), "2018-2021", IF(AND(B800&gt;=2022, B800&lt;=2024), "2022-2024", "Other"))</f>
        <v>2022-2024</v>
      </c>
    </row>
    <row r="801" spans="1:9" x14ac:dyDescent="0.3">
      <c r="A801" t="s">
        <v>17</v>
      </c>
      <c r="B801">
        <v>2019</v>
      </c>
      <c r="C801" t="s">
        <v>9</v>
      </c>
      <c r="D801">
        <v>43889.15</v>
      </c>
      <c r="E801">
        <v>38039.160000000003</v>
      </c>
      <c r="F801">
        <v>124.76</v>
      </c>
      <c r="G801">
        <v>926.37</v>
      </c>
      <c r="H801">
        <f>E801*1000000/D801</f>
        <v>866709.88159943861</v>
      </c>
      <c r="I801" t="str">
        <f>IF(AND(B801&gt;=2018, B801&lt;=2021), "2018-2021", IF(AND(B801&gt;=2022, B801&lt;=2024), "2022-2024", "Other"))</f>
        <v>2018-2021</v>
      </c>
    </row>
    <row r="802" spans="1:9" x14ac:dyDescent="0.3">
      <c r="A802" t="s">
        <v>22</v>
      </c>
      <c r="B802">
        <v>2018</v>
      </c>
      <c r="C802" t="s">
        <v>8</v>
      </c>
      <c r="D802">
        <v>38982.81</v>
      </c>
      <c r="E802">
        <v>44850.25</v>
      </c>
      <c r="F802">
        <v>47.51</v>
      </c>
      <c r="G802">
        <v>679.57</v>
      </c>
      <c r="H802">
        <f>E802*1000000/D802</f>
        <v>1150513.5212161464</v>
      </c>
      <c r="I802" t="str">
        <f>IF(AND(B802&gt;=2018, B802&lt;=2021), "2018-2021", IF(AND(B802&gt;=2022, B802&lt;=2024), "2022-2024", "Other"))</f>
        <v>2018-2021</v>
      </c>
    </row>
    <row r="803" spans="1:9" x14ac:dyDescent="0.3">
      <c r="A803" t="s">
        <v>24</v>
      </c>
      <c r="B803">
        <v>2024</v>
      </c>
      <c r="C803" t="s">
        <v>0</v>
      </c>
      <c r="D803">
        <v>5740.16</v>
      </c>
      <c r="E803">
        <v>6006.83</v>
      </c>
      <c r="F803">
        <v>105.41</v>
      </c>
      <c r="G803">
        <v>1257.32</v>
      </c>
      <c r="H803">
        <f>E803*1000000/D803</f>
        <v>1046456.8931876464</v>
      </c>
      <c r="I803" t="str">
        <f>IF(AND(B803&gt;=2018, B803&lt;=2021), "2018-2021", IF(AND(B803&gt;=2022, B803&lt;=2024), "2022-2024", "Other"))</f>
        <v>2022-2024</v>
      </c>
    </row>
    <row r="804" spans="1:9" x14ac:dyDescent="0.3">
      <c r="A804" t="s">
        <v>3</v>
      </c>
      <c r="B804">
        <v>2021</v>
      </c>
      <c r="C804" t="s">
        <v>12</v>
      </c>
      <c r="D804">
        <v>24267.79</v>
      </c>
      <c r="E804">
        <v>21302.14</v>
      </c>
      <c r="F804">
        <v>43.56</v>
      </c>
      <c r="G804">
        <v>119.98</v>
      </c>
      <c r="H804">
        <f>E804*1000000/D804</f>
        <v>877794.80537782796</v>
      </c>
      <c r="I804" t="str">
        <f>IF(AND(B804&gt;=2018, B804&lt;=2021), "2018-2021", IF(AND(B804&gt;=2022, B804&lt;=2024), "2022-2024", "Other"))</f>
        <v>2018-2021</v>
      </c>
    </row>
    <row r="805" spans="1:9" x14ac:dyDescent="0.3">
      <c r="A805" t="s">
        <v>16</v>
      </c>
      <c r="B805">
        <v>2023</v>
      </c>
      <c r="C805" t="s">
        <v>0</v>
      </c>
      <c r="D805">
        <v>15102.01</v>
      </c>
      <c r="E805">
        <v>16515.169999999998</v>
      </c>
      <c r="F805">
        <v>182.79</v>
      </c>
      <c r="G805">
        <v>547.22</v>
      </c>
      <c r="H805">
        <f>E805*1000000/D805</f>
        <v>1093574.2990502587</v>
      </c>
      <c r="I805" t="str">
        <f>IF(AND(B805&gt;=2018, B805&lt;=2021), "2018-2021", IF(AND(B805&gt;=2022, B805&lt;=2024), "2022-2024", "Other"))</f>
        <v>2022-2024</v>
      </c>
    </row>
    <row r="806" spans="1:9" x14ac:dyDescent="0.3">
      <c r="A806" t="s">
        <v>26</v>
      </c>
      <c r="B806">
        <v>2023</v>
      </c>
      <c r="C806" t="s">
        <v>4</v>
      </c>
      <c r="D806">
        <v>9594.9</v>
      </c>
      <c r="E806">
        <v>8635.68</v>
      </c>
      <c r="F806">
        <v>89.41</v>
      </c>
      <c r="G806">
        <v>1318.44</v>
      </c>
      <c r="H806">
        <f>E806*1000000/D806</f>
        <v>900028.13994934817</v>
      </c>
      <c r="I806" t="str">
        <f>IF(AND(B806&gt;=2018, B806&lt;=2021), "2018-2021", IF(AND(B806&gt;=2022, B806&lt;=2024), "2022-2024", "Other"))</f>
        <v>2022-2024</v>
      </c>
    </row>
    <row r="807" spans="1:9" x14ac:dyDescent="0.3">
      <c r="A807" t="s">
        <v>22</v>
      </c>
      <c r="B807">
        <v>2024</v>
      </c>
      <c r="C807" t="s">
        <v>4</v>
      </c>
      <c r="D807">
        <v>44122.03</v>
      </c>
      <c r="E807">
        <v>37487.870000000003</v>
      </c>
      <c r="F807">
        <v>81.040000000000006</v>
      </c>
      <c r="G807">
        <v>552.70000000000005</v>
      </c>
      <c r="H807">
        <f>E807*1000000/D807</f>
        <v>849640.64436745096</v>
      </c>
      <c r="I807" t="str">
        <f>IF(AND(B807&gt;=2018, B807&lt;=2021), "2018-2021", IF(AND(B807&gt;=2022, B807&lt;=2024), "2022-2024", "Other"))</f>
        <v>2022-2024</v>
      </c>
    </row>
    <row r="808" spans="1:9" x14ac:dyDescent="0.3">
      <c r="A808" t="s">
        <v>10</v>
      </c>
      <c r="B808">
        <v>2018</v>
      </c>
      <c r="C808" t="s">
        <v>4</v>
      </c>
      <c r="D808">
        <v>32934.75</v>
      </c>
      <c r="E808">
        <v>26985.79</v>
      </c>
      <c r="F808">
        <v>182.05</v>
      </c>
      <c r="G808">
        <v>43.37</v>
      </c>
      <c r="H808">
        <f>E808*1000000/D808</f>
        <v>819371.33271089045</v>
      </c>
      <c r="I808" t="str">
        <f>IF(AND(B808&gt;=2018, B808&lt;=2021), "2018-2021", IF(AND(B808&gt;=2022, B808&lt;=2024), "2022-2024", "Other"))</f>
        <v>2018-2021</v>
      </c>
    </row>
    <row r="809" spans="1:9" x14ac:dyDescent="0.3">
      <c r="A809" t="s">
        <v>23</v>
      </c>
      <c r="B809">
        <v>2020</v>
      </c>
      <c r="C809" t="s">
        <v>4</v>
      </c>
      <c r="D809">
        <v>9550.41</v>
      </c>
      <c r="E809">
        <v>8401.6200000000008</v>
      </c>
      <c r="F809">
        <v>47.94</v>
      </c>
      <c r="G809">
        <v>1007.12</v>
      </c>
      <c r="H809">
        <f>E809*1000000/D809</f>
        <v>879713.01755631447</v>
      </c>
      <c r="I809" t="str">
        <f>IF(AND(B809&gt;=2018, B809&lt;=2021), "2018-2021", IF(AND(B809&gt;=2022, B809&lt;=2024), "2022-2024", "Other"))</f>
        <v>2018-2021</v>
      </c>
    </row>
    <row r="810" spans="1:9" x14ac:dyDescent="0.3">
      <c r="A810" t="s">
        <v>13</v>
      </c>
      <c r="B810">
        <v>2018</v>
      </c>
      <c r="C810" t="s">
        <v>8</v>
      </c>
      <c r="D810">
        <v>37772.93</v>
      </c>
      <c r="E810">
        <v>36707.67</v>
      </c>
      <c r="F810">
        <v>36.24</v>
      </c>
      <c r="G810">
        <v>915.26</v>
      </c>
      <c r="H810">
        <f>E810*1000000/D810</f>
        <v>971798.32223764481</v>
      </c>
      <c r="I810" t="str">
        <f>IF(AND(B810&gt;=2018, B810&lt;=2021), "2018-2021", IF(AND(B810&gt;=2022, B810&lt;=2024), "2022-2024", "Other"))</f>
        <v>2018-2021</v>
      </c>
    </row>
    <row r="811" spans="1:9" x14ac:dyDescent="0.3">
      <c r="A811" t="s">
        <v>10</v>
      </c>
      <c r="B811">
        <v>2018</v>
      </c>
      <c r="C811" t="s">
        <v>6</v>
      </c>
      <c r="D811">
        <v>3847.14</v>
      </c>
      <c r="E811">
        <v>4473.37</v>
      </c>
      <c r="F811">
        <v>54.85</v>
      </c>
      <c r="G811">
        <v>1332.5</v>
      </c>
      <c r="H811">
        <f>E811*1000000/D811</f>
        <v>1162778.0637044662</v>
      </c>
      <c r="I811" t="str">
        <f>IF(AND(B811&gt;=2018, B811&lt;=2021), "2018-2021", IF(AND(B811&gt;=2022, B811&lt;=2024), "2022-2024", "Other"))</f>
        <v>2018-2021</v>
      </c>
    </row>
    <row r="812" spans="1:9" x14ac:dyDescent="0.3">
      <c r="A812" t="s">
        <v>18</v>
      </c>
      <c r="B812">
        <v>2024</v>
      </c>
      <c r="C812" t="s">
        <v>0</v>
      </c>
      <c r="D812">
        <v>49284.51</v>
      </c>
      <c r="E812">
        <v>52917.99</v>
      </c>
      <c r="F812">
        <v>116.39</v>
      </c>
      <c r="G812">
        <v>83.06</v>
      </c>
      <c r="H812">
        <f>E812*1000000/D812</f>
        <v>1073724.5840528798</v>
      </c>
      <c r="I812" t="str">
        <f>IF(AND(B812&gt;=2018, B812&lt;=2021), "2018-2021", IF(AND(B812&gt;=2022, B812&lt;=2024), "2022-2024", "Other"))</f>
        <v>2022-2024</v>
      </c>
    </row>
    <row r="813" spans="1:9" x14ac:dyDescent="0.3">
      <c r="A813" t="s">
        <v>13</v>
      </c>
      <c r="B813">
        <v>2021</v>
      </c>
      <c r="C813" t="s">
        <v>14</v>
      </c>
      <c r="D813">
        <v>37469.440000000002</v>
      </c>
      <c r="E813">
        <v>42045.64</v>
      </c>
      <c r="F813">
        <v>80.52</v>
      </c>
      <c r="G813">
        <v>264.86</v>
      </c>
      <c r="H813">
        <f>E813*1000000/D813</f>
        <v>1122131.5290540771</v>
      </c>
      <c r="I813" t="str">
        <f>IF(AND(B813&gt;=2018, B813&lt;=2021), "2018-2021", IF(AND(B813&gt;=2022, B813&lt;=2024), "2022-2024", "Other"))</f>
        <v>2018-2021</v>
      </c>
    </row>
    <row r="814" spans="1:9" x14ac:dyDescent="0.3">
      <c r="A814" t="s">
        <v>18</v>
      </c>
      <c r="B814">
        <v>2021</v>
      </c>
      <c r="C814" t="s">
        <v>12</v>
      </c>
      <c r="D814">
        <v>22503.66</v>
      </c>
      <c r="E814">
        <v>21736.97</v>
      </c>
      <c r="F814">
        <v>180.76</v>
      </c>
      <c r="G814">
        <v>395.64</v>
      </c>
      <c r="H814">
        <f>E814*1000000/D814</f>
        <v>965930.4308721337</v>
      </c>
      <c r="I814" t="str">
        <f>IF(AND(B814&gt;=2018, B814&lt;=2021), "2018-2021", IF(AND(B814&gt;=2022, B814&lt;=2024), "2022-2024", "Other"))</f>
        <v>2018-2021</v>
      </c>
    </row>
    <row r="815" spans="1:9" x14ac:dyDescent="0.3">
      <c r="A815" t="s">
        <v>3</v>
      </c>
      <c r="B815">
        <v>2021</v>
      </c>
      <c r="C815" t="s">
        <v>4</v>
      </c>
      <c r="D815">
        <v>36458.5</v>
      </c>
      <c r="E815">
        <v>42052.73</v>
      </c>
      <c r="F815">
        <v>59.66</v>
      </c>
      <c r="G815">
        <v>604.25</v>
      </c>
      <c r="H815">
        <f>E815*1000000/D815</f>
        <v>1153441.0356981226</v>
      </c>
      <c r="I815" t="str">
        <f>IF(AND(B815&gt;=2018, B815&lt;=2021), "2018-2021", IF(AND(B815&gt;=2022, B815&lt;=2024), "2022-2024", "Other"))</f>
        <v>2018-2021</v>
      </c>
    </row>
    <row r="816" spans="1:9" x14ac:dyDescent="0.3">
      <c r="A816" t="s">
        <v>7</v>
      </c>
      <c r="B816">
        <v>2023</v>
      </c>
      <c r="C816" t="s">
        <v>12</v>
      </c>
      <c r="D816">
        <v>20585.97</v>
      </c>
      <c r="E816">
        <v>21867.46</v>
      </c>
      <c r="F816">
        <v>197.18</v>
      </c>
      <c r="G816">
        <v>1151.3499999999999</v>
      </c>
      <c r="H816">
        <f>E816*1000000/D816</f>
        <v>1062250.6493500185</v>
      </c>
      <c r="I816" t="str">
        <f>IF(AND(B816&gt;=2018, B816&lt;=2021), "2018-2021", IF(AND(B816&gt;=2022, B816&lt;=2024), "2022-2024", "Other"))</f>
        <v>2022-2024</v>
      </c>
    </row>
    <row r="817" spans="1:9" x14ac:dyDescent="0.3">
      <c r="A817" t="s">
        <v>27</v>
      </c>
      <c r="B817">
        <v>2021</v>
      </c>
      <c r="C817" t="s">
        <v>9</v>
      </c>
      <c r="D817">
        <v>8879.6299999999992</v>
      </c>
      <c r="E817">
        <v>8321.7199999999993</v>
      </c>
      <c r="F817">
        <v>146.78</v>
      </c>
      <c r="G817">
        <v>195.8</v>
      </c>
      <c r="H817">
        <f>E817*1000000/D817</f>
        <v>937169.6793672709</v>
      </c>
      <c r="I817" t="str">
        <f>IF(AND(B817&gt;=2018, B817&lt;=2021), "2018-2021", IF(AND(B817&gt;=2022, B817&lt;=2024), "2022-2024", "Other"))</f>
        <v>2018-2021</v>
      </c>
    </row>
    <row r="818" spans="1:9" x14ac:dyDescent="0.3">
      <c r="A818" t="s">
        <v>19</v>
      </c>
      <c r="B818">
        <v>2020</v>
      </c>
      <c r="C818" t="s">
        <v>2</v>
      </c>
      <c r="D818">
        <v>20467.580000000002</v>
      </c>
      <c r="E818">
        <v>17710.61</v>
      </c>
      <c r="F818">
        <v>161.6</v>
      </c>
      <c r="G818">
        <v>723.69</v>
      </c>
      <c r="H818">
        <f>E818*1000000/D818</f>
        <v>865300.63642111083</v>
      </c>
      <c r="I818" t="str">
        <f>IF(AND(B818&gt;=2018, B818&lt;=2021), "2018-2021", IF(AND(B818&gt;=2022, B818&lt;=2024), "2022-2024", "Other"))</f>
        <v>2018-2021</v>
      </c>
    </row>
    <row r="819" spans="1:9" x14ac:dyDescent="0.3">
      <c r="A819" t="s">
        <v>19</v>
      </c>
      <c r="B819">
        <v>2020</v>
      </c>
      <c r="C819" t="s">
        <v>0</v>
      </c>
      <c r="D819">
        <v>27926.81</v>
      </c>
      <c r="E819">
        <v>23557.01</v>
      </c>
      <c r="F819">
        <v>178.45</v>
      </c>
      <c r="G819">
        <v>430.03</v>
      </c>
      <c r="H819">
        <f>E819*1000000/D819</f>
        <v>843526.70426733303</v>
      </c>
      <c r="I819" t="str">
        <f>IF(AND(B819&gt;=2018, B819&lt;=2021), "2018-2021", IF(AND(B819&gt;=2022, B819&lt;=2024), "2022-2024", "Other"))</f>
        <v>2018-2021</v>
      </c>
    </row>
    <row r="820" spans="1:9" x14ac:dyDescent="0.3">
      <c r="A820" t="s">
        <v>26</v>
      </c>
      <c r="B820">
        <v>2019</v>
      </c>
      <c r="C820" t="s">
        <v>14</v>
      </c>
      <c r="D820">
        <v>35500.69</v>
      </c>
      <c r="E820">
        <v>35693.769999999997</v>
      </c>
      <c r="F820">
        <v>182.79</v>
      </c>
      <c r="G820">
        <v>458.44</v>
      </c>
      <c r="H820">
        <f>E820*1000000/D820</f>
        <v>1005438.7675281804</v>
      </c>
      <c r="I820" t="str">
        <f>IF(AND(B820&gt;=2018, B820&lt;=2021), "2018-2021", IF(AND(B820&gt;=2022, B820&lt;=2024), "2022-2024", "Other"))</f>
        <v>2018-2021</v>
      </c>
    </row>
    <row r="821" spans="1:9" x14ac:dyDescent="0.3">
      <c r="A821" t="s">
        <v>13</v>
      </c>
      <c r="B821">
        <v>2020</v>
      </c>
      <c r="C821" t="s">
        <v>9</v>
      </c>
      <c r="D821">
        <v>44816.92</v>
      </c>
      <c r="E821">
        <v>44060.44</v>
      </c>
      <c r="F821">
        <v>128.59</v>
      </c>
      <c r="G821">
        <v>1081.82</v>
      </c>
      <c r="H821">
        <f>E821*1000000/D821</f>
        <v>983120.66067904711</v>
      </c>
      <c r="I821" t="str">
        <f>IF(AND(B821&gt;=2018, B821&lt;=2021), "2018-2021", IF(AND(B821&gt;=2022, B821&lt;=2024), "2022-2024", "Other"))</f>
        <v>2018-2021</v>
      </c>
    </row>
    <row r="822" spans="1:9" x14ac:dyDescent="0.3">
      <c r="A822" t="s">
        <v>23</v>
      </c>
      <c r="B822">
        <v>2024</v>
      </c>
      <c r="C822" t="s">
        <v>2</v>
      </c>
      <c r="D822">
        <v>38566.47</v>
      </c>
      <c r="E822">
        <v>31631.59</v>
      </c>
      <c r="F822">
        <v>172.43</v>
      </c>
      <c r="G822">
        <v>858.26</v>
      </c>
      <c r="H822">
        <f>E822*1000000/D822</f>
        <v>820183.69843026856</v>
      </c>
      <c r="I822" t="str">
        <f>IF(AND(B822&gt;=2018, B822&lt;=2021), "2018-2021", IF(AND(B822&gt;=2022, B822&lt;=2024), "2022-2024", "Other"))</f>
        <v>2022-2024</v>
      </c>
    </row>
    <row r="823" spans="1:9" x14ac:dyDescent="0.3">
      <c r="A823" t="s">
        <v>17</v>
      </c>
      <c r="B823">
        <v>2024</v>
      </c>
      <c r="C823" t="s">
        <v>8</v>
      </c>
      <c r="D823">
        <v>26806.05</v>
      </c>
      <c r="E823">
        <v>24067.040000000001</v>
      </c>
      <c r="F823">
        <v>92.95</v>
      </c>
      <c r="G823">
        <v>776.13</v>
      </c>
      <c r="H823">
        <f>E823*1000000/D823</f>
        <v>897821.20081101102</v>
      </c>
      <c r="I823" t="str">
        <f>IF(AND(B823&gt;=2018, B823&lt;=2021), "2018-2021", IF(AND(B823&gt;=2022, B823&lt;=2024), "2022-2024", "Other"))</f>
        <v>2022-2024</v>
      </c>
    </row>
    <row r="824" spans="1:9" x14ac:dyDescent="0.3">
      <c r="A824" t="s">
        <v>25</v>
      </c>
      <c r="B824">
        <v>2020</v>
      </c>
      <c r="C824" t="s">
        <v>12</v>
      </c>
      <c r="D824">
        <v>43185.71</v>
      </c>
      <c r="E824">
        <v>38857.86</v>
      </c>
      <c r="F824">
        <v>130.57</v>
      </c>
      <c r="G824">
        <v>1324.31</v>
      </c>
      <c r="H824">
        <f>E824*1000000/D824</f>
        <v>899785.13725952408</v>
      </c>
      <c r="I824" t="str">
        <f>IF(AND(B824&gt;=2018, B824&lt;=2021), "2018-2021", IF(AND(B824&gt;=2022, B824&lt;=2024), "2022-2024", "Other"))</f>
        <v>2018-2021</v>
      </c>
    </row>
    <row r="825" spans="1:9" x14ac:dyDescent="0.3">
      <c r="A825" t="s">
        <v>17</v>
      </c>
      <c r="B825">
        <v>2022</v>
      </c>
      <c r="C825" t="s">
        <v>2</v>
      </c>
      <c r="D825">
        <v>22759.439999999999</v>
      </c>
      <c r="E825">
        <v>22153.17</v>
      </c>
      <c r="F825">
        <v>76.02</v>
      </c>
      <c r="G825">
        <v>1049.57</v>
      </c>
      <c r="H825">
        <f>E825*1000000/D825</f>
        <v>973361.82261074975</v>
      </c>
      <c r="I825" t="str">
        <f>IF(AND(B825&gt;=2018, B825&lt;=2021), "2018-2021", IF(AND(B825&gt;=2022, B825&lt;=2024), "2022-2024", "Other"))</f>
        <v>2022-2024</v>
      </c>
    </row>
    <row r="826" spans="1:9" x14ac:dyDescent="0.3">
      <c r="A826" t="s">
        <v>7</v>
      </c>
      <c r="B826">
        <v>2024</v>
      </c>
      <c r="C826" t="s">
        <v>2</v>
      </c>
      <c r="D826">
        <v>16338.96</v>
      </c>
      <c r="E826">
        <v>13830.73</v>
      </c>
      <c r="F826">
        <v>167.76</v>
      </c>
      <c r="G826">
        <v>1250.52</v>
      </c>
      <c r="H826">
        <f>E826*1000000/D826</f>
        <v>846487.78135205677</v>
      </c>
      <c r="I826" t="str">
        <f>IF(AND(B826&gt;=2018, B826&lt;=2021), "2018-2021", IF(AND(B826&gt;=2022, B826&lt;=2024), "2022-2024", "Other"))</f>
        <v>2022-2024</v>
      </c>
    </row>
    <row r="827" spans="1:9" x14ac:dyDescent="0.3">
      <c r="A827" t="s">
        <v>5</v>
      </c>
      <c r="B827">
        <v>2022</v>
      </c>
      <c r="C827" t="s">
        <v>14</v>
      </c>
      <c r="D827">
        <v>43568.25</v>
      </c>
      <c r="E827">
        <v>41325.89</v>
      </c>
      <c r="F827">
        <v>68.510000000000005</v>
      </c>
      <c r="G827">
        <v>1158.9100000000001</v>
      </c>
      <c r="H827">
        <f>E827*1000000/D827</f>
        <v>948532.2453851141</v>
      </c>
      <c r="I827" t="str">
        <f>IF(AND(B827&gt;=2018, B827&lt;=2021), "2018-2021", IF(AND(B827&gt;=2022, B827&lt;=2024), "2022-2024", "Other"))</f>
        <v>2022-2024</v>
      </c>
    </row>
    <row r="828" spans="1:9" x14ac:dyDescent="0.3">
      <c r="A828" t="s">
        <v>5</v>
      </c>
      <c r="B828">
        <v>2021</v>
      </c>
      <c r="C828" t="s">
        <v>8</v>
      </c>
      <c r="D828">
        <v>6153.96</v>
      </c>
      <c r="E828">
        <v>6170.8</v>
      </c>
      <c r="F828">
        <v>176.24</v>
      </c>
      <c r="G828">
        <v>611.9</v>
      </c>
      <c r="H828">
        <f>E828*1000000/D828</f>
        <v>1002736.4493756866</v>
      </c>
      <c r="I828" t="str">
        <f>IF(AND(B828&gt;=2018, B828&lt;=2021), "2018-2021", IF(AND(B828&gt;=2022, B828&lt;=2024), "2022-2024", "Other"))</f>
        <v>2018-2021</v>
      </c>
    </row>
    <row r="829" spans="1:9" x14ac:dyDescent="0.3">
      <c r="A829" t="s">
        <v>17</v>
      </c>
      <c r="B829">
        <v>2024</v>
      </c>
      <c r="C829" t="s">
        <v>9</v>
      </c>
      <c r="D829">
        <v>9827.4500000000007</v>
      </c>
      <c r="E829">
        <v>9747.39</v>
      </c>
      <c r="F829">
        <v>53.24</v>
      </c>
      <c r="G829">
        <v>574.88</v>
      </c>
      <c r="H829">
        <f>E829*1000000/D829</f>
        <v>991853.43095106049</v>
      </c>
      <c r="I829" t="str">
        <f>IF(AND(B829&gt;=2018, B829&lt;=2021), "2018-2021", IF(AND(B829&gt;=2022, B829&lt;=2024), "2022-2024", "Other"))</f>
        <v>2022-2024</v>
      </c>
    </row>
    <row r="830" spans="1:9" x14ac:dyDescent="0.3">
      <c r="A830" t="s">
        <v>15</v>
      </c>
      <c r="B830">
        <v>2024</v>
      </c>
      <c r="C830" t="s">
        <v>6</v>
      </c>
      <c r="D830">
        <v>11296.78</v>
      </c>
      <c r="E830">
        <v>11830.97</v>
      </c>
      <c r="F830">
        <v>21.64</v>
      </c>
      <c r="G830">
        <v>645.44000000000005</v>
      </c>
      <c r="H830">
        <f>E830*1000000/D830</f>
        <v>1047286.9260090042</v>
      </c>
      <c r="I830" t="str">
        <f>IF(AND(B830&gt;=2018, B830&lt;=2021), "2018-2021", IF(AND(B830&gt;=2022, B830&lt;=2024), "2022-2024", "Other"))</f>
        <v>2022-2024</v>
      </c>
    </row>
    <row r="831" spans="1:9" x14ac:dyDescent="0.3">
      <c r="A831" t="s">
        <v>11</v>
      </c>
      <c r="B831">
        <v>2021</v>
      </c>
      <c r="C831" t="s">
        <v>12</v>
      </c>
      <c r="D831">
        <v>37450.89</v>
      </c>
      <c r="E831">
        <v>33480.639999999999</v>
      </c>
      <c r="F831">
        <v>164.68</v>
      </c>
      <c r="G831">
        <v>383.42</v>
      </c>
      <c r="H831">
        <f>E831*1000000/D831</f>
        <v>893987.83313293755</v>
      </c>
      <c r="I831" t="str">
        <f>IF(AND(B831&gt;=2018, B831&lt;=2021), "2018-2021", IF(AND(B831&gt;=2022, B831&lt;=2024), "2022-2024", "Other"))</f>
        <v>2018-2021</v>
      </c>
    </row>
    <row r="832" spans="1:9" x14ac:dyDescent="0.3">
      <c r="A832" t="s">
        <v>19</v>
      </c>
      <c r="B832">
        <v>2020</v>
      </c>
      <c r="C832" t="s">
        <v>4</v>
      </c>
      <c r="D832">
        <v>5391.02</v>
      </c>
      <c r="E832">
        <v>4886.51</v>
      </c>
      <c r="F832">
        <v>70.55</v>
      </c>
      <c r="G832">
        <v>1110.81</v>
      </c>
      <c r="H832">
        <f>E832*1000000/D832</f>
        <v>906416.59648823412</v>
      </c>
      <c r="I832" t="str">
        <f>IF(AND(B832&gt;=2018, B832&lt;=2021), "2018-2021", IF(AND(B832&gt;=2022, B832&lt;=2024), "2022-2024", "Other"))</f>
        <v>2018-2021</v>
      </c>
    </row>
    <row r="833" spans="1:9" x14ac:dyDescent="0.3">
      <c r="A833" t="s">
        <v>11</v>
      </c>
      <c r="B833">
        <v>2021</v>
      </c>
      <c r="C833" t="s">
        <v>2</v>
      </c>
      <c r="D833">
        <v>46108.05</v>
      </c>
      <c r="E833">
        <v>47253.01</v>
      </c>
      <c r="F833">
        <v>104.11</v>
      </c>
      <c r="G833">
        <v>1058.72</v>
      </c>
      <c r="H833">
        <f>E833*1000000/D833</f>
        <v>1024832.1063241668</v>
      </c>
      <c r="I833" t="str">
        <f>IF(AND(B833&gt;=2018, B833&lt;=2021), "2018-2021", IF(AND(B833&gt;=2022, B833&lt;=2024), "2022-2024", "Other"))</f>
        <v>2018-2021</v>
      </c>
    </row>
    <row r="834" spans="1:9" x14ac:dyDescent="0.3">
      <c r="A834" t="s">
        <v>11</v>
      </c>
      <c r="B834">
        <v>2024</v>
      </c>
      <c r="C834" t="s">
        <v>12</v>
      </c>
      <c r="D834">
        <v>45682.04</v>
      </c>
      <c r="E834">
        <v>39117.339999999997</v>
      </c>
      <c r="F834">
        <v>42.62</v>
      </c>
      <c r="G834">
        <v>404.16</v>
      </c>
      <c r="H834">
        <f>E834*1000000/D834</f>
        <v>856295.82216555998</v>
      </c>
      <c r="I834" t="str">
        <f>IF(AND(B834&gt;=2018, B834&lt;=2021), "2018-2021", IF(AND(B834&gt;=2022, B834&lt;=2024), "2022-2024", "Other"))</f>
        <v>2022-2024</v>
      </c>
    </row>
    <row r="835" spans="1:9" x14ac:dyDescent="0.3">
      <c r="A835" t="s">
        <v>21</v>
      </c>
      <c r="B835">
        <v>2018</v>
      </c>
      <c r="C835" t="s">
        <v>6</v>
      </c>
      <c r="D835">
        <v>35797.75</v>
      </c>
      <c r="E835">
        <v>29894.59</v>
      </c>
      <c r="F835">
        <v>77.260000000000005</v>
      </c>
      <c r="G835">
        <v>639.45000000000005</v>
      </c>
      <c r="H835">
        <f>E835*1000000/D835</f>
        <v>835096.89854809316</v>
      </c>
      <c r="I835" t="str">
        <f>IF(AND(B835&gt;=2018, B835&lt;=2021), "2018-2021", IF(AND(B835&gt;=2022, B835&lt;=2024), "2022-2024", "Other"))</f>
        <v>2018-2021</v>
      </c>
    </row>
    <row r="836" spans="1:9" x14ac:dyDescent="0.3">
      <c r="A836" t="s">
        <v>15</v>
      </c>
      <c r="B836">
        <v>2018</v>
      </c>
      <c r="C836" t="s">
        <v>12</v>
      </c>
      <c r="D836">
        <v>36830.980000000003</v>
      </c>
      <c r="E836">
        <v>43300.12</v>
      </c>
      <c r="F836">
        <v>150.55000000000001</v>
      </c>
      <c r="G836">
        <v>274.62</v>
      </c>
      <c r="H836">
        <f>E836*1000000/D836</f>
        <v>1175643.9823214044</v>
      </c>
      <c r="I836" t="str">
        <f>IF(AND(B836&gt;=2018, B836&lt;=2021), "2018-2021", IF(AND(B836&gt;=2022, B836&lt;=2024), "2022-2024", "Other"))</f>
        <v>2018-2021</v>
      </c>
    </row>
    <row r="837" spans="1:9" x14ac:dyDescent="0.3">
      <c r="A837" t="s">
        <v>15</v>
      </c>
      <c r="B837">
        <v>2024</v>
      </c>
      <c r="C837" t="s">
        <v>4</v>
      </c>
      <c r="D837">
        <v>38470.33</v>
      </c>
      <c r="E837">
        <v>43779.81</v>
      </c>
      <c r="F837">
        <v>119.22</v>
      </c>
      <c r="G837">
        <v>337.73</v>
      </c>
      <c r="H837">
        <f>E837*1000000/D837</f>
        <v>1138014.9325467185</v>
      </c>
      <c r="I837" t="str">
        <f>IF(AND(B837&gt;=2018, B837&lt;=2021), "2018-2021", IF(AND(B837&gt;=2022, B837&lt;=2024), "2022-2024", "Other"))</f>
        <v>2022-2024</v>
      </c>
    </row>
    <row r="838" spans="1:9" x14ac:dyDescent="0.3">
      <c r="A838" t="s">
        <v>23</v>
      </c>
      <c r="B838">
        <v>2021</v>
      </c>
      <c r="C838" t="s">
        <v>2</v>
      </c>
      <c r="D838">
        <v>45204.06</v>
      </c>
      <c r="E838">
        <v>38358.519999999997</v>
      </c>
      <c r="F838">
        <v>81.87</v>
      </c>
      <c r="G838">
        <v>732.55</v>
      </c>
      <c r="H838">
        <f>E838*1000000/D838</f>
        <v>848563.60247287527</v>
      </c>
      <c r="I838" t="str">
        <f>IF(AND(B838&gt;=2018, B838&lt;=2021), "2018-2021", IF(AND(B838&gt;=2022, B838&lt;=2024), "2022-2024", "Other"))</f>
        <v>2018-2021</v>
      </c>
    </row>
    <row r="839" spans="1:9" x14ac:dyDescent="0.3">
      <c r="A839" t="s">
        <v>13</v>
      </c>
      <c r="B839">
        <v>2021</v>
      </c>
      <c r="C839" t="s">
        <v>9</v>
      </c>
      <c r="D839">
        <v>11082.19</v>
      </c>
      <c r="E839">
        <v>9026.56</v>
      </c>
      <c r="F839">
        <v>179.11</v>
      </c>
      <c r="G839">
        <v>632.24</v>
      </c>
      <c r="H839">
        <f>E839*1000000/D839</f>
        <v>814510.48935273616</v>
      </c>
      <c r="I839" t="str">
        <f>IF(AND(B839&gt;=2018, B839&lt;=2021), "2018-2021", IF(AND(B839&gt;=2022, B839&lt;=2024), "2022-2024", "Other"))</f>
        <v>2018-2021</v>
      </c>
    </row>
    <row r="840" spans="1:9" x14ac:dyDescent="0.3">
      <c r="A840" t="s">
        <v>22</v>
      </c>
      <c r="B840">
        <v>2024</v>
      </c>
      <c r="C840" t="s">
        <v>2</v>
      </c>
      <c r="D840">
        <v>28825.21</v>
      </c>
      <c r="E840">
        <v>30502.34</v>
      </c>
      <c r="F840">
        <v>107.12</v>
      </c>
      <c r="G840">
        <v>537.79</v>
      </c>
      <c r="H840">
        <f>E840*1000000/D840</f>
        <v>1058182.750446571</v>
      </c>
      <c r="I840" t="str">
        <f>IF(AND(B840&gt;=2018, B840&lt;=2021), "2018-2021", IF(AND(B840&gt;=2022, B840&lt;=2024), "2022-2024", "Other"))</f>
        <v>2022-2024</v>
      </c>
    </row>
    <row r="841" spans="1:9" x14ac:dyDescent="0.3">
      <c r="A841" t="s">
        <v>13</v>
      </c>
      <c r="B841">
        <v>2023</v>
      </c>
      <c r="C841" t="s">
        <v>4</v>
      </c>
      <c r="D841">
        <v>47231.97</v>
      </c>
      <c r="E841">
        <v>53421.64</v>
      </c>
      <c r="F841">
        <v>109.68</v>
      </c>
      <c r="G841">
        <v>1275.1099999999999</v>
      </c>
      <c r="H841">
        <f>E841*1000000/D841</f>
        <v>1131048.3132505377</v>
      </c>
      <c r="I841" t="str">
        <f>IF(AND(B841&gt;=2018, B841&lt;=2021), "2018-2021", IF(AND(B841&gt;=2022, B841&lt;=2024), "2022-2024", "Other"))</f>
        <v>2022-2024</v>
      </c>
    </row>
    <row r="842" spans="1:9" x14ac:dyDescent="0.3">
      <c r="A842" t="s">
        <v>20</v>
      </c>
      <c r="B842">
        <v>2021</v>
      </c>
      <c r="C842" t="s">
        <v>0</v>
      </c>
      <c r="D842">
        <v>40472.730000000003</v>
      </c>
      <c r="E842">
        <v>33719.67</v>
      </c>
      <c r="F842">
        <v>109.15</v>
      </c>
      <c r="G842">
        <v>1009.24</v>
      </c>
      <c r="H842">
        <f>E842*1000000/D842</f>
        <v>833145.4290333268</v>
      </c>
      <c r="I842" t="str">
        <f>IF(AND(B842&gt;=2018, B842&lt;=2021), "2018-2021", IF(AND(B842&gt;=2022, B842&lt;=2024), "2022-2024", "Other"))</f>
        <v>2018-2021</v>
      </c>
    </row>
    <row r="843" spans="1:9" x14ac:dyDescent="0.3">
      <c r="A843" t="s">
        <v>22</v>
      </c>
      <c r="B843">
        <v>2023</v>
      </c>
      <c r="C843" t="s">
        <v>14</v>
      </c>
      <c r="D843">
        <v>22963.66</v>
      </c>
      <c r="E843">
        <v>24723.96</v>
      </c>
      <c r="F843">
        <v>105.7</v>
      </c>
      <c r="G843">
        <v>1265.02</v>
      </c>
      <c r="H843">
        <f>E843*1000000/D843</f>
        <v>1076655.8989290034</v>
      </c>
      <c r="I843" t="str">
        <f>IF(AND(B843&gt;=2018, B843&lt;=2021), "2018-2021", IF(AND(B843&gt;=2022, B843&lt;=2024), "2022-2024", "Other"))</f>
        <v>2022-2024</v>
      </c>
    </row>
    <row r="844" spans="1:9" x14ac:dyDescent="0.3">
      <c r="A844" t="s">
        <v>7</v>
      </c>
      <c r="B844">
        <v>2022</v>
      </c>
      <c r="C844" t="s">
        <v>0</v>
      </c>
      <c r="D844">
        <v>47937.02</v>
      </c>
      <c r="E844">
        <v>39218.6</v>
      </c>
      <c r="F844">
        <v>164.71</v>
      </c>
      <c r="G844">
        <v>953.46</v>
      </c>
      <c r="H844">
        <f>E844*1000000/D844</f>
        <v>818127.61827915045</v>
      </c>
      <c r="I844" t="str">
        <f>IF(AND(B844&gt;=2018, B844&lt;=2021), "2018-2021", IF(AND(B844&gt;=2022, B844&lt;=2024), "2022-2024", "Other"))</f>
        <v>2022-2024</v>
      </c>
    </row>
    <row r="845" spans="1:9" x14ac:dyDescent="0.3">
      <c r="A845" t="s">
        <v>27</v>
      </c>
      <c r="B845">
        <v>2020</v>
      </c>
      <c r="C845" t="s">
        <v>2</v>
      </c>
      <c r="D845">
        <v>12428.8</v>
      </c>
      <c r="E845">
        <v>12685.51</v>
      </c>
      <c r="F845">
        <v>99.23</v>
      </c>
      <c r="G845">
        <v>1064.28</v>
      </c>
      <c r="H845">
        <f>E845*1000000/D845</f>
        <v>1020654.4477342946</v>
      </c>
      <c r="I845" t="str">
        <f>IF(AND(B845&gt;=2018, B845&lt;=2021), "2018-2021", IF(AND(B845&gt;=2022, B845&lt;=2024), "2022-2024", "Other"))</f>
        <v>2018-2021</v>
      </c>
    </row>
    <row r="846" spans="1:9" x14ac:dyDescent="0.3">
      <c r="A846" t="s">
        <v>15</v>
      </c>
      <c r="B846">
        <v>2021</v>
      </c>
      <c r="C846" t="s">
        <v>9</v>
      </c>
      <c r="D846">
        <v>18157.79</v>
      </c>
      <c r="E846">
        <v>16818.650000000001</v>
      </c>
      <c r="F846">
        <v>186.62</v>
      </c>
      <c r="G846">
        <v>289.48</v>
      </c>
      <c r="H846">
        <f>E846*1000000/D846</f>
        <v>926249.83547006547</v>
      </c>
      <c r="I846" t="str">
        <f>IF(AND(B846&gt;=2018, B846&lt;=2021), "2018-2021", IF(AND(B846&gt;=2022, B846&lt;=2024), "2022-2024", "Other"))</f>
        <v>2018-2021</v>
      </c>
    </row>
    <row r="847" spans="1:9" x14ac:dyDescent="0.3">
      <c r="A847" t="s">
        <v>19</v>
      </c>
      <c r="B847">
        <v>2019</v>
      </c>
      <c r="C847" t="s">
        <v>8</v>
      </c>
      <c r="D847">
        <v>9450.08</v>
      </c>
      <c r="E847">
        <v>8058.23</v>
      </c>
      <c r="F847">
        <v>54.77</v>
      </c>
      <c r="G847">
        <v>731.87</v>
      </c>
      <c r="H847">
        <f>E847*1000000/D847</f>
        <v>852715.53256692004</v>
      </c>
      <c r="I847" t="str">
        <f>IF(AND(B847&gt;=2018, B847&lt;=2021), "2018-2021", IF(AND(B847&gt;=2022, B847&lt;=2024), "2022-2024", "Other"))</f>
        <v>2018-2021</v>
      </c>
    </row>
    <row r="848" spans="1:9" x14ac:dyDescent="0.3">
      <c r="A848" t="s">
        <v>23</v>
      </c>
      <c r="B848">
        <v>2019</v>
      </c>
      <c r="C848" t="s">
        <v>9</v>
      </c>
      <c r="D848">
        <v>35747.35</v>
      </c>
      <c r="E848">
        <v>38945.32</v>
      </c>
      <c r="F848">
        <v>147.61000000000001</v>
      </c>
      <c r="G848">
        <v>1287.73</v>
      </c>
      <c r="H848">
        <f>E848*1000000/D848</f>
        <v>1089460.337619432</v>
      </c>
      <c r="I848" t="str">
        <f>IF(AND(B848&gt;=2018, B848&lt;=2021), "2018-2021", IF(AND(B848&gt;=2022, B848&lt;=2024), "2022-2024", "Other"))</f>
        <v>2018-2021</v>
      </c>
    </row>
    <row r="849" spans="1:9" x14ac:dyDescent="0.3">
      <c r="A849" t="s">
        <v>27</v>
      </c>
      <c r="B849">
        <v>2023</v>
      </c>
      <c r="C849" t="s">
        <v>2</v>
      </c>
      <c r="D849">
        <v>27610.31</v>
      </c>
      <c r="E849">
        <v>27250.78</v>
      </c>
      <c r="F849">
        <v>141.58000000000001</v>
      </c>
      <c r="G849">
        <v>444.92</v>
      </c>
      <c r="H849">
        <f>E849*1000000/D849</f>
        <v>986978.41494717007</v>
      </c>
      <c r="I849" t="str">
        <f>IF(AND(B849&gt;=2018, B849&lt;=2021), "2018-2021", IF(AND(B849&gt;=2022, B849&lt;=2024), "2022-2024", "Other"))</f>
        <v>2022-2024</v>
      </c>
    </row>
    <row r="850" spans="1:9" x14ac:dyDescent="0.3">
      <c r="A850" t="s">
        <v>7</v>
      </c>
      <c r="B850">
        <v>2018</v>
      </c>
      <c r="C850" t="s">
        <v>12</v>
      </c>
      <c r="D850">
        <v>33348.239999999998</v>
      </c>
      <c r="E850">
        <v>32688.799999999999</v>
      </c>
      <c r="F850">
        <v>92</v>
      </c>
      <c r="G850">
        <v>866.83</v>
      </c>
      <c r="H850">
        <f>E850*1000000/D850</f>
        <v>980225.64309240913</v>
      </c>
      <c r="I850" t="str">
        <f>IF(AND(B850&gt;=2018, B850&lt;=2021), "2018-2021", IF(AND(B850&gt;=2022, B850&lt;=2024), "2022-2024", "Other"))</f>
        <v>2018-2021</v>
      </c>
    </row>
    <row r="851" spans="1:9" x14ac:dyDescent="0.3">
      <c r="A851" t="s">
        <v>26</v>
      </c>
      <c r="B851">
        <v>2018</v>
      </c>
      <c r="C851" t="s">
        <v>0</v>
      </c>
      <c r="D851">
        <v>35404.449999999997</v>
      </c>
      <c r="E851">
        <v>34573.33</v>
      </c>
      <c r="F851">
        <v>52.83</v>
      </c>
      <c r="G851">
        <v>1114.94</v>
      </c>
      <c r="H851">
        <f>E851*1000000/D851</f>
        <v>976524.98485359899</v>
      </c>
      <c r="I851" t="str">
        <f>IF(AND(B851&gt;=2018, B851&lt;=2021), "2018-2021", IF(AND(B851&gt;=2022, B851&lt;=2024), "2022-2024", "Other"))</f>
        <v>2018-2021</v>
      </c>
    </row>
    <row r="852" spans="1:9" x14ac:dyDescent="0.3">
      <c r="A852" t="s">
        <v>17</v>
      </c>
      <c r="B852">
        <v>2022</v>
      </c>
      <c r="C852" t="s">
        <v>4</v>
      </c>
      <c r="D852">
        <v>35709.120000000003</v>
      </c>
      <c r="E852">
        <v>34134.17</v>
      </c>
      <c r="F852">
        <v>141.9</v>
      </c>
      <c r="G852">
        <v>57.58</v>
      </c>
      <c r="H852">
        <f>E852*1000000/D852</f>
        <v>955895.02065578755</v>
      </c>
      <c r="I852" t="str">
        <f>IF(AND(B852&gt;=2018, B852&lt;=2021), "2018-2021", IF(AND(B852&gt;=2022, B852&lt;=2024), "2022-2024", "Other"))</f>
        <v>2022-2024</v>
      </c>
    </row>
    <row r="853" spans="1:9" x14ac:dyDescent="0.3">
      <c r="A853" t="s">
        <v>16</v>
      </c>
      <c r="B853">
        <v>2024</v>
      </c>
      <c r="C853" t="s">
        <v>12</v>
      </c>
      <c r="D853">
        <v>25148.53</v>
      </c>
      <c r="E853">
        <v>26580.93</v>
      </c>
      <c r="F853">
        <v>96.84</v>
      </c>
      <c r="G853">
        <v>1373.75</v>
      </c>
      <c r="H853">
        <f>E853*1000000/D853</f>
        <v>1056957.603486168</v>
      </c>
      <c r="I853" t="str">
        <f>IF(AND(B853&gt;=2018, B853&lt;=2021), "2018-2021", IF(AND(B853&gt;=2022, B853&lt;=2024), "2022-2024", "Other"))</f>
        <v>2022-2024</v>
      </c>
    </row>
    <row r="854" spans="1:9" x14ac:dyDescent="0.3">
      <c r="A854" t="s">
        <v>3</v>
      </c>
      <c r="B854">
        <v>2019</v>
      </c>
      <c r="C854" t="s">
        <v>6</v>
      </c>
      <c r="D854">
        <v>40257.449999999997</v>
      </c>
      <c r="E854">
        <v>42998.94</v>
      </c>
      <c r="F854">
        <v>145.47</v>
      </c>
      <c r="G854">
        <v>92.26</v>
      </c>
      <c r="H854">
        <f>E854*1000000/D854</f>
        <v>1068098.9481450019</v>
      </c>
      <c r="I854" t="str">
        <f>IF(AND(B854&gt;=2018, B854&lt;=2021), "2018-2021", IF(AND(B854&gt;=2022, B854&lt;=2024), "2022-2024", "Other"))</f>
        <v>2018-2021</v>
      </c>
    </row>
    <row r="855" spans="1:9" x14ac:dyDescent="0.3">
      <c r="A855" t="s">
        <v>19</v>
      </c>
      <c r="B855">
        <v>2022</v>
      </c>
      <c r="C855" t="s">
        <v>0</v>
      </c>
      <c r="D855">
        <v>32266.14</v>
      </c>
      <c r="E855">
        <v>28182.03</v>
      </c>
      <c r="F855">
        <v>62.43</v>
      </c>
      <c r="G855">
        <v>618.72</v>
      </c>
      <c r="H855">
        <f>E855*1000000/D855</f>
        <v>873424.27696650417</v>
      </c>
      <c r="I855" t="str">
        <f>IF(AND(B855&gt;=2018, B855&lt;=2021), "2018-2021", IF(AND(B855&gt;=2022, B855&lt;=2024), "2022-2024", "Other"))</f>
        <v>2022-2024</v>
      </c>
    </row>
    <row r="856" spans="1:9" x14ac:dyDescent="0.3">
      <c r="A856" t="s">
        <v>18</v>
      </c>
      <c r="B856">
        <v>2019</v>
      </c>
      <c r="C856" t="s">
        <v>2</v>
      </c>
      <c r="D856">
        <v>27129.87</v>
      </c>
      <c r="E856">
        <v>25612.86</v>
      </c>
      <c r="F856">
        <v>68.38</v>
      </c>
      <c r="G856">
        <v>719.72</v>
      </c>
      <c r="H856">
        <f>E856*1000000/D856</f>
        <v>944083.40327469318</v>
      </c>
      <c r="I856" t="str">
        <f>IF(AND(B856&gt;=2018, B856&lt;=2021), "2018-2021", IF(AND(B856&gt;=2022, B856&lt;=2024), "2022-2024", "Other"))</f>
        <v>2018-2021</v>
      </c>
    </row>
    <row r="857" spans="1:9" x14ac:dyDescent="0.3">
      <c r="A857" t="s">
        <v>15</v>
      </c>
      <c r="B857">
        <v>2018</v>
      </c>
      <c r="C857" t="s">
        <v>0</v>
      </c>
      <c r="D857">
        <v>42434.63</v>
      </c>
      <c r="E857">
        <v>42409.63</v>
      </c>
      <c r="F857">
        <v>59.74</v>
      </c>
      <c r="G857">
        <v>1296.98</v>
      </c>
      <c r="H857">
        <f>E857*1000000/D857</f>
        <v>999410.85853700154</v>
      </c>
      <c r="I857" t="str">
        <f>IF(AND(B857&gt;=2018, B857&lt;=2021), "2018-2021", IF(AND(B857&gt;=2022, B857&lt;=2024), "2022-2024", "Other"))</f>
        <v>2018-2021</v>
      </c>
    </row>
    <row r="858" spans="1:9" x14ac:dyDescent="0.3">
      <c r="A858" t="s">
        <v>10</v>
      </c>
      <c r="B858">
        <v>2024</v>
      </c>
      <c r="C858" t="s">
        <v>4</v>
      </c>
      <c r="D858">
        <v>4897.7299999999996</v>
      </c>
      <c r="E858">
        <v>3924.03</v>
      </c>
      <c r="F858">
        <v>164.04</v>
      </c>
      <c r="G858">
        <v>1066.56</v>
      </c>
      <c r="H858">
        <f>E858*1000000/D858</f>
        <v>801193.61418453045</v>
      </c>
      <c r="I858" t="str">
        <f>IF(AND(B858&gt;=2018, B858&lt;=2021), "2018-2021", IF(AND(B858&gt;=2022, B858&lt;=2024), "2022-2024", "Other"))</f>
        <v>2022-2024</v>
      </c>
    </row>
    <row r="859" spans="1:9" x14ac:dyDescent="0.3">
      <c r="A859" t="s">
        <v>16</v>
      </c>
      <c r="B859">
        <v>2018</v>
      </c>
      <c r="C859" t="s">
        <v>12</v>
      </c>
      <c r="D859">
        <v>6845.55</v>
      </c>
      <c r="E859">
        <v>6342</v>
      </c>
      <c r="F859">
        <v>140.04</v>
      </c>
      <c r="G859">
        <v>1351.41</v>
      </c>
      <c r="H859">
        <f>E859*1000000/D859</f>
        <v>926441.26476324035</v>
      </c>
      <c r="I859" t="str">
        <f>IF(AND(B859&gt;=2018, B859&lt;=2021), "2018-2021", IF(AND(B859&gt;=2022, B859&lt;=2024), "2022-2024", "Other"))</f>
        <v>2018-2021</v>
      </c>
    </row>
    <row r="860" spans="1:9" x14ac:dyDescent="0.3">
      <c r="A860" t="s">
        <v>23</v>
      </c>
      <c r="B860">
        <v>2019</v>
      </c>
      <c r="C860" t="s">
        <v>4</v>
      </c>
      <c r="D860">
        <v>44700.35</v>
      </c>
      <c r="E860">
        <v>45771.57</v>
      </c>
      <c r="F860">
        <v>55.69</v>
      </c>
      <c r="G860">
        <v>561.85</v>
      </c>
      <c r="H860">
        <f>E860*1000000/D860</f>
        <v>1023964.4656026184</v>
      </c>
      <c r="I860" t="str">
        <f>IF(AND(B860&gt;=2018, B860&lt;=2021), "2018-2021", IF(AND(B860&gt;=2022, B860&lt;=2024), "2022-2024", "Other"))</f>
        <v>2018-2021</v>
      </c>
    </row>
    <row r="861" spans="1:9" x14ac:dyDescent="0.3">
      <c r="A861" t="s">
        <v>16</v>
      </c>
      <c r="B861">
        <v>2021</v>
      </c>
      <c r="C861" t="s">
        <v>0</v>
      </c>
      <c r="D861">
        <v>7244.15</v>
      </c>
      <c r="E861">
        <v>5905.22</v>
      </c>
      <c r="F861">
        <v>119.33</v>
      </c>
      <c r="G861">
        <v>683.01</v>
      </c>
      <c r="H861">
        <f>E861*1000000/D861</f>
        <v>815170.86200589442</v>
      </c>
      <c r="I861" t="str">
        <f>IF(AND(B861&gt;=2018, B861&lt;=2021), "2018-2021", IF(AND(B861&gt;=2022, B861&lt;=2024), "2022-2024", "Other"))</f>
        <v>2018-2021</v>
      </c>
    </row>
    <row r="862" spans="1:9" x14ac:dyDescent="0.3">
      <c r="A862" t="s">
        <v>10</v>
      </c>
      <c r="B862">
        <v>2022</v>
      </c>
      <c r="C862" t="s">
        <v>12</v>
      </c>
      <c r="D862">
        <v>33854.230000000003</v>
      </c>
      <c r="E862">
        <v>30364.97</v>
      </c>
      <c r="F862">
        <v>82.99</v>
      </c>
      <c r="G862">
        <v>510.15</v>
      </c>
      <c r="H862">
        <f>E862*1000000/D862</f>
        <v>896932.82050721569</v>
      </c>
      <c r="I862" t="str">
        <f>IF(AND(B862&gt;=2018, B862&lt;=2021), "2018-2021", IF(AND(B862&gt;=2022, B862&lt;=2024), "2022-2024", "Other"))</f>
        <v>2022-2024</v>
      </c>
    </row>
    <row r="863" spans="1:9" x14ac:dyDescent="0.3">
      <c r="A863" t="s">
        <v>5</v>
      </c>
      <c r="B863">
        <v>2022</v>
      </c>
      <c r="C863" t="s">
        <v>12</v>
      </c>
      <c r="D863">
        <v>44291.93</v>
      </c>
      <c r="E863">
        <v>47222.04</v>
      </c>
      <c r="F863">
        <v>70.22</v>
      </c>
      <c r="G863">
        <v>99.98</v>
      </c>
      <c r="H863">
        <f>E863*1000000/D863</f>
        <v>1066154.489090902</v>
      </c>
      <c r="I863" t="str">
        <f>IF(AND(B863&gt;=2018, B863&lt;=2021), "2018-2021", IF(AND(B863&gt;=2022, B863&lt;=2024), "2022-2024", "Other"))</f>
        <v>2022-2024</v>
      </c>
    </row>
    <row r="864" spans="1:9" x14ac:dyDescent="0.3">
      <c r="A864" t="s">
        <v>20</v>
      </c>
      <c r="B864">
        <v>2019</v>
      </c>
      <c r="C864" t="s">
        <v>14</v>
      </c>
      <c r="D864">
        <v>32886.269999999997</v>
      </c>
      <c r="E864">
        <v>38702.18</v>
      </c>
      <c r="F864">
        <v>199.4</v>
      </c>
      <c r="G864">
        <v>866.88</v>
      </c>
      <c r="H864">
        <f>E864*1000000/D864</f>
        <v>1176849.1835650562</v>
      </c>
      <c r="I864" t="str">
        <f>IF(AND(B864&gt;=2018, B864&lt;=2021), "2018-2021", IF(AND(B864&gt;=2022, B864&lt;=2024), "2022-2024", "Other"))</f>
        <v>2018-2021</v>
      </c>
    </row>
    <row r="865" spans="1:9" x14ac:dyDescent="0.3">
      <c r="A865" t="s">
        <v>19</v>
      </c>
      <c r="B865">
        <v>2019</v>
      </c>
      <c r="C865" t="s">
        <v>14</v>
      </c>
      <c r="D865">
        <v>43730.86</v>
      </c>
      <c r="E865">
        <v>35135.24</v>
      </c>
      <c r="F865">
        <v>134.63</v>
      </c>
      <c r="G865">
        <v>1021.4</v>
      </c>
      <c r="H865">
        <f>E865*1000000/D865</f>
        <v>803442.69470117893</v>
      </c>
      <c r="I865" t="str">
        <f>IF(AND(B865&gt;=2018, B865&lt;=2021), "2018-2021", IF(AND(B865&gt;=2022, B865&lt;=2024), "2022-2024", "Other"))</f>
        <v>2018-2021</v>
      </c>
    </row>
    <row r="866" spans="1:9" x14ac:dyDescent="0.3">
      <c r="A866" t="s">
        <v>1</v>
      </c>
      <c r="B866">
        <v>2023</v>
      </c>
      <c r="C866" t="s">
        <v>12</v>
      </c>
      <c r="D866">
        <v>42584.45</v>
      </c>
      <c r="E866">
        <v>34687.74</v>
      </c>
      <c r="F866">
        <v>190.89</v>
      </c>
      <c r="G866">
        <v>671.16</v>
      </c>
      <c r="H866">
        <f>E866*1000000/D866</f>
        <v>814563.53199348599</v>
      </c>
      <c r="I866" t="str">
        <f>IF(AND(B866&gt;=2018, B866&lt;=2021), "2018-2021", IF(AND(B866&gt;=2022, B866&lt;=2024), "2022-2024", "Other"))</f>
        <v>2022-2024</v>
      </c>
    </row>
    <row r="867" spans="1:9" x14ac:dyDescent="0.3">
      <c r="A867" t="s">
        <v>26</v>
      </c>
      <c r="B867">
        <v>2022</v>
      </c>
      <c r="C867" t="s">
        <v>2</v>
      </c>
      <c r="D867">
        <v>14279.35</v>
      </c>
      <c r="E867">
        <v>12857.6</v>
      </c>
      <c r="F867">
        <v>69.69</v>
      </c>
      <c r="G867">
        <v>962.01</v>
      </c>
      <c r="H867">
        <f>E867*1000000/D867</f>
        <v>900433.14296519093</v>
      </c>
      <c r="I867" t="str">
        <f>IF(AND(B867&gt;=2018, B867&lt;=2021), "2018-2021", IF(AND(B867&gt;=2022, B867&lt;=2024), "2022-2024", "Other"))</f>
        <v>2022-2024</v>
      </c>
    </row>
    <row r="868" spans="1:9" x14ac:dyDescent="0.3">
      <c r="A868" t="s">
        <v>1</v>
      </c>
      <c r="B868">
        <v>2018</v>
      </c>
      <c r="C868" t="s">
        <v>12</v>
      </c>
      <c r="D868">
        <v>8482.02</v>
      </c>
      <c r="E868">
        <v>9641.15</v>
      </c>
      <c r="F868">
        <v>127.48</v>
      </c>
      <c r="G868">
        <v>1276.31</v>
      </c>
      <c r="H868">
        <f>E868*1000000/D868</f>
        <v>1136657.3056889749</v>
      </c>
      <c r="I868" t="str">
        <f>IF(AND(B868&gt;=2018, B868&lt;=2021), "2018-2021", IF(AND(B868&gt;=2022, B868&lt;=2024), "2022-2024", "Other"))</f>
        <v>2018-2021</v>
      </c>
    </row>
    <row r="869" spans="1:9" x14ac:dyDescent="0.3">
      <c r="A869" t="s">
        <v>25</v>
      </c>
      <c r="B869">
        <v>2023</v>
      </c>
      <c r="C869" t="s">
        <v>6</v>
      </c>
      <c r="D869">
        <v>12889.02</v>
      </c>
      <c r="E869">
        <v>12044.44</v>
      </c>
      <c r="F869">
        <v>25.54</v>
      </c>
      <c r="G869">
        <v>920.02</v>
      </c>
      <c r="H869">
        <f>E869*1000000/D869</f>
        <v>934472.90794800536</v>
      </c>
      <c r="I869" t="str">
        <f>IF(AND(B869&gt;=2018, B869&lt;=2021), "2018-2021", IF(AND(B869&gt;=2022, B869&lt;=2024), "2022-2024", "Other"))</f>
        <v>2022-2024</v>
      </c>
    </row>
    <row r="870" spans="1:9" x14ac:dyDescent="0.3">
      <c r="A870" t="s">
        <v>7</v>
      </c>
      <c r="B870">
        <v>2018</v>
      </c>
      <c r="C870" t="s">
        <v>6</v>
      </c>
      <c r="D870">
        <v>26522.14</v>
      </c>
      <c r="E870">
        <v>21329.27</v>
      </c>
      <c r="F870">
        <v>36.950000000000003</v>
      </c>
      <c r="G870">
        <v>1084.6099999999999</v>
      </c>
      <c r="H870">
        <f>E870*1000000/D870</f>
        <v>804206.22166989546</v>
      </c>
      <c r="I870" t="str">
        <f>IF(AND(B870&gt;=2018, B870&lt;=2021), "2018-2021", IF(AND(B870&gt;=2022, B870&lt;=2024), "2022-2024", "Other"))</f>
        <v>2018-2021</v>
      </c>
    </row>
    <row r="871" spans="1:9" x14ac:dyDescent="0.3">
      <c r="A871" t="s">
        <v>21</v>
      </c>
      <c r="B871">
        <v>2023</v>
      </c>
      <c r="C871" t="s">
        <v>4</v>
      </c>
      <c r="D871">
        <v>12996.1</v>
      </c>
      <c r="E871">
        <v>10791.47</v>
      </c>
      <c r="F871">
        <v>176.69</v>
      </c>
      <c r="G871">
        <v>1219.29</v>
      </c>
      <c r="H871">
        <f>E871*1000000/D871</f>
        <v>830362.18557875056</v>
      </c>
      <c r="I871" t="str">
        <f>IF(AND(B871&gt;=2018, B871&lt;=2021), "2018-2021", IF(AND(B871&gt;=2022, B871&lt;=2024), "2022-2024", "Other"))</f>
        <v>2022-2024</v>
      </c>
    </row>
    <row r="872" spans="1:9" x14ac:dyDescent="0.3">
      <c r="A872" t="s">
        <v>3</v>
      </c>
      <c r="B872">
        <v>2018</v>
      </c>
      <c r="C872" t="s">
        <v>6</v>
      </c>
      <c r="D872">
        <v>10234.379999999999</v>
      </c>
      <c r="E872">
        <v>10925.55</v>
      </c>
      <c r="F872">
        <v>75.3</v>
      </c>
      <c r="G872">
        <v>1328.14</v>
      </c>
      <c r="H872">
        <f>E872*1000000/D872</f>
        <v>1067534.1349451556</v>
      </c>
      <c r="I872" t="str">
        <f>IF(AND(B872&gt;=2018, B872&lt;=2021), "2018-2021", IF(AND(B872&gt;=2022, B872&lt;=2024), "2022-2024", "Other"))</f>
        <v>2018-2021</v>
      </c>
    </row>
    <row r="873" spans="1:9" x14ac:dyDescent="0.3">
      <c r="A873" t="s">
        <v>15</v>
      </c>
      <c r="B873">
        <v>2019</v>
      </c>
      <c r="C873" t="s">
        <v>12</v>
      </c>
      <c r="D873">
        <v>11503.27</v>
      </c>
      <c r="E873">
        <v>12818.4</v>
      </c>
      <c r="F873">
        <v>116.23</v>
      </c>
      <c r="G873">
        <v>987.97</v>
      </c>
      <c r="H873">
        <f>E873*1000000/D873</f>
        <v>1114326.621908379</v>
      </c>
      <c r="I873" t="str">
        <f>IF(AND(B873&gt;=2018, B873&lt;=2021), "2018-2021", IF(AND(B873&gt;=2022, B873&lt;=2024), "2022-2024", "Other"))</f>
        <v>2018-2021</v>
      </c>
    </row>
    <row r="874" spans="1:9" x14ac:dyDescent="0.3">
      <c r="A874" t="s">
        <v>7</v>
      </c>
      <c r="B874">
        <v>2020</v>
      </c>
      <c r="C874" t="s">
        <v>12</v>
      </c>
      <c r="D874">
        <v>24515.11</v>
      </c>
      <c r="E874">
        <v>26391.040000000001</v>
      </c>
      <c r="F874">
        <v>156.80000000000001</v>
      </c>
      <c r="G874">
        <v>257.73</v>
      </c>
      <c r="H874">
        <f>E874*1000000/D874</f>
        <v>1076521.3780399109</v>
      </c>
      <c r="I874" t="str">
        <f>IF(AND(B874&gt;=2018, B874&lt;=2021), "2018-2021", IF(AND(B874&gt;=2022, B874&lt;=2024), "2022-2024", "Other"))</f>
        <v>2018-2021</v>
      </c>
    </row>
    <row r="875" spans="1:9" x14ac:dyDescent="0.3">
      <c r="A875" t="s">
        <v>20</v>
      </c>
      <c r="B875">
        <v>2020</v>
      </c>
      <c r="C875" t="s">
        <v>8</v>
      </c>
      <c r="D875">
        <v>23708.54</v>
      </c>
      <c r="E875">
        <v>21422.03</v>
      </c>
      <c r="F875">
        <v>25.93</v>
      </c>
      <c r="G875">
        <v>999.01</v>
      </c>
      <c r="H875">
        <f>E875*1000000/D875</f>
        <v>903557.53665135009</v>
      </c>
      <c r="I875" t="str">
        <f>IF(AND(B875&gt;=2018, B875&lt;=2021), "2018-2021", IF(AND(B875&gt;=2022, B875&lt;=2024), "2022-2024", "Other"))</f>
        <v>2018-2021</v>
      </c>
    </row>
    <row r="876" spans="1:9" x14ac:dyDescent="0.3">
      <c r="A876" t="s">
        <v>23</v>
      </c>
      <c r="B876">
        <v>2019</v>
      </c>
      <c r="C876" t="s">
        <v>4</v>
      </c>
      <c r="D876">
        <v>35215.19</v>
      </c>
      <c r="E876">
        <v>30350.95</v>
      </c>
      <c r="F876">
        <v>97.75</v>
      </c>
      <c r="G876">
        <v>187.24</v>
      </c>
      <c r="H876">
        <f>E876*1000000/D876</f>
        <v>861870.97102131206</v>
      </c>
      <c r="I876" t="str">
        <f>IF(AND(B876&gt;=2018, B876&lt;=2021), "2018-2021", IF(AND(B876&gt;=2022, B876&lt;=2024), "2022-2024", "Other"))</f>
        <v>2018-2021</v>
      </c>
    </row>
    <row r="877" spans="1:9" x14ac:dyDescent="0.3">
      <c r="A877" t="s">
        <v>20</v>
      </c>
      <c r="B877">
        <v>2018</v>
      </c>
      <c r="C877" t="s">
        <v>14</v>
      </c>
      <c r="D877">
        <v>5983.65</v>
      </c>
      <c r="E877">
        <v>6409.36</v>
      </c>
      <c r="F877">
        <v>103.06</v>
      </c>
      <c r="G877">
        <v>850.21</v>
      </c>
      <c r="H877">
        <f>E877*1000000/D877</f>
        <v>1071145.538258421</v>
      </c>
      <c r="I877" t="str">
        <f>IF(AND(B877&gt;=2018, B877&lt;=2021), "2018-2021", IF(AND(B877&gt;=2022, B877&lt;=2024), "2022-2024", "Other"))</f>
        <v>2018-2021</v>
      </c>
    </row>
    <row r="878" spans="1:9" x14ac:dyDescent="0.3">
      <c r="A878" t="s">
        <v>27</v>
      </c>
      <c r="B878">
        <v>2019</v>
      </c>
      <c r="C878" t="s">
        <v>9</v>
      </c>
      <c r="D878">
        <v>46830.94</v>
      </c>
      <c r="E878">
        <v>53089</v>
      </c>
      <c r="F878">
        <v>109.93</v>
      </c>
      <c r="G878">
        <v>1313.38</v>
      </c>
      <c r="H878">
        <f>E878*1000000/D878</f>
        <v>1133630.8859057708</v>
      </c>
      <c r="I878" t="str">
        <f>IF(AND(B878&gt;=2018, B878&lt;=2021), "2018-2021", IF(AND(B878&gt;=2022, B878&lt;=2024), "2022-2024", "Other"))</f>
        <v>2018-2021</v>
      </c>
    </row>
    <row r="879" spans="1:9" x14ac:dyDescent="0.3">
      <c r="A879" t="s">
        <v>15</v>
      </c>
      <c r="B879">
        <v>2023</v>
      </c>
      <c r="C879" t="s">
        <v>14</v>
      </c>
      <c r="D879">
        <v>39640.67</v>
      </c>
      <c r="E879">
        <v>45257.9</v>
      </c>
      <c r="F879">
        <v>172.04</v>
      </c>
      <c r="G879">
        <v>884.85</v>
      </c>
      <c r="H879">
        <f>E879*1000000/D879</f>
        <v>1141703.7098515239</v>
      </c>
      <c r="I879" t="str">
        <f>IF(AND(B879&gt;=2018, B879&lt;=2021), "2018-2021", IF(AND(B879&gt;=2022, B879&lt;=2024), "2022-2024", "Other"))</f>
        <v>2022-2024</v>
      </c>
    </row>
    <row r="880" spans="1:9" x14ac:dyDescent="0.3">
      <c r="A880" t="s">
        <v>23</v>
      </c>
      <c r="B880">
        <v>2024</v>
      </c>
      <c r="C880" t="s">
        <v>0</v>
      </c>
      <c r="D880">
        <v>40774.51</v>
      </c>
      <c r="E880">
        <v>40166.639999999999</v>
      </c>
      <c r="F880">
        <v>170.8</v>
      </c>
      <c r="G880">
        <v>418.7</v>
      </c>
      <c r="H880">
        <f>E880*1000000/D880</f>
        <v>985091.91158888233</v>
      </c>
      <c r="I880" t="str">
        <f>IF(AND(B880&gt;=2018, B880&lt;=2021), "2018-2021", IF(AND(B880&gt;=2022, B880&lt;=2024), "2022-2024", "Other"))</f>
        <v>2022-2024</v>
      </c>
    </row>
    <row r="881" spans="1:9" x14ac:dyDescent="0.3">
      <c r="A881" t="s">
        <v>7</v>
      </c>
      <c r="B881">
        <v>2018</v>
      </c>
      <c r="C881" t="s">
        <v>14</v>
      </c>
      <c r="D881">
        <v>12446.82</v>
      </c>
      <c r="E881">
        <v>13000.65</v>
      </c>
      <c r="F881">
        <v>96.34</v>
      </c>
      <c r="G881">
        <v>1061.4100000000001</v>
      </c>
      <c r="H881">
        <f>E881*1000000/D881</f>
        <v>1044495.7025167875</v>
      </c>
      <c r="I881" t="str">
        <f>IF(AND(B881&gt;=2018, B881&lt;=2021), "2018-2021", IF(AND(B881&gt;=2022, B881&lt;=2024), "2022-2024", "Other"))</f>
        <v>2018-2021</v>
      </c>
    </row>
    <row r="882" spans="1:9" x14ac:dyDescent="0.3">
      <c r="A882" t="s">
        <v>3</v>
      </c>
      <c r="B882">
        <v>2021</v>
      </c>
      <c r="C882" t="s">
        <v>8</v>
      </c>
      <c r="D882">
        <v>26079.42</v>
      </c>
      <c r="E882">
        <v>25803.49</v>
      </c>
      <c r="F882">
        <v>160.44</v>
      </c>
      <c r="G882">
        <v>97.84</v>
      </c>
      <c r="H882">
        <f>E882*1000000/D882</f>
        <v>989419.62666347646</v>
      </c>
      <c r="I882" t="str">
        <f>IF(AND(B882&gt;=2018, B882&lt;=2021), "2018-2021", IF(AND(B882&gt;=2022, B882&lt;=2024), "2022-2024", "Other"))</f>
        <v>2018-2021</v>
      </c>
    </row>
    <row r="883" spans="1:9" x14ac:dyDescent="0.3">
      <c r="A883" t="s">
        <v>16</v>
      </c>
      <c r="B883">
        <v>2024</v>
      </c>
      <c r="C883" t="s">
        <v>6</v>
      </c>
      <c r="D883">
        <v>17805.95</v>
      </c>
      <c r="E883">
        <v>14344.08</v>
      </c>
      <c r="F883">
        <v>98.43</v>
      </c>
      <c r="G883">
        <v>737.86</v>
      </c>
      <c r="H883">
        <f>E883*1000000/D883</f>
        <v>805577.91075455106</v>
      </c>
      <c r="I883" t="str">
        <f>IF(AND(B883&gt;=2018, B883&lt;=2021), "2018-2021", IF(AND(B883&gt;=2022, B883&lt;=2024), "2022-2024", "Other"))</f>
        <v>2022-2024</v>
      </c>
    </row>
    <row r="884" spans="1:9" x14ac:dyDescent="0.3">
      <c r="A884" t="s">
        <v>10</v>
      </c>
      <c r="B884">
        <v>2024</v>
      </c>
      <c r="C884" t="s">
        <v>12</v>
      </c>
      <c r="D884">
        <v>1770.01</v>
      </c>
      <c r="E884">
        <v>1586.6</v>
      </c>
      <c r="F884">
        <v>124.12</v>
      </c>
      <c r="G884">
        <v>465.5</v>
      </c>
      <c r="H884">
        <f>E884*1000000/D884</f>
        <v>896379.11650216661</v>
      </c>
      <c r="I884" t="str">
        <f>IF(AND(B884&gt;=2018, B884&lt;=2021), "2018-2021", IF(AND(B884&gt;=2022, B884&lt;=2024), "2022-2024", "Other"))</f>
        <v>2022-2024</v>
      </c>
    </row>
    <row r="885" spans="1:9" x14ac:dyDescent="0.3">
      <c r="A885" t="s">
        <v>15</v>
      </c>
      <c r="B885">
        <v>2020</v>
      </c>
      <c r="C885" t="s">
        <v>0</v>
      </c>
      <c r="D885">
        <v>42605.03</v>
      </c>
      <c r="E885">
        <v>41963.21</v>
      </c>
      <c r="F885">
        <v>164.67</v>
      </c>
      <c r="G885">
        <v>850.23</v>
      </c>
      <c r="H885">
        <f>E885*1000000/D885</f>
        <v>984935.58154987812</v>
      </c>
      <c r="I885" t="str">
        <f>IF(AND(B885&gt;=2018, B885&lt;=2021), "2018-2021", IF(AND(B885&gt;=2022, B885&lt;=2024), "2022-2024", "Other"))</f>
        <v>2018-2021</v>
      </c>
    </row>
    <row r="886" spans="1:9" x14ac:dyDescent="0.3">
      <c r="A886" t="s">
        <v>16</v>
      </c>
      <c r="B886">
        <v>2020</v>
      </c>
      <c r="C886" t="s">
        <v>4</v>
      </c>
      <c r="D886">
        <v>47037.46</v>
      </c>
      <c r="E886">
        <v>37722.959999999999</v>
      </c>
      <c r="F886">
        <v>35.83</v>
      </c>
      <c r="G886">
        <v>63.44</v>
      </c>
      <c r="H886">
        <f>E886*1000000/D886</f>
        <v>801976.97749835986</v>
      </c>
      <c r="I886" t="str">
        <f>IF(AND(B886&gt;=2018, B886&lt;=2021), "2018-2021", IF(AND(B886&gt;=2022, B886&lt;=2024), "2022-2024", "Other"))</f>
        <v>2018-2021</v>
      </c>
    </row>
    <row r="887" spans="1:9" x14ac:dyDescent="0.3">
      <c r="A887" t="s">
        <v>18</v>
      </c>
      <c r="B887">
        <v>2019</v>
      </c>
      <c r="C887" t="s">
        <v>0</v>
      </c>
      <c r="D887">
        <v>11535.53</v>
      </c>
      <c r="E887">
        <v>11122.14</v>
      </c>
      <c r="F887">
        <v>137.86000000000001</v>
      </c>
      <c r="G887">
        <v>1393.56</v>
      </c>
      <c r="H887">
        <f>E887*1000000/D887</f>
        <v>964163.76187309984</v>
      </c>
      <c r="I887" t="str">
        <f>IF(AND(B887&gt;=2018, B887&lt;=2021), "2018-2021", IF(AND(B887&gt;=2022, B887&lt;=2024), "2022-2024", "Other"))</f>
        <v>2018-2021</v>
      </c>
    </row>
    <row r="888" spans="1:9" x14ac:dyDescent="0.3">
      <c r="A888" t="s">
        <v>18</v>
      </c>
      <c r="B888">
        <v>2022</v>
      </c>
      <c r="C888" t="s">
        <v>9</v>
      </c>
      <c r="D888">
        <v>2544.85</v>
      </c>
      <c r="E888">
        <v>2094.59</v>
      </c>
      <c r="F888">
        <v>54.43</v>
      </c>
      <c r="G888">
        <v>158.79</v>
      </c>
      <c r="H888">
        <f>E888*1000000/D888</f>
        <v>823070.12201112066</v>
      </c>
      <c r="I888" t="str">
        <f>IF(AND(B888&gt;=2018, B888&lt;=2021), "2018-2021", IF(AND(B888&gt;=2022, B888&lt;=2024), "2022-2024", "Other"))</f>
        <v>2022-2024</v>
      </c>
    </row>
    <row r="889" spans="1:9" x14ac:dyDescent="0.3">
      <c r="A889" t="s">
        <v>5</v>
      </c>
      <c r="B889">
        <v>2024</v>
      </c>
      <c r="C889" t="s">
        <v>9</v>
      </c>
      <c r="D889">
        <v>44571.72</v>
      </c>
      <c r="E889">
        <v>38799.410000000003</v>
      </c>
      <c r="F889">
        <v>64.52</v>
      </c>
      <c r="G889">
        <v>265.2</v>
      </c>
      <c r="H889">
        <f>E889*1000000/D889</f>
        <v>870493.89164250332</v>
      </c>
      <c r="I889" t="str">
        <f>IF(AND(B889&gt;=2018, B889&lt;=2021), "2018-2021", IF(AND(B889&gt;=2022, B889&lt;=2024), "2022-2024", "Other"))</f>
        <v>2022-2024</v>
      </c>
    </row>
    <row r="890" spans="1:9" x14ac:dyDescent="0.3">
      <c r="A890" t="s">
        <v>15</v>
      </c>
      <c r="B890">
        <v>2023</v>
      </c>
      <c r="C890" t="s">
        <v>14</v>
      </c>
      <c r="D890">
        <v>34265.32</v>
      </c>
      <c r="E890">
        <v>31824.29</v>
      </c>
      <c r="F890">
        <v>36.36</v>
      </c>
      <c r="G890">
        <v>85.99</v>
      </c>
      <c r="H890">
        <f>E890*1000000/D890</f>
        <v>928760.91628503695</v>
      </c>
      <c r="I890" t="str">
        <f>IF(AND(B890&gt;=2018, B890&lt;=2021), "2018-2021", IF(AND(B890&gt;=2022, B890&lt;=2024), "2022-2024", "Other"))</f>
        <v>2022-2024</v>
      </c>
    </row>
    <row r="891" spans="1:9" x14ac:dyDescent="0.3">
      <c r="A891" t="s">
        <v>21</v>
      </c>
      <c r="B891">
        <v>2018</v>
      </c>
      <c r="C891" t="s">
        <v>2</v>
      </c>
      <c r="D891">
        <v>30869.97</v>
      </c>
      <c r="E891">
        <v>27152.97</v>
      </c>
      <c r="F891">
        <v>81</v>
      </c>
      <c r="G891">
        <v>637.92999999999995</v>
      </c>
      <c r="H891">
        <f>E891*1000000/D891</f>
        <v>879591.71971984417</v>
      </c>
      <c r="I891" t="str">
        <f>IF(AND(B891&gt;=2018, B891&lt;=2021), "2018-2021", IF(AND(B891&gt;=2022, B891&lt;=2024), "2022-2024", "Other"))</f>
        <v>2018-2021</v>
      </c>
    </row>
    <row r="892" spans="1:9" x14ac:dyDescent="0.3">
      <c r="A892" t="s">
        <v>5</v>
      </c>
      <c r="B892">
        <v>2022</v>
      </c>
      <c r="C892" t="s">
        <v>4</v>
      </c>
      <c r="D892">
        <v>46425.16</v>
      </c>
      <c r="E892">
        <v>51894.080000000002</v>
      </c>
      <c r="F892">
        <v>119.52</v>
      </c>
      <c r="G892">
        <v>1232.3399999999999</v>
      </c>
      <c r="H892">
        <f>E892*1000000/D892</f>
        <v>1117800.7787156792</v>
      </c>
      <c r="I892" t="str">
        <f>IF(AND(B892&gt;=2018, B892&lt;=2021), "2018-2021", IF(AND(B892&gt;=2022, B892&lt;=2024), "2022-2024", "Other"))</f>
        <v>2022-2024</v>
      </c>
    </row>
    <row r="893" spans="1:9" x14ac:dyDescent="0.3">
      <c r="A893" t="s">
        <v>21</v>
      </c>
      <c r="B893">
        <v>2018</v>
      </c>
      <c r="C893" t="s">
        <v>8</v>
      </c>
      <c r="D893">
        <v>15983.89</v>
      </c>
      <c r="E893">
        <v>13743.01</v>
      </c>
      <c r="F893">
        <v>118.51</v>
      </c>
      <c r="G893">
        <v>613.62</v>
      </c>
      <c r="H893">
        <f>E893*1000000/D893</f>
        <v>859803.8399913914</v>
      </c>
      <c r="I893" t="str">
        <f>IF(AND(B893&gt;=2018, B893&lt;=2021), "2018-2021", IF(AND(B893&gt;=2022, B893&lt;=2024), "2022-2024", "Other"))</f>
        <v>2018-2021</v>
      </c>
    </row>
    <row r="894" spans="1:9" x14ac:dyDescent="0.3">
      <c r="A894" t="s">
        <v>11</v>
      </c>
      <c r="B894">
        <v>2024</v>
      </c>
      <c r="C894" t="s">
        <v>14</v>
      </c>
      <c r="D894">
        <v>37272.33</v>
      </c>
      <c r="E894">
        <v>36169.5</v>
      </c>
      <c r="F894">
        <v>164.31</v>
      </c>
      <c r="G894">
        <v>221.67</v>
      </c>
      <c r="H894">
        <f>E894*1000000/D894</f>
        <v>970411.56267933873</v>
      </c>
      <c r="I894" t="str">
        <f>IF(AND(B894&gt;=2018, B894&lt;=2021), "2018-2021", IF(AND(B894&gt;=2022, B894&lt;=2024), "2022-2024", "Other"))</f>
        <v>2022-2024</v>
      </c>
    </row>
    <row r="895" spans="1:9" x14ac:dyDescent="0.3">
      <c r="A895" t="s">
        <v>23</v>
      </c>
      <c r="B895">
        <v>2022</v>
      </c>
      <c r="C895" t="s">
        <v>0</v>
      </c>
      <c r="D895">
        <v>38743.72</v>
      </c>
      <c r="E895">
        <v>34924.65</v>
      </c>
      <c r="F895">
        <v>175.76</v>
      </c>
      <c r="G895">
        <v>906.74</v>
      </c>
      <c r="H895">
        <f>E895*1000000/D895</f>
        <v>901427.37971469958</v>
      </c>
      <c r="I895" t="str">
        <f>IF(AND(B895&gt;=2018, B895&lt;=2021), "2018-2021", IF(AND(B895&gt;=2022, B895&lt;=2024), "2022-2024", "Other"))</f>
        <v>2022-2024</v>
      </c>
    </row>
    <row r="896" spans="1:9" x14ac:dyDescent="0.3">
      <c r="A896" t="s">
        <v>25</v>
      </c>
      <c r="B896">
        <v>2023</v>
      </c>
      <c r="C896" t="s">
        <v>6</v>
      </c>
      <c r="D896">
        <v>22824.99</v>
      </c>
      <c r="E896">
        <v>21668.59</v>
      </c>
      <c r="F896">
        <v>69.44</v>
      </c>
      <c r="G896">
        <v>965.14</v>
      </c>
      <c r="H896">
        <f>E896*1000000/D896</f>
        <v>949336.23191072582</v>
      </c>
      <c r="I896" t="str">
        <f>IF(AND(B896&gt;=2018, B896&lt;=2021), "2018-2021", IF(AND(B896&gt;=2022, B896&lt;=2024), "2022-2024", "Other"))</f>
        <v>2022-2024</v>
      </c>
    </row>
    <row r="897" spans="1:9" x14ac:dyDescent="0.3">
      <c r="A897" t="s">
        <v>3</v>
      </c>
      <c r="B897">
        <v>2019</v>
      </c>
      <c r="C897" t="s">
        <v>14</v>
      </c>
      <c r="D897">
        <v>47790.7</v>
      </c>
      <c r="E897">
        <v>44900.9</v>
      </c>
      <c r="F897">
        <v>55.76</v>
      </c>
      <c r="G897">
        <v>724.21</v>
      </c>
      <c r="H897">
        <f>E897*1000000/D897</f>
        <v>939532.16839259525</v>
      </c>
      <c r="I897" t="str">
        <f>IF(AND(B897&gt;=2018, B897&lt;=2021), "2018-2021", IF(AND(B897&gt;=2022, B897&lt;=2024), "2022-2024", "Other"))</f>
        <v>2018-2021</v>
      </c>
    </row>
    <row r="898" spans="1:9" x14ac:dyDescent="0.3">
      <c r="A898" t="s">
        <v>10</v>
      </c>
      <c r="B898">
        <v>2021</v>
      </c>
      <c r="C898" t="s">
        <v>6</v>
      </c>
      <c r="D898">
        <v>2385.3000000000002</v>
      </c>
      <c r="E898">
        <v>2575</v>
      </c>
      <c r="F898">
        <v>81.73</v>
      </c>
      <c r="G898">
        <v>340.76</v>
      </c>
      <c r="H898">
        <f>E898*1000000/D898</f>
        <v>1079528.7804469038</v>
      </c>
      <c r="I898" t="str">
        <f>IF(AND(B898&gt;=2018, B898&lt;=2021), "2018-2021", IF(AND(B898&gt;=2022, B898&lt;=2024), "2022-2024", "Other"))</f>
        <v>2018-2021</v>
      </c>
    </row>
    <row r="899" spans="1:9" x14ac:dyDescent="0.3">
      <c r="A899" t="s">
        <v>10</v>
      </c>
      <c r="B899">
        <v>2021</v>
      </c>
      <c r="C899" t="s">
        <v>9</v>
      </c>
      <c r="D899">
        <v>17123.97</v>
      </c>
      <c r="E899">
        <v>18075.66</v>
      </c>
      <c r="F899">
        <v>26.65</v>
      </c>
      <c r="G899">
        <v>892.99</v>
      </c>
      <c r="H899">
        <f>E899*1000000/D899</f>
        <v>1055576.4813883696</v>
      </c>
      <c r="I899" t="str">
        <f>IF(AND(B899&gt;=2018, B899&lt;=2021), "2018-2021", IF(AND(B899&gt;=2022, B899&lt;=2024), "2022-2024", "Other"))</f>
        <v>2018-2021</v>
      </c>
    </row>
    <row r="900" spans="1:9" x14ac:dyDescent="0.3">
      <c r="A900" t="s">
        <v>17</v>
      </c>
      <c r="B900">
        <v>2019</v>
      </c>
      <c r="C900" t="s">
        <v>12</v>
      </c>
      <c r="D900">
        <v>25898.1</v>
      </c>
      <c r="E900">
        <v>27122.01</v>
      </c>
      <c r="F900">
        <v>167.21</v>
      </c>
      <c r="G900">
        <v>1088.02</v>
      </c>
      <c r="H900">
        <f>E900*1000000/D900</f>
        <v>1047258.6792081273</v>
      </c>
      <c r="I900" t="str">
        <f>IF(AND(B900&gt;=2018, B900&lt;=2021), "2018-2021", IF(AND(B900&gt;=2022, B900&lt;=2024), "2022-2024", "Other"))</f>
        <v>2018-2021</v>
      </c>
    </row>
    <row r="901" spans="1:9" x14ac:dyDescent="0.3">
      <c r="A901" t="s">
        <v>10</v>
      </c>
      <c r="B901">
        <v>2020</v>
      </c>
      <c r="C901" t="s">
        <v>4</v>
      </c>
      <c r="D901">
        <v>37962.199999999997</v>
      </c>
      <c r="E901">
        <v>38039.760000000002</v>
      </c>
      <c r="F901">
        <v>105.57</v>
      </c>
      <c r="G901">
        <v>1118.1500000000001</v>
      </c>
      <c r="H901">
        <f>E901*1000000/D901</f>
        <v>1002043.0849634637</v>
      </c>
      <c r="I901" t="str">
        <f>IF(AND(B901&gt;=2018, B901&lt;=2021), "2018-2021", IF(AND(B901&gt;=2022, B901&lt;=2024), "2022-2024", "Other"))</f>
        <v>2018-2021</v>
      </c>
    </row>
    <row r="902" spans="1:9" x14ac:dyDescent="0.3">
      <c r="A902" t="s">
        <v>15</v>
      </c>
      <c r="B902">
        <v>2023</v>
      </c>
      <c r="C902" t="s">
        <v>12</v>
      </c>
      <c r="D902">
        <v>11793.7</v>
      </c>
      <c r="E902">
        <v>14057.41</v>
      </c>
      <c r="F902">
        <v>186.27</v>
      </c>
      <c r="G902">
        <v>1086.43</v>
      </c>
      <c r="H902">
        <f>E902*1000000/D902</f>
        <v>1191942.3081814866</v>
      </c>
      <c r="I902" t="str">
        <f>IF(AND(B902&gt;=2018, B902&lt;=2021), "2018-2021", IF(AND(B902&gt;=2022, B902&lt;=2024), "2022-2024", "Other"))</f>
        <v>2022-2024</v>
      </c>
    </row>
    <row r="903" spans="1:9" x14ac:dyDescent="0.3">
      <c r="A903" t="s">
        <v>19</v>
      </c>
      <c r="B903">
        <v>2018</v>
      </c>
      <c r="C903" t="s">
        <v>8</v>
      </c>
      <c r="D903">
        <v>40578.720000000001</v>
      </c>
      <c r="E903">
        <v>40705.86</v>
      </c>
      <c r="F903">
        <v>79.650000000000006</v>
      </c>
      <c r="G903">
        <v>1284.28</v>
      </c>
      <c r="H903">
        <f>E903*1000000/D903</f>
        <v>1003133.1693064739</v>
      </c>
      <c r="I903" t="str">
        <f>IF(AND(B903&gt;=2018, B903&lt;=2021), "2018-2021", IF(AND(B903&gt;=2022, B903&lt;=2024), "2022-2024", "Other"))</f>
        <v>2018-2021</v>
      </c>
    </row>
    <row r="904" spans="1:9" x14ac:dyDescent="0.3">
      <c r="A904" t="s">
        <v>5</v>
      </c>
      <c r="B904">
        <v>2020</v>
      </c>
      <c r="C904" t="s">
        <v>0</v>
      </c>
      <c r="D904">
        <v>635.89</v>
      </c>
      <c r="E904">
        <v>678.39</v>
      </c>
      <c r="F904">
        <v>121.86</v>
      </c>
      <c r="G904">
        <v>1100.53</v>
      </c>
      <c r="H904">
        <f>E904*1000000/D904</f>
        <v>1066835.4589630282</v>
      </c>
      <c r="I904" t="str">
        <f>IF(AND(B904&gt;=2018, B904&lt;=2021), "2018-2021", IF(AND(B904&gt;=2022, B904&lt;=2024), "2022-2024", "Other"))</f>
        <v>2018-2021</v>
      </c>
    </row>
    <row r="905" spans="1:9" x14ac:dyDescent="0.3">
      <c r="A905" t="s">
        <v>27</v>
      </c>
      <c r="B905">
        <v>2024</v>
      </c>
      <c r="C905" t="s">
        <v>9</v>
      </c>
      <c r="D905">
        <v>44274.37</v>
      </c>
      <c r="E905">
        <v>48037.82</v>
      </c>
      <c r="F905">
        <v>93.24</v>
      </c>
      <c r="G905">
        <v>635.66</v>
      </c>
      <c r="H905">
        <f>E905*1000000/D905</f>
        <v>1085002.9034856961</v>
      </c>
      <c r="I905" t="str">
        <f>IF(AND(B905&gt;=2018, B905&lt;=2021), "2018-2021", IF(AND(B905&gt;=2022, B905&lt;=2024), "2022-2024", "Other"))</f>
        <v>2022-2024</v>
      </c>
    </row>
    <row r="906" spans="1:9" x14ac:dyDescent="0.3">
      <c r="A906" t="s">
        <v>23</v>
      </c>
      <c r="B906">
        <v>2022</v>
      </c>
      <c r="C906" t="s">
        <v>0</v>
      </c>
      <c r="D906">
        <v>18914.73</v>
      </c>
      <c r="E906">
        <v>17461.66</v>
      </c>
      <c r="F906">
        <v>141.38999999999999</v>
      </c>
      <c r="G906">
        <v>953.38</v>
      </c>
      <c r="H906">
        <f>E906*1000000/D906</f>
        <v>923177.86190973921</v>
      </c>
      <c r="I906" t="str">
        <f>IF(AND(B906&gt;=2018, B906&lt;=2021), "2018-2021", IF(AND(B906&gt;=2022, B906&lt;=2024), "2022-2024", "Other"))</f>
        <v>2022-2024</v>
      </c>
    </row>
    <row r="907" spans="1:9" x14ac:dyDescent="0.3">
      <c r="A907" t="s">
        <v>5</v>
      </c>
      <c r="B907">
        <v>2022</v>
      </c>
      <c r="C907" t="s">
        <v>9</v>
      </c>
      <c r="D907">
        <v>43403.34</v>
      </c>
      <c r="E907">
        <v>50453.95</v>
      </c>
      <c r="F907">
        <v>121.87</v>
      </c>
      <c r="G907">
        <v>609.88</v>
      </c>
      <c r="H907">
        <f>E907*1000000/D907</f>
        <v>1162443.9501660473</v>
      </c>
      <c r="I907" t="str">
        <f>IF(AND(B907&gt;=2018, B907&lt;=2021), "2018-2021", IF(AND(B907&gt;=2022, B907&lt;=2024), "2022-2024", "Other"))</f>
        <v>2022-2024</v>
      </c>
    </row>
    <row r="908" spans="1:9" x14ac:dyDescent="0.3">
      <c r="A908" t="s">
        <v>24</v>
      </c>
      <c r="B908">
        <v>2022</v>
      </c>
      <c r="C908" t="s">
        <v>12</v>
      </c>
      <c r="D908">
        <v>13377.2</v>
      </c>
      <c r="E908">
        <v>13169.52</v>
      </c>
      <c r="F908">
        <v>124.92</v>
      </c>
      <c r="G908">
        <v>233.39</v>
      </c>
      <c r="H908">
        <f>E908*1000000/D908</f>
        <v>984475.07699668081</v>
      </c>
      <c r="I908" t="str">
        <f>IF(AND(B908&gt;=2018, B908&lt;=2021), "2018-2021", IF(AND(B908&gt;=2022, B908&lt;=2024), "2022-2024", "Other"))</f>
        <v>2022-2024</v>
      </c>
    </row>
    <row r="909" spans="1:9" x14ac:dyDescent="0.3">
      <c r="A909" t="s">
        <v>24</v>
      </c>
      <c r="B909">
        <v>2018</v>
      </c>
      <c r="C909" t="s">
        <v>9</v>
      </c>
      <c r="D909">
        <v>6676.42</v>
      </c>
      <c r="E909">
        <v>5689.53</v>
      </c>
      <c r="F909">
        <v>47.56</v>
      </c>
      <c r="G909">
        <v>272.95999999999998</v>
      </c>
      <c r="H909">
        <f>E909*1000000/D909</f>
        <v>852182.75662705465</v>
      </c>
      <c r="I909" t="str">
        <f>IF(AND(B909&gt;=2018, B909&lt;=2021), "2018-2021", IF(AND(B909&gt;=2022, B909&lt;=2024), "2022-2024", "Other"))</f>
        <v>2018-2021</v>
      </c>
    </row>
    <row r="910" spans="1:9" x14ac:dyDescent="0.3">
      <c r="A910" t="s">
        <v>20</v>
      </c>
      <c r="B910">
        <v>2021</v>
      </c>
      <c r="C910" t="s">
        <v>9</v>
      </c>
      <c r="D910">
        <v>48272.56</v>
      </c>
      <c r="E910">
        <v>45655.35</v>
      </c>
      <c r="F910">
        <v>146.66</v>
      </c>
      <c r="G910">
        <v>236.12</v>
      </c>
      <c r="H910">
        <f>E910*1000000/D910</f>
        <v>945782.65581937239</v>
      </c>
      <c r="I910" t="str">
        <f>IF(AND(B910&gt;=2018, B910&lt;=2021), "2018-2021", IF(AND(B910&gt;=2022, B910&lt;=2024), "2022-2024", "Other"))</f>
        <v>2018-2021</v>
      </c>
    </row>
    <row r="911" spans="1:9" x14ac:dyDescent="0.3">
      <c r="A911" t="s">
        <v>25</v>
      </c>
      <c r="B911">
        <v>2020</v>
      </c>
      <c r="C911" t="s">
        <v>4</v>
      </c>
      <c r="D911">
        <v>16124.59</v>
      </c>
      <c r="E911">
        <v>13779.36</v>
      </c>
      <c r="F911">
        <v>122.51</v>
      </c>
      <c r="G911">
        <v>1369.98</v>
      </c>
      <c r="H911">
        <f>E911*1000000/D911</f>
        <v>854555.68172586092</v>
      </c>
      <c r="I911" t="str">
        <f>IF(AND(B911&gt;=2018, B911&lt;=2021), "2018-2021", IF(AND(B911&gt;=2022, B911&lt;=2024), "2022-2024", "Other"))</f>
        <v>2018-2021</v>
      </c>
    </row>
    <row r="912" spans="1:9" x14ac:dyDescent="0.3">
      <c r="A912" t="s">
        <v>10</v>
      </c>
      <c r="B912">
        <v>2024</v>
      </c>
      <c r="C912" t="s">
        <v>2</v>
      </c>
      <c r="D912">
        <v>28410.76</v>
      </c>
      <c r="E912">
        <v>27734.23</v>
      </c>
      <c r="F912">
        <v>139.37</v>
      </c>
      <c r="G912">
        <v>581.96</v>
      </c>
      <c r="H912">
        <f>E912*1000000/D912</f>
        <v>976187.543029472</v>
      </c>
      <c r="I912" t="str">
        <f>IF(AND(B912&gt;=2018, B912&lt;=2021), "2018-2021", IF(AND(B912&gt;=2022, B912&lt;=2024), "2022-2024", "Other"))</f>
        <v>2022-2024</v>
      </c>
    </row>
    <row r="913" spans="1:9" x14ac:dyDescent="0.3">
      <c r="A913" t="s">
        <v>1</v>
      </c>
      <c r="B913">
        <v>2020</v>
      </c>
      <c r="C913" t="s">
        <v>8</v>
      </c>
      <c r="D913">
        <v>46292.03</v>
      </c>
      <c r="E913">
        <v>47192.54</v>
      </c>
      <c r="F913">
        <v>86.61</v>
      </c>
      <c r="G913">
        <v>48.66</v>
      </c>
      <c r="H913">
        <f>E913*1000000/D913</f>
        <v>1019452.8086152195</v>
      </c>
      <c r="I913" t="str">
        <f>IF(AND(B913&gt;=2018, B913&lt;=2021), "2018-2021", IF(AND(B913&gt;=2022, B913&lt;=2024), "2022-2024", "Other"))</f>
        <v>2018-2021</v>
      </c>
    </row>
    <row r="914" spans="1:9" x14ac:dyDescent="0.3">
      <c r="A914" t="s">
        <v>27</v>
      </c>
      <c r="B914">
        <v>2018</v>
      </c>
      <c r="C914" t="s">
        <v>12</v>
      </c>
      <c r="D914">
        <v>43517.47</v>
      </c>
      <c r="E914">
        <v>39926.28</v>
      </c>
      <c r="F914">
        <v>175.83</v>
      </c>
      <c r="G914">
        <v>701.28</v>
      </c>
      <c r="H914">
        <f>E914*1000000/D914</f>
        <v>917477.05002152012</v>
      </c>
      <c r="I914" t="str">
        <f>IF(AND(B914&gt;=2018, B914&lt;=2021), "2018-2021", IF(AND(B914&gt;=2022, B914&lt;=2024), "2022-2024", "Other"))</f>
        <v>2018-2021</v>
      </c>
    </row>
    <row r="915" spans="1:9" x14ac:dyDescent="0.3">
      <c r="A915" t="s">
        <v>15</v>
      </c>
      <c r="B915">
        <v>2018</v>
      </c>
      <c r="C915" t="s">
        <v>14</v>
      </c>
      <c r="D915">
        <v>19101.73</v>
      </c>
      <c r="E915">
        <v>21537.88</v>
      </c>
      <c r="F915">
        <v>81.45</v>
      </c>
      <c r="G915">
        <v>87.63</v>
      </c>
      <c r="H915">
        <f>E915*1000000/D915</f>
        <v>1127535.5687678552</v>
      </c>
      <c r="I915" t="str">
        <f>IF(AND(B915&gt;=2018, B915&lt;=2021), "2018-2021", IF(AND(B915&gt;=2022, B915&lt;=2024), "2022-2024", "Other"))</f>
        <v>2018-2021</v>
      </c>
    </row>
    <row r="916" spans="1:9" x14ac:dyDescent="0.3">
      <c r="A916" t="s">
        <v>21</v>
      </c>
      <c r="B916">
        <v>2022</v>
      </c>
      <c r="C916" t="s">
        <v>9</v>
      </c>
      <c r="D916">
        <v>13620.65</v>
      </c>
      <c r="E916">
        <v>11080.62</v>
      </c>
      <c r="F916">
        <v>42.48</v>
      </c>
      <c r="G916">
        <v>625.29999999999995</v>
      </c>
      <c r="H916">
        <f>E916*1000000/D916</f>
        <v>813516.24188272958</v>
      </c>
      <c r="I916" t="str">
        <f>IF(AND(B916&gt;=2018, B916&lt;=2021), "2018-2021", IF(AND(B916&gt;=2022, B916&lt;=2024), "2022-2024", "Other"))</f>
        <v>2022-2024</v>
      </c>
    </row>
    <row r="917" spans="1:9" x14ac:dyDescent="0.3">
      <c r="A917" t="s">
        <v>26</v>
      </c>
      <c r="B917">
        <v>2018</v>
      </c>
      <c r="C917" t="s">
        <v>0</v>
      </c>
      <c r="D917">
        <v>38704.629999999997</v>
      </c>
      <c r="E917">
        <v>45379.18</v>
      </c>
      <c r="F917">
        <v>144.29</v>
      </c>
      <c r="G917">
        <v>56.12</v>
      </c>
      <c r="H917">
        <f>E917*1000000/D917</f>
        <v>1172448.3608291824</v>
      </c>
      <c r="I917" t="str">
        <f>IF(AND(B917&gt;=2018, B917&lt;=2021), "2018-2021", IF(AND(B917&gt;=2022, B917&lt;=2024), "2022-2024", "Other"))</f>
        <v>2018-2021</v>
      </c>
    </row>
    <row r="918" spans="1:9" x14ac:dyDescent="0.3">
      <c r="A918" t="s">
        <v>3</v>
      </c>
      <c r="B918">
        <v>2018</v>
      </c>
      <c r="C918" t="s">
        <v>12</v>
      </c>
      <c r="D918">
        <v>18097.21</v>
      </c>
      <c r="E918">
        <v>18489.13</v>
      </c>
      <c r="F918">
        <v>39.5</v>
      </c>
      <c r="G918">
        <v>197.64</v>
      </c>
      <c r="H918">
        <f>E918*1000000/D918</f>
        <v>1021656.3768669314</v>
      </c>
      <c r="I918" t="str">
        <f>IF(AND(B918&gt;=2018, B918&lt;=2021), "2018-2021", IF(AND(B918&gt;=2022, B918&lt;=2024), "2022-2024", "Other"))</f>
        <v>2018-2021</v>
      </c>
    </row>
    <row r="919" spans="1:9" x14ac:dyDescent="0.3">
      <c r="A919" t="s">
        <v>27</v>
      </c>
      <c r="B919">
        <v>2021</v>
      </c>
      <c r="C919" t="s">
        <v>2</v>
      </c>
      <c r="D919">
        <v>23393.34</v>
      </c>
      <c r="E919">
        <v>25594.240000000002</v>
      </c>
      <c r="F919">
        <v>101.54</v>
      </c>
      <c r="G919">
        <v>374.29</v>
      </c>
      <c r="H919">
        <f>E919*1000000/D919</f>
        <v>1094082.3328349008</v>
      </c>
      <c r="I919" t="str">
        <f>IF(AND(B919&gt;=2018, B919&lt;=2021), "2018-2021", IF(AND(B919&gt;=2022, B919&lt;=2024), "2022-2024", "Other"))</f>
        <v>2018-2021</v>
      </c>
    </row>
    <row r="920" spans="1:9" x14ac:dyDescent="0.3">
      <c r="A920" t="s">
        <v>7</v>
      </c>
      <c r="B920">
        <v>2023</v>
      </c>
      <c r="C920" t="s">
        <v>0</v>
      </c>
      <c r="D920">
        <v>46548.17</v>
      </c>
      <c r="E920">
        <v>38763.17</v>
      </c>
      <c r="F920">
        <v>78.95</v>
      </c>
      <c r="G920">
        <v>21.75</v>
      </c>
      <c r="H920">
        <f>E920*1000000/D920</f>
        <v>832753.89773647382</v>
      </c>
      <c r="I920" t="str">
        <f>IF(AND(B920&gt;=2018, B920&lt;=2021), "2018-2021", IF(AND(B920&gt;=2022, B920&lt;=2024), "2022-2024", "Other"))</f>
        <v>2022-2024</v>
      </c>
    </row>
    <row r="921" spans="1:9" x14ac:dyDescent="0.3">
      <c r="A921" t="s">
        <v>16</v>
      </c>
      <c r="B921">
        <v>2022</v>
      </c>
      <c r="C921" t="s">
        <v>12</v>
      </c>
      <c r="D921">
        <v>15570.99</v>
      </c>
      <c r="E921">
        <v>18315.75</v>
      </c>
      <c r="F921">
        <v>189.25</v>
      </c>
      <c r="G921">
        <v>164.5</v>
      </c>
      <c r="H921">
        <f>E921*1000000/D921</f>
        <v>1176273.9556059055</v>
      </c>
      <c r="I921" t="str">
        <f>IF(AND(B921&gt;=2018, B921&lt;=2021), "2018-2021", IF(AND(B921&gt;=2022, B921&lt;=2024), "2022-2024", "Other"))</f>
        <v>2022-2024</v>
      </c>
    </row>
    <row r="922" spans="1:9" x14ac:dyDescent="0.3">
      <c r="A922" t="s">
        <v>15</v>
      </c>
      <c r="B922">
        <v>2023</v>
      </c>
      <c r="C922" t="s">
        <v>6</v>
      </c>
      <c r="D922">
        <v>15781.53</v>
      </c>
      <c r="E922">
        <v>15316.49</v>
      </c>
      <c r="F922">
        <v>87.81</v>
      </c>
      <c r="G922">
        <v>1354.7</v>
      </c>
      <c r="H922">
        <f>E922*1000000/D922</f>
        <v>970532.64163867501</v>
      </c>
      <c r="I922" t="str">
        <f>IF(AND(B922&gt;=2018, B922&lt;=2021), "2018-2021", IF(AND(B922&gt;=2022, B922&lt;=2024), "2022-2024", "Other"))</f>
        <v>2022-2024</v>
      </c>
    </row>
    <row r="923" spans="1:9" x14ac:dyDescent="0.3">
      <c r="A923" t="s">
        <v>18</v>
      </c>
      <c r="B923">
        <v>2020</v>
      </c>
      <c r="C923" t="s">
        <v>9</v>
      </c>
      <c r="D923">
        <v>41933.58</v>
      </c>
      <c r="E923">
        <v>39978.85</v>
      </c>
      <c r="F923">
        <v>100.94</v>
      </c>
      <c r="G923">
        <v>122.93</v>
      </c>
      <c r="H923">
        <f>E923*1000000/D923</f>
        <v>953385.09137545608</v>
      </c>
      <c r="I923" t="str">
        <f>IF(AND(B923&gt;=2018, B923&lt;=2021), "2018-2021", IF(AND(B923&gt;=2022, B923&lt;=2024), "2022-2024", "Other"))</f>
        <v>2018-2021</v>
      </c>
    </row>
    <row r="924" spans="1:9" x14ac:dyDescent="0.3">
      <c r="A924" t="s">
        <v>11</v>
      </c>
      <c r="B924">
        <v>2018</v>
      </c>
      <c r="C924" t="s">
        <v>14</v>
      </c>
      <c r="D924">
        <v>31464.15</v>
      </c>
      <c r="E924">
        <v>29967.55</v>
      </c>
      <c r="F924">
        <v>152.91999999999999</v>
      </c>
      <c r="G924">
        <v>844.13</v>
      </c>
      <c r="H924">
        <f>E924*1000000/D924</f>
        <v>952434.75511018094</v>
      </c>
      <c r="I924" t="str">
        <f>IF(AND(B924&gt;=2018, B924&lt;=2021), "2018-2021", IF(AND(B924&gt;=2022, B924&lt;=2024), "2022-2024", "Other"))</f>
        <v>2018-2021</v>
      </c>
    </row>
    <row r="925" spans="1:9" x14ac:dyDescent="0.3">
      <c r="A925" t="s">
        <v>27</v>
      </c>
      <c r="B925">
        <v>2024</v>
      </c>
      <c r="C925" t="s">
        <v>8</v>
      </c>
      <c r="D925">
        <v>45096.37</v>
      </c>
      <c r="E925">
        <v>36342.17</v>
      </c>
      <c r="F925">
        <v>142.82</v>
      </c>
      <c r="G925">
        <v>663.2</v>
      </c>
      <c r="H925">
        <f>E925*1000000/D925</f>
        <v>805877.94538673502</v>
      </c>
      <c r="I925" t="str">
        <f>IF(AND(B925&gt;=2018, B925&lt;=2021), "2018-2021", IF(AND(B925&gt;=2022, B925&lt;=2024), "2022-2024", "Other"))</f>
        <v>2022-2024</v>
      </c>
    </row>
    <row r="926" spans="1:9" x14ac:dyDescent="0.3">
      <c r="A926" t="s">
        <v>21</v>
      </c>
      <c r="B926">
        <v>2022</v>
      </c>
      <c r="C926" t="s">
        <v>12</v>
      </c>
      <c r="D926">
        <v>34127.57</v>
      </c>
      <c r="E926">
        <v>38894.660000000003</v>
      </c>
      <c r="F926">
        <v>178.13</v>
      </c>
      <c r="G926">
        <v>1044.28</v>
      </c>
      <c r="H926">
        <f>E926*1000000/D926</f>
        <v>1139684.425231565</v>
      </c>
      <c r="I926" t="str">
        <f>IF(AND(B926&gt;=2018, B926&lt;=2021), "2018-2021", IF(AND(B926&gt;=2022, B926&lt;=2024), "2022-2024", "Other"))</f>
        <v>2022-2024</v>
      </c>
    </row>
    <row r="927" spans="1:9" x14ac:dyDescent="0.3">
      <c r="A927" t="s">
        <v>25</v>
      </c>
      <c r="B927">
        <v>2023</v>
      </c>
      <c r="C927" t="s">
        <v>2</v>
      </c>
      <c r="D927">
        <v>36185.230000000003</v>
      </c>
      <c r="E927">
        <v>35302.89</v>
      </c>
      <c r="F927">
        <v>54.87</v>
      </c>
      <c r="G927">
        <v>1187.7</v>
      </c>
      <c r="H927">
        <f>E927*1000000/D927</f>
        <v>975616.01791670243</v>
      </c>
      <c r="I927" t="str">
        <f>IF(AND(B927&gt;=2018, B927&lt;=2021), "2018-2021", IF(AND(B927&gt;=2022, B927&lt;=2024), "2022-2024", "Other"))</f>
        <v>2022-2024</v>
      </c>
    </row>
    <row r="928" spans="1:9" x14ac:dyDescent="0.3">
      <c r="A928" t="s">
        <v>17</v>
      </c>
      <c r="B928">
        <v>2022</v>
      </c>
      <c r="C928" t="s">
        <v>12</v>
      </c>
      <c r="D928">
        <v>37308.22</v>
      </c>
      <c r="E928">
        <v>35650.720000000001</v>
      </c>
      <c r="F928">
        <v>38.46</v>
      </c>
      <c r="G928">
        <v>993.5</v>
      </c>
      <c r="H928">
        <f>E928*1000000/D928</f>
        <v>955572.79334152094</v>
      </c>
      <c r="I928" t="str">
        <f>IF(AND(B928&gt;=2018, B928&lt;=2021), "2018-2021", IF(AND(B928&gt;=2022, B928&lt;=2024), "2022-2024", "Other"))</f>
        <v>2022-2024</v>
      </c>
    </row>
    <row r="929" spans="1:9" x14ac:dyDescent="0.3">
      <c r="A929" t="s">
        <v>26</v>
      </c>
      <c r="B929">
        <v>2022</v>
      </c>
      <c r="C929" t="s">
        <v>6</v>
      </c>
      <c r="D929">
        <v>26371.71</v>
      </c>
      <c r="E929">
        <v>29653.89</v>
      </c>
      <c r="F929">
        <v>101.13</v>
      </c>
      <c r="G929">
        <v>549.29</v>
      </c>
      <c r="H929">
        <f>E929*1000000/D929</f>
        <v>1124458.3684561979</v>
      </c>
      <c r="I929" t="str">
        <f>IF(AND(B929&gt;=2018, B929&lt;=2021), "2018-2021", IF(AND(B929&gt;=2022, B929&lt;=2024), "2022-2024", "Other"))</f>
        <v>2022-2024</v>
      </c>
    </row>
    <row r="930" spans="1:9" x14ac:dyDescent="0.3">
      <c r="A930" t="s">
        <v>22</v>
      </c>
      <c r="B930">
        <v>2023</v>
      </c>
      <c r="C930" t="s">
        <v>14</v>
      </c>
      <c r="D930">
        <v>49901.29</v>
      </c>
      <c r="E930">
        <v>58558.02</v>
      </c>
      <c r="F930">
        <v>140.66</v>
      </c>
      <c r="G930">
        <v>772.79</v>
      </c>
      <c r="H930">
        <f>E930*1000000/D930</f>
        <v>1173477.0784482725</v>
      </c>
      <c r="I930" t="str">
        <f>IF(AND(B930&gt;=2018, B930&lt;=2021), "2018-2021", IF(AND(B930&gt;=2022, B930&lt;=2024), "2022-2024", "Other"))</f>
        <v>2022-2024</v>
      </c>
    </row>
    <row r="931" spans="1:9" x14ac:dyDescent="0.3">
      <c r="A931" t="s">
        <v>13</v>
      </c>
      <c r="B931">
        <v>2023</v>
      </c>
      <c r="C931" t="s">
        <v>9</v>
      </c>
      <c r="D931">
        <v>24337.9</v>
      </c>
      <c r="E931">
        <v>28971.13</v>
      </c>
      <c r="F931">
        <v>180.03</v>
      </c>
      <c r="G931">
        <v>1116.72</v>
      </c>
      <c r="H931">
        <f>E931*1000000/D931</f>
        <v>1190370.9851712759</v>
      </c>
      <c r="I931" t="str">
        <f>IF(AND(B931&gt;=2018, B931&lt;=2021), "2018-2021", IF(AND(B931&gt;=2022, B931&lt;=2024), "2022-2024", "Other"))</f>
        <v>2022-2024</v>
      </c>
    </row>
    <row r="932" spans="1:9" x14ac:dyDescent="0.3">
      <c r="A932" t="s">
        <v>11</v>
      </c>
      <c r="B932">
        <v>2023</v>
      </c>
      <c r="C932" t="s">
        <v>9</v>
      </c>
      <c r="D932">
        <v>43003.8</v>
      </c>
      <c r="E932">
        <v>37348.25</v>
      </c>
      <c r="F932">
        <v>116.74</v>
      </c>
      <c r="G932">
        <v>711.68</v>
      </c>
      <c r="H932">
        <f>E932*1000000/D932</f>
        <v>868487.20345643873</v>
      </c>
      <c r="I932" t="str">
        <f>IF(AND(B932&gt;=2018, B932&lt;=2021), "2018-2021", IF(AND(B932&gt;=2022, B932&lt;=2024), "2022-2024", "Other"))</f>
        <v>2022-2024</v>
      </c>
    </row>
    <row r="933" spans="1:9" x14ac:dyDescent="0.3">
      <c r="A933" t="s">
        <v>26</v>
      </c>
      <c r="B933">
        <v>2018</v>
      </c>
      <c r="C933" t="s">
        <v>2</v>
      </c>
      <c r="D933">
        <v>46460.21</v>
      </c>
      <c r="E933">
        <v>46687.14</v>
      </c>
      <c r="F933">
        <v>23.32</v>
      </c>
      <c r="G933">
        <v>596.36</v>
      </c>
      <c r="H933">
        <f>E933*1000000/D933</f>
        <v>1004884.394624992</v>
      </c>
      <c r="I933" t="str">
        <f>IF(AND(B933&gt;=2018, B933&lt;=2021), "2018-2021", IF(AND(B933&gt;=2022, B933&lt;=2024), "2022-2024", "Other"))</f>
        <v>2018-2021</v>
      </c>
    </row>
    <row r="934" spans="1:9" x14ac:dyDescent="0.3">
      <c r="A934" t="s">
        <v>23</v>
      </c>
      <c r="B934">
        <v>2020</v>
      </c>
      <c r="C934" t="s">
        <v>2</v>
      </c>
      <c r="D934">
        <v>37089.1</v>
      </c>
      <c r="E934">
        <v>42160.67</v>
      </c>
      <c r="F934">
        <v>163.28</v>
      </c>
      <c r="G934">
        <v>1376.88</v>
      </c>
      <c r="H934">
        <f>E934*1000000/D934</f>
        <v>1136740.1743369347</v>
      </c>
      <c r="I934" t="str">
        <f>IF(AND(B934&gt;=2018, B934&lt;=2021), "2018-2021", IF(AND(B934&gt;=2022, B934&lt;=2024), "2022-2024", "Other"))</f>
        <v>2018-2021</v>
      </c>
    </row>
    <row r="935" spans="1:9" x14ac:dyDescent="0.3">
      <c r="A935" t="s">
        <v>23</v>
      </c>
      <c r="B935">
        <v>2019</v>
      </c>
      <c r="C935" t="s">
        <v>12</v>
      </c>
      <c r="D935">
        <v>32733.05</v>
      </c>
      <c r="E935">
        <v>27650.11</v>
      </c>
      <c r="F935">
        <v>184.63</v>
      </c>
      <c r="G935">
        <v>293.68</v>
      </c>
      <c r="H935">
        <f>E935*1000000/D935</f>
        <v>844715.35649748496</v>
      </c>
      <c r="I935" t="str">
        <f>IF(AND(B935&gt;=2018, B935&lt;=2021), "2018-2021", IF(AND(B935&gt;=2022, B935&lt;=2024), "2022-2024", "Other"))</f>
        <v>2018-2021</v>
      </c>
    </row>
    <row r="936" spans="1:9" x14ac:dyDescent="0.3">
      <c r="A936" t="s">
        <v>5</v>
      </c>
      <c r="B936">
        <v>2024</v>
      </c>
      <c r="C936" t="s">
        <v>14</v>
      </c>
      <c r="D936">
        <v>41378.19</v>
      </c>
      <c r="E936">
        <v>49135.69</v>
      </c>
      <c r="F936">
        <v>129.79</v>
      </c>
      <c r="G936">
        <v>304.39</v>
      </c>
      <c r="H936">
        <f>E936*1000000/D936</f>
        <v>1187477.9926333171</v>
      </c>
      <c r="I936" t="str">
        <f>IF(AND(B936&gt;=2018, B936&lt;=2021), "2018-2021", IF(AND(B936&gt;=2022, B936&lt;=2024), "2022-2024", "Other"))</f>
        <v>2022-2024</v>
      </c>
    </row>
    <row r="937" spans="1:9" x14ac:dyDescent="0.3">
      <c r="A937" t="s">
        <v>24</v>
      </c>
      <c r="B937">
        <v>2023</v>
      </c>
      <c r="C937" t="s">
        <v>14</v>
      </c>
      <c r="D937">
        <v>3279.54</v>
      </c>
      <c r="E937">
        <v>2827.11</v>
      </c>
      <c r="F937">
        <v>136.78</v>
      </c>
      <c r="G937">
        <v>1203.45</v>
      </c>
      <c r="H937">
        <f>E937*1000000/D937</f>
        <v>862044.67699738382</v>
      </c>
      <c r="I937" t="str">
        <f>IF(AND(B937&gt;=2018, B937&lt;=2021), "2018-2021", IF(AND(B937&gt;=2022, B937&lt;=2024), "2022-2024", "Other"))</f>
        <v>2022-2024</v>
      </c>
    </row>
    <row r="938" spans="1:9" x14ac:dyDescent="0.3">
      <c r="A938" t="s">
        <v>26</v>
      </c>
      <c r="B938">
        <v>2021</v>
      </c>
      <c r="C938" t="s">
        <v>0</v>
      </c>
      <c r="D938">
        <v>9245.76</v>
      </c>
      <c r="E938">
        <v>10467.85</v>
      </c>
      <c r="F938">
        <v>158.44</v>
      </c>
      <c r="G938">
        <v>60.52</v>
      </c>
      <c r="H938">
        <f>E938*1000000/D938</f>
        <v>1132178.4255702072</v>
      </c>
      <c r="I938" t="str">
        <f>IF(AND(B938&gt;=2018, B938&lt;=2021), "2018-2021", IF(AND(B938&gt;=2022, B938&lt;=2024), "2022-2024", "Other"))</f>
        <v>2018-2021</v>
      </c>
    </row>
    <row r="939" spans="1:9" x14ac:dyDescent="0.3">
      <c r="A939" t="s">
        <v>11</v>
      </c>
      <c r="B939">
        <v>2024</v>
      </c>
      <c r="C939" t="s">
        <v>4</v>
      </c>
      <c r="D939">
        <v>27306.53</v>
      </c>
      <c r="E939">
        <v>29348.47</v>
      </c>
      <c r="F939">
        <v>170.03</v>
      </c>
      <c r="G939">
        <v>1050.27</v>
      </c>
      <c r="H939">
        <f>E939*1000000/D939</f>
        <v>1074778.4504292563</v>
      </c>
      <c r="I939" t="str">
        <f>IF(AND(B939&gt;=2018, B939&lt;=2021), "2018-2021", IF(AND(B939&gt;=2022, B939&lt;=2024), "2022-2024", "Other"))</f>
        <v>2022-2024</v>
      </c>
    </row>
    <row r="940" spans="1:9" x14ac:dyDescent="0.3">
      <c r="A940" t="s">
        <v>5</v>
      </c>
      <c r="B940">
        <v>2022</v>
      </c>
      <c r="C940" t="s">
        <v>12</v>
      </c>
      <c r="D940">
        <v>6956.39</v>
      </c>
      <c r="E940">
        <v>8270.9699999999993</v>
      </c>
      <c r="F940">
        <v>53.14</v>
      </c>
      <c r="G940">
        <v>1079.9100000000001</v>
      </c>
      <c r="H940">
        <f>E940*1000000/D940</f>
        <v>1188974.4537037169</v>
      </c>
      <c r="I940" t="str">
        <f>IF(AND(B940&gt;=2018, B940&lt;=2021), "2018-2021", IF(AND(B940&gt;=2022, B940&lt;=2024), "2022-2024", "Other"))</f>
        <v>2022-2024</v>
      </c>
    </row>
    <row r="941" spans="1:9" x14ac:dyDescent="0.3">
      <c r="A941" t="s">
        <v>5</v>
      </c>
      <c r="B941">
        <v>2023</v>
      </c>
      <c r="C941" t="s">
        <v>0</v>
      </c>
      <c r="D941">
        <v>38641.379999999997</v>
      </c>
      <c r="E941">
        <v>34253.480000000003</v>
      </c>
      <c r="F941">
        <v>174.9</v>
      </c>
      <c r="G941">
        <v>305.32</v>
      </c>
      <c r="H941">
        <f>E941*1000000/D941</f>
        <v>886445.56690263143</v>
      </c>
      <c r="I941" t="str">
        <f>IF(AND(B941&gt;=2018, B941&lt;=2021), "2018-2021", IF(AND(B941&gt;=2022, B941&lt;=2024), "2022-2024", "Other"))</f>
        <v>2022-2024</v>
      </c>
    </row>
    <row r="942" spans="1:9" x14ac:dyDescent="0.3">
      <c r="A942" t="s">
        <v>24</v>
      </c>
      <c r="B942">
        <v>2023</v>
      </c>
      <c r="C942" t="s">
        <v>14</v>
      </c>
      <c r="D942">
        <v>6420.44</v>
      </c>
      <c r="E942">
        <v>6483.5</v>
      </c>
      <c r="F942">
        <v>58.89</v>
      </c>
      <c r="G942">
        <v>806.78</v>
      </c>
      <c r="H942">
        <f>E942*1000000/D942</f>
        <v>1009821.7567643339</v>
      </c>
      <c r="I942" t="str">
        <f>IF(AND(B942&gt;=2018, B942&lt;=2021), "2018-2021", IF(AND(B942&gt;=2022, B942&lt;=2024), "2022-2024", "Other"))</f>
        <v>2022-2024</v>
      </c>
    </row>
    <row r="943" spans="1:9" x14ac:dyDescent="0.3">
      <c r="A943" t="s">
        <v>20</v>
      </c>
      <c r="B943">
        <v>2019</v>
      </c>
      <c r="C943" t="s">
        <v>14</v>
      </c>
      <c r="D943">
        <v>31365.78</v>
      </c>
      <c r="E943">
        <v>33290.07</v>
      </c>
      <c r="F943">
        <v>101.5</v>
      </c>
      <c r="G943">
        <v>1356.14</v>
      </c>
      <c r="H943">
        <f>E943*1000000/D943</f>
        <v>1061349.9807752271</v>
      </c>
      <c r="I943" t="str">
        <f>IF(AND(B943&gt;=2018, B943&lt;=2021), "2018-2021", IF(AND(B943&gt;=2022, B943&lt;=2024), "2022-2024", "Other"))</f>
        <v>2018-2021</v>
      </c>
    </row>
    <row r="944" spans="1:9" x14ac:dyDescent="0.3">
      <c r="A944" t="s">
        <v>3</v>
      </c>
      <c r="B944">
        <v>2020</v>
      </c>
      <c r="C944" t="s">
        <v>4</v>
      </c>
      <c r="D944">
        <v>44121.24</v>
      </c>
      <c r="E944">
        <v>51283.18</v>
      </c>
      <c r="F944">
        <v>105.84</v>
      </c>
      <c r="G944">
        <v>893.98</v>
      </c>
      <c r="H944">
        <f>E944*1000000/D944</f>
        <v>1162324.0869930221</v>
      </c>
      <c r="I944" t="str">
        <f>IF(AND(B944&gt;=2018, B944&lt;=2021), "2018-2021", IF(AND(B944&gt;=2022, B944&lt;=2024), "2022-2024", "Other"))</f>
        <v>2018-2021</v>
      </c>
    </row>
    <row r="945" spans="1:9" x14ac:dyDescent="0.3">
      <c r="A945" t="s">
        <v>1</v>
      </c>
      <c r="B945">
        <v>2022</v>
      </c>
      <c r="C945" t="s">
        <v>0</v>
      </c>
      <c r="D945">
        <v>4249.76</v>
      </c>
      <c r="E945">
        <v>3658.99</v>
      </c>
      <c r="F945">
        <v>188.54</v>
      </c>
      <c r="G945">
        <v>1375.48</v>
      </c>
      <c r="H945">
        <f>E945*1000000/D945</f>
        <v>860987.44399683748</v>
      </c>
      <c r="I945" t="str">
        <f>IF(AND(B945&gt;=2018, B945&lt;=2021), "2018-2021", IF(AND(B945&gt;=2022, B945&lt;=2024), "2022-2024", "Other"))</f>
        <v>2022-2024</v>
      </c>
    </row>
    <row r="946" spans="1:9" x14ac:dyDescent="0.3">
      <c r="A946" t="s">
        <v>17</v>
      </c>
      <c r="B946">
        <v>2020</v>
      </c>
      <c r="C946" t="s">
        <v>6</v>
      </c>
      <c r="D946">
        <v>10222.14</v>
      </c>
      <c r="E946">
        <v>10349.68</v>
      </c>
      <c r="F946">
        <v>179.42</v>
      </c>
      <c r="G946">
        <v>409.89</v>
      </c>
      <c r="H946">
        <f>E946*1000000/D946</f>
        <v>1012476.839487622</v>
      </c>
      <c r="I946" t="str">
        <f>IF(AND(B946&gt;=2018, B946&lt;=2021), "2018-2021", IF(AND(B946&gt;=2022, B946&lt;=2024), "2022-2024", "Other"))</f>
        <v>2018-2021</v>
      </c>
    </row>
    <row r="947" spans="1:9" x14ac:dyDescent="0.3">
      <c r="A947" t="s">
        <v>10</v>
      </c>
      <c r="B947">
        <v>2022</v>
      </c>
      <c r="C947" t="s">
        <v>2</v>
      </c>
      <c r="D947">
        <v>3352.93</v>
      </c>
      <c r="E947">
        <v>3963.47</v>
      </c>
      <c r="F947">
        <v>74.94</v>
      </c>
      <c r="G947">
        <v>452.83</v>
      </c>
      <c r="H947">
        <f>E947*1000000/D947</f>
        <v>1182091.4841645963</v>
      </c>
      <c r="I947" t="str">
        <f>IF(AND(B947&gt;=2018, B947&lt;=2021), "2018-2021", IF(AND(B947&gt;=2022, B947&lt;=2024), "2022-2024", "Other"))</f>
        <v>2022-2024</v>
      </c>
    </row>
    <row r="948" spans="1:9" x14ac:dyDescent="0.3">
      <c r="A948" t="s">
        <v>19</v>
      </c>
      <c r="B948">
        <v>2021</v>
      </c>
      <c r="C948" t="s">
        <v>14</v>
      </c>
      <c r="D948">
        <v>39058.870000000003</v>
      </c>
      <c r="E948">
        <v>43276.88</v>
      </c>
      <c r="F948">
        <v>77.3</v>
      </c>
      <c r="G948">
        <v>652.86</v>
      </c>
      <c r="H948">
        <f>E948*1000000/D948</f>
        <v>1107991.0913961411</v>
      </c>
      <c r="I948" t="str">
        <f>IF(AND(B948&gt;=2018, B948&lt;=2021), "2018-2021", IF(AND(B948&gt;=2022, B948&lt;=2024), "2022-2024", "Other"))</f>
        <v>2018-2021</v>
      </c>
    </row>
    <row r="949" spans="1:9" x14ac:dyDescent="0.3">
      <c r="A949" t="s">
        <v>7</v>
      </c>
      <c r="B949">
        <v>2018</v>
      </c>
      <c r="C949" t="s">
        <v>0</v>
      </c>
      <c r="D949">
        <v>963.49</v>
      </c>
      <c r="E949">
        <v>1122.6099999999999</v>
      </c>
      <c r="F949">
        <v>160.65</v>
      </c>
      <c r="G949">
        <v>716.9</v>
      </c>
      <c r="H949">
        <f>E949*1000000/D949</f>
        <v>1165149.612346781</v>
      </c>
      <c r="I949" t="str">
        <f>IF(AND(B949&gt;=2018, B949&lt;=2021), "2018-2021", IF(AND(B949&gt;=2022, B949&lt;=2024), "2022-2024", "Other"))</f>
        <v>2018-2021</v>
      </c>
    </row>
    <row r="950" spans="1:9" x14ac:dyDescent="0.3">
      <c r="A950" t="s">
        <v>11</v>
      </c>
      <c r="B950">
        <v>2020</v>
      </c>
      <c r="C950" t="s">
        <v>0</v>
      </c>
      <c r="D950">
        <v>40210.550000000003</v>
      </c>
      <c r="E950">
        <v>46764.79</v>
      </c>
      <c r="F950">
        <v>67.099999999999994</v>
      </c>
      <c r="G950">
        <v>479.04</v>
      </c>
      <c r="H950">
        <f>E950*1000000/D950</f>
        <v>1162998.0191765593</v>
      </c>
      <c r="I950" t="str">
        <f>IF(AND(B950&gt;=2018, B950&lt;=2021), "2018-2021", IF(AND(B950&gt;=2022, B950&lt;=2024), "2022-2024", "Other"))</f>
        <v>2018-2021</v>
      </c>
    </row>
    <row r="951" spans="1:9" x14ac:dyDescent="0.3">
      <c r="A951" t="s">
        <v>24</v>
      </c>
      <c r="B951">
        <v>2023</v>
      </c>
      <c r="C951" t="s">
        <v>6</v>
      </c>
      <c r="D951">
        <v>1194.8499999999999</v>
      </c>
      <c r="E951">
        <v>1136.47</v>
      </c>
      <c r="F951">
        <v>177.31</v>
      </c>
      <c r="G951">
        <v>530.85</v>
      </c>
      <c r="H951">
        <f>E951*1000000/D951</f>
        <v>951140.31049922586</v>
      </c>
      <c r="I951" t="str">
        <f>IF(AND(B951&gt;=2018, B951&lt;=2021), "2018-2021", IF(AND(B951&gt;=2022, B951&lt;=2024), "2022-2024", "Other"))</f>
        <v>2022-2024</v>
      </c>
    </row>
    <row r="952" spans="1:9" x14ac:dyDescent="0.3">
      <c r="A952" t="s">
        <v>22</v>
      </c>
      <c r="B952">
        <v>2021</v>
      </c>
      <c r="C952" t="s">
        <v>2</v>
      </c>
      <c r="D952">
        <v>21591.78</v>
      </c>
      <c r="E952">
        <v>19703.87</v>
      </c>
      <c r="F952">
        <v>27.28</v>
      </c>
      <c r="G952">
        <v>261.5</v>
      </c>
      <c r="H952">
        <f>E952*1000000/D952</f>
        <v>912563.48480764439</v>
      </c>
      <c r="I952" t="str">
        <f>IF(AND(B952&gt;=2018, B952&lt;=2021), "2018-2021", IF(AND(B952&gt;=2022, B952&lt;=2024), "2022-2024", "Other"))</f>
        <v>2018-2021</v>
      </c>
    </row>
    <row r="953" spans="1:9" x14ac:dyDescent="0.3">
      <c r="A953" t="s">
        <v>13</v>
      </c>
      <c r="B953">
        <v>2024</v>
      </c>
      <c r="C953" t="s">
        <v>14</v>
      </c>
      <c r="D953">
        <v>20831.11</v>
      </c>
      <c r="E953">
        <v>23262.240000000002</v>
      </c>
      <c r="F953">
        <v>24.05</v>
      </c>
      <c r="G953">
        <v>736.89</v>
      </c>
      <c r="H953">
        <f>E953*1000000/D953</f>
        <v>1116706.6949384839</v>
      </c>
      <c r="I953" t="str">
        <f>IF(AND(B953&gt;=2018, B953&lt;=2021), "2018-2021", IF(AND(B953&gt;=2022, B953&lt;=2024), "2022-2024", "Other"))</f>
        <v>2022-2024</v>
      </c>
    </row>
    <row r="954" spans="1:9" x14ac:dyDescent="0.3">
      <c r="A954" t="s">
        <v>23</v>
      </c>
      <c r="B954">
        <v>2022</v>
      </c>
      <c r="C954" t="s">
        <v>6</v>
      </c>
      <c r="D954">
        <v>27503.07</v>
      </c>
      <c r="E954">
        <v>32988.39</v>
      </c>
      <c r="F954">
        <v>192.1</v>
      </c>
      <c r="G954">
        <v>936.51</v>
      </c>
      <c r="H954">
        <f>E954*1000000/D954</f>
        <v>1199443.9166245805</v>
      </c>
      <c r="I954" t="str">
        <f>IF(AND(B954&gt;=2018, B954&lt;=2021), "2018-2021", IF(AND(B954&gt;=2022, B954&lt;=2024), "2022-2024", "Other"))</f>
        <v>2022-2024</v>
      </c>
    </row>
    <row r="955" spans="1:9" x14ac:dyDescent="0.3">
      <c r="A955" t="s">
        <v>22</v>
      </c>
      <c r="B955">
        <v>2019</v>
      </c>
      <c r="C955" t="s">
        <v>14</v>
      </c>
      <c r="D955">
        <v>18122.16</v>
      </c>
      <c r="E955">
        <v>18313.09</v>
      </c>
      <c r="F955">
        <v>96.17</v>
      </c>
      <c r="G955">
        <v>109.78</v>
      </c>
      <c r="H955">
        <f>E955*1000000/D955</f>
        <v>1010535.7198038202</v>
      </c>
      <c r="I955" t="str">
        <f>IF(AND(B955&gt;=2018, B955&lt;=2021), "2018-2021", IF(AND(B955&gt;=2022, B955&lt;=2024), "2022-2024", "Other"))</f>
        <v>2018-2021</v>
      </c>
    </row>
    <row r="956" spans="1:9" x14ac:dyDescent="0.3">
      <c r="A956" t="s">
        <v>25</v>
      </c>
      <c r="B956">
        <v>2024</v>
      </c>
      <c r="C956" t="s">
        <v>6</v>
      </c>
      <c r="D956">
        <v>19680.23</v>
      </c>
      <c r="E956">
        <v>23231.43</v>
      </c>
      <c r="F956">
        <v>48.72</v>
      </c>
      <c r="G956">
        <v>1379.67</v>
      </c>
      <c r="H956">
        <f>E956*1000000/D956</f>
        <v>1180445.0456117636</v>
      </c>
      <c r="I956" t="str">
        <f>IF(AND(B956&gt;=2018, B956&lt;=2021), "2018-2021", IF(AND(B956&gt;=2022, B956&lt;=2024), "2022-2024", "Other"))</f>
        <v>2022-2024</v>
      </c>
    </row>
    <row r="957" spans="1:9" x14ac:dyDescent="0.3">
      <c r="A957" t="s">
        <v>18</v>
      </c>
      <c r="B957">
        <v>2024</v>
      </c>
      <c r="C957" t="s">
        <v>0</v>
      </c>
      <c r="D957">
        <v>3712.67</v>
      </c>
      <c r="E957">
        <v>3865.38</v>
      </c>
      <c r="F957">
        <v>29.77</v>
      </c>
      <c r="G957">
        <v>1288.1600000000001</v>
      </c>
      <c r="H957">
        <f>E957*1000000/D957</f>
        <v>1041132.1232428413</v>
      </c>
      <c r="I957" t="str">
        <f>IF(AND(B957&gt;=2018, B957&lt;=2021), "2018-2021", IF(AND(B957&gt;=2022, B957&lt;=2024), "2022-2024", "Other"))</f>
        <v>2022-2024</v>
      </c>
    </row>
    <row r="958" spans="1:9" x14ac:dyDescent="0.3">
      <c r="A958" t="s">
        <v>7</v>
      </c>
      <c r="B958">
        <v>2022</v>
      </c>
      <c r="C958" t="s">
        <v>14</v>
      </c>
      <c r="D958">
        <v>28840.44</v>
      </c>
      <c r="E958">
        <v>25910.74</v>
      </c>
      <c r="F958">
        <v>102.04</v>
      </c>
      <c r="G958">
        <v>948.24</v>
      </c>
      <c r="H958">
        <f>E958*1000000/D958</f>
        <v>898416.9450951512</v>
      </c>
      <c r="I958" t="str">
        <f>IF(AND(B958&gt;=2018, B958&lt;=2021), "2018-2021", IF(AND(B958&gt;=2022, B958&lt;=2024), "2022-2024", "Other"))</f>
        <v>2022-2024</v>
      </c>
    </row>
    <row r="959" spans="1:9" x14ac:dyDescent="0.3">
      <c r="A959" t="s">
        <v>1</v>
      </c>
      <c r="B959">
        <v>2020</v>
      </c>
      <c r="C959" t="s">
        <v>2</v>
      </c>
      <c r="D959">
        <v>17482.830000000002</v>
      </c>
      <c r="E959">
        <v>19230.97</v>
      </c>
      <c r="F959">
        <v>108.82</v>
      </c>
      <c r="G959">
        <v>1026.01</v>
      </c>
      <c r="H959">
        <f>E959*1000000/D959</f>
        <v>1099991.8205462159</v>
      </c>
      <c r="I959" t="str">
        <f>IF(AND(B959&gt;=2018, B959&lt;=2021), "2018-2021", IF(AND(B959&gt;=2022, B959&lt;=2024), "2022-2024", "Other"))</f>
        <v>2018-2021</v>
      </c>
    </row>
    <row r="960" spans="1:9" x14ac:dyDescent="0.3">
      <c r="A960" t="s">
        <v>26</v>
      </c>
      <c r="B960">
        <v>2019</v>
      </c>
      <c r="C960" t="s">
        <v>14</v>
      </c>
      <c r="D960">
        <v>15722.18</v>
      </c>
      <c r="E960">
        <v>18293.46</v>
      </c>
      <c r="F960">
        <v>185.85</v>
      </c>
      <c r="G960">
        <v>665.04</v>
      </c>
      <c r="H960">
        <f>E960*1000000/D960</f>
        <v>1163544.7501555127</v>
      </c>
      <c r="I960" t="str">
        <f>IF(AND(B960&gt;=2018, B960&lt;=2021), "2018-2021", IF(AND(B960&gt;=2022, B960&lt;=2024), "2022-2024", "Other"))</f>
        <v>2018-2021</v>
      </c>
    </row>
    <row r="961" spans="1:9" x14ac:dyDescent="0.3">
      <c r="A961" t="s">
        <v>11</v>
      </c>
      <c r="B961">
        <v>2024</v>
      </c>
      <c r="C961" t="s">
        <v>14</v>
      </c>
      <c r="D961">
        <v>15408.5</v>
      </c>
      <c r="E961">
        <v>13885.66</v>
      </c>
      <c r="F961">
        <v>170.36</v>
      </c>
      <c r="G961">
        <v>650.01</v>
      </c>
      <c r="H961">
        <f>E961*1000000/D961</f>
        <v>901168.83538306784</v>
      </c>
      <c r="I961" t="str">
        <f>IF(AND(B961&gt;=2018, B961&lt;=2021), "2018-2021", IF(AND(B961&gt;=2022, B961&lt;=2024), "2022-2024", "Other"))</f>
        <v>2022-2024</v>
      </c>
    </row>
    <row r="962" spans="1:9" x14ac:dyDescent="0.3">
      <c r="A962" t="s">
        <v>16</v>
      </c>
      <c r="B962">
        <v>2018</v>
      </c>
      <c r="C962" t="s">
        <v>6</v>
      </c>
      <c r="D962">
        <v>44615.67</v>
      </c>
      <c r="E962">
        <v>37861.26</v>
      </c>
      <c r="F962">
        <v>100.18</v>
      </c>
      <c r="G962">
        <v>1208.29</v>
      </c>
      <c r="H962">
        <f>E962*1000000/D962</f>
        <v>848609.02010437148</v>
      </c>
      <c r="I962" t="str">
        <f>IF(AND(B962&gt;=2018, B962&lt;=2021), "2018-2021", IF(AND(B962&gt;=2022, B962&lt;=2024), "2022-2024", "Other"))</f>
        <v>2018-2021</v>
      </c>
    </row>
    <row r="963" spans="1:9" x14ac:dyDescent="0.3">
      <c r="A963" t="s">
        <v>21</v>
      </c>
      <c r="B963">
        <v>2020</v>
      </c>
      <c r="C963" t="s">
        <v>4</v>
      </c>
      <c r="D963">
        <v>19362.330000000002</v>
      </c>
      <c r="E963">
        <v>17907.89</v>
      </c>
      <c r="F963">
        <v>70.459999999999994</v>
      </c>
      <c r="G963">
        <v>1263.43</v>
      </c>
      <c r="H963">
        <f>E963*1000000/D963</f>
        <v>924883.00736533245</v>
      </c>
      <c r="I963" t="str">
        <f>IF(AND(B963&gt;=2018, B963&lt;=2021), "2018-2021", IF(AND(B963&gt;=2022, B963&lt;=2024), "2022-2024", "Other"))</f>
        <v>2018-2021</v>
      </c>
    </row>
    <row r="964" spans="1:9" x14ac:dyDescent="0.3">
      <c r="A964" t="s">
        <v>20</v>
      </c>
      <c r="B964">
        <v>2023</v>
      </c>
      <c r="C964" t="s">
        <v>8</v>
      </c>
      <c r="D964">
        <v>6480.74</v>
      </c>
      <c r="E964">
        <v>5694.1</v>
      </c>
      <c r="F964">
        <v>25.66</v>
      </c>
      <c r="G964">
        <v>479.48</v>
      </c>
      <c r="H964">
        <f>E964*1000000/D964</f>
        <v>878618.79970497196</v>
      </c>
      <c r="I964" t="str">
        <f>IF(AND(B964&gt;=2018, B964&lt;=2021), "2018-2021", IF(AND(B964&gt;=2022, B964&lt;=2024), "2022-2024", "Other"))</f>
        <v>2022-2024</v>
      </c>
    </row>
    <row r="965" spans="1:9" x14ac:dyDescent="0.3">
      <c r="A965" t="s">
        <v>15</v>
      </c>
      <c r="B965">
        <v>2024</v>
      </c>
      <c r="C965" t="s">
        <v>12</v>
      </c>
      <c r="D965">
        <v>6620.95</v>
      </c>
      <c r="E965">
        <v>7772.36</v>
      </c>
      <c r="F965">
        <v>71.95</v>
      </c>
      <c r="G965">
        <v>707.73</v>
      </c>
      <c r="H965">
        <f>E965*1000000/D965</f>
        <v>1173904.0470023183</v>
      </c>
      <c r="I965" t="str">
        <f>IF(AND(B965&gt;=2018, B965&lt;=2021), "2018-2021", IF(AND(B965&gt;=2022, B965&lt;=2024), "2022-2024", "Other"))</f>
        <v>2022-2024</v>
      </c>
    </row>
    <row r="966" spans="1:9" x14ac:dyDescent="0.3">
      <c r="A966" t="s">
        <v>18</v>
      </c>
      <c r="B966">
        <v>2024</v>
      </c>
      <c r="C966" t="s">
        <v>9</v>
      </c>
      <c r="D966">
        <v>29138.47</v>
      </c>
      <c r="E966">
        <v>29241.06</v>
      </c>
      <c r="F966">
        <v>119.04</v>
      </c>
      <c r="G966">
        <v>562.29999999999995</v>
      </c>
      <c r="H966">
        <f>E966*1000000/D966</f>
        <v>1003520.7751127633</v>
      </c>
      <c r="I966" t="str">
        <f>IF(AND(B966&gt;=2018, B966&lt;=2021), "2018-2021", IF(AND(B966&gt;=2022, B966&lt;=2024), "2022-2024", "Other"))</f>
        <v>2022-2024</v>
      </c>
    </row>
    <row r="967" spans="1:9" x14ac:dyDescent="0.3">
      <c r="A967" t="s">
        <v>3</v>
      </c>
      <c r="B967">
        <v>2019</v>
      </c>
      <c r="C967" t="s">
        <v>9</v>
      </c>
      <c r="D967">
        <v>24871.75</v>
      </c>
      <c r="E967">
        <v>25714.31</v>
      </c>
      <c r="F967">
        <v>76.849999999999994</v>
      </c>
      <c r="G967">
        <v>462.89</v>
      </c>
      <c r="H967">
        <f>E967*1000000/D967</f>
        <v>1033876.1848281685</v>
      </c>
      <c r="I967" t="str">
        <f>IF(AND(B967&gt;=2018, B967&lt;=2021), "2018-2021", IF(AND(B967&gt;=2022, B967&lt;=2024), "2022-2024", "Other"))</f>
        <v>2018-2021</v>
      </c>
    </row>
    <row r="968" spans="1:9" x14ac:dyDescent="0.3">
      <c r="A968" t="s">
        <v>16</v>
      </c>
      <c r="B968">
        <v>2023</v>
      </c>
      <c r="C968" t="s">
        <v>6</v>
      </c>
      <c r="D968">
        <v>10434.59</v>
      </c>
      <c r="E968">
        <v>10683.6</v>
      </c>
      <c r="F968">
        <v>47.91</v>
      </c>
      <c r="G968">
        <v>77.19</v>
      </c>
      <c r="H968">
        <f>E968*1000000/D968</f>
        <v>1023863.8988211324</v>
      </c>
      <c r="I968" t="str">
        <f>IF(AND(B968&gt;=2018, B968&lt;=2021), "2018-2021", IF(AND(B968&gt;=2022, B968&lt;=2024), "2022-2024", "Other"))</f>
        <v>2022-2024</v>
      </c>
    </row>
    <row r="969" spans="1:9" x14ac:dyDescent="0.3">
      <c r="A969" t="s">
        <v>16</v>
      </c>
      <c r="B969">
        <v>2024</v>
      </c>
      <c r="C969" t="s">
        <v>6</v>
      </c>
      <c r="D969">
        <v>19679.93</v>
      </c>
      <c r="E969">
        <v>17477.72</v>
      </c>
      <c r="F969">
        <v>194.07</v>
      </c>
      <c r="G969">
        <v>318.35000000000002</v>
      </c>
      <c r="H969">
        <f>E969*1000000/D969</f>
        <v>888098.68734289194</v>
      </c>
      <c r="I969" t="str">
        <f>IF(AND(B969&gt;=2018, B969&lt;=2021), "2018-2021", IF(AND(B969&gt;=2022, B969&lt;=2024), "2022-2024", "Other"))</f>
        <v>2022-2024</v>
      </c>
    </row>
    <row r="970" spans="1:9" x14ac:dyDescent="0.3">
      <c r="A970" t="s">
        <v>23</v>
      </c>
      <c r="B970">
        <v>2020</v>
      </c>
      <c r="C970" t="s">
        <v>9</v>
      </c>
      <c r="D970">
        <v>31292.11</v>
      </c>
      <c r="E970">
        <v>31166.48</v>
      </c>
      <c r="F970">
        <v>50.94</v>
      </c>
      <c r="G970">
        <v>940.56</v>
      </c>
      <c r="H970">
        <f>E970*1000000/D970</f>
        <v>995985.24995597929</v>
      </c>
      <c r="I970" t="str">
        <f>IF(AND(B970&gt;=2018, B970&lt;=2021), "2018-2021", IF(AND(B970&gt;=2022, B970&lt;=2024), "2022-2024", "Other"))</f>
        <v>2018-2021</v>
      </c>
    </row>
    <row r="971" spans="1:9" x14ac:dyDescent="0.3">
      <c r="A971" t="s">
        <v>11</v>
      </c>
      <c r="B971">
        <v>2020</v>
      </c>
      <c r="C971" t="s">
        <v>8</v>
      </c>
      <c r="D971">
        <v>8014.57</v>
      </c>
      <c r="E971">
        <v>9081.7099999999991</v>
      </c>
      <c r="F971">
        <v>132.83000000000001</v>
      </c>
      <c r="G971">
        <v>245.17</v>
      </c>
      <c r="H971">
        <f>E971*1000000/D971</f>
        <v>1133150.0005614774</v>
      </c>
      <c r="I971" t="str">
        <f>IF(AND(B971&gt;=2018, B971&lt;=2021), "2018-2021", IF(AND(B971&gt;=2022, B971&lt;=2024), "2022-2024", "Other"))</f>
        <v>2018-2021</v>
      </c>
    </row>
    <row r="972" spans="1:9" x14ac:dyDescent="0.3">
      <c r="A972" t="s">
        <v>11</v>
      </c>
      <c r="B972">
        <v>2018</v>
      </c>
      <c r="C972" t="s">
        <v>4</v>
      </c>
      <c r="D972">
        <v>34522.22</v>
      </c>
      <c r="E972">
        <v>37162.44</v>
      </c>
      <c r="F972">
        <v>184.71</v>
      </c>
      <c r="G972">
        <v>45.14</v>
      </c>
      <c r="H972">
        <f>E972*1000000/D972</f>
        <v>1076478.8591231965</v>
      </c>
      <c r="I972" t="str">
        <f>IF(AND(B972&gt;=2018, B972&lt;=2021), "2018-2021", IF(AND(B972&gt;=2022, B972&lt;=2024), "2022-2024", "Other"))</f>
        <v>2018-2021</v>
      </c>
    </row>
    <row r="973" spans="1:9" x14ac:dyDescent="0.3">
      <c r="A973" t="s">
        <v>22</v>
      </c>
      <c r="B973">
        <v>2022</v>
      </c>
      <c r="C973" t="s">
        <v>12</v>
      </c>
      <c r="D973">
        <v>38945.29</v>
      </c>
      <c r="E973">
        <v>39970.75</v>
      </c>
      <c r="F973">
        <v>78.25</v>
      </c>
      <c r="G973">
        <v>643.38</v>
      </c>
      <c r="H973">
        <f>E973*1000000/D973</f>
        <v>1026330.7835170826</v>
      </c>
      <c r="I973" t="str">
        <f>IF(AND(B973&gt;=2018, B973&lt;=2021), "2018-2021", IF(AND(B973&gt;=2022, B973&lt;=2024), "2022-2024", "Other"))</f>
        <v>2022-2024</v>
      </c>
    </row>
    <row r="974" spans="1:9" x14ac:dyDescent="0.3">
      <c r="A974" t="s">
        <v>23</v>
      </c>
      <c r="B974">
        <v>2020</v>
      </c>
      <c r="C974" t="s">
        <v>0</v>
      </c>
      <c r="D974">
        <v>3359.4</v>
      </c>
      <c r="E974">
        <v>3254.51</v>
      </c>
      <c r="F974">
        <v>49.07</v>
      </c>
      <c r="G974">
        <v>94.19</v>
      </c>
      <c r="H974">
        <f>E974*1000000/D974</f>
        <v>968777.16258855746</v>
      </c>
      <c r="I974" t="str">
        <f>IF(AND(B974&gt;=2018, B974&lt;=2021), "2018-2021", IF(AND(B974&gt;=2022, B974&lt;=2024), "2022-2024", "Other"))</f>
        <v>2018-2021</v>
      </c>
    </row>
    <row r="975" spans="1:9" x14ac:dyDescent="0.3">
      <c r="A975" t="s">
        <v>15</v>
      </c>
      <c r="B975">
        <v>2018</v>
      </c>
      <c r="C975" t="s">
        <v>14</v>
      </c>
      <c r="D975">
        <v>15837.57</v>
      </c>
      <c r="E975">
        <v>18226.46</v>
      </c>
      <c r="F975">
        <v>197.41</v>
      </c>
      <c r="G975">
        <v>1291.8699999999999</v>
      </c>
      <c r="H975">
        <f>E975*1000000/D975</f>
        <v>1150836.9023783321</v>
      </c>
      <c r="I975" t="str">
        <f>IF(AND(B975&gt;=2018, B975&lt;=2021), "2018-2021", IF(AND(B975&gt;=2022, B975&lt;=2024), "2022-2024", "Other"))</f>
        <v>2018-2021</v>
      </c>
    </row>
    <row r="976" spans="1:9" x14ac:dyDescent="0.3">
      <c r="A976" t="s">
        <v>5</v>
      </c>
      <c r="B976">
        <v>2022</v>
      </c>
      <c r="C976" t="s">
        <v>6</v>
      </c>
      <c r="D976">
        <v>25645.86</v>
      </c>
      <c r="E976">
        <v>20939.16</v>
      </c>
      <c r="F976">
        <v>87.21</v>
      </c>
      <c r="G976">
        <v>1036.46</v>
      </c>
      <c r="H976">
        <f>E976*1000000/D976</f>
        <v>816473.30212361761</v>
      </c>
      <c r="I976" t="str">
        <f>IF(AND(B976&gt;=2018, B976&lt;=2021), "2018-2021", IF(AND(B976&gt;=2022, B976&lt;=2024), "2022-2024", "Other"))</f>
        <v>2022-2024</v>
      </c>
    </row>
    <row r="977" spans="1:9" x14ac:dyDescent="0.3">
      <c r="A977" t="s">
        <v>25</v>
      </c>
      <c r="B977">
        <v>2019</v>
      </c>
      <c r="C977" t="s">
        <v>2</v>
      </c>
      <c r="D977">
        <v>34989.800000000003</v>
      </c>
      <c r="E977">
        <v>38796.370000000003</v>
      </c>
      <c r="F977">
        <v>191.7</v>
      </c>
      <c r="G977">
        <v>124.33</v>
      </c>
      <c r="H977">
        <f>E977*1000000/D977</f>
        <v>1108790.8476184488</v>
      </c>
      <c r="I977" t="str">
        <f>IF(AND(B977&gt;=2018, B977&lt;=2021), "2018-2021", IF(AND(B977&gt;=2022, B977&lt;=2024), "2022-2024", "Other"))</f>
        <v>2018-2021</v>
      </c>
    </row>
    <row r="978" spans="1:9" x14ac:dyDescent="0.3">
      <c r="A978" t="s">
        <v>21</v>
      </c>
      <c r="B978">
        <v>2019</v>
      </c>
      <c r="C978" t="s">
        <v>12</v>
      </c>
      <c r="D978">
        <v>21200.77</v>
      </c>
      <c r="E978">
        <v>22369.7</v>
      </c>
      <c r="F978">
        <v>135.97999999999999</v>
      </c>
      <c r="G978">
        <v>679.99</v>
      </c>
      <c r="H978">
        <f>E978*1000000/D978</f>
        <v>1055136.2049585935</v>
      </c>
      <c r="I978" t="str">
        <f>IF(AND(B978&gt;=2018, B978&lt;=2021), "2018-2021", IF(AND(B978&gt;=2022, B978&lt;=2024), "2022-2024", "Other"))</f>
        <v>2018-2021</v>
      </c>
    </row>
    <row r="979" spans="1:9" x14ac:dyDescent="0.3">
      <c r="A979" t="s">
        <v>23</v>
      </c>
      <c r="B979">
        <v>2024</v>
      </c>
      <c r="C979" t="s">
        <v>4</v>
      </c>
      <c r="D979">
        <v>24233.58</v>
      </c>
      <c r="E979">
        <v>23642.65</v>
      </c>
      <c r="F979">
        <v>152.56</v>
      </c>
      <c r="G979">
        <v>439.75</v>
      </c>
      <c r="H979">
        <f>E979*1000000/D979</f>
        <v>975615.24133041827</v>
      </c>
      <c r="I979" t="str">
        <f>IF(AND(B979&gt;=2018, B979&lt;=2021), "2018-2021", IF(AND(B979&gt;=2022, B979&lt;=2024), "2022-2024", "Other"))</f>
        <v>2022-2024</v>
      </c>
    </row>
    <row r="980" spans="1:9" x14ac:dyDescent="0.3">
      <c r="A980" t="s">
        <v>13</v>
      </c>
      <c r="B980">
        <v>2024</v>
      </c>
      <c r="C980" t="s">
        <v>4</v>
      </c>
      <c r="D980">
        <v>1431.67</v>
      </c>
      <c r="E980">
        <v>1583.08</v>
      </c>
      <c r="F980">
        <v>164.46</v>
      </c>
      <c r="G980">
        <v>715.16</v>
      </c>
      <c r="H980">
        <f>E980*1000000/D980</f>
        <v>1105757.6117401356</v>
      </c>
      <c r="I980" t="str">
        <f>IF(AND(B980&gt;=2018, B980&lt;=2021), "2018-2021", IF(AND(B980&gt;=2022, B980&lt;=2024), "2022-2024", "Other"))</f>
        <v>2022-2024</v>
      </c>
    </row>
    <row r="981" spans="1:9" x14ac:dyDescent="0.3">
      <c r="A981" t="s">
        <v>15</v>
      </c>
      <c r="B981">
        <v>2024</v>
      </c>
      <c r="C981" t="s">
        <v>8</v>
      </c>
      <c r="D981">
        <v>31978.880000000001</v>
      </c>
      <c r="E981">
        <v>28163.85</v>
      </c>
      <c r="F981">
        <v>40.76</v>
      </c>
      <c r="G981">
        <v>958.48</v>
      </c>
      <c r="H981">
        <f>E981*1000000/D981</f>
        <v>880701.57553985633</v>
      </c>
      <c r="I981" t="str">
        <f>IF(AND(B981&gt;=2018, B981&lt;=2021), "2018-2021", IF(AND(B981&gt;=2022, B981&lt;=2024), "2022-2024", "Other"))</f>
        <v>2022-2024</v>
      </c>
    </row>
    <row r="982" spans="1:9" x14ac:dyDescent="0.3">
      <c r="A982" t="s">
        <v>18</v>
      </c>
      <c r="B982">
        <v>2024</v>
      </c>
      <c r="C982" t="s">
        <v>8</v>
      </c>
      <c r="D982">
        <v>46528.85</v>
      </c>
      <c r="E982">
        <v>37983.769999999997</v>
      </c>
      <c r="F982">
        <v>95.75</v>
      </c>
      <c r="G982">
        <v>1113.76</v>
      </c>
      <c r="H982">
        <f>E982*1000000/D982</f>
        <v>816348.78145494685</v>
      </c>
      <c r="I982" t="str">
        <f>IF(AND(B982&gt;=2018, B982&lt;=2021), "2018-2021", IF(AND(B982&gt;=2022, B982&lt;=2024), "2022-2024", "Other"))</f>
        <v>2022-2024</v>
      </c>
    </row>
    <row r="983" spans="1:9" x14ac:dyDescent="0.3">
      <c r="A983" t="s">
        <v>1</v>
      </c>
      <c r="B983">
        <v>2022</v>
      </c>
      <c r="C983" t="s">
        <v>8</v>
      </c>
      <c r="D983">
        <v>12831.68</v>
      </c>
      <c r="E983">
        <v>10856.01</v>
      </c>
      <c r="F983">
        <v>187.33</v>
      </c>
      <c r="G983">
        <v>247.28</v>
      </c>
      <c r="H983">
        <f>E983*1000000/D983</f>
        <v>846031.85241527215</v>
      </c>
      <c r="I983" t="str">
        <f>IF(AND(B983&gt;=2018, B983&lt;=2021), "2018-2021", IF(AND(B983&gt;=2022, B983&lt;=2024), "2022-2024", "Other"))</f>
        <v>2022-2024</v>
      </c>
    </row>
    <row r="984" spans="1:9" x14ac:dyDescent="0.3">
      <c r="A984" t="s">
        <v>26</v>
      </c>
      <c r="B984">
        <v>2024</v>
      </c>
      <c r="C984" t="s">
        <v>4</v>
      </c>
      <c r="D984">
        <v>14892.13</v>
      </c>
      <c r="E984">
        <v>13964.05</v>
      </c>
      <c r="F984">
        <v>60.85</v>
      </c>
      <c r="G984">
        <v>835.15</v>
      </c>
      <c r="H984">
        <f>E984*1000000/D984</f>
        <v>937679.83491951798</v>
      </c>
      <c r="I984" t="str">
        <f>IF(AND(B984&gt;=2018, B984&lt;=2021), "2018-2021", IF(AND(B984&gt;=2022, B984&lt;=2024), "2022-2024", "Other"))</f>
        <v>2022-2024</v>
      </c>
    </row>
    <row r="985" spans="1:9" x14ac:dyDescent="0.3">
      <c r="A985" t="s">
        <v>27</v>
      </c>
      <c r="B985">
        <v>2019</v>
      </c>
      <c r="C985" t="s">
        <v>9</v>
      </c>
      <c r="D985">
        <v>9612.3799999999992</v>
      </c>
      <c r="E985">
        <v>8521.2999999999993</v>
      </c>
      <c r="F985">
        <v>78.14</v>
      </c>
      <c r="G985">
        <v>605.34</v>
      </c>
      <c r="H985">
        <f>E985*1000000/D985</f>
        <v>886492.21108612022</v>
      </c>
      <c r="I985" t="str">
        <f>IF(AND(B985&gt;=2018, B985&lt;=2021), "2018-2021", IF(AND(B985&gt;=2022, B985&lt;=2024), "2022-2024", "Other"))</f>
        <v>2018-2021</v>
      </c>
    </row>
    <row r="986" spans="1:9" x14ac:dyDescent="0.3">
      <c r="A986" t="s">
        <v>10</v>
      </c>
      <c r="B986">
        <v>2020</v>
      </c>
      <c r="C986" t="s">
        <v>14</v>
      </c>
      <c r="D986">
        <v>20881.02</v>
      </c>
      <c r="E986">
        <v>22847.14</v>
      </c>
      <c r="F986">
        <v>21.23</v>
      </c>
      <c r="G986">
        <v>662.32</v>
      </c>
      <c r="H986">
        <f>E986*1000000/D986</f>
        <v>1094158.2355651208</v>
      </c>
      <c r="I986" t="str">
        <f>IF(AND(B986&gt;=2018, B986&lt;=2021), "2018-2021", IF(AND(B986&gt;=2022, B986&lt;=2024), "2022-2024", "Other"))</f>
        <v>2018-2021</v>
      </c>
    </row>
    <row r="987" spans="1:9" x14ac:dyDescent="0.3">
      <c r="A987" t="s">
        <v>27</v>
      </c>
      <c r="B987">
        <v>2020</v>
      </c>
      <c r="C987" t="s">
        <v>6</v>
      </c>
      <c r="D987">
        <v>1570.43</v>
      </c>
      <c r="E987">
        <v>1843.92</v>
      </c>
      <c r="F987">
        <v>110.22</v>
      </c>
      <c r="G987">
        <v>1340.77</v>
      </c>
      <c r="H987">
        <f>E987*1000000/D987</f>
        <v>1174149.7551625988</v>
      </c>
      <c r="I987" t="str">
        <f>IF(AND(B987&gt;=2018, B987&lt;=2021), "2018-2021", IF(AND(B987&gt;=2022, B987&lt;=2024), "2022-2024", "Other"))</f>
        <v>2018-2021</v>
      </c>
    </row>
    <row r="988" spans="1:9" x14ac:dyDescent="0.3">
      <c r="A988" t="s">
        <v>20</v>
      </c>
      <c r="B988">
        <v>2024</v>
      </c>
      <c r="C988" t="s">
        <v>6</v>
      </c>
      <c r="D988">
        <v>42632.27</v>
      </c>
      <c r="E988">
        <v>34780.26</v>
      </c>
      <c r="F988">
        <v>34.82</v>
      </c>
      <c r="G988">
        <v>88.86</v>
      </c>
      <c r="H988">
        <f>E988*1000000/D988</f>
        <v>815820.03491721186</v>
      </c>
      <c r="I988" t="str">
        <f>IF(AND(B988&gt;=2018, B988&lt;=2021), "2018-2021", IF(AND(B988&gt;=2022, B988&lt;=2024), "2022-2024", "Other"))</f>
        <v>2022-2024</v>
      </c>
    </row>
    <row r="989" spans="1:9" x14ac:dyDescent="0.3">
      <c r="A989" t="s">
        <v>5</v>
      </c>
      <c r="B989">
        <v>2021</v>
      </c>
      <c r="C989" t="s">
        <v>2</v>
      </c>
      <c r="D989">
        <v>28262.79</v>
      </c>
      <c r="E989">
        <v>28932.61</v>
      </c>
      <c r="F989">
        <v>144.47999999999999</v>
      </c>
      <c r="G989">
        <v>972.48</v>
      </c>
      <c r="H989">
        <f>E989*1000000/D989</f>
        <v>1023699.7125902998</v>
      </c>
      <c r="I989" t="str">
        <f>IF(AND(B989&gt;=2018, B989&lt;=2021), "2018-2021", IF(AND(B989&gt;=2022, B989&lt;=2024), "2022-2024", "Other"))</f>
        <v>2018-2021</v>
      </c>
    </row>
    <row r="990" spans="1:9" x14ac:dyDescent="0.3">
      <c r="A990" t="s">
        <v>27</v>
      </c>
      <c r="B990">
        <v>2021</v>
      </c>
      <c r="C990" t="s">
        <v>2</v>
      </c>
      <c r="D990">
        <v>31719.67</v>
      </c>
      <c r="E990">
        <v>37838.410000000003</v>
      </c>
      <c r="F990">
        <v>95.35</v>
      </c>
      <c r="G990">
        <v>1227.44</v>
      </c>
      <c r="H990">
        <f>E990*1000000/D990</f>
        <v>1192900.4936053874</v>
      </c>
      <c r="I990" t="str">
        <f>IF(AND(B990&gt;=2018, B990&lt;=2021), "2018-2021", IF(AND(B990&gt;=2022, B990&lt;=2024), "2022-2024", "Other"))</f>
        <v>2018-2021</v>
      </c>
    </row>
    <row r="991" spans="1:9" x14ac:dyDescent="0.3">
      <c r="A991" t="s">
        <v>23</v>
      </c>
      <c r="B991">
        <v>2021</v>
      </c>
      <c r="C991" t="s">
        <v>0</v>
      </c>
      <c r="D991">
        <v>10185.040000000001</v>
      </c>
      <c r="E991">
        <v>9179.73</v>
      </c>
      <c r="F991">
        <v>143.16</v>
      </c>
      <c r="G991">
        <v>1078.2</v>
      </c>
      <c r="H991">
        <f>E991*1000000/D991</f>
        <v>901295.42937484779</v>
      </c>
      <c r="I991" t="str">
        <f>IF(AND(B991&gt;=2018, B991&lt;=2021), "2018-2021", IF(AND(B991&gt;=2022, B991&lt;=2024), "2022-2024", "Other"))</f>
        <v>2018-2021</v>
      </c>
    </row>
    <row r="992" spans="1:9" x14ac:dyDescent="0.3">
      <c r="A992" t="s">
        <v>21</v>
      </c>
      <c r="B992">
        <v>2020</v>
      </c>
      <c r="C992" t="s">
        <v>0</v>
      </c>
      <c r="D992">
        <v>43351.26</v>
      </c>
      <c r="E992">
        <v>50858.44</v>
      </c>
      <c r="F992">
        <v>182.61</v>
      </c>
      <c r="G992">
        <v>51.35</v>
      </c>
      <c r="H992">
        <f>E992*1000000/D992</f>
        <v>1173170.9758839766</v>
      </c>
      <c r="I992" t="str">
        <f>IF(AND(B992&gt;=2018, B992&lt;=2021), "2018-2021", IF(AND(B992&gt;=2022, B992&lt;=2024), "2022-2024", "Other"))</f>
        <v>2018-2021</v>
      </c>
    </row>
    <row r="993" spans="1:9" x14ac:dyDescent="0.3">
      <c r="A993" t="s">
        <v>18</v>
      </c>
      <c r="B993">
        <v>2020</v>
      </c>
      <c r="C993" t="s">
        <v>4</v>
      </c>
      <c r="D993">
        <v>13944.64</v>
      </c>
      <c r="E993">
        <v>11161.72</v>
      </c>
      <c r="F993">
        <v>110.98</v>
      </c>
      <c r="G993">
        <v>598.19000000000005</v>
      </c>
      <c r="H993">
        <f>E993*1000000/D993</f>
        <v>800430.84654749068</v>
      </c>
      <c r="I993" t="str">
        <f>IF(AND(B993&gt;=2018, B993&lt;=2021), "2018-2021", IF(AND(B993&gt;=2022, B993&lt;=2024), "2022-2024", "Other"))</f>
        <v>2018-2021</v>
      </c>
    </row>
    <row r="994" spans="1:9" x14ac:dyDescent="0.3">
      <c r="A994" t="s">
        <v>26</v>
      </c>
      <c r="B994">
        <v>2022</v>
      </c>
      <c r="C994" t="s">
        <v>4</v>
      </c>
      <c r="D994">
        <v>27577.58</v>
      </c>
      <c r="E994">
        <v>22782.98</v>
      </c>
      <c r="F994">
        <v>71.64</v>
      </c>
      <c r="G994">
        <v>608.53</v>
      </c>
      <c r="H994">
        <f>E994*1000000/D994</f>
        <v>826141.38006308023</v>
      </c>
      <c r="I994" t="str">
        <f>IF(AND(B994&gt;=2018, B994&lt;=2021), "2018-2021", IF(AND(B994&gt;=2022, B994&lt;=2024), "2022-2024", "Other"))</f>
        <v>2022-2024</v>
      </c>
    </row>
    <row r="995" spans="1:9" x14ac:dyDescent="0.3">
      <c r="A995" t="s">
        <v>18</v>
      </c>
      <c r="B995">
        <v>2019</v>
      </c>
      <c r="C995" t="s">
        <v>2</v>
      </c>
      <c r="D995">
        <v>12138.65</v>
      </c>
      <c r="E995">
        <v>12670.28</v>
      </c>
      <c r="F995">
        <v>71.540000000000006</v>
      </c>
      <c r="G995">
        <v>967.81</v>
      </c>
      <c r="H995">
        <f>E995*1000000/D995</f>
        <v>1043796.4683057836</v>
      </c>
      <c r="I995" t="str">
        <f>IF(AND(B995&gt;=2018, B995&lt;=2021), "2018-2021", IF(AND(B995&gt;=2022, B995&lt;=2024), "2022-2024", "Other"))</f>
        <v>2018-2021</v>
      </c>
    </row>
    <row r="996" spans="1:9" x14ac:dyDescent="0.3">
      <c r="A996" t="s">
        <v>11</v>
      </c>
      <c r="B996">
        <v>2021</v>
      </c>
      <c r="C996" t="s">
        <v>8</v>
      </c>
      <c r="D996">
        <v>10506.6</v>
      </c>
      <c r="E996">
        <v>9369.75</v>
      </c>
      <c r="F996">
        <v>103.14</v>
      </c>
      <c r="G996">
        <v>516.88</v>
      </c>
      <c r="H996">
        <f>E996*1000000/D996</f>
        <v>891796.58500371187</v>
      </c>
      <c r="I996" t="str">
        <f>IF(AND(B996&gt;=2018, B996&lt;=2021), "2018-2021", IF(AND(B996&gt;=2022, B996&lt;=2024), "2022-2024", "Other"))</f>
        <v>2018-2021</v>
      </c>
    </row>
    <row r="997" spans="1:9" x14ac:dyDescent="0.3">
      <c r="A997" t="s">
        <v>3</v>
      </c>
      <c r="B997">
        <v>2018</v>
      </c>
      <c r="C997" t="s">
        <v>9</v>
      </c>
      <c r="D997">
        <v>8658.9</v>
      </c>
      <c r="E997">
        <v>7370.51</v>
      </c>
      <c r="F997">
        <v>37.19</v>
      </c>
      <c r="G997">
        <v>843.13</v>
      </c>
      <c r="H997">
        <f>E997*1000000/D997</f>
        <v>851206.27331416239</v>
      </c>
      <c r="I997" t="str">
        <f>IF(AND(B997&gt;=2018, B997&lt;=2021), "2018-2021", IF(AND(B997&gt;=2022, B997&lt;=2024), "2022-2024", "Other"))</f>
        <v>2018-2021</v>
      </c>
    </row>
    <row r="998" spans="1:9" x14ac:dyDescent="0.3">
      <c r="A998" t="s">
        <v>18</v>
      </c>
      <c r="B998">
        <v>2024</v>
      </c>
      <c r="C998" t="s">
        <v>8</v>
      </c>
      <c r="D998">
        <v>4554.03</v>
      </c>
      <c r="E998">
        <v>4992.4799999999996</v>
      </c>
      <c r="F998">
        <v>27.3</v>
      </c>
      <c r="G998">
        <v>1104.7</v>
      </c>
      <c r="H998">
        <f>E998*1000000/D998</f>
        <v>1096277.3631267252</v>
      </c>
      <c r="I998" t="str">
        <f>IF(AND(B998&gt;=2018, B998&lt;=2021), "2018-2021", IF(AND(B998&gt;=2022, B998&lt;=2024), "2022-2024", "Other"))</f>
        <v>2022-2024</v>
      </c>
    </row>
    <row r="999" spans="1:9" x14ac:dyDescent="0.3">
      <c r="A999" t="s">
        <v>23</v>
      </c>
      <c r="B999">
        <v>2018</v>
      </c>
      <c r="C999" t="s">
        <v>12</v>
      </c>
      <c r="D999">
        <v>23035.88</v>
      </c>
      <c r="E999">
        <v>27523.54</v>
      </c>
      <c r="F999">
        <v>29.54</v>
      </c>
      <c r="G999">
        <v>423.41</v>
      </c>
      <c r="H999">
        <f>E999*1000000/D999</f>
        <v>1194811.7458503863</v>
      </c>
      <c r="I999" t="str">
        <f>IF(AND(B999&gt;=2018, B999&lt;=2021), "2018-2021", IF(AND(B999&gt;=2022, B999&lt;=2024), "2022-2024", "Other"))</f>
        <v>2018-2021</v>
      </c>
    </row>
    <row r="1000" spans="1:9" x14ac:dyDescent="0.3">
      <c r="A1000" t="s">
        <v>22</v>
      </c>
      <c r="B1000">
        <v>2019</v>
      </c>
      <c r="C1000" t="s">
        <v>12</v>
      </c>
      <c r="D1000">
        <v>39660.870000000003</v>
      </c>
      <c r="E1000">
        <v>39971.879999999997</v>
      </c>
      <c r="F1000">
        <v>72.150000000000006</v>
      </c>
      <c r="G1000">
        <v>292.07</v>
      </c>
      <c r="H1000">
        <f>E1000*1000000/D1000</f>
        <v>1007841.7341828356</v>
      </c>
      <c r="I1000" t="str">
        <f>IF(AND(B1000&gt;=2018, B1000&lt;=2021), "2018-2021", IF(AND(B1000&gt;=2022, B1000&lt;=2024), "2022-2024", "Other"))</f>
        <v>2018-2021</v>
      </c>
    </row>
    <row r="1001" spans="1:9" x14ac:dyDescent="0.3">
      <c r="A1001" t="s">
        <v>21</v>
      </c>
      <c r="B1001">
        <v>2021</v>
      </c>
      <c r="C1001" t="s">
        <v>2</v>
      </c>
      <c r="D1001">
        <v>38840.33</v>
      </c>
      <c r="E1001">
        <v>40716.92</v>
      </c>
      <c r="F1001">
        <v>57.45</v>
      </c>
      <c r="G1001">
        <v>1204.57</v>
      </c>
      <c r="H1001">
        <f>E1001*1000000/D1001</f>
        <v>1048315.5009239108</v>
      </c>
      <c r="I1001" t="str">
        <f>IF(AND(B1001&gt;=2018, B1001&lt;=2021), "2018-2021", IF(AND(B1001&gt;=2022, B1001&lt;=2024), "2022-2024", "Other"))</f>
        <v>2018-2021</v>
      </c>
    </row>
    <row r="1002" spans="1:9" x14ac:dyDescent="0.3">
      <c r="A1002" t="s">
        <v>13</v>
      </c>
      <c r="B1002">
        <v>2019</v>
      </c>
      <c r="C1002" t="s">
        <v>6</v>
      </c>
      <c r="D1002">
        <v>5258.84</v>
      </c>
      <c r="E1002">
        <v>6263.31</v>
      </c>
      <c r="F1002">
        <v>186.54</v>
      </c>
      <c r="G1002">
        <v>386.95</v>
      </c>
      <c r="H1002">
        <f>E1002*1000000/D1002</f>
        <v>1191006.0013234857</v>
      </c>
      <c r="I1002" t="str">
        <f>IF(AND(B1002&gt;=2018, B1002&lt;=2021), "2018-2021", IF(AND(B1002&gt;=2022, B1002&lt;=2024), "2022-2024", "Other"))</f>
        <v>2018-2021</v>
      </c>
    </row>
    <row r="1003" spans="1:9" x14ac:dyDescent="0.3">
      <c r="A1003" t="s">
        <v>3</v>
      </c>
      <c r="B1003">
        <v>2022</v>
      </c>
      <c r="C1003" t="s">
        <v>12</v>
      </c>
      <c r="D1003">
        <v>44744.89</v>
      </c>
      <c r="E1003">
        <v>37652.47</v>
      </c>
      <c r="F1003">
        <v>114.65</v>
      </c>
      <c r="G1003">
        <v>23.87</v>
      </c>
      <c r="H1003">
        <f>E1003*1000000/D1003</f>
        <v>841492.06758581824</v>
      </c>
      <c r="I1003" t="str">
        <f>IF(AND(B1003&gt;=2018, B1003&lt;=2021), "2018-2021", IF(AND(B1003&gt;=2022, B1003&lt;=2024), "2022-2024", "Other"))</f>
        <v>2022-2024</v>
      </c>
    </row>
    <row r="1004" spans="1:9" x14ac:dyDescent="0.3">
      <c r="A1004" t="s">
        <v>16</v>
      </c>
      <c r="B1004">
        <v>2022</v>
      </c>
      <c r="C1004" t="s">
        <v>4</v>
      </c>
      <c r="D1004">
        <v>27169.47</v>
      </c>
      <c r="E1004">
        <v>27439.48</v>
      </c>
      <c r="F1004">
        <v>157.77000000000001</v>
      </c>
      <c r="G1004">
        <v>1326.82</v>
      </c>
      <c r="H1004">
        <f>E1004*1000000/D1004</f>
        <v>1009937.9929015914</v>
      </c>
      <c r="I1004" t="str">
        <f>IF(AND(B1004&gt;=2018, B1004&lt;=2021), "2018-2021", IF(AND(B1004&gt;=2022, B1004&lt;=2024), "2022-2024", "Other"))</f>
        <v>2022-2024</v>
      </c>
    </row>
    <row r="1005" spans="1:9" x14ac:dyDescent="0.3">
      <c r="A1005" t="s">
        <v>19</v>
      </c>
      <c r="B1005">
        <v>2018</v>
      </c>
      <c r="C1005" t="s">
        <v>0</v>
      </c>
      <c r="D1005">
        <v>1364.91</v>
      </c>
      <c r="E1005">
        <v>1573.3</v>
      </c>
      <c r="F1005">
        <v>160.05000000000001</v>
      </c>
      <c r="G1005">
        <v>509.06</v>
      </c>
      <c r="H1005">
        <f>E1005*1000000/D1005</f>
        <v>1152676.7332644642</v>
      </c>
      <c r="I1005" t="str">
        <f>IF(AND(B1005&gt;=2018, B1005&lt;=2021), "2018-2021", IF(AND(B1005&gt;=2022, B1005&lt;=2024), "2022-2024", "Other"))</f>
        <v>2018-2021</v>
      </c>
    </row>
    <row r="1006" spans="1:9" x14ac:dyDescent="0.3">
      <c r="A1006" t="s">
        <v>10</v>
      </c>
      <c r="B1006">
        <v>2018</v>
      </c>
      <c r="C1006" t="s">
        <v>9</v>
      </c>
      <c r="D1006">
        <v>12027.45</v>
      </c>
      <c r="E1006">
        <v>10887.03</v>
      </c>
      <c r="F1006">
        <v>96.28</v>
      </c>
      <c r="G1006">
        <v>1061.0999999999999</v>
      </c>
      <c r="H1006">
        <f>E1006*1000000/D1006</f>
        <v>905181.89641195757</v>
      </c>
      <c r="I1006" t="str">
        <f>IF(AND(B1006&gt;=2018, B1006&lt;=2021), "2018-2021", IF(AND(B1006&gt;=2022, B1006&lt;=2024), "2022-2024", "Other"))</f>
        <v>2018-2021</v>
      </c>
    </row>
    <row r="1007" spans="1:9" x14ac:dyDescent="0.3">
      <c r="A1007" t="s">
        <v>15</v>
      </c>
      <c r="B1007">
        <v>2022</v>
      </c>
      <c r="C1007" t="s">
        <v>9</v>
      </c>
      <c r="D1007">
        <v>23099.58</v>
      </c>
      <c r="E1007">
        <v>25032.75</v>
      </c>
      <c r="F1007">
        <v>162.46</v>
      </c>
      <c r="G1007">
        <v>543.41</v>
      </c>
      <c r="H1007">
        <f>E1007*1000000/D1007</f>
        <v>1083688.5345967328</v>
      </c>
      <c r="I1007" t="str">
        <f>IF(AND(B1007&gt;=2018, B1007&lt;=2021), "2018-2021", IF(AND(B1007&gt;=2022, B1007&lt;=2024), "2022-2024", "Other"))</f>
        <v>2022-2024</v>
      </c>
    </row>
    <row r="1008" spans="1:9" x14ac:dyDescent="0.3">
      <c r="A1008" t="s">
        <v>16</v>
      </c>
      <c r="B1008">
        <v>2023</v>
      </c>
      <c r="C1008" t="s">
        <v>0</v>
      </c>
      <c r="D1008">
        <v>35870.230000000003</v>
      </c>
      <c r="E1008">
        <v>36198.080000000002</v>
      </c>
      <c r="F1008">
        <v>165.96</v>
      </c>
      <c r="G1008">
        <v>538.36</v>
      </c>
      <c r="H1008">
        <f>E1008*1000000/D1008</f>
        <v>1009139.8912134101</v>
      </c>
      <c r="I1008" t="str">
        <f>IF(AND(B1008&gt;=2018, B1008&lt;=2021), "2018-2021", IF(AND(B1008&gt;=2022, B1008&lt;=2024), "2022-2024", "Other"))</f>
        <v>2022-2024</v>
      </c>
    </row>
    <row r="1009" spans="1:9" x14ac:dyDescent="0.3">
      <c r="A1009" t="s">
        <v>11</v>
      </c>
      <c r="B1009">
        <v>2020</v>
      </c>
      <c r="C1009" t="s">
        <v>6</v>
      </c>
      <c r="D1009">
        <v>37937.769999999997</v>
      </c>
      <c r="E1009">
        <v>31837.45</v>
      </c>
      <c r="F1009">
        <v>65.959999999999994</v>
      </c>
      <c r="G1009">
        <v>270.27</v>
      </c>
      <c r="H1009">
        <f>E1009*1000000/D1009</f>
        <v>839201.93516909413</v>
      </c>
      <c r="I1009" t="str">
        <f>IF(AND(B1009&gt;=2018, B1009&lt;=2021), "2018-2021", IF(AND(B1009&gt;=2022, B1009&lt;=2024), "2022-2024", "Other"))</f>
        <v>2018-2021</v>
      </c>
    </row>
    <row r="1010" spans="1:9" x14ac:dyDescent="0.3">
      <c r="A1010" t="s">
        <v>13</v>
      </c>
      <c r="B1010">
        <v>2020</v>
      </c>
      <c r="C1010" t="s">
        <v>8</v>
      </c>
      <c r="D1010">
        <v>14500.05</v>
      </c>
      <c r="E1010">
        <v>15252.22</v>
      </c>
      <c r="F1010">
        <v>107.18</v>
      </c>
      <c r="G1010">
        <v>65.05</v>
      </c>
      <c r="H1010">
        <f>E1010*1000000/D1010</f>
        <v>1051873.6142289166</v>
      </c>
      <c r="I1010" t="str">
        <f>IF(AND(B1010&gt;=2018, B1010&lt;=2021), "2018-2021", IF(AND(B1010&gt;=2022, B1010&lt;=2024), "2022-2024", "Other"))</f>
        <v>2018-2021</v>
      </c>
    </row>
    <row r="1011" spans="1:9" x14ac:dyDescent="0.3">
      <c r="A1011" t="s">
        <v>18</v>
      </c>
      <c r="B1011">
        <v>2023</v>
      </c>
      <c r="C1011" t="s">
        <v>4</v>
      </c>
      <c r="D1011">
        <v>42648.4</v>
      </c>
      <c r="E1011">
        <v>45802.879999999997</v>
      </c>
      <c r="F1011">
        <v>113.25</v>
      </c>
      <c r="G1011">
        <v>913.45</v>
      </c>
      <c r="H1011">
        <f>E1011*1000000/D1011</f>
        <v>1073964.7911762223</v>
      </c>
      <c r="I1011" t="str">
        <f>IF(AND(B1011&gt;=2018, B1011&lt;=2021), "2018-2021", IF(AND(B1011&gt;=2022, B1011&lt;=2024), "2022-2024", "Other"))</f>
        <v>2022-2024</v>
      </c>
    </row>
    <row r="1012" spans="1:9" x14ac:dyDescent="0.3">
      <c r="A1012" t="s">
        <v>24</v>
      </c>
      <c r="B1012">
        <v>2019</v>
      </c>
      <c r="C1012" t="s">
        <v>4</v>
      </c>
      <c r="D1012">
        <v>1423.1</v>
      </c>
      <c r="E1012">
        <v>1576.37</v>
      </c>
      <c r="F1012">
        <v>173.09</v>
      </c>
      <c r="G1012">
        <v>590.38</v>
      </c>
      <c r="H1012">
        <f>E1012*1000000/D1012</f>
        <v>1107701.4967324855</v>
      </c>
      <c r="I1012" t="str">
        <f>IF(AND(B1012&gt;=2018, B1012&lt;=2021), "2018-2021", IF(AND(B1012&gt;=2022, B1012&lt;=2024), "2022-2024", "Other"))</f>
        <v>2018-2021</v>
      </c>
    </row>
    <row r="1013" spans="1:9" x14ac:dyDescent="0.3">
      <c r="A1013" t="s">
        <v>11</v>
      </c>
      <c r="B1013">
        <v>2023</v>
      </c>
      <c r="C1013" t="s">
        <v>2</v>
      </c>
      <c r="D1013">
        <v>20008.2</v>
      </c>
      <c r="E1013">
        <v>18401.349999999999</v>
      </c>
      <c r="F1013">
        <v>169.33</v>
      </c>
      <c r="G1013">
        <v>84.58</v>
      </c>
      <c r="H1013">
        <f>E1013*1000000/D1013</f>
        <v>919690.42692496069</v>
      </c>
      <c r="I1013" t="str">
        <f>IF(AND(B1013&gt;=2018, B1013&lt;=2021), "2018-2021", IF(AND(B1013&gt;=2022, B1013&lt;=2024), "2022-2024", "Other"))</f>
        <v>2022-2024</v>
      </c>
    </row>
    <row r="1014" spans="1:9" x14ac:dyDescent="0.3">
      <c r="A1014" t="s">
        <v>21</v>
      </c>
      <c r="B1014">
        <v>2023</v>
      </c>
      <c r="C1014" t="s">
        <v>0</v>
      </c>
      <c r="D1014">
        <v>40238.94</v>
      </c>
      <c r="E1014">
        <v>44387.839999999997</v>
      </c>
      <c r="F1014">
        <v>119.8</v>
      </c>
      <c r="G1014">
        <v>289.05</v>
      </c>
      <c r="H1014">
        <f>E1014*1000000/D1014</f>
        <v>1103106.5927680996</v>
      </c>
      <c r="I1014" t="str">
        <f>IF(AND(B1014&gt;=2018, B1014&lt;=2021), "2018-2021", IF(AND(B1014&gt;=2022, B1014&lt;=2024), "2022-2024", "Other"))</f>
        <v>2022-2024</v>
      </c>
    </row>
    <row r="1015" spans="1:9" x14ac:dyDescent="0.3">
      <c r="A1015" t="s">
        <v>7</v>
      </c>
      <c r="B1015">
        <v>2021</v>
      </c>
      <c r="C1015" t="s">
        <v>9</v>
      </c>
      <c r="D1015">
        <v>21420.18</v>
      </c>
      <c r="E1015">
        <v>23267.72</v>
      </c>
      <c r="F1015">
        <v>30.97</v>
      </c>
      <c r="G1015">
        <v>496.66</v>
      </c>
      <c r="H1015">
        <f>E1015*1000000/D1015</f>
        <v>1086252.3097378267</v>
      </c>
      <c r="I1015" t="str">
        <f>IF(AND(B1015&gt;=2018, B1015&lt;=2021), "2018-2021", IF(AND(B1015&gt;=2022, B1015&lt;=2024), "2022-2024", "Other"))</f>
        <v>2018-2021</v>
      </c>
    </row>
    <row r="1016" spans="1:9" x14ac:dyDescent="0.3">
      <c r="A1016" t="s">
        <v>5</v>
      </c>
      <c r="B1016">
        <v>2019</v>
      </c>
      <c r="C1016" t="s">
        <v>6</v>
      </c>
      <c r="D1016">
        <v>31662.74</v>
      </c>
      <c r="E1016">
        <v>31216.38</v>
      </c>
      <c r="F1016">
        <v>114.45</v>
      </c>
      <c r="G1016">
        <v>1307.08</v>
      </c>
      <c r="H1016">
        <f>E1016*1000000/D1016</f>
        <v>985902.67298408155</v>
      </c>
      <c r="I1016" t="str">
        <f>IF(AND(B1016&gt;=2018, B1016&lt;=2021), "2018-2021", IF(AND(B1016&gt;=2022, B1016&lt;=2024), "2022-2024", "Other"))</f>
        <v>2018-2021</v>
      </c>
    </row>
    <row r="1017" spans="1:9" x14ac:dyDescent="0.3">
      <c r="A1017" t="s">
        <v>23</v>
      </c>
      <c r="B1017">
        <v>2024</v>
      </c>
      <c r="C1017" t="s">
        <v>6</v>
      </c>
      <c r="D1017">
        <v>17664.689999999999</v>
      </c>
      <c r="E1017">
        <v>17838.919999999998</v>
      </c>
      <c r="F1017">
        <v>93.64</v>
      </c>
      <c r="G1017">
        <v>1029.06</v>
      </c>
      <c r="H1017">
        <f>E1017*1000000/D1017</f>
        <v>1009863.1790311633</v>
      </c>
      <c r="I1017" t="str">
        <f>IF(AND(B1017&gt;=2018, B1017&lt;=2021), "2018-2021", IF(AND(B1017&gt;=2022, B1017&lt;=2024), "2022-2024", "Other"))</f>
        <v>2022-2024</v>
      </c>
    </row>
    <row r="1018" spans="1:9" x14ac:dyDescent="0.3">
      <c r="A1018" t="s">
        <v>19</v>
      </c>
      <c r="B1018">
        <v>2021</v>
      </c>
      <c r="C1018" t="s">
        <v>0</v>
      </c>
      <c r="D1018">
        <v>24275.57</v>
      </c>
      <c r="E1018">
        <v>23476.97</v>
      </c>
      <c r="F1018">
        <v>196.3</v>
      </c>
      <c r="G1018">
        <v>1066.3900000000001</v>
      </c>
      <c r="H1018">
        <f>E1018*1000000/D1018</f>
        <v>967102.72920471081</v>
      </c>
      <c r="I1018" t="str">
        <f>IF(AND(B1018&gt;=2018, B1018&lt;=2021), "2018-2021", IF(AND(B1018&gt;=2022, B1018&lt;=2024), "2022-2024", "Other"))</f>
        <v>2018-2021</v>
      </c>
    </row>
    <row r="1019" spans="1:9" x14ac:dyDescent="0.3">
      <c r="A1019" t="s">
        <v>23</v>
      </c>
      <c r="B1019">
        <v>2024</v>
      </c>
      <c r="C1019" t="s">
        <v>2</v>
      </c>
      <c r="D1019">
        <v>41075.85</v>
      </c>
      <c r="E1019">
        <v>43800</v>
      </c>
      <c r="F1019">
        <v>104.1</v>
      </c>
      <c r="G1019">
        <v>1221.33</v>
      </c>
      <c r="H1019">
        <f>E1019*1000000/D1019</f>
        <v>1066319.9909435837</v>
      </c>
      <c r="I1019" t="str">
        <f>IF(AND(B1019&gt;=2018, B1019&lt;=2021), "2018-2021", IF(AND(B1019&gt;=2022, B1019&lt;=2024), "2022-2024", "Other"))</f>
        <v>2022-2024</v>
      </c>
    </row>
    <row r="1020" spans="1:9" x14ac:dyDescent="0.3">
      <c r="A1020" t="s">
        <v>5</v>
      </c>
      <c r="B1020">
        <v>2021</v>
      </c>
      <c r="C1020" t="s">
        <v>0</v>
      </c>
      <c r="D1020">
        <v>5979.53</v>
      </c>
      <c r="E1020">
        <v>5722.67</v>
      </c>
      <c r="F1020">
        <v>168.32</v>
      </c>
      <c r="G1020">
        <v>349.65</v>
      </c>
      <c r="H1020">
        <f>E1020*1000000/D1020</f>
        <v>957043.44655850879</v>
      </c>
      <c r="I1020" t="str">
        <f>IF(AND(B1020&gt;=2018, B1020&lt;=2021), "2018-2021", IF(AND(B1020&gt;=2022, B1020&lt;=2024), "2022-2024", "Other"))</f>
        <v>2018-2021</v>
      </c>
    </row>
    <row r="1021" spans="1:9" x14ac:dyDescent="0.3">
      <c r="A1021" t="s">
        <v>16</v>
      </c>
      <c r="B1021">
        <v>2024</v>
      </c>
      <c r="C1021" t="s">
        <v>14</v>
      </c>
      <c r="D1021">
        <v>1115.3</v>
      </c>
      <c r="E1021">
        <v>1284.47</v>
      </c>
      <c r="F1021">
        <v>90.67</v>
      </c>
      <c r="G1021">
        <v>912.65</v>
      </c>
      <c r="H1021">
        <f>E1021*1000000/D1021</f>
        <v>1151681.1620191878</v>
      </c>
      <c r="I1021" t="str">
        <f>IF(AND(B1021&gt;=2018, B1021&lt;=2021), "2018-2021", IF(AND(B1021&gt;=2022, B1021&lt;=2024), "2022-2024", "Other"))</f>
        <v>2022-2024</v>
      </c>
    </row>
    <row r="1022" spans="1:9" x14ac:dyDescent="0.3">
      <c r="A1022" t="s">
        <v>1</v>
      </c>
      <c r="B1022">
        <v>2018</v>
      </c>
      <c r="C1022" t="s">
        <v>8</v>
      </c>
      <c r="D1022">
        <v>16866.86</v>
      </c>
      <c r="E1022">
        <v>18795.509999999998</v>
      </c>
      <c r="F1022">
        <v>57.42</v>
      </c>
      <c r="G1022">
        <v>1157.26</v>
      </c>
      <c r="H1022">
        <f>E1022*1000000/D1022</f>
        <v>1114345.5272647073</v>
      </c>
      <c r="I1022" t="str">
        <f>IF(AND(B1022&gt;=2018, B1022&lt;=2021), "2018-2021", IF(AND(B1022&gt;=2022, B1022&lt;=2024), "2022-2024", "Other"))</f>
        <v>2018-2021</v>
      </c>
    </row>
    <row r="1023" spans="1:9" x14ac:dyDescent="0.3">
      <c r="A1023" t="s">
        <v>3</v>
      </c>
      <c r="B1023">
        <v>2019</v>
      </c>
      <c r="C1023" t="s">
        <v>12</v>
      </c>
      <c r="D1023">
        <v>26050.39</v>
      </c>
      <c r="E1023">
        <v>25969.88</v>
      </c>
      <c r="F1023">
        <v>149.5</v>
      </c>
      <c r="G1023">
        <v>1018.85</v>
      </c>
      <c r="H1023">
        <f>E1023*1000000/D1023</f>
        <v>996909.45125965483</v>
      </c>
      <c r="I1023" t="str">
        <f>IF(AND(B1023&gt;=2018, B1023&lt;=2021), "2018-2021", IF(AND(B1023&gt;=2022, B1023&lt;=2024), "2022-2024", "Other"))</f>
        <v>2018-2021</v>
      </c>
    </row>
    <row r="1024" spans="1:9" x14ac:dyDescent="0.3">
      <c r="A1024" t="s">
        <v>11</v>
      </c>
      <c r="B1024">
        <v>2022</v>
      </c>
      <c r="C1024" t="s">
        <v>2</v>
      </c>
      <c r="D1024">
        <v>28529.39</v>
      </c>
      <c r="E1024">
        <v>26199.69</v>
      </c>
      <c r="F1024">
        <v>64.180000000000007</v>
      </c>
      <c r="G1024">
        <v>1060.5999999999999</v>
      </c>
      <c r="H1024">
        <f>E1024*1000000/D1024</f>
        <v>918340.35007408157</v>
      </c>
      <c r="I1024" t="str">
        <f>IF(AND(B1024&gt;=2018, B1024&lt;=2021), "2018-2021", IF(AND(B1024&gt;=2022, B1024&lt;=2024), "2022-2024", "Other"))</f>
        <v>2022-2024</v>
      </c>
    </row>
    <row r="1025" spans="1:9" x14ac:dyDescent="0.3">
      <c r="A1025" t="s">
        <v>17</v>
      </c>
      <c r="B1025">
        <v>2024</v>
      </c>
      <c r="C1025" t="s">
        <v>2</v>
      </c>
      <c r="D1025">
        <v>28584.45</v>
      </c>
      <c r="E1025">
        <v>28500.76</v>
      </c>
      <c r="F1025">
        <v>171.68</v>
      </c>
      <c r="G1025">
        <v>1002.04</v>
      </c>
      <c r="H1025">
        <f>E1025*1000000/D1025</f>
        <v>997072.1843519815</v>
      </c>
      <c r="I1025" t="str">
        <f>IF(AND(B1025&gt;=2018, B1025&lt;=2021), "2018-2021", IF(AND(B1025&gt;=2022, B1025&lt;=2024), "2022-2024", "Other"))</f>
        <v>2022-2024</v>
      </c>
    </row>
    <row r="1026" spans="1:9" x14ac:dyDescent="0.3">
      <c r="A1026" t="s">
        <v>26</v>
      </c>
      <c r="B1026">
        <v>2018</v>
      </c>
      <c r="C1026" t="s">
        <v>0</v>
      </c>
      <c r="D1026">
        <v>11192.81</v>
      </c>
      <c r="E1026">
        <v>10911.49</v>
      </c>
      <c r="F1026">
        <v>116.3</v>
      </c>
      <c r="G1026">
        <v>1001</v>
      </c>
      <c r="H1026">
        <f>E1026*1000000/D1026</f>
        <v>974866.00773174921</v>
      </c>
      <c r="I1026" t="str">
        <f>IF(AND(B1026&gt;=2018, B1026&lt;=2021), "2018-2021", IF(AND(B1026&gt;=2022, B1026&lt;=2024), "2022-2024", "Other"))</f>
        <v>2018-2021</v>
      </c>
    </row>
    <row r="1027" spans="1:9" x14ac:dyDescent="0.3">
      <c r="A1027" t="s">
        <v>24</v>
      </c>
      <c r="B1027">
        <v>2022</v>
      </c>
      <c r="C1027" t="s">
        <v>14</v>
      </c>
      <c r="D1027">
        <v>5170.01</v>
      </c>
      <c r="E1027">
        <v>6192.15</v>
      </c>
      <c r="F1027">
        <v>141.83000000000001</v>
      </c>
      <c r="G1027">
        <v>911.34</v>
      </c>
      <c r="H1027">
        <f>E1027*1000000/D1027</f>
        <v>1197705.613722217</v>
      </c>
      <c r="I1027" t="str">
        <f>IF(AND(B1027&gt;=2018, B1027&lt;=2021), "2018-2021", IF(AND(B1027&gt;=2022, B1027&lt;=2024), "2022-2024", "Other"))</f>
        <v>2022-2024</v>
      </c>
    </row>
    <row r="1028" spans="1:9" x14ac:dyDescent="0.3">
      <c r="A1028" t="s">
        <v>15</v>
      </c>
      <c r="B1028">
        <v>2023</v>
      </c>
      <c r="C1028" t="s">
        <v>6</v>
      </c>
      <c r="D1028">
        <v>18111.13</v>
      </c>
      <c r="E1028">
        <v>20384.84</v>
      </c>
      <c r="F1028">
        <v>153.77000000000001</v>
      </c>
      <c r="G1028">
        <v>244.66</v>
      </c>
      <c r="H1028">
        <f>E1028*1000000/D1028</f>
        <v>1125542.1390051311</v>
      </c>
      <c r="I1028" t="str">
        <f>IF(AND(B1028&gt;=2018, B1028&lt;=2021), "2018-2021", IF(AND(B1028&gt;=2022, B1028&lt;=2024), "2022-2024", "Other"))</f>
        <v>2022-2024</v>
      </c>
    </row>
    <row r="1029" spans="1:9" x14ac:dyDescent="0.3">
      <c r="A1029" t="s">
        <v>23</v>
      </c>
      <c r="B1029">
        <v>2022</v>
      </c>
      <c r="C1029" t="s">
        <v>14</v>
      </c>
      <c r="D1029">
        <v>8499.64</v>
      </c>
      <c r="E1029">
        <v>8074.29</v>
      </c>
      <c r="F1029">
        <v>97.02</v>
      </c>
      <c r="G1029">
        <v>1353.16</v>
      </c>
      <c r="H1029">
        <f>E1029*1000000/D1029</f>
        <v>949956.70404864207</v>
      </c>
      <c r="I1029" t="str">
        <f>IF(AND(B1029&gt;=2018, B1029&lt;=2021), "2018-2021", IF(AND(B1029&gt;=2022, B1029&lt;=2024), "2022-2024", "Other"))</f>
        <v>2022-2024</v>
      </c>
    </row>
    <row r="1030" spans="1:9" x14ac:dyDescent="0.3">
      <c r="A1030" t="s">
        <v>11</v>
      </c>
      <c r="B1030">
        <v>2022</v>
      </c>
      <c r="C1030" t="s">
        <v>6</v>
      </c>
      <c r="D1030">
        <v>12719.37</v>
      </c>
      <c r="E1030">
        <v>12611.99</v>
      </c>
      <c r="F1030">
        <v>129.63999999999999</v>
      </c>
      <c r="G1030">
        <v>524.76</v>
      </c>
      <c r="H1030">
        <f>E1030*1000000/D1030</f>
        <v>991557.75797071704</v>
      </c>
      <c r="I1030" t="str">
        <f>IF(AND(B1030&gt;=2018, B1030&lt;=2021), "2018-2021", IF(AND(B1030&gt;=2022, B1030&lt;=2024), "2022-2024", "Other"))</f>
        <v>2022-2024</v>
      </c>
    </row>
    <row r="1031" spans="1:9" x14ac:dyDescent="0.3">
      <c r="A1031" t="s">
        <v>22</v>
      </c>
      <c r="B1031">
        <v>2019</v>
      </c>
      <c r="C1031" t="s">
        <v>6</v>
      </c>
      <c r="D1031">
        <v>44554.35</v>
      </c>
      <c r="E1031">
        <v>43230.52</v>
      </c>
      <c r="F1031">
        <v>27.55</v>
      </c>
      <c r="G1031">
        <v>48.05</v>
      </c>
      <c r="H1031">
        <f>E1031*1000000/D1031</f>
        <v>970287.30079105636</v>
      </c>
      <c r="I1031" t="str">
        <f>IF(AND(B1031&gt;=2018, B1031&lt;=2021), "2018-2021", IF(AND(B1031&gt;=2022, B1031&lt;=2024), "2022-2024", "Other"))</f>
        <v>2018-2021</v>
      </c>
    </row>
    <row r="1032" spans="1:9" x14ac:dyDescent="0.3">
      <c r="A1032" t="s">
        <v>11</v>
      </c>
      <c r="B1032">
        <v>2024</v>
      </c>
      <c r="C1032" t="s">
        <v>0</v>
      </c>
      <c r="D1032">
        <v>31998.09</v>
      </c>
      <c r="E1032">
        <v>25693.59</v>
      </c>
      <c r="F1032">
        <v>196.25</v>
      </c>
      <c r="G1032">
        <v>309.62</v>
      </c>
      <c r="H1032">
        <f>E1032*1000000/D1032</f>
        <v>802972.61492795346</v>
      </c>
      <c r="I1032" t="str">
        <f>IF(AND(B1032&gt;=2018, B1032&lt;=2021), "2018-2021", IF(AND(B1032&gt;=2022, B1032&lt;=2024), "2022-2024", "Other"))</f>
        <v>2022-2024</v>
      </c>
    </row>
    <row r="1033" spans="1:9" x14ac:dyDescent="0.3">
      <c r="A1033" t="s">
        <v>21</v>
      </c>
      <c r="B1033">
        <v>2024</v>
      </c>
      <c r="C1033" t="s">
        <v>6</v>
      </c>
      <c r="D1033">
        <v>13074.51</v>
      </c>
      <c r="E1033">
        <v>14667.3</v>
      </c>
      <c r="F1033">
        <v>110.13</v>
      </c>
      <c r="G1033">
        <v>549.63</v>
      </c>
      <c r="H1033">
        <f>E1033*1000000/D1033</f>
        <v>1121824.0683589671</v>
      </c>
      <c r="I1033" t="str">
        <f>IF(AND(B1033&gt;=2018, B1033&lt;=2021), "2018-2021", IF(AND(B1033&gt;=2022, B1033&lt;=2024), "2022-2024", "Other"))</f>
        <v>2022-2024</v>
      </c>
    </row>
    <row r="1034" spans="1:9" x14ac:dyDescent="0.3">
      <c r="A1034" t="s">
        <v>5</v>
      </c>
      <c r="B1034">
        <v>2018</v>
      </c>
      <c r="C1034" t="s">
        <v>0</v>
      </c>
      <c r="D1034">
        <v>24699.17</v>
      </c>
      <c r="E1034">
        <v>29320.94</v>
      </c>
      <c r="F1034">
        <v>35.380000000000003</v>
      </c>
      <c r="G1034">
        <v>531.44000000000005</v>
      </c>
      <c r="H1034">
        <f>E1034*1000000/D1034</f>
        <v>1187122.4822534523</v>
      </c>
      <c r="I1034" t="str">
        <f>IF(AND(B1034&gt;=2018, B1034&lt;=2021), "2018-2021", IF(AND(B1034&gt;=2022, B1034&lt;=2024), "2022-2024", "Other"))</f>
        <v>2018-2021</v>
      </c>
    </row>
    <row r="1035" spans="1:9" x14ac:dyDescent="0.3">
      <c r="A1035" t="s">
        <v>13</v>
      </c>
      <c r="B1035">
        <v>2020</v>
      </c>
      <c r="C1035" t="s">
        <v>9</v>
      </c>
      <c r="D1035">
        <v>30645.38</v>
      </c>
      <c r="E1035">
        <v>30122.45</v>
      </c>
      <c r="F1035">
        <v>197.42</v>
      </c>
      <c r="G1035">
        <v>1100.45</v>
      </c>
      <c r="H1035">
        <f>E1035*1000000/D1035</f>
        <v>982936.09020348254</v>
      </c>
      <c r="I1035" t="str">
        <f>IF(AND(B1035&gt;=2018, B1035&lt;=2021), "2018-2021", IF(AND(B1035&gt;=2022, B1035&lt;=2024), "2022-2024", "Other"))</f>
        <v>2018-2021</v>
      </c>
    </row>
    <row r="1036" spans="1:9" x14ac:dyDescent="0.3">
      <c r="A1036" t="s">
        <v>13</v>
      </c>
      <c r="B1036">
        <v>2021</v>
      </c>
      <c r="C1036" t="s">
        <v>9</v>
      </c>
      <c r="D1036">
        <v>23526.639999999999</v>
      </c>
      <c r="E1036">
        <v>23209.94</v>
      </c>
      <c r="F1036">
        <v>87.44</v>
      </c>
      <c r="G1036">
        <v>1162.6500000000001</v>
      </c>
      <c r="H1036">
        <f>E1036*1000000/D1036</f>
        <v>986538.66425464919</v>
      </c>
      <c r="I1036" t="str">
        <f>IF(AND(B1036&gt;=2018, B1036&lt;=2021), "2018-2021", IF(AND(B1036&gt;=2022, B1036&lt;=2024), "2022-2024", "Other"))</f>
        <v>2018-2021</v>
      </c>
    </row>
    <row r="1037" spans="1:9" x14ac:dyDescent="0.3">
      <c r="A1037" t="s">
        <v>17</v>
      </c>
      <c r="B1037">
        <v>2020</v>
      </c>
      <c r="C1037" t="s">
        <v>8</v>
      </c>
      <c r="D1037">
        <v>16008.15</v>
      </c>
      <c r="E1037">
        <v>13462.8</v>
      </c>
      <c r="F1037">
        <v>22.08</v>
      </c>
      <c r="G1037">
        <v>1281.0899999999999</v>
      </c>
      <c r="H1037">
        <f>E1037*1000000/D1037</f>
        <v>840996.61734803836</v>
      </c>
      <c r="I1037" t="str">
        <f>IF(AND(B1037&gt;=2018, B1037&lt;=2021), "2018-2021", IF(AND(B1037&gt;=2022, B1037&lt;=2024), "2022-2024", "Other"))</f>
        <v>2018-2021</v>
      </c>
    </row>
    <row r="1038" spans="1:9" x14ac:dyDescent="0.3">
      <c r="A1038" t="s">
        <v>13</v>
      </c>
      <c r="B1038">
        <v>2018</v>
      </c>
      <c r="C1038" t="s">
        <v>4</v>
      </c>
      <c r="D1038">
        <v>38108.26</v>
      </c>
      <c r="E1038">
        <v>40154.239999999998</v>
      </c>
      <c r="F1038">
        <v>27.27</v>
      </c>
      <c r="G1038">
        <v>1328.63</v>
      </c>
      <c r="H1038">
        <f>E1038*1000000/D1038</f>
        <v>1053688.6228864817</v>
      </c>
      <c r="I1038" t="str">
        <f>IF(AND(B1038&gt;=2018, B1038&lt;=2021), "2018-2021", IF(AND(B1038&gt;=2022, B1038&lt;=2024), "2022-2024", "Other"))</f>
        <v>2018-2021</v>
      </c>
    </row>
    <row r="1039" spans="1:9" x14ac:dyDescent="0.3">
      <c r="A1039" t="s">
        <v>10</v>
      </c>
      <c r="B1039">
        <v>2023</v>
      </c>
      <c r="C1039" t="s">
        <v>6</v>
      </c>
      <c r="D1039">
        <v>21672.82</v>
      </c>
      <c r="E1039">
        <v>24875.84</v>
      </c>
      <c r="F1039">
        <v>98.25</v>
      </c>
      <c r="G1039">
        <v>192.75</v>
      </c>
      <c r="H1039">
        <f>E1039*1000000/D1039</f>
        <v>1147789.7200272046</v>
      </c>
      <c r="I1039" t="str">
        <f>IF(AND(B1039&gt;=2018, B1039&lt;=2021), "2018-2021", IF(AND(B1039&gt;=2022, B1039&lt;=2024), "2022-2024", "Other"))</f>
        <v>2022-2024</v>
      </c>
    </row>
    <row r="1040" spans="1:9" x14ac:dyDescent="0.3">
      <c r="A1040" t="s">
        <v>18</v>
      </c>
      <c r="B1040">
        <v>2023</v>
      </c>
      <c r="C1040" t="s">
        <v>4</v>
      </c>
      <c r="D1040">
        <v>41472.17</v>
      </c>
      <c r="E1040">
        <v>35977.69</v>
      </c>
      <c r="F1040">
        <v>151.85</v>
      </c>
      <c r="G1040">
        <v>615</v>
      </c>
      <c r="H1040">
        <f>E1040*1000000/D1040</f>
        <v>867514.04616638098</v>
      </c>
      <c r="I1040" t="str">
        <f>IF(AND(B1040&gt;=2018, B1040&lt;=2021), "2018-2021", IF(AND(B1040&gt;=2022, B1040&lt;=2024), "2022-2024", "Other"))</f>
        <v>2022-2024</v>
      </c>
    </row>
    <row r="1041" spans="1:9" x14ac:dyDescent="0.3">
      <c r="A1041" t="s">
        <v>23</v>
      </c>
      <c r="B1041">
        <v>2022</v>
      </c>
      <c r="C1041" t="s">
        <v>0</v>
      </c>
      <c r="D1041">
        <v>9297.42</v>
      </c>
      <c r="E1041">
        <v>8204.09</v>
      </c>
      <c r="F1041">
        <v>185.11</v>
      </c>
      <c r="G1041">
        <v>63.16</v>
      </c>
      <c r="H1041">
        <f>E1041*1000000/D1041</f>
        <v>882405.01128269988</v>
      </c>
      <c r="I1041" t="str">
        <f>IF(AND(B1041&gt;=2018, B1041&lt;=2021), "2018-2021", IF(AND(B1041&gt;=2022, B1041&lt;=2024), "2022-2024", "Other"))</f>
        <v>2022-2024</v>
      </c>
    </row>
    <row r="1042" spans="1:9" x14ac:dyDescent="0.3">
      <c r="A1042" t="s">
        <v>7</v>
      </c>
      <c r="B1042">
        <v>2018</v>
      </c>
      <c r="C1042" t="s">
        <v>8</v>
      </c>
      <c r="D1042">
        <v>10632.45</v>
      </c>
      <c r="E1042">
        <v>9498.7099999999991</v>
      </c>
      <c r="F1042">
        <v>141.97999999999999</v>
      </c>
      <c r="G1042">
        <v>124.1</v>
      </c>
      <c r="H1042">
        <f>E1042*1000000/D1042</f>
        <v>893369.82539301843</v>
      </c>
      <c r="I1042" t="str">
        <f>IF(AND(B1042&gt;=2018, B1042&lt;=2021), "2018-2021", IF(AND(B1042&gt;=2022, B1042&lt;=2024), "2022-2024", "Other"))</f>
        <v>2018-2021</v>
      </c>
    </row>
    <row r="1043" spans="1:9" x14ac:dyDescent="0.3">
      <c r="A1043" t="s">
        <v>24</v>
      </c>
      <c r="B1043">
        <v>2020</v>
      </c>
      <c r="C1043" t="s">
        <v>8</v>
      </c>
      <c r="D1043">
        <v>32068.51</v>
      </c>
      <c r="E1043">
        <v>30062.400000000001</v>
      </c>
      <c r="F1043">
        <v>165.92</v>
      </c>
      <c r="G1043">
        <v>976.11</v>
      </c>
      <c r="H1043">
        <f>E1043*1000000/D1043</f>
        <v>937442.99314187036</v>
      </c>
      <c r="I1043" t="str">
        <f>IF(AND(B1043&gt;=2018, B1043&lt;=2021), "2018-2021", IF(AND(B1043&gt;=2022, B1043&lt;=2024), "2022-2024", "Other"))</f>
        <v>2018-2021</v>
      </c>
    </row>
    <row r="1044" spans="1:9" x14ac:dyDescent="0.3">
      <c r="A1044" t="s">
        <v>21</v>
      </c>
      <c r="B1044">
        <v>2020</v>
      </c>
      <c r="C1044" t="s">
        <v>2</v>
      </c>
      <c r="D1044">
        <v>49889.66</v>
      </c>
      <c r="E1044">
        <v>44810.879999999997</v>
      </c>
      <c r="F1044">
        <v>133</v>
      </c>
      <c r="G1044">
        <v>845.55</v>
      </c>
      <c r="H1044">
        <f>E1044*1000000/D1044</f>
        <v>898199.74720212561</v>
      </c>
      <c r="I1044" t="str">
        <f>IF(AND(B1044&gt;=2018, B1044&lt;=2021), "2018-2021", IF(AND(B1044&gt;=2022, B1044&lt;=2024), "2022-2024", "Other"))</f>
        <v>2018-2021</v>
      </c>
    </row>
    <row r="1045" spans="1:9" x14ac:dyDescent="0.3">
      <c r="A1045" t="s">
        <v>13</v>
      </c>
      <c r="B1045">
        <v>2022</v>
      </c>
      <c r="C1045" t="s">
        <v>2</v>
      </c>
      <c r="D1045">
        <v>15774.47</v>
      </c>
      <c r="E1045">
        <v>15802.45</v>
      </c>
      <c r="F1045">
        <v>175.73</v>
      </c>
      <c r="G1045">
        <v>1024.4100000000001</v>
      </c>
      <c r="H1045">
        <f>E1045*1000000/D1045</f>
        <v>1001773.75214508</v>
      </c>
      <c r="I1045" t="str">
        <f>IF(AND(B1045&gt;=2018, B1045&lt;=2021), "2018-2021", IF(AND(B1045&gt;=2022, B1045&lt;=2024), "2022-2024", "Other"))</f>
        <v>2022-2024</v>
      </c>
    </row>
    <row r="1046" spans="1:9" x14ac:dyDescent="0.3">
      <c r="A1046" t="s">
        <v>22</v>
      </c>
      <c r="B1046">
        <v>2020</v>
      </c>
      <c r="C1046" t="s">
        <v>4</v>
      </c>
      <c r="D1046">
        <v>22518.03</v>
      </c>
      <c r="E1046">
        <v>19261.939999999999</v>
      </c>
      <c r="F1046">
        <v>61.51</v>
      </c>
      <c r="G1046">
        <v>995.2</v>
      </c>
      <c r="H1046">
        <f>E1046*1000000/D1046</f>
        <v>855400.7610790109</v>
      </c>
      <c r="I1046" t="str">
        <f>IF(AND(B1046&gt;=2018, B1046&lt;=2021), "2018-2021", IF(AND(B1046&gt;=2022, B1046&lt;=2024), "2022-2024", "Other"))</f>
        <v>2018-2021</v>
      </c>
    </row>
    <row r="1047" spans="1:9" x14ac:dyDescent="0.3">
      <c r="A1047" t="s">
        <v>17</v>
      </c>
      <c r="B1047">
        <v>2019</v>
      </c>
      <c r="C1047" t="s">
        <v>12</v>
      </c>
      <c r="D1047">
        <v>41480.75</v>
      </c>
      <c r="E1047">
        <v>48148.62</v>
      </c>
      <c r="F1047">
        <v>193.84</v>
      </c>
      <c r="G1047">
        <v>487.25</v>
      </c>
      <c r="H1047">
        <f>E1047*1000000/D1047</f>
        <v>1160746.129228618</v>
      </c>
      <c r="I1047" t="str">
        <f>IF(AND(B1047&gt;=2018, B1047&lt;=2021), "2018-2021", IF(AND(B1047&gt;=2022, B1047&lt;=2024), "2022-2024", "Other"))</f>
        <v>2018-2021</v>
      </c>
    </row>
    <row r="1048" spans="1:9" x14ac:dyDescent="0.3">
      <c r="A1048" t="s">
        <v>16</v>
      </c>
      <c r="B1048">
        <v>2019</v>
      </c>
      <c r="C1048" t="s">
        <v>6</v>
      </c>
      <c r="D1048">
        <v>39733.300000000003</v>
      </c>
      <c r="E1048">
        <v>45838.23</v>
      </c>
      <c r="F1048">
        <v>100.5</v>
      </c>
      <c r="G1048">
        <v>900.96</v>
      </c>
      <c r="H1048">
        <f>E1048*1000000/D1048</f>
        <v>1153647.6960131677</v>
      </c>
      <c r="I1048" t="str">
        <f>IF(AND(B1048&gt;=2018, B1048&lt;=2021), "2018-2021", IF(AND(B1048&gt;=2022, B1048&lt;=2024), "2022-2024", "Other"))</f>
        <v>2018-2021</v>
      </c>
    </row>
    <row r="1049" spans="1:9" x14ac:dyDescent="0.3">
      <c r="A1049" t="s">
        <v>23</v>
      </c>
      <c r="B1049">
        <v>2020</v>
      </c>
      <c r="C1049" t="s">
        <v>6</v>
      </c>
      <c r="D1049">
        <v>31158.61</v>
      </c>
      <c r="E1049">
        <v>27947.03</v>
      </c>
      <c r="F1049">
        <v>54.36</v>
      </c>
      <c r="G1049">
        <v>1311.48</v>
      </c>
      <c r="H1049">
        <f>E1049*1000000/D1049</f>
        <v>896928.00802089693</v>
      </c>
      <c r="I1049" t="str">
        <f>IF(AND(B1049&gt;=2018, B1049&lt;=2021), "2018-2021", IF(AND(B1049&gt;=2022, B1049&lt;=2024), "2022-2024", "Other"))</f>
        <v>2018-2021</v>
      </c>
    </row>
    <row r="1050" spans="1:9" x14ac:dyDescent="0.3">
      <c r="A1050" t="s">
        <v>10</v>
      </c>
      <c r="B1050">
        <v>2024</v>
      </c>
      <c r="C1050" t="s">
        <v>4</v>
      </c>
      <c r="D1050">
        <v>17844.400000000001</v>
      </c>
      <c r="E1050">
        <v>14300.73</v>
      </c>
      <c r="F1050">
        <v>77.12</v>
      </c>
      <c r="G1050">
        <v>1234.5</v>
      </c>
      <c r="H1050">
        <f>E1050*1000000/D1050</f>
        <v>801412.76815135276</v>
      </c>
      <c r="I1050" t="str">
        <f>IF(AND(B1050&gt;=2018, B1050&lt;=2021), "2018-2021", IF(AND(B1050&gt;=2022, B1050&lt;=2024), "2022-2024", "Other"))</f>
        <v>2022-2024</v>
      </c>
    </row>
    <row r="1051" spans="1:9" x14ac:dyDescent="0.3">
      <c r="A1051" t="s">
        <v>7</v>
      </c>
      <c r="B1051">
        <v>2021</v>
      </c>
      <c r="C1051" t="s">
        <v>9</v>
      </c>
      <c r="D1051">
        <v>1692.54</v>
      </c>
      <c r="E1051">
        <v>1448.29</v>
      </c>
      <c r="F1051">
        <v>185.96</v>
      </c>
      <c r="G1051">
        <v>709.14</v>
      </c>
      <c r="H1051">
        <f>E1051*1000000/D1051</f>
        <v>855690.26433644106</v>
      </c>
      <c r="I1051" t="str">
        <f>IF(AND(B1051&gt;=2018, B1051&lt;=2021), "2018-2021", IF(AND(B1051&gt;=2022, B1051&lt;=2024), "2022-2024", "Other"))</f>
        <v>2018-2021</v>
      </c>
    </row>
    <row r="1052" spans="1:9" x14ac:dyDescent="0.3">
      <c r="A1052" t="s">
        <v>22</v>
      </c>
      <c r="B1052">
        <v>2020</v>
      </c>
      <c r="C1052" t="s">
        <v>6</v>
      </c>
      <c r="D1052">
        <v>45437.919999999998</v>
      </c>
      <c r="E1052">
        <v>48138.04</v>
      </c>
      <c r="F1052">
        <v>93.1</v>
      </c>
      <c r="G1052">
        <v>862.88</v>
      </c>
      <c r="H1052">
        <f>E1052*1000000/D1052</f>
        <v>1059424.3750594219</v>
      </c>
      <c r="I1052" t="str">
        <f>IF(AND(B1052&gt;=2018, B1052&lt;=2021), "2018-2021", IF(AND(B1052&gt;=2022, B1052&lt;=2024), "2022-2024", "Other"))</f>
        <v>2018-2021</v>
      </c>
    </row>
    <row r="1053" spans="1:9" x14ac:dyDescent="0.3">
      <c r="A1053" t="s">
        <v>26</v>
      </c>
      <c r="B1053">
        <v>2021</v>
      </c>
      <c r="C1053" t="s">
        <v>9</v>
      </c>
      <c r="D1053">
        <v>39673.800000000003</v>
      </c>
      <c r="E1053">
        <v>40251.01</v>
      </c>
      <c r="F1053">
        <v>79.33</v>
      </c>
      <c r="G1053">
        <v>796.52</v>
      </c>
      <c r="H1053">
        <f>E1053*1000000/D1053</f>
        <v>1014548.8962489098</v>
      </c>
      <c r="I1053" t="str">
        <f>IF(AND(B1053&gt;=2018, B1053&lt;=2021), "2018-2021", IF(AND(B1053&gt;=2022, B1053&lt;=2024), "2022-2024", "Other"))</f>
        <v>2018-2021</v>
      </c>
    </row>
    <row r="1054" spans="1:9" x14ac:dyDescent="0.3">
      <c r="A1054" t="s">
        <v>20</v>
      </c>
      <c r="B1054">
        <v>2018</v>
      </c>
      <c r="C1054" t="s">
        <v>6</v>
      </c>
      <c r="D1054">
        <v>29800.32</v>
      </c>
      <c r="E1054">
        <v>26749.98</v>
      </c>
      <c r="F1054">
        <v>115.49</v>
      </c>
      <c r="G1054">
        <v>1134.6099999999999</v>
      </c>
      <c r="H1054">
        <f>E1054*1000000/D1054</f>
        <v>897640.6964757425</v>
      </c>
      <c r="I1054" t="str">
        <f>IF(AND(B1054&gt;=2018, B1054&lt;=2021), "2018-2021", IF(AND(B1054&gt;=2022, B1054&lt;=2024), "2022-2024", "Other"))</f>
        <v>2018-2021</v>
      </c>
    </row>
    <row r="1055" spans="1:9" x14ac:dyDescent="0.3">
      <c r="A1055" t="s">
        <v>25</v>
      </c>
      <c r="B1055">
        <v>2021</v>
      </c>
      <c r="C1055" t="s">
        <v>8</v>
      </c>
      <c r="D1055">
        <v>21702.46</v>
      </c>
      <c r="E1055">
        <v>20170.87</v>
      </c>
      <c r="F1055">
        <v>155.54</v>
      </c>
      <c r="G1055">
        <v>1236.53</v>
      </c>
      <c r="H1055">
        <f>E1055*1000000/D1055</f>
        <v>929427.81601717044</v>
      </c>
      <c r="I1055" t="str">
        <f>IF(AND(B1055&gt;=2018, B1055&lt;=2021), "2018-2021", IF(AND(B1055&gt;=2022, B1055&lt;=2024), "2022-2024", "Other"))</f>
        <v>2018-2021</v>
      </c>
    </row>
    <row r="1056" spans="1:9" x14ac:dyDescent="0.3">
      <c r="A1056" t="s">
        <v>21</v>
      </c>
      <c r="B1056">
        <v>2024</v>
      </c>
      <c r="C1056" t="s">
        <v>12</v>
      </c>
      <c r="D1056">
        <v>37037.129999999997</v>
      </c>
      <c r="E1056">
        <v>37620.57</v>
      </c>
      <c r="F1056">
        <v>26.79</v>
      </c>
      <c r="G1056">
        <v>101.88</v>
      </c>
      <c r="H1056">
        <f>E1056*1000000/D1056</f>
        <v>1015752.8404603705</v>
      </c>
      <c r="I1056" t="str">
        <f>IF(AND(B1056&gt;=2018, B1056&lt;=2021), "2018-2021", IF(AND(B1056&gt;=2022, B1056&lt;=2024), "2022-2024", "Other"))</f>
        <v>2022-2024</v>
      </c>
    </row>
    <row r="1057" spans="1:9" x14ac:dyDescent="0.3">
      <c r="A1057" t="s">
        <v>7</v>
      </c>
      <c r="B1057">
        <v>2023</v>
      </c>
      <c r="C1057" t="s">
        <v>12</v>
      </c>
      <c r="D1057">
        <v>21279.19</v>
      </c>
      <c r="E1057">
        <v>22604.89</v>
      </c>
      <c r="F1057">
        <v>160.58000000000001</v>
      </c>
      <c r="G1057">
        <v>362.46</v>
      </c>
      <c r="H1057">
        <f>E1057*1000000/D1057</f>
        <v>1062300.3037239669</v>
      </c>
      <c r="I1057" t="str">
        <f>IF(AND(B1057&gt;=2018, B1057&lt;=2021), "2018-2021", IF(AND(B1057&gt;=2022, B1057&lt;=2024), "2022-2024", "Other"))</f>
        <v>2022-2024</v>
      </c>
    </row>
    <row r="1058" spans="1:9" x14ac:dyDescent="0.3">
      <c r="A1058" t="s">
        <v>10</v>
      </c>
      <c r="B1058">
        <v>2022</v>
      </c>
      <c r="C1058" t="s">
        <v>4</v>
      </c>
      <c r="D1058">
        <v>10858.33</v>
      </c>
      <c r="E1058">
        <v>11545.39</v>
      </c>
      <c r="F1058">
        <v>167.61</v>
      </c>
      <c r="G1058">
        <v>1338.74</v>
      </c>
      <c r="H1058">
        <f>E1058*1000000/D1058</f>
        <v>1063274.9234919182</v>
      </c>
      <c r="I1058" t="str">
        <f>IF(AND(B1058&gt;=2018, B1058&lt;=2021), "2018-2021", IF(AND(B1058&gt;=2022, B1058&lt;=2024), "2022-2024", "Other"))</f>
        <v>2022-2024</v>
      </c>
    </row>
    <row r="1059" spans="1:9" x14ac:dyDescent="0.3">
      <c r="A1059" t="s">
        <v>20</v>
      </c>
      <c r="B1059">
        <v>2024</v>
      </c>
      <c r="C1059" t="s">
        <v>2</v>
      </c>
      <c r="D1059">
        <v>35367.51</v>
      </c>
      <c r="E1059">
        <v>35898.89</v>
      </c>
      <c r="F1059">
        <v>47.67</v>
      </c>
      <c r="G1059">
        <v>686.95</v>
      </c>
      <c r="H1059">
        <f>E1059*1000000/D1059</f>
        <v>1015024.5239204003</v>
      </c>
      <c r="I1059" t="str">
        <f>IF(AND(B1059&gt;=2018, B1059&lt;=2021), "2018-2021", IF(AND(B1059&gt;=2022, B1059&lt;=2024), "2022-2024", "Other"))</f>
        <v>2022-2024</v>
      </c>
    </row>
    <row r="1060" spans="1:9" x14ac:dyDescent="0.3">
      <c r="A1060" t="s">
        <v>16</v>
      </c>
      <c r="B1060">
        <v>2019</v>
      </c>
      <c r="C1060" t="s">
        <v>14</v>
      </c>
      <c r="D1060">
        <v>41606.199999999997</v>
      </c>
      <c r="E1060">
        <v>41819.33</v>
      </c>
      <c r="F1060">
        <v>44.52</v>
      </c>
      <c r="G1060">
        <v>462.16</v>
      </c>
      <c r="H1060">
        <f>E1060*1000000/D1060</f>
        <v>1005122.5538501474</v>
      </c>
      <c r="I1060" t="str">
        <f>IF(AND(B1060&gt;=2018, B1060&lt;=2021), "2018-2021", IF(AND(B1060&gt;=2022, B1060&lt;=2024), "2022-2024", "Other"))</f>
        <v>2018-2021</v>
      </c>
    </row>
    <row r="1061" spans="1:9" x14ac:dyDescent="0.3">
      <c r="A1061" t="s">
        <v>27</v>
      </c>
      <c r="B1061">
        <v>2020</v>
      </c>
      <c r="C1061" t="s">
        <v>2</v>
      </c>
      <c r="D1061">
        <v>5791.28</v>
      </c>
      <c r="E1061">
        <v>6210.37</v>
      </c>
      <c r="F1061">
        <v>78.099999999999994</v>
      </c>
      <c r="G1061">
        <v>668.48</v>
      </c>
      <c r="H1061">
        <f>E1061*1000000/D1061</f>
        <v>1072365.6946305481</v>
      </c>
      <c r="I1061" t="str">
        <f>IF(AND(B1061&gt;=2018, B1061&lt;=2021), "2018-2021", IF(AND(B1061&gt;=2022, B1061&lt;=2024), "2022-2024", "Other"))</f>
        <v>2018-2021</v>
      </c>
    </row>
    <row r="1062" spans="1:9" x14ac:dyDescent="0.3">
      <c r="A1062" t="s">
        <v>7</v>
      </c>
      <c r="B1062">
        <v>2020</v>
      </c>
      <c r="C1062" t="s">
        <v>4</v>
      </c>
      <c r="D1062">
        <v>1562.07</v>
      </c>
      <c r="E1062">
        <v>1350.58</v>
      </c>
      <c r="F1062">
        <v>131.13999999999999</v>
      </c>
      <c r="G1062">
        <v>95.66</v>
      </c>
      <c r="H1062">
        <f>E1062*1000000/D1062</f>
        <v>864609.14043544792</v>
      </c>
      <c r="I1062" t="str">
        <f>IF(AND(B1062&gt;=2018, B1062&lt;=2021), "2018-2021", IF(AND(B1062&gt;=2022, B1062&lt;=2024), "2022-2024", "Other"))</f>
        <v>2018-2021</v>
      </c>
    </row>
    <row r="1063" spans="1:9" x14ac:dyDescent="0.3">
      <c r="A1063" t="s">
        <v>13</v>
      </c>
      <c r="B1063">
        <v>2021</v>
      </c>
      <c r="C1063" t="s">
        <v>0</v>
      </c>
      <c r="D1063">
        <v>10641.86</v>
      </c>
      <c r="E1063">
        <v>11210.1</v>
      </c>
      <c r="F1063">
        <v>172.14</v>
      </c>
      <c r="G1063">
        <v>377.24</v>
      </c>
      <c r="H1063">
        <f>E1063*1000000/D1063</f>
        <v>1053396.6806554492</v>
      </c>
      <c r="I1063" t="str">
        <f>IF(AND(B1063&gt;=2018, B1063&lt;=2021), "2018-2021", IF(AND(B1063&gt;=2022, B1063&lt;=2024), "2022-2024", "Other"))</f>
        <v>2018-2021</v>
      </c>
    </row>
    <row r="1064" spans="1:9" x14ac:dyDescent="0.3">
      <c r="A1064" t="s">
        <v>26</v>
      </c>
      <c r="B1064">
        <v>2018</v>
      </c>
      <c r="C1064" t="s">
        <v>2</v>
      </c>
      <c r="D1064">
        <v>20985.41</v>
      </c>
      <c r="E1064">
        <v>17724.53</v>
      </c>
      <c r="F1064">
        <v>103.4</v>
      </c>
      <c r="G1064">
        <v>724.74</v>
      </c>
      <c r="H1064">
        <f>E1064*1000000/D1064</f>
        <v>844612.04236657755</v>
      </c>
      <c r="I1064" t="str">
        <f>IF(AND(B1064&gt;=2018, B1064&lt;=2021), "2018-2021", IF(AND(B1064&gt;=2022, B1064&lt;=2024), "2022-2024", "Other"))</f>
        <v>2018-2021</v>
      </c>
    </row>
    <row r="1065" spans="1:9" x14ac:dyDescent="0.3">
      <c r="A1065" t="s">
        <v>10</v>
      </c>
      <c r="B1065">
        <v>2023</v>
      </c>
      <c r="C1065" t="s">
        <v>14</v>
      </c>
      <c r="D1065">
        <v>20877.009999999998</v>
      </c>
      <c r="E1065">
        <v>22489.55</v>
      </c>
      <c r="F1065">
        <v>83.03</v>
      </c>
      <c r="G1065">
        <v>786.66</v>
      </c>
      <c r="H1065">
        <f>E1065*1000000/D1065</f>
        <v>1077239.9879101461</v>
      </c>
      <c r="I1065" t="str">
        <f>IF(AND(B1065&gt;=2018, B1065&lt;=2021), "2018-2021", IF(AND(B1065&gt;=2022, B1065&lt;=2024), "2022-2024", "Other"))</f>
        <v>2022-2024</v>
      </c>
    </row>
    <row r="1066" spans="1:9" x14ac:dyDescent="0.3">
      <c r="A1066" t="s">
        <v>19</v>
      </c>
      <c r="B1066">
        <v>2021</v>
      </c>
      <c r="C1066" t="s">
        <v>4</v>
      </c>
      <c r="D1066">
        <v>37061.96</v>
      </c>
      <c r="E1066">
        <v>39742.980000000003</v>
      </c>
      <c r="F1066">
        <v>156.63</v>
      </c>
      <c r="G1066">
        <v>961.64</v>
      </c>
      <c r="H1066">
        <f>E1066*1000000/D1066</f>
        <v>1072338.8617331625</v>
      </c>
      <c r="I1066" t="str">
        <f>IF(AND(B1066&gt;=2018, B1066&lt;=2021), "2018-2021", IF(AND(B1066&gt;=2022, B1066&lt;=2024), "2022-2024", "Other"))</f>
        <v>2018-2021</v>
      </c>
    </row>
    <row r="1067" spans="1:9" x14ac:dyDescent="0.3">
      <c r="A1067" t="s">
        <v>21</v>
      </c>
      <c r="B1067">
        <v>2018</v>
      </c>
      <c r="C1067" t="s">
        <v>2</v>
      </c>
      <c r="D1067">
        <v>40365.61</v>
      </c>
      <c r="E1067">
        <v>41840.239999999998</v>
      </c>
      <c r="F1067">
        <v>188.93</v>
      </c>
      <c r="G1067">
        <v>81.87</v>
      </c>
      <c r="H1067">
        <f>E1067*1000000/D1067</f>
        <v>1036531.8398508037</v>
      </c>
      <c r="I1067" t="str">
        <f>IF(AND(B1067&gt;=2018, B1067&lt;=2021), "2018-2021", IF(AND(B1067&gt;=2022, B1067&lt;=2024), "2022-2024", "Other"))</f>
        <v>2018-2021</v>
      </c>
    </row>
    <row r="1068" spans="1:9" x14ac:dyDescent="0.3">
      <c r="A1068" t="s">
        <v>20</v>
      </c>
      <c r="B1068">
        <v>2023</v>
      </c>
      <c r="C1068" t="s">
        <v>6</v>
      </c>
      <c r="D1068">
        <v>44053.48</v>
      </c>
      <c r="E1068">
        <v>44075.72</v>
      </c>
      <c r="F1068">
        <v>33.340000000000003</v>
      </c>
      <c r="G1068">
        <v>1388.68</v>
      </c>
      <c r="H1068">
        <f>E1068*1000000/D1068</f>
        <v>1000504.8409342462</v>
      </c>
      <c r="I1068" t="str">
        <f>IF(AND(B1068&gt;=2018, B1068&lt;=2021), "2018-2021", IF(AND(B1068&gt;=2022, B1068&lt;=2024), "2022-2024", "Other"))</f>
        <v>2022-2024</v>
      </c>
    </row>
    <row r="1069" spans="1:9" x14ac:dyDescent="0.3">
      <c r="A1069" t="s">
        <v>21</v>
      </c>
      <c r="B1069">
        <v>2019</v>
      </c>
      <c r="C1069" t="s">
        <v>9</v>
      </c>
      <c r="D1069">
        <v>12416.76</v>
      </c>
      <c r="E1069">
        <v>14595.25</v>
      </c>
      <c r="F1069">
        <v>40.72</v>
      </c>
      <c r="G1069">
        <v>926.2</v>
      </c>
      <c r="H1069">
        <f>E1069*1000000/D1069</f>
        <v>1175447.5402601</v>
      </c>
      <c r="I1069" t="str">
        <f>IF(AND(B1069&gt;=2018, B1069&lt;=2021), "2018-2021", IF(AND(B1069&gt;=2022, B1069&lt;=2024), "2022-2024", "Other"))</f>
        <v>2018-2021</v>
      </c>
    </row>
    <row r="1070" spans="1:9" x14ac:dyDescent="0.3">
      <c r="A1070" t="s">
        <v>23</v>
      </c>
      <c r="B1070">
        <v>2024</v>
      </c>
      <c r="C1070" t="s">
        <v>4</v>
      </c>
      <c r="D1070">
        <v>18123.509999999998</v>
      </c>
      <c r="E1070">
        <v>20935.21</v>
      </c>
      <c r="F1070">
        <v>44.6</v>
      </c>
      <c r="G1070">
        <v>556.72</v>
      </c>
      <c r="H1070">
        <f>E1070*1000000/D1070</f>
        <v>1155141.0295246341</v>
      </c>
      <c r="I1070" t="str">
        <f>IF(AND(B1070&gt;=2018, B1070&lt;=2021), "2018-2021", IF(AND(B1070&gt;=2022, B1070&lt;=2024), "2022-2024", "Other"))</f>
        <v>2022-2024</v>
      </c>
    </row>
    <row r="1071" spans="1:9" x14ac:dyDescent="0.3">
      <c r="A1071" t="s">
        <v>10</v>
      </c>
      <c r="B1071">
        <v>2022</v>
      </c>
      <c r="C1071" t="s">
        <v>4</v>
      </c>
      <c r="D1071">
        <v>11038.81</v>
      </c>
      <c r="E1071">
        <v>11671.56</v>
      </c>
      <c r="F1071">
        <v>117.63</v>
      </c>
      <c r="G1071">
        <v>494.43</v>
      </c>
      <c r="H1071">
        <f>E1071*1000000/D1071</f>
        <v>1057320.4901615302</v>
      </c>
      <c r="I1071" t="str">
        <f>IF(AND(B1071&gt;=2018, B1071&lt;=2021), "2018-2021", IF(AND(B1071&gt;=2022, B1071&lt;=2024), "2022-2024", "Other"))</f>
        <v>2022-2024</v>
      </c>
    </row>
    <row r="1072" spans="1:9" x14ac:dyDescent="0.3">
      <c r="A1072" t="s">
        <v>22</v>
      </c>
      <c r="B1072">
        <v>2018</v>
      </c>
      <c r="C1072" t="s">
        <v>8</v>
      </c>
      <c r="D1072">
        <v>41812.39</v>
      </c>
      <c r="E1072">
        <v>46816.13</v>
      </c>
      <c r="F1072">
        <v>54.38</v>
      </c>
      <c r="G1072">
        <v>1160.97</v>
      </c>
      <c r="H1072">
        <f>E1072*1000000/D1072</f>
        <v>1119671.2266388026</v>
      </c>
      <c r="I1072" t="str">
        <f>IF(AND(B1072&gt;=2018, B1072&lt;=2021), "2018-2021", IF(AND(B1072&gt;=2022, B1072&lt;=2024), "2022-2024", "Other"))</f>
        <v>2018-2021</v>
      </c>
    </row>
    <row r="1073" spans="1:9" x14ac:dyDescent="0.3">
      <c r="A1073" t="s">
        <v>5</v>
      </c>
      <c r="B1073">
        <v>2019</v>
      </c>
      <c r="C1073" t="s">
        <v>14</v>
      </c>
      <c r="D1073">
        <v>23452.17</v>
      </c>
      <c r="E1073">
        <v>25246.16</v>
      </c>
      <c r="F1073">
        <v>134.02000000000001</v>
      </c>
      <c r="G1073">
        <v>473.94</v>
      </c>
      <c r="H1073">
        <f>E1073*1000000/D1073</f>
        <v>1076495.6931490775</v>
      </c>
      <c r="I1073" t="str">
        <f>IF(AND(B1073&gt;=2018, B1073&lt;=2021), "2018-2021", IF(AND(B1073&gt;=2022, B1073&lt;=2024), "2022-2024", "Other"))</f>
        <v>2018-2021</v>
      </c>
    </row>
    <row r="1074" spans="1:9" x14ac:dyDescent="0.3">
      <c r="A1074" t="s">
        <v>1</v>
      </c>
      <c r="B1074">
        <v>2024</v>
      </c>
      <c r="C1074" t="s">
        <v>9</v>
      </c>
      <c r="D1074">
        <v>33109.85</v>
      </c>
      <c r="E1074">
        <v>39031.620000000003</v>
      </c>
      <c r="F1074">
        <v>164.41</v>
      </c>
      <c r="G1074">
        <v>1151.56</v>
      </c>
      <c r="H1074">
        <f>E1074*1000000/D1074</f>
        <v>1178852.214673277</v>
      </c>
      <c r="I1074" t="str">
        <f>IF(AND(B1074&gt;=2018, B1074&lt;=2021), "2018-2021", IF(AND(B1074&gt;=2022, B1074&lt;=2024), "2022-2024", "Other"))</f>
        <v>2022-2024</v>
      </c>
    </row>
    <row r="1075" spans="1:9" x14ac:dyDescent="0.3">
      <c r="A1075" t="s">
        <v>21</v>
      </c>
      <c r="B1075">
        <v>2019</v>
      </c>
      <c r="C1075" t="s">
        <v>2</v>
      </c>
      <c r="D1075">
        <v>20628.73</v>
      </c>
      <c r="E1075">
        <v>19286.349999999999</v>
      </c>
      <c r="F1075">
        <v>141.78</v>
      </c>
      <c r="G1075">
        <v>1242.17</v>
      </c>
      <c r="H1075">
        <f>E1075*1000000/D1075</f>
        <v>934926.67750268686</v>
      </c>
      <c r="I1075" t="str">
        <f>IF(AND(B1075&gt;=2018, B1075&lt;=2021), "2018-2021", IF(AND(B1075&gt;=2022, B1075&lt;=2024), "2022-2024", "Other"))</f>
        <v>2018-2021</v>
      </c>
    </row>
    <row r="1076" spans="1:9" x14ac:dyDescent="0.3">
      <c r="A1076" t="s">
        <v>11</v>
      </c>
      <c r="B1076">
        <v>2021</v>
      </c>
      <c r="C1076" t="s">
        <v>4</v>
      </c>
      <c r="D1076">
        <v>14380.68</v>
      </c>
      <c r="E1076">
        <v>15473.8</v>
      </c>
      <c r="F1076">
        <v>113.4</v>
      </c>
      <c r="G1076">
        <v>307.45</v>
      </c>
      <c r="H1076">
        <f>E1076*1000000/D1076</f>
        <v>1076013.0953473689</v>
      </c>
      <c r="I1076" t="str">
        <f>IF(AND(B1076&gt;=2018, B1076&lt;=2021), "2018-2021", IF(AND(B1076&gt;=2022, B1076&lt;=2024), "2022-2024", "Other"))</f>
        <v>2018-2021</v>
      </c>
    </row>
    <row r="1077" spans="1:9" x14ac:dyDescent="0.3">
      <c r="A1077" t="s">
        <v>15</v>
      </c>
      <c r="B1077">
        <v>2020</v>
      </c>
      <c r="C1077" t="s">
        <v>6</v>
      </c>
      <c r="D1077">
        <v>13442.75</v>
      </c>
      <c r="E1077">
        <v>12803.26</v>
      </c>
      <c r="F1077">
        <v>183.72</v>
      </c>
      <c r="G1077">
        <v>770.14</v>
      </c>
      <c r="H1077">
        <f>E1077*1000000/D1077</f>
        <v>952428.63253426563</v>
      </c>
      <c r="I1077" t="str">
        <f>IF(AND(B1077&gt;=2018, B1077&lt;=2021), "2018-2021", IF(AND(B1077&gt;=2022, B1077&lt;=2024), "2022-2024", "Other"))</f>
        <v>2018-2021</v>
      </c>
    </row>
    <row r="1078" spans="1:9" x14ac:dyDescent="0.3">
      <c r="A1078" t="s">
        <v>13</v>
      </c>
      <c r="B1078">
        <v>2018</v>
      </c>
      <c r="C1078" t="s">
        <v>14</v>
      </c>
      <c r="D1078">
        <v>27893.67</v>
      </c>
      <c r="E1078">
        <v>33292.57</v>
      </c>
      <c r="F1078">
        <v>64.06</v>
      </c>
      <c r="G1078">
        <v>208.04</v>
      </c>
      <c r="H1078">
        <f>E1078*1000000/D1078</f>
        <v>1193552.8741825656</v>
      </c>
      <c r="I1078" t="str">
        <f>IF(AND(B1078&gt;=2018, B1078&lt;=2021), "2018-2021", IF(AND(B1078&gt;=2022, B1078&lt;=2024), "2022-2024", "Other"))</f>
        <v>2018-2021</v>
      </c>
    </row>
    <row r="1079" spans="1:9" x14ac:dyDescent="0.3">
      <c r="A1079" t="s">
        <v>7</v>
      </c>
      <c r="B1079">
        <v>2024</v>
      </c>
      <c r="C1079" t="s">
        <v>12</v>
      </c>
      <c r="D1079">
        <v>38628.78</v>
      </c>
      <c r="E1079">
        <v>39024.03</v>
      </c>
      <c r="F1079">
        <v>79.19</v>
      </c>
      <c r="G1079">
        <v>1067.24</v>
      </c>
      <c r="H1079">
        <f>E1079*1000000/D1079</f>
        <v>1010232.0083626767</v>
      </c>
      <c r="I1079" t="str">
        <f>IF(AND(B1079&gt;=2018, B1079&lt;=2021), "2018-2021", IF(AND(B1079&gt;=2022, B1079&lt;=2024), "2022-2024", "Other"))</f>
        <v>2022-2024</v>
      </c>
    </row>
    <row r="1080" spans="1:9" x14ac:dyDescent="0.3">
      <c r="A1080" t="s">
        <v>17</v>
      </c>
      <c r="B1080">
        <v>2023</v>
      </c>
      <c r="C1080" t="s">
        <v>0</v>
      </c>
      <c r="D1080">
        <v>39056.25</v>
      </c>
      <c r="E1080">
        <v>37705.58</v>
      </c>
      <c r="F1080">
        <v>156.16</v>
      </c>
      <c r="G1080">
        <v>338.01</v>
      </c>
      <c r="H1080">
        <f>E1080*1000000/D1080</f>
        <v>965417.31477036327</v>
      </c>
      <c r="I1080" t="str">
        <f>IF(AND(B1080&gt;=2018, B1080&lt;=2021), "2018-2021", IF(AND(B1080&gt;=2022, B1080&lt;=2024), "2022-2024", "Other"))</f>
        <v>2022-2024</v>
      </c>
    </row>
    <row r="1081" spans="1:9" x14ac:dyDescent="0.3">
      <c r="A1081" t="s">
        <v>18</v>
      </c>
      <c r="B1081">
        <v>2024</v>
      </c>
      <c r="C1081" t="s">
        <v>8</v>
      </c>
      <c r="D1081">
        <v>27207.95</v>
      </c>
      <c r="E1081">
        <v>27249.53</v>
      </c>
      <c r="F1081">
        <v>151.93</v>
      </c>
      <c r="G1081">
        <v>153.87</v>
      </c>
      <c r="H1081">
        <f>E1081*1000000/D1081</f>
        <v>1001528.2298004811</v>
      </c>
      <c r="I1081" t="str">
        <f>IF(AND(B1081&gt;=2018, B1081&lt;=2021), "2018-2021", IF(AND(B1081&gt;=2022, B1081&lt;=2024), "2022-2024", "Other"))</f>
        <v>2022-2024</v>
      </c>
    </row>
    <row r="1082" spans="1:9" x14ac:dyDescent="0.3">
      <c r="A1082" t="s">
        <v>1</v>
      </c>
      <c r="B1082">
        <v>2022</v>
      </c>
      <c r="C1082" t="s">
        <v>12</v>
      </c>
      <c r="D1082">
        <v>35777.370000000003</v>
      </c>
      <c r="E1082">
        <v>41960.35</v>
      </c>
      <c r="F1082">
        <v>101.92</v>
      </c>
      <c r="G1082">
        <v>690.45</v>
      </c>
      <c r="H1082">
        <f>E1082*1000000/D1082</f>
        <v>1172818.1808780243</v>
      </c>
      <c r="I1082" t="str">
        <f>IF(AND(B1082&gt;=2018, B1082&lt;=2021), "2018-2021", IF(AND(B1082&gt;=2022, B1082&lt;=2024), "2022-2024", "Other"))</f>
        <v>2022-2024</v>
      </c>
    </row>
    <row r="1083" spans="1:9" x14ac:dyDescent="0.3">
      <c r="A1083" t="s">
        <v>17</v>
      </c>
      <c r="B1083">
        <v>2019</v>
      </c>
      <c r="C1083" t="s">
        <v>8</v>
      </c>
      <c r="D1083">
        <v>33613.39</v>
      </c>
      <c r="E1083">
        <v>39214.03</v>
      </c>
      <c r="F1083">
        <v>83.4</v>
      </c>
      <c r="G1083">
        <v>913.2</v>
      </c>
      <c r="H1083">
        <f>E1083*1000000/D1083</f>
        <v>1166619.3145053207</v>
      </c>
      <c r="I1083" t="str">
        <f>IF(AND(B1083&gt;=2018, B1083&lt;=2021), "2018-2021", IF(AND(B1083&gt;=2022, B1083&lt;=2024), "2022-2024", "Other"))</f>
        <v>2018-2021</v>
      </c>
    </row>
    <row r="1084" spans="1:9" x14ac:dyDescent="0.3">
      <c r="A1084" t="s">
        <v>26</v>
      </c>
      <c r="B1084">
        <v>2022</v>
      </c>
      <c r="C1084" t="s">
        <v>0</v>
      </c>
      <c r="D1084">
        <v>25136.240000000002</v>
      </c>
      <c r="E1084">
        <v>23880.07</v>
      </c>
      <c r="F1084">
        <v>162.68</v>
      </c>
      <c r="G1084">
        <v>662.96</v>
      </c>
      <c r="H1084">
        <f>E1084*1000000/D1084</f>
        <v>950025.54081278655</v>
      </c>
      <c r="I1084" t="str">
        <f>IF(AND(B1084&gt;=2018, B1084&lt;=2021), "2018-2021", IF(AND(B1084&gt;=2022, B1084&lt;=2024), "2022-2024", "Other"))</f>
        <v>2022-2024</v>
      </c>
    </row>
    <row r="1085" spans="1:9" x14ac:dyDescent="0.3">
      <c r="A1085" t="s">
        <v>23</v>
      </c>
      <c r="B1085">
        <v>2023</v>
      </c>
      <c r="C1085" t="s">
        <v>14</v>
      </c>
      <c r="D1085">
        <v>45066.36</v>
      </c>
      <c r="E1085">
        <v>43571.49</v>
      </c>
      <c r="F1085">
        <v>198.87</v>
      </c>
      <c r="G1085">
        <v>376.17</v>
      </c>
      <c r="H1085">
        <f>E1085*1000000/D1085</f>
        <v>966829.58197644539</v>
      </c>
      <c r="I1085" t="str">
        <f>IF(AND(B1085&gt;=2018, B1085&lt;=2021), "2018-2021", IF(AND(B1085&gt;=2022, B1085&lt;=2024), "2022-2024", "Other"))</f>
        <v>2022-2024</v>
      </c>
    </row>
    <row r="1086" spans="1:9" x14ac:dyDescent="0.3">
      <c r="A1086" t="s">
        <v>15</v>
      </c>
      <c r="B1086">
        <v>2021</v>
      </c>
      <c r="C1086" t="s">
        <v>6</v>
      </c>
      <c r="D1086">
        <v>13639.74</v>
      </c>
      <c r="E1086">
        <v>13476.61</v>
      </c>
      <c r="F1086">
        <v>136.82</v>
      </c>
      <c r="G1086">
        <v>899.92</v>
      </c>
      <c r="H1086">
        <f>E1086*1000000/D1086</f>
        <v>988040.09460590896</v>
      </c>
      <c r="I1086" t="str">
        <f>IF(AND(B1086&gt;=2018, B1086&lt;=2021), "2018-2021", IF(AND(B1086&gt;=2022, B1086&lt;=2024), "2022-2024", "Other"))</f>
        <v>2018-2021</v>
      </c>
    </row>
    <row r="1087" spans="1:9" x14ac:dyDescent="0.3">
      <c r="A1087" t="s">
        <v>11</v>
      </c>
      <c r="B1087">
        <v>2018</v>
      </c>
      <c r="C1087" t="s">
        <v>14</v>
      </c>
      <c r="D1087">
        <v>2037.72</v>
      </c>
      <c r="E1087">
        <v>1638.94</v>
      </c>
      <c r="F1087">
        <v>122.26</v>
      </c>
      <c r="G1087">
        <v>773.89</v>
      </c>
      <c r="H1087">
        <f>E1087*1000000/D1087</f>
        <v>804300.88530318195</v>
      </c>
      <c r="I1087" t="str">
        <f>IF(AND(B1087&gt;=2018, B1087&lt;=2021), "2018-2021", IF(AND(B1087&gt;=2022, B1087&lt;=2024), "2022-2024", "Other"))</f>
        <v>2018-2021</v>
      </c>
    </row>
    <row r="1088" spans="1:9" x14ac:dyDescent="0.3">
      <c r="A1088" t="s">
        <v>21</v>
      </c>
      <c r="B1088">
        <v>2024</v>
      </c>
      <c r="C1088" t="s">
        <v>2</v>
      </c>
      <c r="D1088">
        <v>23393.96</v>
      </c>
      <c r="E1088">
        <v>24355.11</v>
      </c>
      <c r="F1088">
        <v>109.23</v>
      </c>
      <c r="G1088">
        <v>108.6</v>
      </c>
      <c r="H1088">
        <f>E1088*1000000/D1088</f>
        <v>1041085.3912719352</v>
      </c>
      <c r="I1088" t="str">
        <f>IF(AND(B1088&gt;=2018, B1088&lt;=2021), "2018-2021", IF(AND(B1088&gt;=2022, B1088&lt;=2024), "2022-2024", "Other"))</f>
        <v>2022-2024</v>
      </c>
    </row>
    <row r="1089" spans="1:9" x14ac:dyDescent="0.3">
      <c r="A1089" t="s">
        <v>26</v>
      </c>
      <c r="B1089">
        <v>2020</v>
      </c>
      <c r="C1089" t="s">
        <v>0</v>
      </c>
      <c r="D1089">
        <v>48587.3</v>
      </c>
      <c r="E1089">
        <v>50551.02</v>
      </c>
      <c r="F1089">
        <v>97.06</v>
      </c>
      <c r="G1089">
        <v>951.51</v>
      </c>
      <c r="H1089">
        <f>E1089*1000000/D1089</f>
        <v>1040416.3227839373</v>
      </c>
      <c r="I1089" t="str">
        <f>IF(AND(B1089&gt;=2018, B1089&lt;=2021), "2018-2021", IF(AND(B1089&gt;=2022, B1089&lt;=2024), "2022-2024", "Other"))</f>
        <v>2018-2021</v>
      </c>
    </row>
    <row r="1090" spans="1:9" x14ac:dyDescent="0.3">
      <c r="A1090" t="s">
        <v>7</v>
      </c>
      <c r="B1090">
        <v>2024</v>
      </c>
      <c r="C1090" t="s">
        <v>9</v>
      </c>
      <c r="D1090">
        <v>15863.75</v>
      </c>
      <c r="E1090">
        <v>14755.62</v>
      </c>
      <c r="F1090">
        <v>94.25</v>
      </c>
      <c r="G1090">
        <v>898.18</v>
      </c>
      <c r="H1090">
        <f>E1090*1000000/D1090</f>
        <v>930147.03333070676</v>
      </c>
      <c r="I1090" t="str">
        <f>IF(AND(B1090&gt;=2018, B1090&lt;=2021), "2018-2021", IF(AND(B1090&gt;=2022, B1090&lt;=2024), "2022-2024", "Other"))</f>
        <v>2022-2024</v>
      </c>
    </row>
    <row r="1091" spans="1:9" x14ac:dyDescent="0.3">
      <c r="A1091" t="s">
        <v>11</v>
      </c>
      <c r="B1091">
        <v>2024</v>
      </c>
      <c r="C1091" t="s">
        <v>8</v>
      </c>
      <c r="D1091">
        <v>44128.03</v>
      </c>
      <c r="E1091">
        <v>42983.4</v>
      </c>
      <c r="F1091">
        <v>50.66</v>
      </c>
      <c r="G1091">
        <v>992.53</v>
      </c>
      <c r="H1091">
        <f>E1091*1000000/D1091</f>
        <v>974061.15795334626</v>
      </c>
      <c r="I1091" t="str">
        <f>IF(AND(B1091&gt;=2018, B1091&lt;=2021), "2018-2021", IF(AND(B1091&gt;=2022, B1091&lt;=2024), "2022-2024", "Other"))</f>
        <v>2022-2024</v>
      </c>
    </row>
    <row r="1092" spans="1:9" x14ac:dyDescent="0.3">
      <c r="A1092" t="s">
        <v>16</v>
      </c>
      <c r="B1092">
        <v>2021</v>
      </c>
      <c r="C1092" t="s">
        <v>2</v>
      </c>
      <c r="D1092">
        <v>26268.93</v>
      </c>
      <c r="E1092">
        <v>30109.97</v>
      </c>
      <c r="F1092">
        <v>78.2</v>
      </c>
      <c r="G1092">
        <v>621.46</v>
      </c>
      <c r="H1092">
        <f>E1092*1000000/D1092</f>
        <v>1146219.8879055979</v>
      </c>
      <c r="I1092" t="str">
        <f>IF(AND(B1092&gt;=2018, B1092&lt;=2021), "2018-2021", IF(AND(B1092&gt;=2022, B1092&lt;=2024), "2022-2024", "Other"))</f>
        <v>2018-2021</v>
      </c>
    </row>
    <row r="1093" spans="1:9" x14ac:dyDescent="0.3">
      <c r="A1093" t="s">
        <v>18</v>
      </c>
      <c r="B1093">
        <v>2023</v>
      </c>
      <c r="C1093" t="s">
        <v>8</v>
      </c>
      <c r="D1093">
        <v>47791.81</v>
      </c>
      <c r="E1093">
        <v>47489.1</v>
      </c>
      <c r="F1093">
        <v>62.64</v>
      </c>
      <c r="G1093">
        <v>721.89</v>
      </c>
      <c r="H1093">
        <f>E1093*1000000/D1093</f>
        <v>993666.06956296496</v>
      </c>
      <c r="I1093" t="str">
        <f>IF(AND(B1093&gt;=2018, B1093&lt;=2021), "2018-2021", IF(AND(B1093&gt;=2022, B1093&lt;=2024), "2022-2024", "Other"))</f>
        <v>2022-2024</v>
      </c>
    </row>
    <row r="1094" spans="1:9" x14ac:dyDescent="0.3">
      <c r="A1094" t="s">
        <v>26</v>
      </c>
      <c r="B1094">
        <v>2019</v>
      </c>
      <c r="C1094" t="s">
        <v>8</v>
      </c>
      <c r="D1094">
        <v>14994.51</v>
      </c>
      <c r="E1094">
        <v>16037.43</v>
      </c>
      <c r="F1094">
        <v>93.43</v>
      </c>
      <c r="G1094">
        <v>187.34</v>
      </c>
      <c r="H1094">
        <f>E1094*1000000/D1094</f>
        <v>1069553.4565651028</v>
      </c>
      <c r="I1094" t="str">
        <f>IF(AND(B1094&gt;=2018, B1094&lt;=2021), "2018-2021", IF(AND(B1094&gt;=2022, B1094&lt;=2024), "2022-2024", "Other"))</f>
        <v>2018-2021</v>
      </c>
    </row>
    <row r="1095" spans="1:9" x14ac:dyDescent="0.3">
      <c r="A1095" t="s">
        <v>11</v>
      </c>
      <c r="B1095">
        <v>2024</v>
      </c>
      <c r="C1095" t="s">
        <v>0</v>
      </c>
      <c r="D1095">
        <v>15262.77</v>
      </c>
      <c r="E1095">
        <v>14992.95</v>
      </c>
      <c r="F1095">
        <v>190.44</v>
      </c>
      <c r="G1095">
        <v>1284.0999999999999</v>
      </c>
      <c r="H1095">
        <f>E1095*1000000/D1095</f>
        <v>982321.68865808763</v>
      </c>
      <c r="I1095" t="str">
        <f>IF(AND(B1095&gt;=2018, B1095&lt;=2021), "2018-2021", IF(AND(B1095&gt;=2022, B1095&lt;=2024), "2022-2024", "Other"))</f>
        <v>2022-2024</v>
      </c>
    </row>
    <row r="1096" spans="1:9" x14ac:dyDescent="0.3">
      <c r="A1096" t="s">
        <v>26</v>
      </c>
      <c r="B1096">
        <v>2024</v>
      </c>
      <c r="C1096" t="s">
        <v>4</v>
      </c>
      <c r="D1096">
        <v>45746.48</v>
      </c>
      <c r="E1096">
        <v>52728.75</v>
      </c>
      <c r="F1096">
        <v>75.63</v>
      </c>
      <c r="G1096">
        <v>311.69</v>
      </c>
      <c r="H1096">
        <f>E1096*1000000/D1096</f>
        <v>1152629.6668071509</v>
      </c>
      <c r="I1096" t="str">
        <f>IF(AND(B1096&gt;=2018, B1096&lt;=2021), "2018-2021", IF(AND(B1096&gt;=2022, B1096&lt;=2024), "2022-2024", "Other"))</f>
        <v>2022-2024</v>
      </c>
    </row>
    <row r="1097" spans="1:9" x14ac:dyDescent="0.3">
      <c r="A1097" t="s">
        <v>10</v>
      </c>
      <c r="B1097">
        <v>2020</v>
      </c>
      <c r="C1097" t="s">
        <v>6</v>
      </c>
      <c r="D1097">
        <v>44256.46</v>
      </c>
      <c r="E1097">
        <v>43115.91</v>
      </c>
      <c r="F1097">
        <v>197.67</v>
      </c>
      <c r="G1097">
        <v>47.78</v>
      </c>
      <c r="H1097">
        <f>E1097*1000000/D1097</f>
        <v>974228.62108718138</v>
      </c>
      <c r="I1097" t="str">
        <f>IF(AND(B1097&gt;=2018, B1097&lt;=2021), "2018-2021", IF(AND(B1097&gt;=2022, B1097&lt;=2024), "2022-2024", "Other"))</f>
        <v>2018-2021</v>
      </c>
    </row>
    <row r="1098" spans="1:9" x14ac:dyDescent="0.3">
      <c r="A1098" t="s">
        <v>26</v>
      </c>
      <c r="B1098">
        <v>2018</v>
      </c>
      <c r="C1098" t="s">
        <v>9</v>
      </c>
      <c r="D1098">
        <v>46669.86</v>
      </c>
      <c r="E1098">
        <v>51765.4</v>
      </c>
      <c r="F1098">
        <v>20.85</v>
      </c>
      <c r="G1098">
        <v>724.49</v>
      </c>
      <c r="H1098">
        <f>E1098*1000000/D1098</f>
        <v>1109182.6716428977</v>
      </c>
      <c r="I1098" t="str">
        <f>IF(AND(B1098&gt;=2018, B1098&lt;=2021), "2018-2021", IF(AND(B1098&gt;=2022, B1098&lt;=2024), "2022-2024", "Other"))</f>
        <v>2018-2021</v>
      </c>
    </row>
    <row r="1099" spans="1:9" x14ac:dyDescent="0.3">
      <c r="A1099" t="s">
        <v>18</v>
      </c>
      <c r="B1099">
        <v>2022</v>
      </c>
      <c r="C1099" t="s">
        <v>9</v>
      </c>
      <c r="D1099">
        <v>4987.5600000000004</v>
      </c>
      <c r="E1099">
        <v>4933.79</v>
      </c>
      <c r="F1099">
        <v>144.57</v>
      </c>
      <c r="G1099">
        <v>459.48</v>
      </c>
      <c r="H1099">
        <f>E1099*1000000/D1099</f>
        <v>989219.17731315503</v>
      </c>
      <c r="I1099" t="str">
        <f>IF(AND(B1099&gt;=2018, B1099&lt;=2021), "2018-2021", IF(AND(B1099&gt;=2022, B1099&lt;=2024), "2022-2024", "Other"))</f>
        <v>2022-2024</v>
      </c>
    </row>
    <row r="1100" spans="1:9" x14ac:dyDescent="0.3">
      <c r="A1100" t="s">
        <v>11</v>
      </c>
      <c r="B1100">
        <v>2023</v>
      </c>
      <c r="C1100" t="s">
        <v>0</v>
      </c>
      <c r="D1100">
        <v>24515.74</v>
      </c>
      <c r="E1100">
        <v>28891.78</v>
      </c>
      <c r="F1100">
        <v>150.78</v>
      </c>
      <c r="G1100">
        <v>514.75</v>
      </c>
      <c r="H1100">
        <f>E1100*1000000/D1100</f>
        <v>1178499.2009215304</v>
      </c>
      <c r="I1100" t="str">
        <f>IF(AND(B1100&gt;=2018, B1100&lt;=2021), "2018-2021", IF(AND(B1100&gt;=2022, B1100&lt;=2024), "2022-2024", "Other"))</f>
        <v>2022-2024</v>
      </c>
    </row>
    <row r="1101" spans="1:9" x14ac:dyDescent="0.3">
      <c r="A1101" t="s">
        <v>24</v>
      </c>
      <c r="B1101">
        <v>2018</v>
      </c>
      <c r="C1101" t="s">
        <v>8</v>
      </c>
      <c r="D1101">
        <v>25406.19</v>
      </c>
      <c r="E1101">
        <v>23066.9</v>
      </c>
      <c r="F1101">
        <v>85.49</v>
      </c>
      <c r="G1101">
        <v>513.48</v>
      </c>
      <c r="H1101">
        <f>E1101*1000000/D1101</f>
        <v>907924.40739835449</v>
      </c>
      <c r="I1101" t="str">
        <f>IF(AND(B1101&gt;=2018, B1101&lt;=2021), "2018-2021", IF(AND(B1101&gt;=2022, B1101&lt;=2024), "2022-2024", "Other"))</f>
        <v>2018-2021</v>
      </c>
    </row>
    <row r="1102" spans="1:9" x14ac:dyDescent="0.3">
      <c r="A1102" t="s">
        <v>27</v>
      </c>
      <c r="B1102">
        <v>2019</v>
      </c>
      <c r="C1102" t="s">
        <v>14</v>
      </c>
      <c r="D1102">
        <v>36269.089999999997</v>
      </c>
      <c r="E1102">
        <v>36585.01</v>
      </c>
      <c r="F1102">
        <v>106.24</v>
      </c>
      <c r="G1102">
        <v>1033.53</v>
      </c>
      <c r="H1102">
        <f>E1102*1000000/D1102</f>
        <v>1008710.4473809517</v>
      </c>
      <c r="I1102" t="str">
        <f>IF(AND(B1102&gt;=2018, B1102&lt;=2021), "2018-2021", IF(AND(B1102&gt;=2022, B1102&lt;=2024), "2022-2024", "Other"))</f>
        <v>2018-2021</v>
      </c>
    </row>
    <row r="1103" spans="1:9" x14ac:dyDescent="0.3">
      <c r="A1103" t="s">
        <v>27</v>
      </c>
      <c r="B1103">
        <v>2020</v>
      </c>
      <c r="C1103" t="s">
        <v>9</v>
      </c>
      <c r="D1103">
        <v>28400.85</v>
      </c>
      <c r="E1103">
        <v>25628.63</v>
      </c>
      <c r="F1103">
        <v>148.97</v>
      </c>
      <c r="G1103">
        <v>72.19</v>
      </c>
      <c r="H1103">
        <f>E1103*1000000/D1103</f>
        <v>902389.54115809919</v>
      </c>
      <c r="I1103" t="str">
        <f>IF(AND(B1103&gt;=2018, B1103&lt;=2021), "2018-2021", IF(AND(B1103&gt;=2022, B1103&lt;=2024), "2022-2024", "Other"))</f>
        <v>2018-2021</v>
      </c>
    </row>
    <row r="1104" spans="1:9" x14ac:dyDescent="0.3">
      <c r="A1104" t="s">
        <v>24</v>
      </c>
      <c r="B1104">
        <v>2020</v>
      </c>
      <c r="C1104" t="s">
        <v>4</v>
      </c>
      <c r="D1104">
        <v>39391.769999999997</v>
      </c>
      <c r="E1104">
        <v>46155.48</v>
      </c>
      <c r="F1104">
        <v>117.33</v>
      </c>
      <c r="G1104">
        <v>1364.5</v>
      </c>
      <c r="H1104">
        <f>E1104*1000000/D1104</f>
        <v>1171703.6325100397</v>
      </c>
      <c r="I1104" t="str">
        <f>IF(AND(B1104&gt;=2018, B1104&lt;=2021), "2018-2021", IF(AND(B1104&gt;=2022, B1104&lt;=2024), "2022-2024", "Other"))</f>
        <v>2018-2021</v>
      </c>
    </row>
    <row r="1105" spans="1:9" x14ac:dyDescent="0.3">
      <c r="A1105" t="s">
        <v>27</v>
      </c>
      <c r="B1105">
        <v>2019</v>
      </c>
      <c r="C1105" t="s">
        <v>14</v>
      </c>
      <c r="D1105">
        <v>46537.2</v>
      </c>
      <c r="E1105">
        <v>54095.34</v>
      </c>
      <c r="F1105">
        <v>71.02</v>
      </c>
      <c r="G1105">
        <v>164</v>
      </c>
      <c r="H1105">
        <f>E1105*1000000/D1105</f>
        <v>1162410.7165880201</v>
      </c>
      <c r="I1105" t="str">
        <f>IF(AND(B1105&gt;=2018, B1105&lt;=2021), "2018-2021", IF(AND(B1105&gt;=2022, B1105&lt;=2024), "2022-2024", "Other"))</f>
        <v>2018-2021</v>
      </c>
    </row>
    <row r="1106" spans="1:9" x14ac:dyDescent="0.3">
      <c r="A1106" t="s">
        <v>22</v>
      </c>
      <c r="B1106">
        <v>2023</v>
      </c>
      <c r="C1106" t="s">
        <v>14</v>
      </c>
      <c r="D1106">
        <v>9784.34</v>
      </c>
      <c r="E1106">
        <v>10088.25</v>
      </c>
      <c r="F1106">
        <v>43.8</v>
      </c>
      <c r="G1106">
        <v>201.24</v>
      </c>
      <c r="H1106">
        <f>E1106*1000000/D1106</f>
        <v>1031060.8584738469</v>
      </c>
      <c r="I1106" t="str">
        <f>IF(AND(B1106&gt;=2018, B1106&lt;=2021), "2018-2021", IF(AND(B1106&gt;=2022, B1106&lt;=2024), "2022-2024", "Other"))</f>
        <v>2022-2024</v>
      </c>
    </row>
    <row r="1107" spans="1:9" x14ac:dyDescent="0.3">
      <c r="A1107" t="s">
        <v>3</v>
      </c>
      <c r="B1107">
        <v>2020</v>
      </c>
      <c r="C1107" t="s">
        <v>0</v>
      </c>
      <c r="D1107">
        <v>18268.34</v>
      </c>
      <c r="E1107">
        <v>19207.28</v>
      </c>
      <c r="F1107">
        <v>80.37</v>
      </c>
      <c r="G1107">
        <v>118.97</v>
      </c>
      <c r="H1107">
        <f>E1107*1000000/D1107</f>
        <v>1051397.1165415139</v>
      </c>
      <c r="I1107" t="str">
        <f>IF(AND(B1107&gt;=2018, B1107&lt;=2021), "2018-2021", IF(AND(B1107&gt;=2022, B1107&lt;=2024), "2022-2024", "Other"))</f>
        <v>2018-2021</v>
      </c>
    </row>
    <row r="1108" spans="1:9" x14ac:dyDescent="0.3">
      <c r="A1108" t="s">
        <v>25</v>
      </c>
      <c r="B1108">
        <v>2020</v>
      </c>
      <c r="C1108" t="s">
        <v>8</v>
      </c>
      <c r="D1108">
        <v>29742.34</v>
      </c>
      <c r="E1108">
        <v>32808.629999999997</v>
      </c>
      <c r="F1108">
        <v>128.84</v>
      </c>
      <c r="G1108">
        <v>456.26</v>
      </c>
      <c r="H1108">
        <f>E1108*1000000/D1108</f>
        <v>1103095.1162551432</v>
      </c>
      <c r="I1108" t="str">
        <f>IF(AND(B1108&gt;=2018, B1108&lt;=2021), "2018-2021", IF(AND(B1108&gt;=2022, B1108&lt;=2024), "2022-2024", "Other"))</f>
        <v>2018-2021</v>
      </c>
    </row>
    <row r="1109" spans="1:9" x14ac:dyDescent="0.3">
      <c r="A1109" t="s">
        <v>11</v>
      </c>
      <c r="B1109">
        <v>2019</v>
      </c>
      <c r="C1109" t="s">
        <v>8</v>
      </c>
      <c r="D1109">
        <v>44080.31</v>
      </c>
      <c r="E1109">
        <v>47663.040000000001</v>
      </c>
      <c r="F1109">
        <v>191.1</v>
      </c>
      <c r="G1109">
        <v>789.92</v>
      </c>
      <c r="H1109">
        <f>E1109*1000000/D1109</f>
        <v>1081277.332214769</v>
      </c>
      <c r="I1109" t="str">
        <f>IF(AND(B1109&gt;=2018, B1109&lt;=2021), "2018-2021", IF(AND(B1109&gt;=2022, B1109&lt;=2024), "2022-2024", "Other"))</f>
        <v>2018-2021</v>
      </c>
    </row>
    <row r="1110" spans="1:9" x14ac:dyDescent="0.3">
      <c r="A1110" t="s">
        <v>3</v>
      </c>
      <c r="B1110">
        <v>2024</v>
      </c>
      <c r="C1110" t="s">
        <v>6</v>
      </c>
      <c r="D1110">
        <v>43312.69</v>
      </c>
      <c r="E1110">
        <v>36537.57</v>
      </c>
      <c r="F1110">
        <v>125</v>
      </c>
      <c r="G1110">
        <v>275.27999999999997</v>
      </c>
      <c r="H1110">
        <f>E1110*1000000/D1110</f>
        <v>843576.55920239538</v>
      </c>
      <c r="I1110" t="str">
        <f>IF(AND(B1110&gt;=2018, B1110&lt;=2021), "2018-2021", IF(AND(B1110&gt;=2022, B1110&lt;=2024), "2022-2024", "Other"))</f>
        <v>2022-2024</v>
      </c>
    </row>
    <row r="1111" spans="1:9" x14ac:dyDescent="0.3">
      <c r="A1111" t="s">
        <v>7</v>
      </c>
      <c r="B1111">
        <v>2019</v>
      </c>
      <c r="C1111" t="s">
        <v>12</v>
      </c>
      <c r="D1111">
        <v>49686.06</v>
      </c>
      <c r="E1111">
        <v>52016.480000000003</v>
      </c>
      <c r="F1111">
        <v>59.91</v>
      </c>
      <c r="G1111">
        <v>363.46</v>
      </c>
      <c r="H1111">
        <f>E1111*1000000/D1111</f>
        <v>1046902.8938901576</v>
      </c>
      <c r="I1111" t="str">
        <f>IF(AND(B1111&gt;=2018, B1111&lt;=2021), "2018-2021", IF(AND(B1111&gt;=2022, B1111&lt;=2024), "2022-2024", "Other"))</f>
        <v>2018-2021</v>
      </c>
    </row>
    <row r="1112" spans="1:9" x14ac:dyDescent="0.3">
      <c r="A1112" t="s">
        <v>17</v>
      </c>
      <c r="B1112">
        <v>2022</v>
      </c>
      <c r="C1112" t="s">
        <v>2</v>
      </c>
      <c r="D1112">
        <v>506.76</v>
      </c>
      <c r="E1112">
        <v>489.15</v>
      </c>
      <c r="F1112">
        <v>149.12</v>
      </c>
      <c r="G1112">
        <v>569</v>
      </c>
      <c r="H1112">
        <f>E1112*1000000/D1112</f>
        <v>965249.82240113663</v>
      </c>
      <c r="I1112" t="str">
        <f>IF(AND(B1112&gt;=2018, B1112&lt;=2021), "2018-2021", IF(AND(B1112&gt;=2022, B1112&lt;=2024), "2022-2024", "Other"))</f>
        <v>2022-2024</v>
      </c>
    </row>
    <row r="1113" spans="1:9" x14ac:dyDescent="0.3">
      <c r="A1113" t="s">
        <v>26</v>
      </c>
      <c r="B1113">
        <v>2019</v>
      </c>
      <c r="C1113" t="s">
        <v>2</v>
      </c>
      <c r="D1113">
        <v>27203.4</v>
      </c>
      <c r="E1113">
        <v>22480.38</v>
      </c>
      <c r="F1113">
        <v>144.08000000000001</v>
      </c>
      <c r="G1113">
        <v>1248.5899999999999</v>
      </c>
      <c r="H1113">
        <f>E1113*1000000/D1113</f>
        <v>826381.26116588362</v>
      </c>
      <c r="I1113" t="str">
        <f>IF(AND(B1113&gt;=2018, B1113&lt;=2021), "2018-2021", IF(AND(B1113&gt;=2022, B1113&lt;=2024), "2022-2024", "Other"))</f>
        <v>2018-2021</v>
      </c>
    </row>
    <row r="1114" spans="1:9" x14ac:dyDescent="0.3">
      <c r="A1114" t="s">
        <v>7</v>
      </c>
      <c r="B1114">
        <v>2024</v>
      </c>
      <c r="C1114" t="s">
        <v>8</v>
      </c>
      <c r="D1114">
        <v>20707.63</v>
      </c>
      <c r="E1114">
        <v>22686.73</v>
      </c>
      <c r="F1114">
        <v>165.69</v>
      </c>
      <c r="G1114">
        <v>1269.47</v>
      </c>
      <c r="H1114">
        <f>E1114*1000000/D1114</f>
        <v>1095573.4673644449</v>
      </c>
      <c r="I1114" t="str">
        <f>IF(AND(B1114&gt;=2018, B1114&lt;=2021), "2018-2021", IF(AND(B1114&gt;=2022, B1114&lt;=2024), "2022-2024", "Other"))</f>
        <v>2022-2024</v>
      </c>
    </row>
    <row r="1115" spans="1:9" x14ac:dyDescent="0.3">
      <c r="A1115" t="s">
        <v>21</v>
      </c>
      <c r="B1115">
        <v>2020</v>
      </c>
      <c r="C1115" t="s">
        <v>8</v>
      </c>
      <c r="D1115">
        <v>3823.19</v>
      </c>
      <c r="E1115">
        <v>3899.25</v>
      </c>
      <c r="F1115">
        <v>75.290000000000006</v>
      </c>
      <c r="G1115">
        <v>477.68</v>
      </c>
      <c r="H1115">
        <f>E1115*1000000/D1115</f>
        <v>1019894.3813935483</v>
      </c>
      <c r="I1115" t="str">
        <f>IF(AND(B1115&gt;=2018, B1115&lt;=2021), "2018-2021", IF(AND(B1115&gt;=2022, B1115&lt;=2024), "2022-2024", "Other"))</f>
        <v>2018-2021</v>
      </c>
    </row>
    <row r="1116" spans="1:9" x14ac:dyDescent="0.3">
      <c r="A1116" t="s">
        <v>25</v>
      </c>
      <c r="B1116">
        <v>2022</v>
      </c>
      <c r="C1116" t="s">
        <v>8</v>
      </c>
      <c r="D1116">
        <v>8699.68</v>
      </c>
      <c r="E1116">
        <v>8021.62</v>
      </c>
      <c r="F1116">
        <v>44.52</v>
      </c>
      <c r="G1116">
        <v>760.48</v>
      </c>
      <c r="H1116">
        <f>E1116*1000000/D1116</f>
        <v>922059.20217755134</v>
      </c>
      <c r="I1116" t="str">
        <f>IF(AND(B1116&gt;=2018, B1116&lt;=2021), "2018-2021", IF(AND(B1116&gt;=2022, B1116&lt;=2024), "2022-2024", "Other"))</f>
        <v>2022-2024</v>
      </c>
    </row>
    <row r="1117" spans="1:9" x14ac:dyDescent="0.3">
      <c r="A1117" t="s">
        <v>13</v>
      </c>
      <c r="B1117">
        <v>2023</v>
      </c>
      <c r="C1117" t="s">
        <v>6</v>
      </c>
      <c r="D1117">
        <v>3605.46</v>
      </c>
      <c r="E1117">
        <v>4044.41</v>
      </c>
      <c r="F1117">
        <v>45.06</v>
      </c>
      <c r="G1117">
        <v>485.01</v>
      </c>
      <c r="H1117">
        <f>E1117*1000000/D1117</f>
        <v>1121745.907595702</v>
      </c>
      <c r="I1117" t="str">
        <f>IF(AND(B1117&gt;=2018, B1117&lt;=2021), "2018-2021", IF(AND(B1117&gt;=2022, B1117&lt;=2024), "2022-2024", "Other"))</f>
        <v>2022-2024</v>
      </c>
    </row>
    <row r="1118" spans="1:9" x14ac:dyDescent="0.3">
      <c r="A1118" t="s">
        <v>7</v>
      </c>
      <c r="B1118">
        <v>2020</v>
      </c>
      <c r="C1118" t="s">
        <v>12</v>
      </c>
      <c r="D1118">
        <v>20714.29</v>
      </c>
      <c r="E1118">
        <v>18866.53</v>
      </c>
      <c r="F1118">
        <v>33.299999999999997</v>
      </c>
      <c r="G1118">
        <v>1197.6099999999999</v>
      </c>
      <c r="H1118">
        <f>E1118*1000000/D1118</f>
        <v>910797.81155907339</v>
      </c>
      <c r="I1118" t="str">
        <f>IF(AND(B1118&gt;=2018, B1118&lt;=2021), "2018-2021", IF(AND(B1118&gt;=2022, B1118&lt;=2024), "2022-2024", "Other"))</f>
        <v>2018-2021</v>
      </c>
    </row>
    <row r="1119" spans="1:9" x14ac:dyDescent="0.3">
      <c r="A1119" t="s">
        <v>15</v>
      </c>
      <c r="B1119">
        <v>2018</v>
      </c>
      <c r="C1119" t="s">
        <v>0</v>
      </c>
      <c r="D1119">
        <v>42064.33</v>
      </c>
      <c r="E1119">
        <v>49659</v>
      </c>
      <c r="F1119">
        <v>77.099999999999994</v>
      </c>
      <c r="G1119">
        <v>736.15</v>
      </c>
      <c r="H1119">
        <f>E1119*1000000/D1119</f>
        <v>1180548.935404415</v>
      </c>
      <c r="I1119" t="str">
        <f>IF(AND(B1119&gt;=2018, B1119&lt;=2021), "2018-2021", IF(AND(B1119&gt;=2022, B1119&lt;=2024), "2022-2024", "Other"))</f>
        <v>2018-2021</v>
      </c>
    </row>
    <row r="1120" spans="1:9" x14ac:dyDescent="0.3">
      <c r="A1120" t="s">
        <v>23</v>
      </c>
      <c r="B1120">
        <v>2020</v>
      </c>
      <c r="C1120" t="s">
        <v>0</v>
      </c>
      <c r="D1120">
        <v>32115.200000000001</v>
      </c>
      <c r="E1120">
        <v>30832.53</v>
      </c>
      <c r="F1120">
        <v>109.72</v>
      </c>
      <c r="G1120">
        <v>505.72</v>
      </c>
      <c r="H1120">
        <f>E1120*1000000/D1120</f>
        <v>960060.34525707446</v>
      </c>
      <c r="I1120" t="str">
        <f>IF(AND(B1120&gt;=2018, B1120&lt;=2021), "2018-2021", IF(AND(B1120&gt;=2022, B1120&lt;=2024), "2022-2024", "Other"))</f>
        <v>2018-2021</v>
      </c>
    </row>
    <row r="1121" spans="1:9" x14ac:dyDescent="0.3">
      <c r="A1121" t="s">
        <v>18</v>
      </c>
      <c r="B1121">
        <v>2018</v>
      </c>
      <c r="C1121" t="s">
        <v>9</v>
      </c>
      <c r="D1121">
        <v>11715.38</v>
      </c>
      <c r="E1121">
        <v>11968.61</v>
      </c>
      <c r="F1121">
        <v>176.68</v>
      </c>
      <c r="G1121">
        <v>220.04</v>
      </c>
      <c r="H1121">
        <f>E1121*1000000/D1121</f>
        <v>1021615.1759481981</v>
      </c>
      <c r="I1121" t="str">
        <f>IF(AND(B1121&gt;=2018, B1121&lt;=2021), "2018-2021", IF(AND(B1121&gt;=2022, B1121&lt;=2024), "2022-2024", "Other"))</f>
        <v>2018-2021</v>
      </c>
    </row>
    <row r="1122" spans="1:9" x14ac:dyDescent="0.3">
      <c r="A1122" t="s">
        <v>23</v>
      </c>
      <c r="B1122">
        <v>2019</v>
      </c>
      <c r="C1122" t="s">
        <v>14</v>
      </c>
      <c r="D1122">
        <v>2135.08</v>
      </c>
      <c r="E1122">
        <v>1776.23</v>
      </c>
      <c r="F1122">
        <v>69.37</v>
      </c>
      <c r="G1122">
        <v>330.04</v>
      </c>
      <c r="H1122">
        <f>E1122*1000000/D1122</f>
        <v>831926.67253686045</v>
      </c>
      <c r="I1122" t="str">
        <f>IF(AND(B1122&gt;=2018, B1122&lt;=2021), "2018-2021", IF(AND(B1122&gt;=2022, B1122&lt;=2024), "2022-2024", "Other"))</f>
        <v>2018-2021</v>
      </c>
    </row>
    <row r="1123" spans="1:9" x14ac:dyDescent="0.3">
      <c r="A1123" t="s">
        <v>1</v>
      </c>
      <c r="B1123">
        <v>2018</v>
      </c>
      <c r="C1123" t="s">
        <v>6</v>
      </c>
      <c r="D1123">
        <v>19421.900000000001</v>
      </c>
      <c r="E1123">
        <v>17445.45</v>
      </c>
      <c r="F1123">
        <v>111.15</v>
      </c>
      <c r="G1123">
        <v>128.27000000000001</v>
      </c>
      <c r="H1123">
        <f>E1123*1000000/D1123</f>
        <v>898236.01192468288</v>
      </c>
      <c r="I1123" t="str">
        <f>IF(AND(B1123&gt;=2018, B1123&lt;=2021), "2018-2021", IF(AND(B1123&gt;=2022, B1123&lt;=2024), "2022-2024", "Other"))</f>
        <v>2018-2021</v>
      </c>
    </row>
    <row r="1124" spans="1:9" x14ac:dyDescent="0.3">
      <c r="A1124" t="s">
        <v>18</v>
      </c>
      <c r="B1124">
        <v>2024</v>
      </c>
      <c r="C1124" t="s">
        <v>6</v>
      </c>
      <c r="D1124">
        <v>29820.2</v>
      </c>
      <c r="E1124">
        <v>30839.88</v>
      </c>
      <c r="F1124">
        <v>93.78</v>
      </c>
      <c r="G1124">
        <v>76.33</v>
      </c>
      <c r="H1124">
        <f>E1124*1000000/D1124</f>
        <v>1034194.2709975117</v>
      </c>
      <c r="I1124" t="str">
        <f>IF(AND(B1124&gt;=2018, B1124&lt;=2021), "2018-2021", IF(AND(B1124&gt;=2022, B1124&lt;=2024), "2022-2024", "Other"))</f>
        <v>2022-2024</v>
      </c>
    </row>
    <row r="1125" spans="1:9" x14ac:dyDescent="0.3">
      <c r="A1125" t="s">
        <v>27</v>
      </c>
      <c r="B1125">
        <v>2020</v>
      </c>
      <c r="C1125" t="s">
        <v>14</v>
      </c>
      <c r="D1125">
        <v>8609.98</v>
      </c>
      <c r="E1125">
        <v>7648.11</v>
      </c>
      <c r="F1125">
        <v>94.45</v>
      </c>
      <c r="G1125">
        <v>578.26</v>
      </c>
      <c r="H1125">
        <f>E1125*1000000/D1125</f>
        <v>888284.29334330629</v>
      </c>
      <c r="I1125" t="str">
        <f>IF(AND(B1125&gt;=2018, B1125&lt;=2021), "2018-2021", IF(AND(B1125&gt;=2022, B1125&lt;=2024), "2022-2024", "Other"))</f>
        <v>2018-2021</v>
      </c>
    </row>
    <row r="1126" spans="1:9" x14ac:dyDescent="0.3">
      <c r="A1126" t="s">
        <v>17</v>
      </c>
      <c r="B1126">
        <v>2021</v>
      </c>
      <c r="C1126" t="s">
        <v>0</v>
      </c>
      <c r="D1126">
        <v>30491</v>
      </c>
      <c r="E1126">
        <v>28714.080000000002</v>
      </c>
      <c r="F1126">
        <v>75.760000000000005</v>
      </c>
      <c r="G1126">
        <v>574.66999999999996</v>
      </c>
      <c r="H1126">
        <f>E1126*1000000/D1126</f>
        <v>941723.13141582767</v>
      </c>
      <c r="I1126" t="str">
        <f>IF(AND(B1126&gt;=2018, B1126&lt;=2021), "2018-2021", IF(AND(B1126&gt;=2022, B1126&lt;=2024), "2022-2024", "Other"))</f>
        <v>2018-2021</v>
      </c>
    </row>
    <row r="1127" spans="1:9" x14ac:dyDescent="0.3">
      <c r="A1127" t="s">
        <v>27</v>
      </c>
      <c r="B1127">
        <v>2020</v>
      </c>
      <c r="C1127" t="s">
        <v>0</v>
      </c>
      <c r="D1127">
        <v>15541.27</v>
      </c>
      <c r="E1127">
        <v>14218.52</v>
      </c>
      <c r="F1127">
        <v>190.16</v>
      </c>
      <c r="G1127">
        <v>538.98</v>
      </c>
      <c r="H1127">
        <f>E1127*1000000/D1127</f>
        <v>914887.90813106007</v>
      </c>
      <c r="I1127" t="str">
        <f>IF(AND(B1127&gt;=2018, B1127&lt;=2021), "2018-2021", IF(AND(B1127&gt;=2022, B1127&lt;=2024), "2022-2024", "Other"))</f>
        <v>2018-2021</v>
      </c>
    </row>
    <row r="1128" spans="1:9" x14ac:dyDescent="0.3">
      <c r="A1128" t="s">
        <v>22</v>
      </c>
      <c r="B1128">
        <v>2021</v>
      </c>
      <c r="C1128" t="s">
        <v>0</v>
      </c>
      <c r="D1128">
        <v>41832.89</v>
      </c>
      <c r="E1128">
        <v>34209.760000000002</v>
      </c>
      <c r="F1128">
        <v>185.19</v>
      </c>
      <c r="G1128">
        <v>694.63</v>
      </c>
      <c r="H1128">
        <f>E1128*1000000/D1128</f>
        <v>817771.85367781203</v>
      </c>
      <c r="I1128" t="str">
        <f>IF(AND(B1128&gt;=2018, B1128&lt;=2021), "2018-2021", IF(AND(B1128&gt;=2022, B1128&lt;=2024), "2022-2024", "Other"))</f>
        <v>2018-2021</v>
      </c>
    </row>
    <row r="1129" spans="1:9" x14ac:dyDescent="0.3">
      <c r="A1129" t="s">
        <v>23</v>
      </c>
      <c r="B1129">
        <v>2023</v>
      </c>
      <c r="C1129" t="s">
        <v>2</v>
      </c>
      <c r="D1129">
        <v>12867.49</v>
      </c>
      <c r="E1129">
        <v>11675.71</v>
      </c>
      <c r="F1129">
        <v>143.76</v>
      </c>
      <c r="G1129">
        <v>1362.94</v>
      </c>
      <c r="H1129">
        <f>E1129*1000000/D1129</f>
        <v>907380.53808473912</v>
      </c>
      <c r="I1129" t="str">
        <f>IF(AND(B1129&gt;=2018, B1129&lt;=2021), "2018-2021", IF(AND(B1129&gt;=2022, B1129&lt;=2024), "2022-2024", "Other"))</f>
        <v>2022-2024</v>
      </c>
    </row>
    <row r="1130" spans="1:9" x14ac:dyDescent="0.3">
      <c r="A1130" t="s">
        <v>24</v>
      </c>
      <c r="B1130">
        <v>2019</v>
      </c>
      <c r="C1130" t="s">
        <v>4</v>
      </c>
      <c r="D1130">
        <v>37194.78</v>
      </c>
      <c r="E1130">
        <v>43703.78</v>
      </c>
      <c r="F1130">
        <v>68.81</v>
      </c>
      <c r="G1130">
        <v>775.2</v>
      </c>
      <c r="H1130">
        <f>E1130*1000000/D1130</f>
        <v>1174997.6744048493</v>
      </c>
      <c r="I1130" t="str">
        <f>IF(AND(B1130&gt;=2018, B1130&lt;=2021), "2018-2021", IF(AND(B1130&gt;=2022, B1130&lt;=2024), "2022-2024", "Other"))</f>
        <v>2018-2021</v>
      </c>
    </row>
    <row r="1131" spans="1:9" x14ac:dyDescent="0.3">
      <c r="A1131" t="s">
        <v>24</v>
      </c>
      <c r="B1131">
        <v>2019</v>
      </c>
      <c r="C1131" t="s">
        <v>9</v>
      </c>
      <c r="D1131">
        <v>3993.22</v>
      </c>
      <c r="E1131">
        <v>3454.43</v>
      </c>
      <c r="F1131">
        <v>151.18</v>
      </c>
      <c r="G1131">
        <v>157.71</v>
      </c>
      <c r="H1131">
        <f>E1131*1000000/D1131</f>
        <v>865073.80009115452</v>
      </c>
      <c r="I1131" t="str">
        <f>IF(AND(B1131&gt;=2018, B1131&lt;=2021), "2018-2021", IF(AND(B1131&gt;=2022, B1131&lt;=2024), "2022-2024", "Other"))</f>
        <v>2018-2021</v>
      </c>
    </row>
    <row r="1132" spans="1:9" x14ac:dyDescent="0.3">
      <c r="A1132" t="s">
        <v>16</v>
      </c>
      <c r="B1132">
        <v>2021</v>
      </c>
      <c r="C1132" t="s">
        <v>14</v>
      </c>
      <c r="D1132">
        <v>31182.53</v>
      </c>
      <c r="E1132">
        <v>31161.02</v>
      </c>
      <c r="F1132">
        <v>183.17</v>
      </c>
      <c r="G1132">
        <v>133.34</v>
      </c>
      <c r="H1132">
        <f>E1132*1000000/D1132</f>
        <v>999310.19067407295</v>
      </c>
      <c r="I1132" t="str">
        <f>IF(AND(B1132&gt;=2018, B1132&lt;=2021), "2018-2021", IF(AND(B1132&gt;=2022, B1132&lt;=2024), "2022-2024", "Other"))</f>
        <v>2018-2021</v>
      </c>
    </row>
    <row r="1133" spans="1:9" x14ac:dyDescent="0.3">
      <c r="A1133" t="s">
        <v>25</v>
      </c>
      <c r="B1133">
        <v>2024</v>
      </c>
      <c r="C1133" t="s">
        <v>6</v>
      </c>
      <c r="D1133">
        <v>35856.35</v>
      </c>
      <c r="E1133">
        <v>42291.85</v>
      </c>
      <c r="F1133">
        <v>177.24</v>
      </c>
      <c r="G1133">
        <v>989.02</v>
      </c>
      <c r="H1133">
        <f>E1133*1000000/D1133</f>
        <v>1179480.0642006227</v>
      </c>
      <c r="I1133" t="str">
        <f>IF(AND(B1133&gt;=2018, B1133&lt;=2021), "2018-2021", IF(AND(B1133&gt;=2022, B1133&lt;=2024), "2022-2024", "Other"))</f>
        <v>2022-2024</v>
      </c>
    </row>
    <row r="1134" spans="1:9" x14ac:dyDescent="0.3">
      <c r="A1134" t="s">
        <v>27</v>
      </c>
      <c r="B1134">
        <v>2020</v>
      </c>
      <c r="C1134" t="s">
        <v>9</v>
      </c>
      <c r="D1134">
        <v>10405.43</v>
      </c>
      <c r="E1134">
        <v>9767.52</v>
      </c>
      <c r="F1134">
        <v>186.44</v>
      </c>
      <c r="G1134">
        <v>349.28</v>
      </c>
      <c r="H1134">
        <f>E1134*1000000/D1134</f>
        <v>938694.50854025257</v>
      </c>
      <c r="I1134" t="str">
        <f>IF(AND(B1134&gt;=2018, B1134&lt;=2021), "2018-2021", IF(AND(B1134&gt;=2022, B1134&lt;=2024), "2022-2024", "Other"))</f>
        <v>2018-2021</v>
      </c>
    </row>
    <row r="1135" spans="1:9" x14ac:dyDescent="0.3">
      <c r="A1135" t="s">
        <v>16</v>
      </c>
      <c r="B1135">
        <v>2021</v>
      </c>
      <c r="C1135" t="s">
        <v>14</v>
      </c>
      <c r="D1135">
        <v>7672.5</v>
      </c>
      <c r="E1135">
        <v>7663.77</v>
      </c>
      <c r="F1135">
        <v>32.770000000000003</v>
      </c>
      <c r="G1135">
        <v>1010.83</v>
      </c>
      <c r="H1135">
        <f>E1135*1000000/D1135</f>
        <v>998862.1700879765</v>
      </c>
      <c r="I1135" t="str">
        <f>IF(AND(B1135&gt;=2018, B1135&lt;=2021), "2018-2021", IF(AND(B1135&gt;=2022, B1135&lt;=2024), "2022-2024", "Other"))</f>
        <v>2018-2021</v>
      </c>
    </row>
    <row r="1136" spans="1:9" x14ac:dyDescent="0.3">
      <c r="A1136" t="s">
        <v>7</v>
      </c>
      <c r="B1136">
        <v>2023</v>
      </c>
      <c r="C1136" t="s">
        <v>2</v>
      </c>
      <c r="D1136">
        <v>37381.050000000003</v>
      </c>
      <c r="E1136">
        <v>43622.57</v>
      </c>
      <c r="F1136">
        <v>28.71</v>
      </c>
      <c r="G1136">
        <v>607</v>
      </c>
      <c r="H1136">
        <f>E1136*1000000/D1136</f>
        <v>1166970.1626893841</v>
      </c>
      <c r="I1136" t="str">
        <f>IF(AND(B1136&gt;=2018, B1136&lt;=2021), "2018-2021", IF(AND(B1136&gt;=2022, B1136&lt;=2024), "2022-2024", "Other"))</f>
        <v>2022-2024</v>
      </c>
    </row>
    <row r="1137" spans="1:9" x14ac:dyDescent="0.3">
      <c r="A1137" t="s">
        <v>16</v>
      </c>
      <c r="B1137">
        <v>2023</v>
      </c>
      <c r="C1137" t="s">
        <v>14</v>
      </c>
      <c r="D1137">
        <v>28851.4</v>
      </c>
      <c r="E1137">
        <v>25076.78</v>
      </c>
      <c r="F1137">
        <v>73.23</v>
      </c>
      <c r="G1137">
        <v>689.37</v>
      </c>
      <c r="H1137">
        <f>E1137*1000000/D1137</f>
        <v>869170.30022806511</v>
      </c>
      <c r="I1137" t="str">
        <f>IF(AND(B1137&gt;=2018, B1137&lt;=2021), "2018-2021", IF(AND(B1137&gt;=2022, B1137&lt;=2024), "2022-2024", "Other"))</f>
        <v>2022-2024</v>
      </c>
    </row>
    <row r="1138" spans="1:9" x14ac:dyDescent="0.3">
      <c r="A1138" t="s">
        <v>23</v>
      </c>
      <c r="B1138">
        <v>2020</v>
      </c>
      <c r="C1138" t="s">
        <v>0</v>
      </c>
      <c r="D1138">
        <v>10321.08</v>
      </c>
      <c r="E1138">
        <v>10177.93</v>
      </c>
      <c r="F1138">
        <v>35.409999999999997</v>
      </c>
      <c r="G1138">
        <v>902.14</v>
      </c>
      <c r="H1138">
        <f>E1138*1000000/D1138</f>
        <v>986130.32744635257</v>
      </c>
      <c r="I1138" t="str">
        <f>IF(AND(B1138&gt;=2018, B1138&lt;=2021), "2018-2021", IF(AND(B1138&gt;=2022, B1138&lt;=2024), "2022-2024", "Other"))</f>
        <v>2018-2021</v>
      </c>
    </row>
    <row r="1139" spans="1:9" x14ac:dyDescent="0.3">
      <c r="A1139" t="s">
        <v>7</v>
      </c>
      <c r="B1139">
        <v>2019</v>
      </c>
      <c r="C1139" t="s">
        <v>8</v>
      </c>
      <c r="D1139">
        <v>7894.84</v>
      </c>
      <c r="E1139">
        <v>8079.17</v>
      </c>
      <c r="F1139">
        <v>23.45</v>
      </c>
      <c r="G1139">
        <v>430.07</v>
      </c>
      <c r="H1139">
        <f>E1139*1000000/D1139</f>
        <v>1023348.161584022</v>
      </c>
      <c r="I1139" t="str">
        <f>IF(AND(B1139&gt;=2018, B1139&lt;=2021), "2018-2021", IF(AND(B1139&gt;=2022, B1139&lt;=2024), "2022-2024", "Other"))</f>
        <v>2018-2021</v>
      </c>
    </row>
    <row r="1140" spans="1:9" x14ac:dyDescent="0.3">
      <c r="A1140" t="s">
        <v>25</v>
      </c>
      <c r="B1140">
        <v>2024</v>
      </c>
      <c r="C1140" t="s">
        <v>6</v>
      </c>
      <c r="D1140">
        <v>11614.12</v>
      </c>
      <c r="E1140">
        <v>9959.1</v>
      </c>
      <c r="F1140">
        <v>75.209999999999994</v>
      </c>
      <c r="G1140">
        <v>1290.53</v>
      </c>
      <c r="H1140">
        <f>E1140*1000000/D1140</f>
        <v>857499.31979349267</v>
      </c>
      <c r="I1140" t="str">
        <f>IF(AND(B1140&gt;=2018, B1140&lt;=2021), "2018-2021", IF(AND(B1140&gt;=2022, B1140&lt;=2024), "2022-2024", "Other"))</f>
        <v>2022-2024</v>
      </c>
    </row>
    <row r="1141" spans="1:9" x14ac:dyDescent="0.3">
      <c r="A1141" t="s">
        <v>17</v>
      </c>
      <c r="B1141">
        <v>2018</v>
      </c>
      <c r="C1141" t="s">
        <v>0</v>
      </c>
      <c r="D1141">
        <v>40283.96</v>
      </c>
      <c r="E1141">
        <v>33458.980000000003</v>
      </c>
      <c r="F1141">
        <v>183.93</v>
      </c>
      <c r="G1141">
        <v>571.85</v>
      </c>
      <c r="H1141">
        <f>E1141*1000000/D1141</f>
        <v>830578.22517945117</v>
      </c>
      <c r="I1141" t="str">
        <f>IF(AND(B1141&gt;=2018, B1141&lt;=2021), "2018-2021", IF(AND(B1141&gt;=2022, B1141&lt;=2024), "2022-2024", "Other"))</f>
        <v>2018-2021</v>
      </c>
    </row>
    <row r="1142" spans="1:9" x14ac:dyDescent="0.3">
      <c r="A1142" t="s">
        <v>5</v>
      </c>
      <c r="B1142">
        <v>2024</v>
      </c>
      <c r="C1142" t="s">
        <v>6</v>
      </c>
      <c r="D1142">
        <v>12738.75</v>
      </c>
      <c r="E1142">
        <v>11551.29</v>
      </c>
      <c r="F1142">
        <v>132.52000000000001</v>
      </c>
      <c r="G1142">
        <v>807.33</v>
      </c>
      <c r="H1142">
        <f>E1142*1000000/D1142</f>
        <v>906783.63261701504</v>
      </c>
      <c r="I1142" t="str">
        <f>IF(AND(B1142&gt;=2018, B1142&lt;=2021), "2018-2021", IF(AND(B1142&gt;=2022, B1142&lt;=2024), "2022-2024", "Other"))</f>
        <v>2022-2024</v>
      </c>
    </row>
    <row r="1143" spans="1:9" x14ac:dyDescent="0.3">
      <c r="A1143" t="s">
        <v>22</v>
      </c>
      <c r="B1143">
        <v>2018</v>
      </c>
      <c r="C1143" t="s">
        <v>2</v>
      </c>
      <c r="D1143">
        <v>24278.95</v>
      </c>
      <c r="E1143">
        <v>25035.47</v>
      </c>
      <c r="F1143">
        <v>187.54</v>
      </c>
      <c r="G1143">
        <v>218.84</v>
      </c>
      <c r="H1143">
        <f>E1143*1000000/D1143</f>
        <v>1031159.5023672769</v>
      </c>
      <c r="I1143" t="str">
        <f>IF(AND(B1143&gt;=2018, B1143&lt;=2021), "2018-2021", IF(AND(B1143&gt;=2022, B1143&lt;=2024), "2022-2024", "Other"))</f>
        <v>2018-2021</v>
      </c>
    </row>
    <row r="1144" spans="1:9" x14ac:dyDescent="0.3">
      <c r="A1144" t="s">
        <v>27</v>
      </c>
      <c r="B1144">
        <v>2024</v>
      </c>
      <c r="C1144" t="s">
        <v>0</v>
      </c>
      <c r="D1144">
        <v>24536.44</v>
      </c>
      <c r="E1144">
        <v>24892.3</v>
      </c>
      <c r="F1144">
        <v>147.49</v>
      </c>
      <c r="G1144">
        <v>305.20999999999998</v>
      </c>
      <c r="H1144">
        <f>E1144*1000000/D1144</f>
        <v>1014503.3264809402</v>
      </c>
      <c r="I1144" t="str">
        <f>IF(AND(B1144&gt;=2018, B1144&lt;=2021), "2018-2021", IF(AND(B1144&gt;=2022, B1144&lt;=2024), "2022-2024", "Other"))</f>
        <v>2022-2024</v>
      </c>
    </row>
    <row r="1145" spans="1:9" x14ac:dyDescent="0.3">
      <c r="A1145" t="s">
        <v>19</v>
      </c>
      <c r="B1145">
        <v>2021</v>
      </c>
      <c r="C1145" t="s">
        <v>6</v>
      </c>
      <c r="D1145">
        <v>12389.85</v>
      </c>
      <c r="E1145">
        <v>10564.07</v>
      </c>
      <c r="F1145">
        <v>175.53</v>
      </c>
      <c r="G1145">
        <v>348.95</v>
      </c>
      <c r="H1145">
        <f>E1145*1000000/D1145</f>
        <v>852639.05535579519</v>
      </c>
      <c r="I1145" t="str">
        <f>IF(AND(B1145&gt;=2018, B1145&lt;=2021), "2018-2021", IF(AND(B1145&gt;=2022, B1145&lt;=2024), "2022-2024", "Other"))</f>
        <v>2018-2021</v>
      </c>
    </row>
    <row r="1146" spans="1:9" x14ac:dyDescent="0.3">
      <c r="A1146" t="s">
        <v>15</v>
      </c>
      <c r="B1146">
        <v>2021</v>
      </c>
      <c r="C1146" t="s">
        <v>2</v>
      </c>
      <c r="D1146">
        <v>18818.080000000002</v>
      </c>
      <c r="E1146">
        <v>18033.21</v>
      </c>
      <c r="F1146">
        <v>181.46</v>
      </c>
      <c r="G1146">
        <v>635.14</v>
      </c>
      <c r="H1146">
        <f>E1146*1000000/D1146</f>
        <v>958291.70669908926</v>
      </c>
      <c r="I1146" t="str">
        <f>IF(AND(B1146&gt;=2018, B1146&lt;=2021), "2018-2021", IF(AND(B1146&gt;=2022, B1146&lt;=2024), "2022-2024", "Other"))</f>
        <v>2018-2021</v>
      </c>
    </row>
    <row r="1147" spans="1:9" x14ac:dyDescent="0.3">
      <c r="A1147" t="s">
        <v>3</v>
      </c>
      <c r="B1147">
        <v>2020</v>
      </c>
      <c r="C1147" t="s">
        <v>8</v>
      </c>
      <c r="D1147">
        <v>30320.1</v>
      </c>
      <c r="E1147">
        <v>32226.91</v>
      </c>
      <c r="F1147">
        <v>30.64</v>
      </c>
      <c r="G1147">
        <v>675.78</v>
      </c>
      <c r="H1147">
        <f>E1147*1000000/D1147</f>
        <v>1062889.3044548007</v>
      </c>
      <c r="I1147" t="str">
        <f>IF(AND(B1147&gt;=2018, B1147&lt;=2021), "2018-2021", IF(AND(B1147&gt;=2022, B1147&lt;=2024), "2022-2024", "Other"))</f>
        <v>2018-2021</v>
      </c>
    </row>
    <row r="1148" spans="1:9" x14ac:dyDescent="0.3">
      <c r="A1148" t="s">
        <v>17</v>
      </c>
      <c r="B1148">
        <v>2020</v>
      </c>
      <c r="C1148" t="s">
        <v>2</v>
      </c>
      <c r="D1148">
        <v>10418.23</v>
      </c>
      <c r="E1148">
        <v>11826.26</v>
      </c>
      <c r="F1148">
        <v>57.24</v>
      </c>
      <c r="G1148">
        <v>627.17999999999995</v>
      </c>
      <c r="H1148">
        <f>E1148*1000000/D1148</f>
        <v>1135150.5965984624</v>
      </c>
      <c r="I1148" t="str">
        <f>IF(AND(B1148&gt;=2018, B1148&lt;=2021), "2018-2021", IF(AND(B1148&gt;=2022, B1148&lt;=2024), "2022-2024", "Other"))</f>
        <v>2018-2021</v>
      </c>
    </row>
    <row r="1149" spans="1:9" x14ac:dyDescent="0.3">
      <c r="A1149" t="s">
        <v>13</v>
      </c>
      <c r="B1149">
        <v>2021</v>
      </c>
      <c r="C1149" t="s">
        <v>6</v>
      </c>
      <c r="D1149">
        <v>13520.77</v>
      </c>
      <c r="E1149">
        <v>14479.32</v>
      </c>
      <c r="F1149">
        <v>161.71</v>
      </c>
      <c r="G1149">
        <v>887.31</v>
      </c>
      <c r="H1149">
        <f>E1149*1000000/D1149</f>
        <v>1070894.631001045</v>
      </c>
      <c r="I1149" t="str">
        <f>IF(AND(B1149&gt;=2018, B1149&lt;=2021), "2018-2021", IF(AND(B1149&gt;=2022, B1149&lt;=2024), "2022-2024", "Other"))</f>
        <v>2018-2021</v>
      </c>
    </row>
    <row r="1150" spans="1:9" x14ac:dyDescent="0.3">
      <c r="A1150" t="s">
        <v>19</v>
      </c>
      <c r="B1150">
        <v>2018</v>
      </c>
      <c r="C1150" t="s">
        <v>2</v>
      </c>
      <c r="D1150">
        <v>2682.54</v>
      </c>
      <c r="E1150">
        <v>3086.07</v>
      </c>
      <c r="F1150">
        <v>61.92</v>
      </c>
      <c r="G1150">
        <v>707.37</v>
      </c>
      <c r="H1150">
        <f>E1150*1000000/D1150</f>
        <v>1150428.3253930977</v>
      </c>
      <c r="I1150" t="str">
        <f>IF(AND(B1150&gt;=2018, B1150&lt;=2021), "2018-2021", IF(AND(B1150&gt;=2022, B1150&lt;=2024), "2022-2024", "Other"))</f>
        <v>2018-2021</v>
      </c>
    </row>
    <row r="1151" spans="1:9" x14ac:dyDescent="0.3">
      <c r="A1151" t="s">
        <v>24</v>
      </c>
      <c r="B1151">
        <v>2023</v>
      </c>
      <c r="C1151" t="s">
        <v>8</v>
      </c>
      <c r="D1151">
        <v>47074.42</v>
      </c>
      <c r="E1151">
        <v>50848.46</v>
      </c>
      <c r="F1151">
        <v>128.51</v>
      </c>
      <c r="G1151">
        <v>124.8</v>
      </c>
      <c r="H1151">
        <f>E1151*1000000/D1151</f>
        <v>1080171.7790681224</v>
      </c>
      <c r="I1151" t="str">
        <f>IF(AND(B1151&gt;=2018, B1151&lt;=2021), "2018-2021", IF(AND(B1151&gt;=2022, B1151&lt;=2024), "2022-2024", "Other"))</f>
        <v>2022-2024</v>
      </c>
    </row>
    <row r="1152" spans="1:9" x14ac:dyDescent="0.3">
      <c r="A1152" t="s">
        <v>17</v>
      </c>
      <c r="B1152">
        <v>2021</v>
      </c>
      <c r="C1152" t="s">
        <v>9</v>
      </c>
      <c r="D1152">
        <v>1329.45</v>
      </c>
      <c r="E1152">
        <v>1078.07</v>
      </c>
      <c r="F1152">
        <v>75.849999999999994</v>
      </c>
      <c r="G1152">
        <v>816.32</v>
      </c>
      <c r="H1152">
        <f>E1152*1000000/D1152</f>
        <v>810914.28786340216</v>
      </c>
      <c r="I1152" t="str">
        <f>IF(AND(B1152&gt;=2018, B1152&lt;=2021), "2018-2021", IF(AND(B1152&gt;=2022, B1152&lt;=2024), "2022-2024", "Other"))</f>
        <v>2018-2021</v>
      </c>
    </row>
    <row r="1153" spans="1:9" x14ac:dyDescent="0.3">
      <c r="A1153" t="s">
        <v>16</v>
      </c>
      <c r="B1153">
        <v>2021</v>
      </c>
      <c r="C1153" t="s">
        <v>6</v>
      </c>
      <c r="D1153">
        <v>10144</v>
      </c>
      <c r="E1153">
        <v>10236.01</v>
      </c>
      <c r="F1153">
        <v>114.31</v>
      </c>
      <c r="G1153">
        <v>1040.3</v>
      </c>
      <c r="H1153">
        <f>E1153*1000000/D1153</f>
        <v>1009070.3864353312</v>
      </c>
      <c r="I1153" t="str">
        <f>IF(AND(B1153&gt;=2018, B1153&lt;=2021), "2018-2021", IF(AND(B1153&gt;=2022, B1153&lt;=2024), "2022-2024", "Other"))</f>
        <v>2018-2021</v>
      </c>
    </row>
    <row r="1154" spans="1:9" x14ac:dyDescent="0.3">
      <c r="A1154" t="s">
        <v>19</v>
      </c>
      <c r="B1154">
        <v>2022</v>
      </c>
      <c r="C1154" t="s">
        <v>9</v>
      </c>
      <c r="D1154">
        <v>26936.48</v>
      </c>
      <c r="E1154">
        <v>27192.47</v>
      </c>
      <c r="F1154">
        <v>93.51</v>
      </c>
      <c r="G1154">
        <v>193.61</v>
      </c>
      <c r="H1154">
        <f>E1154*1000000/D1154</f>
        <v>1009503.4689016531</v>
      </c>
      <c r="I1154" t="str">
        <f>IF(AND(B1154&gt;=2018, B1154&lt;=2021), "2018-2021", IF(AND(B1154&gt;=2022, B1154&lt;=2024), "2022-2024", "Other"))</f>
        <v>2022-2024</v>
      </c>
    </row>
    <row r="1155" spans="1:9" x14ac:dyDescent="0.3">
      <c r="A1155" t="s">
        <v>23</v>
      </c>
      <c r="B1155">
        <v>2023</v>
      </c>
      <c r="C1155" t="s">
        <v>6</v>
      </c>
      <c r="D1155">
        <v>47691.12</v>
      </c>
      <c r="E1155">
        <v>42560.6</v>
      </c>
      <c r="F1155">
        <v>97.16</v>
      </c>
      <c r="G1155">
        <v>476.43</v>
      </c>
      <c r="H1155">
        <f>E1155*1000000/D1155</f>
        <v>892421.90160348499</v>
      </c>
      <c r="I1155" t="str">
        <f>IF(AND(B1155&gt;=2018, B1155&lt;=2021), "2018-2021", IF(AND(B1155&gt;=2022, B1155&lt;=2024), "2022-2024", "Other"))</f>
        <v>2022-2024</v>
      </c>
    </row>
    <row r="1156" spans="1:9" x14ac:dyDescent="0.3">
      <c r="A1156" t="s">
        <v>23</v>
      </c>
      <c r="B1156">
        <v>2024</v>
      </c>
      <c r="C1156" t="s">
        <v>2</v>
      </c>
      <c r="D1156">
        <v>11463.72</v>
      </c>
      <c r="E1156">
        <v>10968.53</v>
      </c>
      <c r="F1156">
        <v>40.79</v>
      </c>
      <c r="G1156">
        <v>727.11</v>
      </c>
      <c r="H1156">
        <f>E1156*1000000/D1156</f>
        <v>956803.72514332179</v>
      </c>
      <c r="I1156" t="str">
        <f>IF(AND(B1156&gt;=2018, B1156&lt;=2021), "2018-2021", IF(AND(B1156&gt;=2022, B1156&lt;=2024), "2022-2024", "Other"))</f>
        <v>2022-2024</v>
      </c>
    </row>
    <row r="1157" spans="1:9" x14ac:dyDescent="0.3">
      <c r="A1157" t="s">
        <v>3</v>
      </c>
      <c r="B1157">
        <v>2021</v>
      </c>
      <c r="C1157" t="s">
        <v>0</v>
      </c>
      <c r="D1157">
        <v>6608.38</v>
      </c>
      <c r="E1157">
        <v>6213.4</v>
      </c>
      <c r="F1157">
        <v>38.130000000000003</v>
      </c>
      <c r="G1157">
        <v>311.27</v>
      </c>
      <c r="H1157">
        <f>E1157*1000000/D1157</f>
        <v>940230.43469049898</v>
      </c>
      <c r="I1157" t="str">
        <f>IF(AND(B1157&gt;=2018, B1157&lt;=2021), "2018-2021", IF(AND(B1157&gt;=2022, B1157&lt;=2024), "2022-2024", "Other"))</f>
        <v>2018-2021</v>
      </c>
    </row>
    <row r="1158" spans="1:9" x14ac:dyDescent="0.3">
      <c r="A1158" t="s">
        <v>20</v>
      </c>
      <c r="B1158">
        <v>2023</v>
      </c>
      <c r="C1158" t="s">
        <v>14</v>
      </c>
      <c r="D1158">
        <v>47354.14</v>
      </c>
      <c r="E1158">
        <v>37996.01</v>
      </c>
      <c r="F1158">
        <v>103.25</v>
      </c>
      <c r="G1158">
        <v>350.58</v>
      </c>
      <c r="H1158">
        <f>E1158*1000000/D1158</f>
        <v>802379.89751265675</v>
      </c>
      <c r="I1158" t="str">
        <f>IF(AND(B1158&gt;=2018, B1158&lt;=2021), "2018-2021", IF(AND(B1158&gt;=2022, B1158&lt;=2024), "2022-2024", "Other"))</f>
        <v>2022-2024</v>
      </c>
    </row>
    <row r="1159" spans="1:9" x14ac:dyDescent="0.3">
      <c r="A1159" t="s">
        <v>18</v>
      </c>
      <c r="B1159">
        <v>2023</v>
      </c>
      <c r="C1159" t="s">
        <v>6</v>
      </c>
      <c r="D1159">
        <v>49231.61</v>
      </c>
      <c r="E1159">
        <v>45743.9</v>
      </c>
      <c r="F1159">
        <v>43.04</v>
      </c>
      <c r="G1159">
        <v>971.47</v>
      </c>
      <c r="H1159">
        <f>E1159*1000000/D1159</f>
        <v>929157.10048889322</v>
      </c>
      <c r="I1159" t="str">
        <f>IF(AND(B1159&gt;=2018, B1159&lt;=2021), "2018-2021", IF(AND(B1159&gt;=2022, B1159&lt;=2024), "2022-2024", "Other"))</f>
        <v>2022-2024</v>
      </c>
    </row>
    <row r="1160" spans="1:9" x14ac:dyDescent="0.3">
      <c r="A1160" t="s">
        <v>17</v>
      </c>
      <c r="B1160">
        <v>2024</v>
      </c>
      <c r="C1160" t="s">
        <v>6</v>
      </c>
      <c r="D1160">
        <v>28293.200000000001</v>
      </c>
      <c r="E1160">
        <v>27917.29</v>
      </c>
      <c r="F1160">
        <v>136.94</v>
      </c>
      <c r="G1160">
        <v>1276.82</v>
      </c>
      <c r="H1160">
        <f>E1160*1000000/D1160</f>
        <v>986713.76867939997</v>
      </c>
      <c r="I1160" t="str">
        <f>IF(AND(B1160&gt;=2018, B1160&lt;=2021), "2018-2021", IF(AND(B1160&gt;=2022, B1160&lt;=2024), "2022-2024", "Other"))</f>
        <v>2022-2024</v>
      </c>
    </row>
    <row r="1161" spans="1:9" x14ac:dyDescent="0.3">
      <c r="A1161" t="s">
        <v>3</v>
      </c>
      <c r="B1161">
        <v>2018</v>
      </c>
      <c r="C1161" t="s">
        <v>14</v>
      </c>
      <c r="D1161">
        <v>22602.91</v>
      </c>
      <c r="E1161">
        <v>20190.34</v>
      </c>
      <c r="F1161">
        <v>83.28</v>
      </c>
      <c r="G1161">
        <v>1323.05</v>
      </c>
      <c r="H1161">
        <f>E1161*1000000/D1161</f>
        <v>893262.85863191949</v>
      </c>
      <c r="I1161" t="str">
        <f>IF(AND(B1161&gt;=2018, B1161&lt;=2021), "2018-2021", IF(AND(B1161&gt;=2022, B1161&lt;=2024), "2022-2024", "Other"))</f>
        <v>2018-2021</v>
      </c>
    </row>
    <row r="1162" spans="1:9" x14ac:dyDescent="0.3">
      <c r="A1162" t="s">
        <v>10</v>
      </c>
      <c r="B1162">
        <v>2021</v>
      </c>
      <c r="C1162" t="s">
        <v>0</v>
      </c>
      <c r="D1162">
        <v>15393.58</v>
      </c>
      <c r="E1162">
        <v>14761.96</v>
      </c>
      <c r="F1162">
        <v>181.57</v>
      </c>
      <c r="G1162">
        <v>242.72</v>
      </c>
      <c r="H1162">
        <f>E1162*1000000/D1162</f>
        <v>958968.60899154062</v>
      </c>
      <c r="I1162" t="str">
        <f>IF(AND(B1162&gt;=2018, B1162&lt;=2021), "2018-2021", IF(AND(B1162&gt;=2022, B1162&lt;=2024), "2022-2024", "Other"))</f>
        <v>2018-2021</v>
      </c>
    </row>
    <row r="1163" spans="1:9" x14ac:dyDescent="0.3">
      <c r="A1163" t="s">
        <v>15</v>
      </c>
      <c r="B1163">
        <v>2023</v>
      </c>
      <c r="C1163" t="s">
        <v>2</v>
      </c>
      <c r="D1163">
        <v>29574.47</v>
      </c>
      <c r="E1163">
        <v>34769.68</v>
      </c>
      <c r="F1163">
        <v>136.65</v>
      </c>
      <c r="G1163">
        <v>495.08</v>
      </c>
      <c r="H1163">
        <f>E1163*1000000/D1163</f>
        <v>1175665.3627267031</v>
      </c>
      <c r="I1163" t="str">
        <f>IF(AND(B1163&gt;=2018, B1163&lt;=2021), "2018-2021", IF(AND(B1163&gt;=2022, B1163&lt;=2024), "2022-2024", "Other"))</f>
        <v>2022-2024</v>
      </c>
    </row>
    <row r="1164" spans="1:9" x14ac:dyDescent="0.3">
      <c r="A1164" t="s">
        <v>15</v>
      </c>
      <c r="B1164">
        <v>2023</v>
      </c>
      <c r="C1164" t="s">
        <v>2</v>
      </c>
      <c r="D1164">
        <v>6355.69</v>
      </c>
      <c r="E1164">
        <v>6599.21</v>
      </c>
      <c r="F1164">
        <v>37.450000000000003</v>
      </c>
      <c r="G1164">
        <v>821.11</v>
      </c>
      <c r="H1164">
        <f>E1164*1000000/D1164</f>
        <v>1038315.2734006852</v>
      </c>
      <c r="I1164" t="str">
        <f>IF(AND(B1164&gt;=2018, B1164&lt;=2021), "2018-2021", IF(AND(B1164&gt;=2022, B1164&lt;=2024), "2022-2024", "Other"))</f>
        <v>2022-2024</v>
      </c>
    </row>
    <row r="1165" spans="1:9" x14ac:dyDescent="0.3">
      <c r="A1165" t="s">
        <v>25</v>
      </c>
      <c r="B1165">
        <v>2020</v>
      </c>
      <c r="C1165" t="s">
        <v>2</v>
      </c>
      <c r="D1165">
        <v>17056.13</v>
      </c>
      <c r="E1165">
        <v>17884.77</v>
      </c>
      <c r="F1165">
        <v>149.27000000000001</v>
      </c>
      <c r="G1165">
        <v>1382.2</v>
      </c>
      <c r="H1165">
        <f>E1165*1000000/D1165</f>
        <v>1048583.1193828846</v>
      </c>
      <c r="I1165" t="str">
        <f>IF(AND(B1165&gt;=2018, B1165&lt;=2021), "2018-2021", IF(AND(B1165&gt;=2022, B1165&lt;=2024), "2022-2024", "Other"))</f>
        <v>2018-2021</v>
      </c>
    </row>
    <row r="1166" spans="1:9" x14ac:dyDescent="0.3">
      <c r="A1166" t="s">
        <v>27</v>
      </c>
      <c r="B1166">
        <v>2021</v>
      </c>
      <c r="C1166" t="s">
        <v>2</v>
      </c>
      <c r="D1166">
        <v>40625.93</v>
      </c>
      <c r="E1166">
        <v>36992.57</v>
      </c>
      <c r="F1166">
        <v>39.86</v>
      </c>
      <c r="G1166">
        <v>883.42</v>
      </c>
      <c r="H1166">
        <f>E1166*1000000/D1166</f>
        <v>910565.49351608683</v>
      </c>
      <c r="I1166" t="str">
        <f>IF(AND(B1166&gt;=2018, B1166&lt;=2021), "2018-2021", IF(AND(B1166&gt;=2022, B1166&lt;=2024), "2022-2024", "Other"))</f>
        <v>2018-2021</v>
      </c>
    </row>
    <row r="1167" spans="1:9" x14ac:dyDescent="0.3">
      <c r="A1167" t="s">
        <v>13</v>
      </c>
      <c r="B1167">
        <v>2019</v>
      </c>
      <c r="C1167" t="s">
        <v>2</v>
      </c>
      <c r="D1167">
        <v>3365.2</v>
      </c>
      <c r="E1167">
        <v>3182.65</v>
      </c>
      <c r="F1167">
        <v>100.43</v>
      </c>
      <c r="G1167">
        <v>16.690000000000001</v>
      </c>
      <c r="H1167">
        <f>E1167*1000000/D1167</f>
        <v>945753.59562581719</v>
      </c>
      <c r="I1167" t="str">
        <f>IF(AND(B1167&gt;=2018, B1167&lt;=2021), "2018-2021", IF(AND(B1167&gt;=2022, B1167&lt;=2024), "2022-2024", "Other"))</f>
        <v>2018-2021</v>
      </c>
    </row>
    <row r="1168" spans="1:9" x14ac:dyDescent="0.3">
      <c r="A1168" t="s">
        <v>1</v>
      </c>
      <c r="B1168">
        <v>2022</v>
      </c>
      <c r="C1168" t="s">
        <v>9</v>
      </c>
      <c r="D1168">
        <v>21759.95</v>
      </c>
      <c r="E1168">
        <v>20158.29</v>
      </c>
      <c r="F1168">
        <v>178.59</v>
      </c>
      <c r="G1168">
        <v>267.77</v>
      </c>
      <c r="H1168">
        <f>E1168*1000000/D1168</f>
        <v>926394.13233945845</v>
      </c>
      <c r="I1168" t="str">
        <f>IF(AND(B1168&gt;=2018, B1168&lt;=2021), "2018-2021", IF(AND(B1168&gt;=2022, B1168&lt;=2024), "2022-2024", "Other"))</f>
        <v>2022-2024</v>
      </c>
    </row>
    <row r="1169" spans="1:9" x14ac:dyDescent="0.3">
      <c r="A1169" t="s">
        <v>22</v>
      </c>
      <c r="B1169">
        <v>2019</v>
      </c>
      <c r="C1169" t="s">
        <v>14</v>
      </c>
      <c r="D1169">
        <v>24930.080000000002</v>
      </c>
      <c r="E1169">
        <v>26461.72</v>
      </c>
      <c r="F1169">
        <v>127.68</v>
      </c>
      <c r="G1169">
        <v>95.47</v>
      </c>
      <c r="H1169">
        <f>E1169*1000000/D1169</f>
        <v>1061437.4281991874</v>
      </c>
      <c r="I1169" t="str">
        <f>IF(AND(B1169&gt;=2018, B1169&lt;=2021), "2018-2021", IF(AND(B1169&gt;=2022, B1169&lt;=2024), "2022-2024", "Other"))</f>
        <v>2018-2021</v>
      </c>
    </row>
    <row r="1170" spans="1:9" x14ac:dyDescent="0.3">
      <c r="A1170" t="s">
        <v>3</v>
      </c>
      <c r="B1170">
        <v>2019</v>
      </c>
      <c r="C1170" t="s">
        <v>4</v>
      </c>
      <c r="D1170">
        <v>19096.71</v>
      </c>
      <c r="E1170">
        <v>18273.39</v>
      </c>
      <c r="F1170">
        <v>128.91999999999999</v>
      </c>
      <c r="G1170">
        <v>481.02</v>
      </c>
      <c r="H1170">
        <f>E1170*1000000/D1170</f>
        <v>956886.81453506916</v>
      </c>
      <c r="I1170" t="str">
        <f>IF(AND(B1170&gt;=2018, B1170&lt;=2021), "2018-2021", IF(AND(B1170&gt;=2022, B1170&lt;=2024), "2022-2024", "Other"))</f>
        <v>2018-2021</v>
      </c>
    </row>
    <row r="1171" spans="1:9" x14ac:dyDescent="0.3">
      <c r="A1171" t="s">
        <v>15</v>
      </c>
      <c r="B1171">
        <v>2024</v>
      </c>
      <c r="C1171" t="s">
        <v>12</v>
      </c>
      <c r="D1171">
        <v>38728.720000000001</v>
      </c>
      <c r="E1171">
        <v>35494.629999999997</v>
      </c>
      <c r="F1171">
        <v>160.46</v>
      </c>
      <c r="G1171">
        <v>160.58000000000001</v>
      </c>
      <c r="H1171">
        <f>E1171*1000000/D1171</f>
        <v>916493.75450570008</v>
      </c>
      <c r="I1171" t="str">
        <f>IF(AND(B1171&gt;=2018, B1171&lt;=2021), "2018-2021", IF(AND(B1171&gt;=2022, B1171&lt;=2024), "2022-2024", "Other"))</f>
        <v>2022-2024</v>
      </c>
    </row>
    <row r="1172" spans="1:9" x14ac:dyDescent="0.3">
      <c r="A1172" t="s">
        <v>22</v>
      </c>
      <c r="B1172">
        <v>2018</v>
      </c>
      <c r="C1172" t="s">
        <v>2</v>
      </c>
      <c r="D1172">
        <v>35649.51</v>
      </c>
      <c r="E1172">
        <v>30541.38</v>
      </c>
      <c r="F1172">
        <v>67.02</v>
      </c>
      <c r="G1172">
        <v>653.66</v>
      </c>
      <c r="H1172">
        <f>E1172*1000000/D1172</f>
        <v>856712.47655297362</v>
      </c>
      <c r="I1172" t="str">
        <f>IF(AND(B1172&gt;=2018, B1172&lt;=2021), "2018-2021", IF(AND(B1172&gt;=2022, B1172&lt;=2024), "2022-2024", "Other"))</f>
        <v>2018-2021</v>
      </c>
    </row>
    <row r="1173" spans="1:9" x14ac:dyDescent="0.3">
      <c r="A1173" t="s">
        <v>20</v>
      </c>
      <c r="B1173">
        <v>2018</v>
      </c>
      <c r="C1173" t="s">
        <v>0</v>
      </c>
      <c r="D1173">
        <v>47890.2</v>
      </c>
      <c r="E1173">
        <v>49580.18</v>
      </c>
      <c r="F1173">
        <v>145.56</v>
      </c>
      <c r="G1173">
        <v>668.13</v>
      </c>
      <c r="H1173">
        <f>E1173*1000000/D1173</f>
        <v>1035288.6394293614</v>
      </c>
      <c r="I1173" t="str">
        <f>IF(AND(B1173&gt;=2018, B1173&lt;=2021), "2018-2021", IF(AND(B1173&gt;=2022, B1173&lt;=2024), "2022-2024", "Other"))</f>
        <v>2018-2021</v>
      </c>
    </row>
    <row r="1174" spans="1:9" x14ac:dyDescent="0.3">
      <c r="A1174" t="s">
        <v>27</v>
      </c>
      <c r="B1174">
        <v>2020</v>
      </c>
      <c r="C1174" t="s">
        <v>0</v>
      </c>
      <c r="D1174">
        <v>8003.98</v>
      </c>
      <c r="E1174">
        <v>6499.63</v>
      </c>
      <c r="F1174">
        <v>75.42</v>
      </c>
      <c r="G1174">
        <v>48</v>
      </c>
      <c r="H1174">
        <f>E1174*1000000/D1174</f>
        <v>812049.75524676475</v>
      </c>
      <c r="I1174" t="str">
        <f>IF(AND(B1174&gt;=2018, B1174&lt;=2021), "2018-2021", IF(AND(B1174&gt;=2022, B1174&lt;=2024), "2022-2024", "Other"))</f>
        <v>2018-2021</v>
      </c>
    </row>
    <row r="1175" spans="1:9" x14ac:dyDescent="0.3">
      <c r="A1175" t="s">
        <v>1</v>
      </c>
      <c r="B1175">
        <v>2018</v>
      </c>
      <c r="C1175" t="s">
        <v>6</v>
      </c>
      <c r="D1175">
        <v>22064.87</v>
      </c>
      <c r="E1175">
        <v>20476.45</v>
      </c>
      <c r="F1175">
        <v>113.47</v>
      </c>
      <c r="G1175">
        <v>243.26</v>
      </c>
      <c r="H1175">
        <f>E1175*1000000/D1175</f>
        <v>928011.35923302523</v>
      </c>
      <c r="I1175" t="str">
        <f>IF(AND(B1175&gt;=2018, B1175&lt;=2021), "2018-2021", IF(AND(B1175&gt;=2022, B1175&lt;=2024), "2022-2024", "Other"))</f>
        <v>2018-2021</v>
      </c>
    </row>
    <row r="1176" spans="1:9" x14ac:dyDescent="0.3">
      <c r="A1176" t="s">
        <v>15</v>
      </c>
      <c r="B1176">
        <v>2024</v>
      </c>
      <c r="C1176" t="s">
        <v>9</v>
      </c>
      <c r="D1176">
        <v>3513.33</v>
      </c>
      <c r="E1176">
        <v>4052.67</v>
      </c>
      <c r="F1176">
        <v>133.87</v>
      </c>
      <c r="G1176">
        <v>363.3</v>
      </c>
      <c r="H1176">
        <f>E1176*1000000/D1176</f>
        <v>1153512.4796133584</v>
      </c>
      <c r="I1176" t="str">
        <f>IF(AND(B1176&gt;=2018, B1176&lt;=2021), "2018-2021", IF(AND(B1176&gt;=2022, B1176&lt;=2024), "2022-2024", "Other"))</f>
        <v>2022-2024</v>
      </c>
    </row>
    <row r="1177" spans="1:9" x14ac:dyDescent="0.3">
      <c r="A1177" t="s">
        <v>19</v>
      </c>
      <c r="B1177">
        <v>2023</v>
      </c>
      <c r="C1177" t="s">
        <v>0</v>
      </c>
      <c r="D1177">
        <v>48403.15</v>
      </c>
      <c r="E1177">
        <v>54948.5</v>
      </c>
      <c r="F1177">
        <v>175.17</v>
      </c>
      <c r="G1177">
        <v>160.13999999999999</v>
      </c>
      <c r="H1177">
        <f>E1177*1000000/D1177</f>
        <v>1135225.7032858399</v>
      </c>
      <c r="I1177" t="str">
        <f>IF(AND(B1177&gt;=2018, B1177&lt;=2021), "2018-2021", IF(AND(B1177&gt;=2022, B1177&lt;=2024), "2022-2024", "Other"))</f>
        <v>2022-2024</v>
      </c>
    </row>
    <row r="1178" spans="1:9" x14ac:dyDescent="0.3">
      <c r="A1178" t="s">
        <v>19</v>
      </c>
      <c r="B1178">
        <v>2019</v>
      </c>
      <c r="C1178" t="s">
        <v>8</v>
      </c>
      <c r="D1178">
        <v>18317.53</v>
      </c>
      <c r="E1178">
        <v>19745.29</v>
      </c>
      <c r="F1178">
        <v>74.400000000000006</v>
      </c>
      <c r="G1178">
        <v>403.38</v>
      </c>
      <c r="H1178">
        <f>E1178*1000000/D1178</f>
        <v>1077945.0067776607</v>
      </c>
      <c r="I1178" t="str">
        <f>IF(AND(B1178&gt;=2018, B1178&lt;=2021), "2018-2021", IF(AND(B1178&gt;=2022, B1178&lt;=2024), "2022-2024", "Other"))</f>
        <v>2018-2021</v>
      </c>
    </row>
    <row r="1179" spans="1:9" x14ac:dyDescent="0.3">
      <c r="A1179" t="s">
        <v>1</v>
      </c>
      <c r="B1179">
        <v>2024</v>
      </c>
      <c r="C1179" t="s">
        <v>6</v>
      </c>
      <c r="D1179">
        <v>11808.79</v>
      </c>
      <c r="E1179">
        <v>9716.69</v>
      </c>
      <c r="F1179">
        <v>26.98</v>
      </c>
      <c r="G1179">
        <v>929.6</v>
      </c>
      <c r="H1179">
        <f>E1179*1000000/D1179</f>
        <v>822835.36247151485</v>
      </c>
      <c r="I1179" t="str">
        <f>IF(AND(B1179&gt;=2018, B1179&lt;=2021), "2018-2021", IF(AND(B1179&gt;=2022, B1179&lt;=2024), "2022-2024", "Other"))</f>
        <v>2022-2024</v>
      </c>
    </row>
    <row r="1180" spans="1:9" x14ac:dyDescent="0.3">
      <c r="A1180" t="s">
        <v>23</v>
      </c>
      <c r="B1180">
        <v>2018</v>
      </c>
      <c r="C1180" t="s">
        <v>6</v>
      </c>
      <c r="D1180">
        <v>6439.2</v>
      </c>
      <c r="E1180">
        <v>5394.1</v>
      </c>
      <c r="F1180">
        <v>26.84</v>
      </c>
      <c r="G1180">
        <v>93.18</v>
      </c>
      <c r="H1180">
        <f>E1180*1000000/D1180</f>
        <v>837697.22946949932</v>
      </c>
      <c r="I1180" t="str">
        <f>IF(AND(B1180&gt;=2018, B1180&lt;=2021), "2018-2021", IF(AND(B1180&gt;=2022, B1180&lt;=2024), "2022-2024", "Other"))</f>
        <v>2018-2021</v>
      </c>
    </row>
    <row r="1181" spans="1:9" x14ac:dyDescent="0.3">
      <c r="A1181" t="s">
        <v>23</v>
      </c>
      <c r="B1181">
        <v>2024</v>
      </c>
      <c r="C1181" t="s">
        <v>9</v>
      </c>
      <c r="D1181">
        <v>43174.51</v>
      </c>
      <c r="E1181">
        <v>44863.41</v>
      </c>
      <c r="F1181">
        <v>106.07</v>
      </c>
      <c r="G1181">
        <v>1045.29</v>
      </c>
      <c r="H1181">
        <f>E1181*1000000/D1181</f>
        <v>1039117.9888318361</v>
      </c>
      <c r="I1181" t="str">
        <f>IF(AND(B1181&gt;=2018, B1181&lt;=2021), "2018-2021", IF(AND(B1181&gt;=2022, B1181&lt;=2024), "2022-2024", "Other"))</f>
        <v>2022-2024</v>
      </c>
    </row>
    <row r="1182" spans="1:9" x14ac:dyDescent="0.3">
      <c r="A1182" t="s">
        <v>26</v>
      </c>
      <c r="B1182">
        <v>2021</v>
      </c>
      <c r="C1182" t="s">
        <v>14</v>
      </c>
      <c r="D1182">
        <v>48267.58</v>
      </c>
      <c r="E1182">
        <v>51264.82</v>
      </c>
      <c r="F1182">
        <v>36.409999999999997</v>
      </c>
      <c r="G1182">
        <v>330.84</v>
      </c>
      <c r="H1182">
        <f>E1182*1000000/D1182</f>
        <v>1062096.3387847494</v>
      </c>
      <c r="I1182" t="str">
        <f>IF(AND(B1182&gt;=2018, B1182&lt;=2021), "2018-2021", IF(AND(B1182&gt;=2022, B1182&lt;=2024), "2022-2024", "Other"))</f>
        <v>2018-2021</v>
      </c>
    </row>
    <row r="1183" spans="1:9" x14ac:dyDescent="0.3">
      <c r="A1183" t="s">
        <v>19</v>
      </c>
      <c r="B1183">
        <v>2024</v>
      </c>
      <c r="C1183" t="s">
        <v>9</v>
      </c>
      <c r="D1183">
        <v>29213.17</v>
      </c>
      <c r="E1183">
        <v>32840.660000000003</v>
      </c>
      <c r="F1183">
        <v>196.08</v>
      </c>
      <c r="G1183">
        <v>720.28</v>
      </c>
      <c r="H1183">
        <f>E1183*1000000/D1183</f>
        <v>1124173.1041170817</v>
      </c>
      <c r="I1183" t="str">
        <f>IF(AND(B1183&gt;=2018, B1183&lt;=2021), "2018-2021", IF(AND(B1183&gt;=2022, B1183&lt;=2024), "2022-2024", "Other"))</f>
        <v>2022-2024</v>
      </c>
    </row>
    <row r="1184" spans="1:9" x14ac:dyDescent="0.3">
      <c r="A1184" t="s">
        <v>16</v>
      </c>
      <c r="B1184">
        <v>2020</v>
      </c>
      <c r="C1184" t="s">
        <v>9</v>
      </c>
      <c r="D1184">
        <v>8903.52</v>
      </c>
      <c r="E1184">
        <v>9527.7900000000009</v>
      </c>
      <c r="F1184">
        <v>47.76</v>
      </c>
      <c r="G1184">
        <v>1394.72</v>
      </c>
      <c r="H1184">
        <f>E1184*1000000/D1184</f>
        <v>1070114.9657663486</v>
      </c>
      <c r="I1184" t="str">
        <f>IF(AND(B1184&gt;=2018, B1184&lt;=2021), "2018-2021", IF(AND(B1184&gt;=2022, B1184&lt;=2024), "2022-2024", "Other"))</f>
        <v>2018-2021</v>
      </c>
    </row>
    <row r="1185" spans="1:9" x14ac:dyDescent="0.3">
      <c r="A1185" t="s">
        <v>27</v>
      </c>
      <c r="B1185">
        <v>2022</v>
      </c>
      <c r="C1185" t="s">
        <v>2</v>
      </c>
      <c r="D1185">
        <v>23262.53</v>
      </c>
      <c r="E1185">
        <v>25824.94</v>
      </c>
      <c r="F1185">
        <v>75.900000000000006</v>
      </c>
      <c r="G1185">
        <v>1263.71</v>
      </c>
      <c r="H1185">
        <f>E1185*1000000/D1185</f>
        <v>1110151.8192561171</v>
      </c>
      <c r="I1185" t="str">
        <f>IF(AND(B1185&gt;=2018, B1185&lt;=2021), "2018-2021", IF(AND(B1185&gt;=2022, B1185&lt;=2024), "2022-2024", "Other"))</f>
        <v>2022-2024</v>
      </c>
    </row>
    <row r="1186" spans="1:9" x14ac:dyDescent="0.3">
      <c r="A1186" t="s">
        <v>26</v>
      </c>
      <c r="B1186">
        <v>2023</v>
      </c>
      <c r="C1186" t="s">
        <v>12</v>
      </c>
      <c r="D1186">
        <v>30114.14</v>
      </c>
      <c r="E1186">
        <v>35677.050000000003</v>
      </c>
      <c r="F1186">
        <v>48.9</v>
      </c>
      <c r="G1186">
        <v>609.87</v>
      </c>
      <c r="H1186">
        <f>E1186*1000000/D1186</f>
        <v>1184727.5067460004</v>
      </c>
      <c r="I1186" t="str">
        <f>IF(AND(B1186&gt;=2018, B1186&lt;=2021), "2018-2021", IF(AND(B1186&gt;=2022, B1186&lt;=2024), "2022-2024", "Other"))</f>
        <v>2022-2024</v>
      </c>
    </row>
    <row r="1187" spans="1:9" x14ac:dyDescent="0.3">
      <c r="A1187" t="s">
        <v>5</v>
      </c>
      <c r="B1187">
        <v>2024</v>
      </c>
      <c r="C1187" t="s">
        <v>0</v>
      </c>
      <c r="D1187">
        <v>45901.37</v>
      </c>
      <c r="E1187">
        <v>45831.98</v>
      </c>
      <c r="F1187">
        <v>85.68</v>
      </c>
      <c r="G1187">
        <v>1026.24</v>
      </c>
      <c r="H1187">
        <f>E1187*1000000/D1187</f>
        <v>998488.28041515965</v>
      </c>
      <c r="I1187" t="str">
        <f>IF(AND(B1187&gt;=2018, B1187&lt;=2021), "2018-2021", IF(AND(B1187&gt;=2022, B1187&lt;=2024), "2022-2024", "Other"))</f>
        <v>2022-2024</v>
      </c>
    </row>
    <row r="1188" spans="1:9" x14ac:dyDescent="0.3">
      <c r="A1188" t="s">
        <v>23</v>
      </c>
      <c r="B1188">
        <v>2019</v>
      </c>
      <c r="C1188" t="s">
        <v>4</v>
      </c>
      <c r="D1188">
        <v>48620.25</v>
      </c>
      <c r="E1188">
        <v>50301.37</v>
      </c>
      <c r="F1188">
        <v>173.14</v>
      </c>
      <c r="G1188">
        <v>516.41</v>
      </c>
      <c r="H1188">
        <f>E1188*1000000/D1188</f>
        <v>1034576.5396105532</v>
      </c>
      <c r="I1188" t="str">
        <f>IF(AND(B1188&gt;=2018, B1188&lt;=2021), "2018-2021", IF(AND(B1188&gt;=2022, B1188&lt;=2024), "2022-2024", "Other"))</f>
        <v>2018-2021</v>
      </c>
    </row>
    <row r="1189" spans="1:9" x14ac:dyDescent="0.3">
      <c r="A1189" t="s">
        <v>21</v>
      </c>
      <c r="B1189">
        <v>2020</v>
      </c>
      <c r="C1189" t="s">
        <v>8</v>
      </c>
      <c r="D1189">
        <v>32827.879999999997</v>
      </c>
      <c r="E1189">
        <v>34463.61</v>
      </c>
      <c r="F1189">
        <v>140.44</v>
      </c>
      <c r="G1189">
        <v>437.66</v>
      </c>
      <c r="H1189">
        <f>E1189*1000000/D1189</f>
        <v>1049827.4637290011</v>
      </c>
      <c r="I1189" t="str">
        <f>IF(AND(B1189&gt;=2018, B1189&lt;=2021), "2018-2021", IF(AND(B1189&gt;=2022, B1189&lt;=2024), "2022-2024", "Other"))</f>
        <v>2018-2021</v>
      </c>
    </row>
    <row r="1190" spans="1:9" x14ac:dyDescent="0.3">
      <c r="A1190" t="s">
        <v>13</v>
      </c>
      <c r="B1190">
        <v>2023</v>
      </c>
      <c r="C1190" t="s">
        <v>0</v>
      </c>
      <c r="D1190">
        <v>40840.5</v>
      </c>
      <c r="E1190">
        <v>38524.82</v>
      </c>
      <c r="F1190">
        <v>141.79</v>
      </c>
      <c r="G1190">
        <v>1368.67</v>
      </c>
      <c r="H1190">
        <f>E1190*1000000/D1190</f>
        <v>943299.42091796128</v>
      </c>
      <c r="I1190" t="str">
        <f>IF(AND(B1190&gt;=2018, B1190&lt;=2021), "2018-2021", IF(AND(B1190&gt;=2022, B1190&lt;=2024), "2022-2024", "Other"))</f>
        <v>2022-2024</v>
      </c>
    </row>
    <row r="1191" spans="1:9" x14ac:dyDescent="0.3">
      <c r="A1191" t="s">
        <v>18</v>
      </c>
      <c r="B1191">
        <v>2023</v>
      </c>
      <c r="C1191" t="s">
        <v>6</v>
      </c>
      <c r="D1191">
        <v>18777.45</v>
      </c>
      <c r="E1191">
        <v>20043.849999999999</v>
      </c>
      <c r="F1191">
        <v>126.6</v>
      </c>
      <c r="G1191">
        <v>744.7</v>
      </c>
      <c r="H1191">
        <f>E1191*1000000/D1191</f>
        <v>1067442.5973707824</v>
      </c>
      <c r="I1191" t="str">
        <f>IF(AND(B1191&gt;=2018, B1191&lt;=2021), "2018-2021", IF(AND(B1191&gt;=2022, B1191&lt;=2024), "2022-2024", "Other"))</f>
        <v>2022-2024</v>
      </c>
    </row>
    <row r="1192" spans="1:9" x14ac:dyDescent="0.3">
      <c r="A1192" t="s">
        <v>16</v>
      </c>
      <c r="B1192">
        <v>2023</v>
      </c>
      <c r="C1192" t="s">
        <v>4</v>
      </c>
      <c r="D1192">
        <v>26903.69</v>
      </c>
      <c r="E1192">
        <v>24908.69</v>
      </c>
      <c r="F1192">
        <v>35.1</v>
      </c>
      <c r="G1192">
        <v>623.29999999999995</v>
      </c>
      <c r="H1192">
        <f>E1192*1000000/D1192</f>
        <v>925846.60319829732</v>
      </c>
      <c r="I1192" t="str">
        <f>IF(AND(B1192&gt;=2018, B1192&lt;=2021), "2018-2021", IF(AND(B1192&gt;=2022, B1192&lt;=2024), "2022-2024", "Other"))</f>
        <v>2022-2024</v>
      </c>
    </row>
    <row r="1193" spans="1:9" x14ac:dyDescent="0.3">
      <c r="A1193" t="s">
        <v>17</v>
      </c>
      <c r="B1193">
        <v>2022</v>
      </c>
      <c r="C1193" t="s">
        <v>14</v>
      </c>
      <c r="D1193">
        <v>25753.42</v>
      </c>
      <c r="E1193">
        <v>25942.47</v>
      </c>
      <c r="F1193">
        <v>71.510000000000005</v>
      </c>
      <c r="G1193">
        <v>577.14</v>
      </c>
      <c r="H1193">
        <f>E1193*1000000/D1193</f>
        <v>1007340.7726041824</v>
      </c>
      <c r="I1193" t="str">
        <f>IF(AND(B1193&gt;=2018, B1193&lt;=2021), "2018-2021", IF(AND(B1193&gt;=2022, B1193&lt;=2024), "2022-2024", "Other"))</f>
        <v>2022-2024</v>
      </c>
    </row>
    <row r="1194" spans="1:9" x14ac:dyDescent="0.3">
      <c r="A1194" t="s">
        <v>7</v>
      </c>
      <c r="B1194">
        <v>2019</v>
      </c>
      <c r="C1194" t="s">
        <v>14</v>
      </c>
      <c r="D1194">
        <v>27999.75</v>
      </c>
      <c r="E1194">
        <v>26735.279999999999</v>
      </c>
      <c r="F1194">
        <v>92.09</v>
      </c>
      <c r="G1194">
        <v>593.34</v>
      </c>
      <c r="H1194">
        <f>E1194*1000000/D1194</f>
        <v>954839.95392816002</v>
      </c>
      <c r="I1194" t="str">
        <f>IF(AND(B1194&gt;=2018, B1194&lt;=2021), "2018-2021", IF(AND(B1194&gt;=2022, B1194&lt;=2024), "2022-2024", "Other"))</f>
        <v>2018-2021</v>
      </c>
    </row>
    <row r="1195" spans="1:9" x14ac:dyDescent="0.3">
      <c r="A1195" t="s">
        <v>5</v>
      </c>
      <c r="B1195">
        <v>2021</v>
      </c>
      <c r="C1195" t="s">
        <v>6</v>
      </c>
      <c r="D1195">
        <v>12115.15</v>
      </c>
      <c r="E1195">
        <v>14281.97</v>
      </c>
      <c r="F1195">
        <v>190.82</v>
      </c>
      <c r="G1195">
        <v>58.01</v>
      </c>
      <c r="H1195">
        <f>E1195*1000000/D1195</f>
        <v>1178852.0984057151</v>
      </c>
      <c r="I1195" t="str">
        <f>IF(AND(B1195&gt;=2018, B1195&lt;=2021), "2018-2021", IF(AND(B1195&gt;=2022, B1195&lt;=2024), "2022-2024", "Other"))</f>
        <v>2018-2021</v>
      </c>
    </row>
    <row r="1196" spans="1:9" x14ac:dyDescent="0.3">
      <c r="A1196" t="s">
        <v>21</v>
      </c>
      <c r="B1196">
        <v>2023</v>
      </c>
      <c r="C1196" t="s">
        <v>6</v>
      </c>
      <c r="D1196">
        <v>12372.33</v>
      </c>
      <c r="E1196">
        <v>12415.82</v>
      </c>
      <c r="F1196">
        <v>138.16999999999999</v>
      </c>
      <c r="G1196">
        <v>1138.27</v>
      </c>
      <c r="H1196">
        <f>E1196*1000000/D1196</f>
        <v>1003515.1018441959</v>
      </c>
      <c r="I1196" t="str">
        <f>IF(AND(B1196&gt;=2018, B1196&lt;=2021), "2018-2021", IF(AND(B1196&gt;=2022, B1196&lt;=2024), "2022-2024", "Other"))</f>
        <v>2022-2024</v>
      </c>
    </row>
    <row r="1197" spans="1:9" x14ac:dyDescent="0.3">
      <c r="A1197" t="s">
        <v>11</v>
      </c>
      <c r="B1197">
        <v>2024</v>
      </c>
      <c r="C1197" t="s">
        <v>6</v>
      </c>
      <c r="D1197">
        <v>17657.47</v>
      </c>
      <c r="E1197">
        <v>18438.18</v>
      </c>
      <c r="F1197">
        <v>75.73</v>
      </c>
      <c r="G1197">
        <v>276.64</v>
      </c>
      <c r="H1197">
        <f>E1197*1000000/D1197</f>
        <v>1044214.1484595471</v>
      </c>
      <c r="I1197" t="str">
        <f>IF(AND(B1197&gt;=2018, B1197&lt;=2021), "2018-2021", IF(AND(B1197&gt;=2022, B1197&lt;=2024), "2022-2024", "Other"))</f>
        <v>2022-2024</v>
      </c>
    </row>
    <row r="1198" spans="1:9" x14ac:dyDescent="0.3">
      <c r="A1198" t="s">
        <v>15</v>
      </c>
      <c r="B1198">
        <v>2019</v>
      </c>
      <c r="C1198" t="s">
        <v>12</v>
      </c>
      <c r="D1198">
        <v>3536.85</v>
      </c>
      <c r="E1198">
        <v>3057.2</v>
      </c>
      <c r="F1198">
        <v>48.25</v>
      </c>
      <c r="G1198">
        <v>113.82</v>
      </c>
      <c r="H1198">
        <f>E1198*1000000/D1198</f>
        <v>864384.97533115628</v>
      </c>
      <c r="I1198" t="str">
        <f>IF(AND(B1198&gt;=2018, B1198&lt;=2021), "2018-2021", IF(AND(B1198&gt;=2022, B1198&lt;=2024), "2022-2024", "Other"))</f>
        <v>2018-2021</v>
      </c>
    </row>
    <row r="1199" spans="1:9" x14ac:dyDescent="0.3">
      <c r="A1199" t="s">
        <v>7</v>
      </c>
      <c r="B1199">
        <v>2023</v>
      </c>
      <c r="C1199" t="s">
        <v>12</v>
      </c>
      <c r="D1199">
        <v>18031.41</v>
      </c>
      <c r="E1199">
        <v>19215.43</v>
      </c>
      <c r="F1199">
        <v>85.46</v>
      </c>
      <c r="G1199">
        <v>365.47</v>
      </c>
      <c r="H1199">
        <f>E1199*1000000/D1199</f>
        <v>1065664.304677227</v>
      </c>
      <c r="I1199" t="str">
        <f>IF(AND(B1199&gt;=2018, B1199&lt;=2021), "2018-2021", IF(AND(B1199&gt;=2022, B1199&lt;=2024), "2022-2024", "Other"))</f>
        <v>2022-2024</v>
      </c>
    </row>
    <row r="1200" spans="1:9" x14ac:dyDescent="0.3">
      <c r="A1200" t="s">
        <v>23</v>
      </c>
      <c r="B1200">
        <v>2023</v>
      </c>
      <c r="C1200" t="s">
        <v>0</v>
      </c>
      <c r="D1200">
        <v>5790.86</v>
      </c>
      <c r="E1200">
        <v>5547.58</v>
      </c>
      <c r="F1200">
        <v>28.85</v>
      </c>
      <c r="G1200">
        <v>1214.8599999999999</v>
      </c>
      <c r="H1200">
        <f>E1200*1000000/D1200</f>
        <v>957988.96882328368</v>
      </c>
      <c r="I1200" t="str">
        <f>IF(AND(B1200&gt;=2018, B1200&lt;=2021), "2018-2021", IF(AND(B1200&gt;=2022, B1200&lt;=2024), "2022-2024", "Other"))</f>
        <v>2022-2024</v>
      </c>
    </row>
    <row r="1201" spans="1:9" x14ac:dyDescent="0.3">
      <c r="A1201" t="s">
        <v>15</v>
      </c>
      <c r="B1201">
        <v>2018</v>
      </c>
      <c r="C1201" t="s">
        <v>12</v>
      </c>
      <c r="D1201">
        <v>13636.34</v>
      </c>
      <c r="E1201">
        <v>15668.2</v>
      </c>
      <c r="F1201">
        <v>37.1</v>
      </c>
      <c r="G1201">
        <v>979.09</v>
      </c>
      <c r="H1201">
        <f>E1201*1000000/D1201</f>
        <v>1149003.3249390966</v>
      </c>
      <c r="I1201" t="str">
        <f>IF(AND(B1201&gt;=2018, B1201&lt;=2021), "2018-2021", IF(AND(B1201&gt;=2022, B1201&lt;=2024), "2022-2024", "Other"))</f>
        <v>2018-2021</v>
      </c>
    </row>
    <row r="1202" spans="1:9" x14ac:dyDescent="0.3">
      <c r="A1202" t="s">
        <v>21</v>
      </c>
      <c r="B1202">
        <v>2018</v>
      </c>
      <c r="C1202" t="s">
        <v>8</v>
      </c>
      <c r="D1202">
        <v>49181.19</v>
      </c>
      <c r="E1202">
        <v>58225.68</v>
      </c>
      <c r="F1202">
        <v>87.31</v>
      </c>
      <c r="G1202">
        <v>222.31</v>
      </c>
      <c r="H1202">
        <f>E1202*1000000/D1202</f>
        <v>1183901.4062083492</v>
      </c>
      <c r="I1202" t="str">
        <f>IF(AND(B1202&gt;=2018, B1202&lt;=2021), "2018-2021", IF(AND(B1202&gt;=2022, B1202&lt;=2024), "2022-2024", "Other"))</f>
        <v>2018-2021</v>
      </c>
    </row>
    <row r="1203" spans="1:9" x14ac:dyDescent="0.3">
      <c r="A1203" t="s">
        <v>1</v>
      </c>
      <c r="B1203">
        <v>2023</v>
      </c>
      <c r="C1203" t="s">
        <v>0</v>
      </c>
      <c r="D1203">
        <v>44497.57</v>
      </c>
      <c r="E1203">
        <v>46476.28</v>
      </c>
      <c r="F1203">
        <v>172.75</v>
      </c>
      <c r="G1203">
        <v>247.47</v>
      </c>
      <c r="H1203">
        <f>E1203*1000000/D1203</f>
        <v>1044467.821501264</v>
      </c>
      <c r="I1203" t="str">
        <f>IF(AND(B1203&gt;=2018, B1203&lt;=2021), "2018-2021", IF(AND(B1203&gt;=2022, B1203&lt;=2024), "2022-2024", "Other"))</f>
        <v>2022-2024</v>
      </c>
    </row>
    <row r="1204" spans="1:9" x14ac:dyDescent="0.3">
      <c r="A1204" t="s">
        <v>27</v>
      </c>
      <c r="B1204">
        <v>2024</v>
      </c>
      <c r="C1204" t="s">
        <v>6</v>
      </c>
      <c r="D1204">
        <v>30053.52</v>
      </c>
      <c r="E1204">
        <v>34959.69</v>
      </c>
      <c r="F1204">
        <v>133.09</v>
      </c>
      <c r="G1204">
        <v>1193.69</v>
      </c>
      <c r="H1204">
        <f>E1204*1000000/D1204</f>
        <v>1163247.7659854819</v>
      </c>
      <c r="I1204" t="str">
        <f>IF(AND(B1204&gt;=2018, B1204&lt;=2021), "2018-2021", IF(AND(B1204&gt;=2022, B1204&lt;=2024), "2022-2024", "Other"))</f>
        <v>2022-2024</v>
      </c>
    </row>
    <row r="1205" spans="1:9" x14ac:dyDescent="0.3">
      <c r="A1205" t="s">
        <v>23</v>
      </c>
      <c r="B1205">
        <v>2021</v>
      </c>
      <c r="C1205" t="s">
        <v>0</v>
      </c>
      <c r="D1205">
        <v>11568.16</v>
      </c>
      <c r="E1205">
        <v>9672.02</v>
      </c>
      <c r="F1205">
        <v>97.03</v>
      </c>
      <c r="G1205">
        <v>1370.86</v>
      </c>
      <c r="H1205">
        <f>E1205*1000000/D1205</f>
        <v>836089.74979599181</v>
      </c>
      <c r="I1205" t="str">
        <f>IF(AND(B1205&gt;=2018, B1205&lt;=2021), "2018-2021", IF(AND(B1205&gt;=2022, B1205&lt;=2024), "2022-2024", "Other"))</f>
        <v>2018-2021</v>
      </c>
    </row>
    <row r="1206" spans="1:9" x14ac:dyDescent="0.3">
      <c r="A1206" t="s">
        <v>20</v>
      </c>
      <c r="B1206">
        <v>2020</v>
      </c>
      <c r="C1206" t="s">
        <v>9</v>
      </c>
      <c r="D1206">
        <v>5266.26</v>
      </c>
      <c r="E1206">
        <v>5549.69</v>
      </c>
      <c r="F1206">
        <v>25.38</v>
      </c>
      <c r="G1206">
        <v>1303.24</v>
      </c>
      <c r="H1206">
        <f>E1206*1000000/D1206</f>
        <v>1053819.9785046694</v>
      </c>
      <c r="I1206" t="str">
        <f>IF(AND(B1206&gt;=2018, B1206&lt;=2021), "2018-2021", IF(AND(B1206&gt;=2022, B1206&lt;=2024), "2022-2024", "Other"))</f>
        <v>2018-2021</v>
      </c>
    </row>
    <row r="1207" spans="1:9" x14ac:dyDescent="0.3">
      <c r="A1207" t="s">
        <v>21</v>
      </c>
      <c r="B1207">
        <v>2019</v>
      </c>
      <c r="C1207" t="s">
        <v>14</v>
      </c>
      <c r="D1207">
        <v>31877.19</v>
      </c>
      <c r="E1207">
        <v>35845.519999999997</v>
      </c>
      <c r="F1207">
        <v>130.19</v>
      </c>
      <c r="G1207">
        <v>887.49</v>
      </c>
      <c r="H1207">
        <f>E1207*1000000/D1207</f>
        <v>1124488.0743879871</v>
      </c>
      <c r="I1207" t="str">
        <f>IF(AND(B1207&gt;=2018, B1207&lt;=2021), "2018-2021", IF(AND(B1207&gt;=2022, B1207&lt;=2024), "2022-2024", "Other"))</f>
        <v>2018-2021</v>
      </c>
    </row>
    <row r="1208" spans="1:9" x14ac:dyDescent="0.3">
      <c r="A1208" t="s">
        <v>17</v>
      </c>
      <c r="B1208">
        <v>2024</v>
      </c>
      <c r="C1208" t="s">
        <v>6</v>
      </c>
      <c r="D1208">
        <v>4538.1099999999997</v>
      </c>
      <c r="E1208">
        <v>4999.1400000000003</v>
      </c>
      <c r="F1208">
        <v>26.16</v>
      </c>
      <c r="G1208">
        <v>932.89</v>
      </c>
      <c r="H1208">
        <f>E1208*1000000/D1208</f>
        <v>1101590.7503343904</v>
      </c>
      <c r="I1208" t="str">
        <f>IF(AND(B1208&gt;=2018, B1208&lt;=2021), "2018-2021", IF(AND(B1208&gt;=2022, B1208&lt;=2024), "2022-2024", "Other"))</f>
        <v>2022-2024</v>
      </c>
    </row>
    <row r="1209" spans="1:9" x14ac:dyDescent="0.3">
      <c r="A1209" t="s">
        <v>15</v>
      </c>
      <c r="B1209">
        <v>2022</v>
      </c>
      <c r="C1209" t="s">
        <v>14</v>
      </c>
      <c r="D1209">
        <v>6965.54</v>
      </c>
      <c r="E1209">
        <v>6131.14</v>
      </c>
      <c r="F1209">
        <v>174.3</v>
      </c>
      <c r="G1209">
        <v>84.59</v>
      </c>
      <c r="H1209">
        <f>E1209*1000000/D1209</f>
        <v>880210.29238221305</v>
      </c>
      <c r="I1209" t="str">
        <f>IF(AND(B1209&gt;=2018, B1209&lt;=2021), "2018-2021", IF(AND(B1209&gt;=2022, B1209&lt;=2024), "2022-2024", "Other"))</f>
        <v>2022-2024</v>
      </c>
    </row>
    <row r="1210" spans="1:9" x14ac:dyDescent="0.3">
      <c r="A1210" t="s">
        <v>22</v>
      </c>
      <c r="B1210">
        <v>2019</v>
      </c>
      <c r="C1210" t="s">
        <v>12</v>
      </c>
      <c r="D1210">
        <v>27308.53</v>
      </c>
      <c r="E1210">
        <v>30169.81</v>
      </c>
      <c r="F1210">
        <v>145.63</v>
      </c>
      <c r="G1210">
        <v>1217.18</v>
      </c>
      <c r="H1210">
        <f>E1210*1000000/D1210</f>
        <v>1104776.0534895142</v>
      </c>
      <c r="I1210" t="str">
        <f>IF(AND(B1210&gt;=2018, B1210&lt;=2021), "2018-2021", IF(AND(B1210&gt;=2022, B1210&lt;=2024), "2022-2024", "Other"))</f>
        <v>2018-2021</v>
      </c>
    </row>
    <row r="1211" spans="1:9" x14ac:dyDescent="0.3">
      <c r="A1211" t="s">
        <v>16</v>
      </c>
      <c r="B1211">
        <v>2022</v>
      </c>
      <c r="C1211" t="s">
        <v>2</v>
      </c>
      <c r="D1211">
        <v>13803</v>
      </c>
      <c r="E1211">
        <v>12865.32</v>
      </c>
      <c r="F1211">
        <v>185.07</v>
      </c>
      <c r="G1211">
        <v>957.42</v>
      </c>
      <c r="H1211">
        <f>E1211*1000000/D1211</f>
        <v>932066.94196913717</v>
      </c>
      <c r="I1211" t="str">
        <f>IF(AND(B1211&gt;=2018, B1211&lt;=2021), "2018-2021", IF(AND(B1211&gt;=2022, B1211&lt;=2024), "2022-2024", "Other"))</f>
        <v>2022-2024</v>
      </c>
    </row>
    <row r="1212" spans="1:9" x14ac:dyDescent="0.3">
      <c r="A1212" t="s">
        <v>7</v>
      </c>
      <c r="B1212">
        <v>2022</v>
      </c>
      <c r="C1212" t="s">
        <v>12</v>
      </c>
      <c r="D1212">
        <v>2428.52</v>
      </c>
      <c r="E1212">
        <v>2418.17</v>
      </c>
      <c r="F1212">
        <v>52.27</v>
      </c>
      <c r="G1212">
        <v>70.69</v>
      </c>
      <c r="H1212">
        <f>E1212*1000000/D1212</f>
        <v>995738.14504307148</v>
      </c>
      <c r="I1212" t="str">
        <f>IF(AND(B1212&gt;=2018, B1212&lt;=2021), "2018-2021", IF(AND(B1212&gt;=2022, B1212&lt;=2024), "2022-2024", "Other"))</f>
        <v>2022-2024</v>
      </c>
    </row>
    <row r="1213" spans="1:9" x14ac:dyDescent="0.3">
      <c r="A1213" t="s">
        <v>1</v>
      </c>
      <c r="B1213">
        <v>2021</v>
      </c>
      <c r="C1213" t="s">
        <v>2</v>
      </c>
      <c r="D1213">
        <v>2584.39</v>
      </c>
      <c r="E1213">
        <v>2194.85</v>
      </c>
      <c r="F1213">
        <v>43.57</v>
      </c>
      <c r="G1213">
        <v>1142.6300000000001</v>
      </c>
      <c r="H1213">
        <f>E1213*1000000/D1213</f>
        <v>849271.9752049807</v>
      </c>
      <c r="I1213" t="str">
        <f>IF(AND(B1213&gt;=2018, B1213&lt;=2021), "2018-2021", IF(AND(B1213&gt;=2022, B1213&lt;=2024), "2022-2024", "Other"))</f>
        <v>2018-2021</v>
      </c>
    </row>
    <row r="1214" spans="1:9" x14ac:dyDescent="0.3">
      <c r="A1214" t="s">
        <v>10</v>
      </c>
      <c r="B1214">
        <v>2020</v>
      </c>
      <c r="C1214" t="s">
        <v>12</v>
      </c>
      <c r="D1214">
        <v>17092.310000000001</v>
      </c>
      <c r="E1214">
        <v>14508.6</v>
      </c>
      <c r="F1214">
        <v>109.47</v>
      </c>
      <c r="G1214">
        <v>834.86</v>
      </c>
      <c r="H1214">
        <f>E1214*1000000/D1214</f>
        <v>848837.86919380701</v>
      </c>
      <c r="I1214" t="str">
        <f>IF(AND(B1214&gt;=2018, B1214&lt;=2021), "2018-2021", IF(AND(B1214&gt;=2022, B1214&lt;=2024), "2022-2024", "Other"))</f>
        <v>2018-2021</v>
      </c>
    </row>
    <row r="1215" spans="1:9" x14ac:dyDescent="0.3">
      <c r="A1215" t="s">
        <v>7</v>
      </c>
      <c r="B1215">
        <v>2024</v>
      </c>
      <c r="C1215" t="s">
        <v>9</v>
      </c>
      <c r="D1215">
        <v>27988.79</v>
      </c>
      <c r="E1215">
        <v>32506.92</v>
      </c>
      <c r="F1215">
        <v>60.95</v>
      </c>
      <c r="G1215">
        <v>543.37</v>
      </c>
      <c r="H1215">
        <f>E1215*1000000/D1215</f>
        <v>1161426.4139321493</v>
      </c>
      <c r="I1215" t="str">
        <f>IF(AND(B1215&gt;=2018, B1215&lt;=2021), "2018-2021", IF(AND(B1215&gt;=2022, B1215&lt;=2024), "2022-2024", "Other"))</f>
        <v>2022-2024</v>
      </c>
    </row>
    <row r="1216" spans="1:9" x14ac:dyDescent="0.3">
      <c r="A1216" t="s">
        <v>22</v>
      </c>
      <c r="B1216">
        <v>2018</v>
      </c>
      <c r="C1216" t="s">
        <v>14</v>
      </c>
      <c r="D1216">
        <v>28969</v>
      </c>
      <c r="E1216">
        <v>23933.02</v>
      </c>
      <c r="F1216">
        <v>164.35</v>
      </c>
      <c r="G1216">
        <v>855.14</v>
      </c>
      <c r="H1216">
        <f>E1216*1000000/D1216</f>
        <v>826159.68794228311</v>
      </c>
      <c r="I1216" t="str">
        <f>IF(AND(B1216&gt;=2018, B1216&lt;=2021), "2018-2021", IF(AND(B1216&gt;=2022, B1216&lt;=2024), "2022-2024", "Other"))</f>
        <v>2018-2021</v>
      </c>
    </row>
    <row r="1217" spans="1:9" x14ac:dyDescent="0.3">
      <c r="A1217" t="s">
        <v>21</v>
      </c>
      <c r="B1217">
        <v>2024</v>
      </c>
      <c r="C1217" t="s">
        <v>0</v>
      </c>
      <c r="D1217">
        <v>46936.57</v>
      </c>
      <c r="E1217">
        <v>47407.6</v>
      </c>
      <c r="F1217">
        <v>87.18</v>
      </c>
      <c r="G1217">
        <v>1057.21</v>
      </c>
      <c r="H1217">
        <f>E1217*1000000/D1217</f>
        <v>1010035.4584921736</v>
      </c>
      <c r="I1217" t="str">
        <f>IF(AND(B1217&gt;=2018, B1217&lt;=2021), "2018-2021", IF(AND(B1217&gt;=2022, B1217&lt;=2024), "2022-2024", "Other"))</f>
        <v>2022-2024</v>
      </c>
    </row>
    <row r="1218" spans="1:9" x14ac:dyDescent="0.3">
      <c r="A1218" t="s">
        <v>5</v>
      </c>
      <c r="B1218">
        <v>2021</v>
      </c>
      <c r="C1218" t="s">
        <v>8</v>
      </c>
      <c r="D1218">
        <v>3242.71</v>
      </c>
      <c r="E1218">
        <v>3746.18</v>
      </c>
      <c r="F1218">
        <v>160.22</v>
      </c>
      <c r="G1218">
        <v>966.49</v>
      </c>
      <c r="H1218">
        <f>E1218*1000000/D1218</f>
        <v>1155262.1110120856</v>
      </c>
      <c r="I1218" t="str">
        <f>IF(AND(B1218&gt;=2018, B1218&lt;=2021), "2018-2021", IF(AND(B1218&gt;=2022, B1218&lt;=2024), "2022-2024", "Other"))</f>
        <v>2018-2021</v>
      </c>
    </row>
    <row r="1219" spans="1:9" x14ac:dyDescent="0.3">
      <c r="A1219" t="s">
        <v>17</v>
      </c>
      <c r="B1219">
        <v>2022</v>
      </c>
      <c r="C1219" t="s">
        <v>12</v>
      </c>
      <c r="D1219">
        <v>46965.32</v>
      </c>
      <c r="E1219">
        <v>54387.08</v>
      </c>
      <c r="F1219">
        <v>173.34</v>
      </c>
      <c r="G1219">
        <v>948.45</v>
      </c>
      <c r="H1219">
        <f>E1219*1000000/D1219</f>
        <v>1158026.3905366769</v>
      </c>
      <c r="I1219" t="str">
        <f>IF(AND(B1219&gt;=2018, B1219&lt;=2021), "2018-2021", IF(AND(B1219&gt;=2022, B1219&lt;=2024), "2022-2024", "Other"))</f>
        <v>2022-2024</v>
      </c>
    </row>
    <row r="1220" spans="1:9" x14ac:dyDescent="0.3">
      <c r="A1220" t="s">
        <v>23</v>
      </c>
      <c r="B1220">
        <v>2024</v>
      </c>
      <c r="C1220" t="s">
        <v>12</v>
      </c>
      <c r="D1220">
        <v>2283.1</v>
      </c>
      <c r="E1220">
        <v>2654.6</v>
      </c>
      <c r="F1220">
        <v>116.93</v>
      </c>
      <c r="G1220">
        <v>344.81</v>
      </c>
      <c r="H1220">
        <f>E1220*1000000/D1220</f>
        <v>1162717.3579781875</v>
      </c>
      <c r="I1220" t="str">
        <f>IF(AND(B1220&gt;=2018, B1220&lt;=2021), "2018-2021", IF(AND(B1220&gt;=2022, B1220&lt;=2024), "2022-2024", "Other"))</f>
        <v>2022-2024</v>
      </c>
    </row>
    <row r="1221" spans="1:9" x14ac:dyDescent="0.3">
      <c r="A1221" t="s">
        <v>27</v>
      </c>
      <c r="B1221">
        <v>2021</v>
      </c>
      <c r="C1221" t="s">
        <v>4</v>
      </c>
      <c r="D1221">
        <v>11088.64</v>
      </c>
      <c r="E1221">
        <v>11899.26</v>
      </c>
      <c r="F1221">
        <v>194.12</v>
      </c>
      <c r="G1221">
        <v>67.8</v>
      </c>
      <c r="H1221">
        <f>E1221*1000000/D1221</f>
        <v>1073103.6448112663</v>
      </c>
      <c r="I1221" t="str">
        <f>IF(AND(B1221&gt;=2018, B1221&lt;=2021), "2018-2021", IF(AND(B1221&gt;=2022, B1221&lt;=2024), "2022-2024", "Other"))</f>
        <v>2018-2021</v>
      </c>
    </row>
    <row r="1222" spans="1:9" x14ac:dyDescent="0.3">
      <c r="A1222" t="s">
        <v>20</v>
      </c>
      <c r="B1222">
        <v>2024</v>
      </c>
      <c r="C1222" t="s">
        <v>8</v>
      </c>
      <c r="D1222">
        <v>1899.36</v>
      </c>
      <c r="E1222">
        <v>2058.86</v>
      </c>
      <c r="F1222">
        <v>49.89</v>
      </c>
      <c r="G1222">
        <v>955.05</v>
      </c>
      <c r="H1222">
        <f>E1222*1000000/D1222</f>
        <v>1083975.6549574595</v>
      </c>
      <c r="I1222" t="str">
        <f>IF(AND(B1222&gt;=2018, B1222&lt;=2021), "2018-2021", IF(AND(B1222&gt;=2022, B1222&lt;=2024), "2022-2024", "Other"))</f>
        <v>2022-2024</v>
      </c>
    </row>
    <row r="1223" spans="1:9" x14ac:dyDescent="0.3">
      <c r="A1223" t="s">
        <v>19</v>
      </c>
      <c r="B1223">
        <v>2020</v>
      </c>
      <c r="C1223" t="s">
        <v>4</v>
      </c>
      <c r="D1223">
        <v>46552.07</v>
      </c>
      <c r="E1223">
        <v>47859.25</v>
      </c>
      <c r="F1223">
        <v>52.98</v>
      </c>
      <c r="G1223">
        <v>1217.9000000000001</v>
      </c>
      <c r="H1223">
        <f>E1223*1000000/D1223</f>
        <v>1028079.9543393023</v>
      </c>
      <c r="I1223" t="str">
        <f>IF(AND(B1223&gt;=2018, B1223&lt;=2021), "2018-2021", IF(AND(B1223&gt;=2022, B1223&lt;=2024), "2022-2024", "Other"))</f>
        <v>2018-2021</v>
      </c>
    </row>
    <row r="1224" spans="1:9" x14ac:dyDescent="0.3">
      <c r="A1224" t="s">
        <v>20</v>
      </c>
      <c r="B1224">
        <v>2024</v>
      </c>
      <c r="C1224" t="s">
        <v>4</v>
      </c>
      <c r="D1224">
        <v>37391.39</v>
      </c>
      <c r="E1224">
        <v>39782.839999999997</v>
      </c>
      <c r="F1224">
        <v>133.13</v>
      </c>
      <c r="G1224">
        <v>732.21</v>
      </c>
      <c r="H1224">
        <f>E1224*1000000/D1224</f>
        <v>1063957.2372142356</v>
      </c>
      <c r="I1224" t="str">
        <f>IF(AND(B1224&gt;=2018, B1224&lt;=2021), "2018-2021", IF(AND(B1224&gt;=2022, B1224&lt;=2024), "2022-2024", "Other"))</f>
        <v>2022-2024</v>
      </c>
    </row>
    <row r="1225" spans="1:9" x14ac:dyDescent="0.3">
      <c r="A1225" t="s">
        <v>18</v>
      </c>
      <c r="B1225">
        <v>2022</v>
      </c>
      <c r="C1225" t="s">
        <v>0</v>
      </c>
      <c r="D1225">
        <v>7366.15</v>
      </c>
      <c r="E1225">
        <v>6829.31</v>
      </c>
      <c r="F1225">
        <v>58.14</v>
      </c>
      <c r="G1225">
        <v>1384.79</v>
      </c>
      <c r="H1225">
        <f>E1225*1000000/D1225</f>
        <v>927120.68040971202</v>
      </c>
      <c r="I1225" t="str">
        <f>IF(AND(B1225&gt;=2018, B1225&lt;=2021), "2018-2021", IF(AND(B1225&gt;=2022, B1225&lt;=2024), "2022-2024", "Other"))</f>
        <v>2022-2024</v>
      </c>
    </row>
    <row r="1226" spans="1:9" x14ac:dyDescent="0.3">
      <c r="A1226" t="s">
        <v>26</v>
      </c>
      <c r="B1226">
        <v>2019</v>
      </c>
      <c r="C1226" t="s">
        <v>12</v>
      </c>
      <c r="D1226">
        <v>23779.37</v>
      </c>
      <c r="E1226">
        <v>21406.66</v>
      </c>
      <c r="F1226">
        <v>46.56</v>
      </c>
      <c r="G1226">
        <v>920.09</v>
      </c>
      <c r="H1226">
        <f>E1226*1000000/D1226</f>
        <v>900219.81238359131</v>
      </c>
      <c r="I1226" t="str">
        <f>IF(AND(B1226&gt;=2018, B1226&lt;=2021), "2018-2021", IF(AND(B1226&gt;=2022, B1226&lt;=2024), "2022-2024", "Other"))</f>
        <v>2018-2021</v>
      </c>
    </row>
    <row r="1227" spans="1:9" x14ac:dyDescent="0.3">
      <c r="A1227" t="s">
        <v>15</v>
      </c>
      <c r="B1227">
        <v>2020</v>
      </c>
      <c r="C1227" t="s">
        <v>2</v>
      </c>
      <c r="D1227">
        <v>10337.469999999999</v>
      </c>
      <c r="E1227">
        <v>9683.93</v>
      </c>
      <c r="F1227">
        <v>113.35</v>
      </c>
      <c r="G1227">
        <v>206.67</v>
      </c>
      <c r="H1227">
        <f>E1227*1000000/D1227</f>
        <v>936779.5021412397</v>
      </c>
      <c r="I1227" t="str">
        <f>IF(AND(B1227&gt;=2018, B1227&lt;=2021), "2018-2021", IF(AND(B1227&gt;=2022, B1227&lt;=2024), "2022-2024", "Other"))</f>
        <v>2018-2021</v>
      </c>
    </row>
    <row r="1228" spans="1:9" x14ac:dyDescent="0.3">
      <c r="A1228" t="s">
        <v>18</v>
      </c>
      <c r="B1228">
        <v>2021</v>
      </c>
      <c r="C1228" t="s">
        <v>8</v>
      </c>
      <c r="D1228">
        <v>41640.33</v>
      </c>
      <c r="E1228">
        <v>43340.61</v>
      </c>
      <c r="F1228">
        <v>191.43</v>
      </c>
      <c r="G1228">
        <v>344.95</v>
      </c>
      <c r="H1228">
        <f>E1228*1000000/D1228</f>
        <v>1040832.529425199</v>
      </c>
      <c r="I1228" t="str">
        <f>IF(AND(B1228&gt;=2018, B1228&lt;=2021), "2018-2021", IF(AND(B1228&gt;=2022, B1228&lt;=2024), "2022-2024", "Other"))</f>
        <v>2018-2021</v>
      </c>
    </row>
    <row r="1229" spans="1:9" x14ac:dyDescent="0.3">
      <c r="A1229" t="s">
        <v>26</v>
      </c>
      <c r="B1229">
        <v>2019</v>
      </c>
      <c r="C1229" t="s">
        <v>6</v>
      </c>
      <c r="D1229">
        <v>21968.71</v>
      </c>
      <c r="E1229">
        <v>22440.31</v>
      </c>
      <c r="F1229">
        <v>26.83</v>
      </c>
      <c r="G1229">
        <v>906.9</v>
      </c>
      <c r="H1229">
        <f>E1229*1000000/D1229</f>
        <v>1021466.8954162535</v>
      </c>
      <c r="I1229" t="str">
        <f>IF(AND(B1229&gt;=2018, B1229&lt;=2021), "2018-2021", IF(AND(B1229&gt;=2022, B1229&lt;=2024), "2022-2024", "Other"))</f>
        <v>2018-2021</v>
      </c>
    </row>
    <row r="1230" spans="1:9" x14ac:dyDescent="0.3">
      <c r="A1230" t="s">
        <v>7</v>
      </c>
      <c r="B1230">
        <v>2018</v>
      </c>
      <c r="C1230" t="s">
        <v>0</v>
      </c>
      <c r="D1230">
        <v>26762.3</v>
      </c>
      <c r="E1230">
        <v>31233.33</v>
      </c>
      <c r="F1230">
        <v>118.97</v>
      </c>
      <c r="G1230">
        <v>849.75</v>
      </c>
      <c r="H1230">
        <f>E1230*1000000/D1230</f>
        <v>1167064.4899728349</v>
      </c>
      <c r="I1230" t="str">
        <f>IF(AND(B1230&gt;=2018, B1230&lt;=2021), "2018-2021", IF(AND(B1230&gt;=2022, B1230&lt;=2024), "2022-2024", "Other"))</f>
        <v>2018-2021</v>
      </c>
    </row>
    <row r="1231" spans="1:9" x14ac:dyDescent="0.3">
      <c r="A1231" t="s">
        <v>13</v>
      </c>
      <c r="B1231">
        <v>2019</v>
      </c>
      <c r="C1231" t="s">
        <v>2</v>
      </c>
      <c r="D1231">
        <v>43125.3</v>
      </c>
      <c r="E1231">
        <v>42468.9</v>
      </c>
      <c r="F1231">
        <v>137.49</v>
      </c>
      <c r="G1231">
        <v>304.73</v>
      </c>
      <c r="H1231">
        <f>E1231*1000000/D1231</f>
        <v>984779.23631835601</v>
      </c>
      <c r="I1231" t="str">
        <f>IF(AND(B1231&gt;=2018, B1231&lt;=2021), "2018-2021", IF(AND(B1231&gt;=2022, B1231&lt;=2024), "2022-2024", "Other"))</f>
        <v>2018-2021</v>
      </c>
    </row>
    <row r="1232" spans="1:9" x14ac:dyDescent="0.3">
      <c r="A1232" t="s">
        <v>22</v>
      </c>
      <c r="B1232">
        <v>2022</v>
      </c>
      <c r="C1232" t="s">
        <v>12</v>
      </c>
      <c r="D1232">
        <v>8983.57</v>
      </c>
      <c r="E1232">
        <v>7739.29</v>
      </c>
      <c r="F1232">
        <v>190.57</v>
      </c>
      <c r="G1232">
        <v>146.56</v>
      </c>
      <c r="H1232">
        <f>E1232*1000000/D1232</f>
        <v>861493.81593286409</v>
      </c>
      <c r="I1232" t="str">
        <f>IF(AND(B1232&gt;=2018, B1232&lt;=2021), "2018-2021", IF(AND(B1232&gt;=2022, B1232&lt;=2024), "2022-2024", "Other"))</f>
        <v>2022-2024</v>
      </c>
    </row>
    <row r="1233" spans="1:9" x14ac:dyDescent="0.3">
      <c r="A1233" t="s">
        <v>23</v>
      </c>
      <c r="B1233">
        <v>2021</v>
      </c>
      <c r="C1233" t="s">
        <v>4</v>
      </c>
      <c r="D1233">
        <v>7873.09</v>
      </c>
      <c r="E1233">
        <v>6701.54</v>
      </c>
      <c r="F1233">
        <v>22.45</v>
      </c>
      <c r="G1233">
        <v>690.77</v>
      </c>
      <c r="H1233">
        <f>E1233*1000000/D1233</f>
        <v>851195.65507316694</v>
      </c>
      <c r="I1233" t="str">
        <f>IF(AND(B1233&gt;=2018, B1233&lt;=2021), "2018-2021", IF(AND(B1233&gt;=2022, B1233&lt;=2024), "2022-2024", "Other"))</f>
        <v>2018-2021</v>
      </c>
    </row>
    <row r="1234" spans="1:9" x14ac:dyDescent="0.3">
      <c r="A1234" t="s">
        <v>15</v>
      </c>
      <c r="B1234">
        <v>2024</v>
      </c>
      <c r="C1234" t="s">
        <v>9</v>
      </c>
      <c r="D1234">
        <v>24319.52</v>
      </c>
      <c r="E1234">
        <v>28927.51</v>
      </c>
      <c r="F1234">
        <v>77.55</v>
      </c>
      <c r="G1234">
        <v>162.22999999999999</v>
      </c>
      <c r="H1234">
        <f>E1234*1000000/D1234</f>
        <v>1189477.012704198</v>
      </c>
      <c r="I1234" t="str">
        <f>IF(AND(B1234&gt;=2018, B1234&lt;=2021), "2018-2021", IF(AND(B1234&gt;=2022, B1234&lt;=2024), "2022-2024", "Other"))</f>
        <v>2022-2024</v>
      </c>
    </row>
    <row r="1235" spans="1:9" x14ac:dyDescent="0.3">
      <c r="A1235" t="s">
        <v>16</v>
      </c>
      <c r="B1235">
        <v>2021</v>
      </c>
      <c r="C1235" t="s">
        <v>14</v>
      </c>
      <c r="D1235">
        <v>18546.11</v>
      </c>
      <c r="E1235">
        <v>20056.32</v>
      </c>
      <c r="F1235">
        <v>101.23</v>
      </c>
      <c r="G1235">
        <v>223.02</v>
      </c>
      <c r="H1235">
        <f>E1235*1000000/D1235</f>
        <v>1081430.0141646955</v>
      </c>
      <c r="I1235" t="str">
        <f>IF(AND(B1235&gt;=2018, B1235&lt;=2021), "2018-2021", IF(AND(B1235&gt;=2022, B1235&lt;=2024), "2022-2024", "Other"))</f>
        <v>2018-2021</v>
      </c>
    </row>
    <row r="1236" spans="1:9" x14ac:dyDescent="0.3">
      <c r="A1236" t="s">
        <v>13</v>
      </c>
      <c r="B1236">
        <v>2023</v>
      </c>
      <c r="C1236" t="s">
        <v>2</v>
      </c>
      <c r="D1236">
        <v>7137.78</v>
      </c>
      <c r="E1236">
        <v>8416.94</v>
      </c>
      <c r="F1236">
        <v>55.96</v>
      </c>
      <c r="G1236">
        <v>552.89</v>
      </c>
      <c r="H1236">
        <f>E1236*1000000/D1236</f>
        <v>1179209.7823132684</v>
      </c>
      <c r="I1236" t="str">
        <f>IF(AND(B1236&gt;=2018, B1236&lt;=2021), "2018-2021", IF(AND(B1236&gt;=2022, B1236&lt;=2024), "2022-2024", "Other"))</f>
        <v>2022-2024</v>
      </c>
    </row>
    <row r="1237" spans="1:9" x14ac:dyDescent="0.3">
      <c r="A1237" t="s">
        <v>18</v>
      </c>
      <c r="B1237">
        <v>2021</v>
      </c>
      <c r="C1237" t="s">
        <v>12</v>
      </c>
      <c r="D1237">
        <v>984.24</v>
      </c>
      <c r="E1237">
        <v>1145.43</v>
      </c>
      <c r="F1237">
        <v>66.260000000000005</v>
      </c>
      <c r="G1237">
        <v>250.68</v>
      </c>
      <c r="H1237">
        <f>E1237*1000000/D1237</f>
        <v>1163771.0314557424</v>
      </c>
      <c r="I1237" t="str">
        <f>IF(AND(B1237&gt;=2018, B1237&lt;=2021), "2018-2021", IF(AND(B1237&gt;=2022, B1237&lt;=2024), "2022-2024", "Other"))</f>
        <v>2018-2021</v>
      </c>
    </row>
    <row r="1238" spans="1:9" x14ac:dyDescent="0.3">
      <c r="A1238" t="s">
        <v>20</v>
      </c>
      <c r="B1238">
        <v>2018</v>
      </c>
      <c r="C1238" t="s">
        <v>12</v>
      </c>
      <c r="D1238">
        <v>6945.83</v>
      </c>
      <c r="E1238">
        <v>7957.41</v>
      </c>
      <c r="F1238">
        <v>138.30000000000001</v>
      </c>
      <c r="G1238">
        <v>423.6</v>
      </c>
      <c r="H1238">
        <f>E1238*1000000/D1238</f>
        <v>1145638.4622140191</v>
      </c>
      <c r="I1238" t="str">
        <f>IF(AND(B1238&gt;=2018, B1238&lt;=2021), "2018-2021", IF(AND(B1238&gt;=2022, B1238&lt;=2024), "2022-2024", "Other"))</f>
        <v>2018-2021</v>
      </c>
    </row>
    <row r="1239" spans="1:9" x14ac:dyDescent="0.3">
      <c r="A1239" t="s">
        <v>24</v>
      </c>
      <c r="B1239">
        <v>2020</v>
      </c>
      <c r="C1239" t="s">
        <v>8</v>
      </c>
      <c r="D1239">
        <v>26627.11</v>
      </c>
      <c r="E1239">
        <v>25354.01</v>
      </c>
      <c r="F1239">
        <v>192.78</v>
      </c>
      <c r="G1239">
        <v>909.69</v>
      </c>
      <c r="H1239">
        <f>E1239*1000000/D1239</f>
        <v>952187.82661730843</v>
      </c>
      <c r="I1239" t="str">
        <f>IF(AND(B1239&gt;=2018, B1239&lt;=2021), "2018-2021", IF(AND(B1239&gt;=2022, B1239&lt;=2024), "2022-2024", "Other"))</f>
        <v>2018-2021</v>
      </c>
    </row>
    <row r="1240" spans="1:9" x14ac:dyDescent="0.3">
      <c r="A1240" t="s">
        <v>11</v>
      </c>
      <c r="B1240">
        <v>2023</v>
      </c>
      <c r="C1240" t="s">
        <v>9</v>
      </c>
      <c r="D1240">
        <v>18189.87</v>
      </c>
      <c r="E1240">
        <v>16385.439999999999</v>
      </c>
      <c r="F1240">
        <v>92.06</v>
      </c>
      <c r="G1240">
        <v>922.1</v>
      </c>
      <c r="H1240">
        <f>E1240*1000000/D1240</f>
        <v>900800.28059573809</v>
      </c>
      <c r="I1240" t="str">
        <f>IF(AND(B1240&gt;=2018, B1240&lt;=2021), "2018-2021", IF(AND(B1240&gt;=2022, B1240&lt;=2024), "2022-2024", "Other"))</f>
        <v>2022-2024</v>
      </c>
    </row>
    <row r="1241" spans="1:9" x14ac:dyDescent="0.3">
      <c r="A1241" t="s">
        <v>25</v>
      </c>
      <c r="B1241">
        <v>2018</v>
      </c>
      <c r="C1241" t="s">
        <v>2</v>
      </c>
      <c r="D1241">
        <v>20373.650000000001</v>
      </c>
      <c r="E1241">
        <v>16421.79</v>
      </c>
      <c r="F1241">
        <v>152.54</v>
      </c>
      <c r="G1241">
        <v>1319.83</v>
      </c>
      <c r="H1241">
        <f>E1241*1000000/D1241</f>
        <v>806030.8290365251</v>
      </c>
      <c r="I1241" t="str">
        <f>IF(AND(B1241&gt;=2018, B1241&lt;=2021), "2018-2021", IF(AND(B1241&gt;=2022, B1241&lt;=2024), "2022-2024", "Other"))</f>
        <v>2018-2021</v>
      </c>
    </row>
    <row r="1242" spans="1:9" x14ac:dyDescent="0.3">
      <c r="A1242" t="s">
        <v>19</v>
      </c>
      <c r="B1242">
        <v>2019</v>
      </c>
      <c r="C1242" t="s">
        <v>8</v>
      </c>
      <c r="D1242">
        <v>16467.12</v>
      </c>
      <c r="E1242">
        <v>17287.740000000002</v>
      </c>
      <c r="F1242">
        <v>27.18</v>
      </c>
      <c r="G1242">
        <v>445.21</v>
      </c>
      <c r="H1242">
        <f>E1242*1000000/D1242</f>
        <v>1049833.8507279963</v>
      </c>
      <c r="I1242" t="str">
        <f>IF(AND(B1242&gt;=2018, B1242&lt;=2021), "2018-2021", IF(AND(B1242&gt;=2022, B1242&lt;=2024), "2022-2024", "Other"))</f>
        <v>2018-2021</v>
      </c>
    </row>
    <row r="1243" spans="1:9" x14ac:dyDescent="0.3">
      <c r="A1243" t="s">
        <v>21</v>
      </c>
      <c r="B1243">
        <v>2019</v>
      </c>
      <c r="C1243" t="s">
        <v>14</v>
      </c>
      <c r="D1243">
        <v>21037.73</v>
      </c>
      <c r="E1243">
        <v>22514.98</v>
      </c>
      <c r="F1243">
        <v>153.85</v>
      </c>
      <c r="G1243">
        <v>1030.98</v>
      </c>
      <c r="H1243">
        <f>E1243*1000000/D1243</f>
        <v>1070219.0778187572</v>
      </c>
      <c r="I1243" t="str">
        <f>IF(AND(B1243&gt;=2018, B1243&lt;=2021), "2018-2021", IF(AND(B1243&gt;=2022, B1243&lt;=2024), "2022-2024", "Other"))</f>
        <v>2018-2021</v>
      </c>
    </row>
    <row r="1244" spans="1:9" x14ac:dyDescent="0.3">
      <c r="A1244" t="s">
        <v>7</v>
      </c>
      <c r="B1244">
        <v>2019</v>
      </c>
      <c r="C1244" t="s">
        <v>4</v>
      </c>
      <c r="D1244">
        <v>36073.050000000003</v>
      </c>
      <c r="E1244">
        <v>31463.71</v>
      </c>
      <c r="F1244">
        <v>169.16</v>
      </c>
      <c r="G1244">
        <v>1279.81</v>
      </c>
      <c r="H1244">
        <f>E1244*1000000/D1244</f>
        <v>872222.06051331945</v>
      </c>
      <c r="I1244" t="str">
        <f>IF(AND(B1244&gt;=2018, B1244&lt;=2021), "2018-2021", IF(AND(B1244&gt;=2022, B1244&lt;=2024), "2022-2024", "Other"))</f>
        <v>2018-2021</v>
      </c>
    </row>
    <row r="1245" spans="1:9" x14ac:dyDescent="0.3">
      <c r="A1245" t="s">
        <v>15</v>
      </c>
      <c r="B1245">
        <v>2020</v>
      </c>
      <c r="C1245" t="s">
        <v>0</v>
      </c>
      <c r="D1245">
        <v>3079.36</v>
      </c>
      <c r="E1245">
        <v>3527</v>
      </c>
      <c r="F1245">
        <v>195.07</v>
      </c>
      <c r="G1245">
        <v>782.84</v>
      </c>
      <c r="H1245">
        <f>E1245*1000000/D1245</f>
        <v>1145367.8686480308</v>
      </c>
      <c r="I1245" t="str">
        <f>IF(AND(B1245&gt;=2018, B1245&lt;=2021), "2018-2021", IF(AND(B1245&gt;=2022, B1245&lt;=2024), "2022-2024", "Other"))</f>
        <v>2018-2021</v>
      </c>
    </row>
    <row r="1246" spans="1:9" x14ac:dyDescent="0.3">
      <c r="A1246" t="s">
        <v>27</v>
      </c>
      <c r="B1246">
        <v>2024</v>
      </c>
      <c r="C1246" t="s">
        <v>6</v>
      </c>
      <c r="D1246">
        <v>35706.01</v>
      </c>
      <c r="E1246">
        <v>31406.22</v>
      </c>
      <c r="F1246">
        <v>162.59</v>
      </c>
      <c r="G1246">
        <v>1276.55</v>
      </c>
      <c r="H1246">
        <f>E1246*1000000/D1246</f>
        <v>879577.97580855433</v>
      </c>
      <c r="I1246" t="str">
        <f>IF(AND(B1246&gt;=2018, B1246&lt;=2021), "2018-2021", IF(AND(B1246&gt;=2022, B1246&lt;=2024), "2022-2024", "Other"))</f>
        <v>2022-2024</v>
      </c>
    </row>
    <row r="1247" spans="1:9" x14ac:dyDescent="0.3">
      <c r="A1247" t="s">
        <v>19</v>
      </c>
      <c r="B1247">
        <v>2023</v>
      </c>
      <c r="C1247" t="s">
        <v>2</v>
      </c>
      <c r="D1247">
        <v>5754.93</v>
      </c>
      <c r="E1247">
        <v>4784.1400000000003</v>
      </c>
      <c r="F1247">
        <v>79.150000000000006</v>
      </c>
      <c r="G1247">
        <v>313.05</v>
      </c>
      <c r="H1247">
        <f>E1247*1000000/D1247</f>
        <v>831311.58849890437</v>
      </c>
      <c r="I1247" t="str">
        <f>IF(AND(B1247&gt;=2018, B1247&lt;=2021), "2018-2021", IF(AND(B1247&gt;=2022, B1247&lt;=2024), "2022-2024", "Other"))</f>
        <v>2022-2024</v>
      </c>
    </row>
    <row r="1248" spans="1:9" x14ac:dyDescent="0.3">
      <c r="A1248" t="s">
        <v>5</v>
      </c>
      <c r="B1248">
        <v>2020</v>
      </c>
      <c r="C1248" t="s">
        <v>2</v>
      </c>
      <c r="D1248">
        <v>13026.67</v>
      </c>
      <c r="E1248">
        <v>13313.56</v>
      </c>
      <c r="F1248">
        <v>158.25</v>
      </c>
      <c r="G1248">
        <v>1052.69</v>
      </c>
      <c r="H1248">
        <f>E1248*1000000/D1248</f>
        <v>1022023.2799326305</v>
      </c>
      <c r="I1248" t="str">
        <f>IF(AND(B1248&gt;=2018, B1248&lt;=2021), "2018-2021", IF(AND(B1248&gt;=2022, B1248&lt;=2024), "2022-2024", "Other"))</f>
        <v>2018-2021</v>
      </c>
    </row>
    <row r="1249" spans="1:9" x14ac:dyDescent="0.3">
      <c r="A1249" t="s">
        <v>25</v>
      </c>
      <c r="B1249">
        <v>2020</v>
      </c>
      <c r="C1249" t="s">
        <v>12</v>
      </c>
      <c r="D1249">
        <v>3279.14</v>
      </c>
      <c r="E1249">
        <v>2760.93</v>
      </c>
      <c r="F1249">
        <v>35.35</v>
      </c>
      <c r="G1249">
        <v>726.66</v>
      </c>
      <c r="H1249">
        <f>E1249*1000000/D1249</f>
        <v>841967.71104618895</v>
      </c>
      <c r="I1249" t="str">
        <f>IF(AND(B1249&gt;=2018, B1249&lt;=2021), "2018-2021", IF(AND(B1249&gt;=2022, B1249&lt;=2024), "2022-2024", "Other"))</f>
        <v>2018-2021</v>
      </c>
    </row>
    <row r="1250" spans="1:9" x14ac:dyDescent="0.3">
      <c r="A1250" t="s">
        <v>23</v>
      </c>
      <c r="B1250">
        <v>2023</v>
      </c>
      <c r="C1250" t="s">
        <v>9</v>
      </c>
      <c r="D1250">
        <v>13016.73</v>
      </c>
      <c r="E1250">
        <v>15553.12</v>
      </c>
      <c r="F1250">
        <v>92.19</v>
      </c>
      <c r="G1250">
        <v>746.25</v>
      </c>
      <c r="H1250">
        <f>E1250*1000000/D1250</f>
        <v>1194856.1581902674</v>
      </c>
      <c r="I1250" t="str">
        <f>IF(AND(B1250&gt;=2018, B1250&lt;=2021), "2018-2021", IF(AND(B1250&gt;=2022, B1250&lt;=2024), "2022-2024", "Other"))</f>
        <v>2022-2024</v>
      </c>
    </row>
    <row r="1251" spans="1:9" x14ac:dyDescent="0.3">
      <c r="A1251" t="s">
        <v>23</v>
      </c>
      <c r="B1251">
        <v>2019</v>
      </c>
      <c r="C1251" t="s">
        <v>4</v>
      </c>
      <c r="D1251">
        <v>9304.41</v>
      </c>
      <c r="E1251">
        <v>8444</v>
      </c>
      <c r="F1251">
        <v>140.97999999999999</v>
      </c>
      <c r="G1251">
        <v>148.06</v>
      </c>
      <c r="H1251">
        <f>E1251*1000000/D1251</f>
        <v>907526.64596680505</v>
      </c>
      <c r="I1251" t="str">
        <f>IF(AND(B1251&gt;=2018, B1251&lt;=2021), "2018-2021", IF(AND(B1251&gt;=2022, B1251&lt;=2024), "2022-2024", "Other"))</f>
        <v>2018-2021</v>
      </c>
    </row>
    <row r="1252" spans="1:9" x14ac:dyDescent="0.3">
      <c r="A1252" t="s">
        <v>10</v>
      </c>
      <c r="B1252">
        <v>2024</v>
      </c>
      <c r="C1252" t="s">
        <v>9</v>
      </c>
      <c r="D1252">
        <v>20686.919999999998</v>
      </c>
      <c r="E1252">
        <v>24116.77</v>
      </c>
      <c r="F1252">
        <v>84.96</v>
      </c>
      <c r="G1252">
        <v>894.16</v>
      </c>
      <c r="H1252">
        <f>E1252*1000000/D1252</f>
        <v>1165798.0018291753</v>
      </c>
      <c r="I1252" t="str">
        <f>IF(AND(B1252&gt;=2018, B1252&lt;=2021), "2018-2021", IF(AND(B1252&gt;=2022, B1252&lt;=2024), "2022-2024", "Other"))</f>
        <v>2022-2024</v>
      </c>
    </row>
    <row r="1253" spans="1:9" x14ac:dyDescent="0.3">
      <c r="A1253" t="s">
        <v>22</v>
      </c>
      <c r="B1253">
        <v>2019</v>
      </c>
      <c r="C1253" t="s">
        <v>4</v>
      </c>
      <c r="D1253">
        <v>48460.2</v>
      </c>
      <c r="E1253">
        <v>51958.64</v>
      </c>
      <c r="F1253">
        <v>102.93</v>
      </c>
      <c r="G1253">
        <v>900.43</v>
      </c>
      <c r="H1253">
        <f>E1253*1000000/D1253</f>
        <v>1072192.0256210251</v>
      </c>
      <c r="I1253" t="str">
        <f>IF(AND(B1253&gt;=2018, B1253&lt;=2021), "2018-2021", IF(AND(B1253&gt;=2022, B1253&lt;=2024), "2022-2024", "Other"))</f>
        <v>2018-2021</v>
      </c>
    </row>
    <row r="1254" spans="1:9" x14ac:dyDescent="0.3">
      <c r="A1254" t="s">
        <v>27</v>
      </c>
      <c r="B1254">
        <v>2020</v>
      </c>
      <c r="C1254" t="s">
        <v>12</v>
      </c>
      <c r="D1254">
        <v>39265.39</v>
      </c>
      <c r="E1254">
        <v>44449.77</v>
      </c>
      <c r="F1254">
        <v>157.66</v>
      </c>
      <c r="G1254">
        <v>509.82</v>
      </c>
      <c r="H1254">
        <f>E1254*1000000/D1254</f>
        <v>1132034.3437312096</v>
      </c>
      <c r="I1254" t="str">
        <f>IF(AND(B1254&gt;=2018, B1254&lt;=2021), "2018-2021", IF(AND(B1254&gt;=2022, B1254&lt;=2024), "2022-2024", "Other"))</f>
        <v>2018-2021</v>
      </c>
    </row>
    <row r="1255" spans="1:9" x14ac:dyDescent="0.3">
      <c r="A1255" t="s">
        <v>11</v>
      </c>
      <c r="B1255">
        <v>2018</v>
      </c>
      <c r="C1255" t="s">
        <v>6</v>
      </c>
      <c r="D1255">
        <v>8152.32</v>
      </c>
      <c r="E1255">
        <v>7400.81</v>
      </c>
      <c r="F1255">
        <v>138.08000000000001</v>
      </c>
      <c r="G1255">
        <v>1378.44</v>
      </c>
      <c r="H1255">
        <f>E1255*1000000/D1255</f>
        <v>907816.42526299262</v>
      </c>
      <c r="I1255" t="str">
        <f>IF(AND(B1255&gt;=2018, B1255&lt;=2021), "2018-2021", IF(AND(B1255&gt;=2022, B1255&lt;=2024), "2022-2024", "Other"))</f>
        <v>2018-2021</v>
      </c>
    </row>
    <row r="1256" spans="1:9" x14ac:dyDescent="0.3">
      <c r="A1256" t="s">
        <v>17</v>
      </c>
      <c r="B1256">
        <v>2022</v>
      </c>
      <c r="C1256" t="s">
        <v>0</v>
      </c>
      <c r="D1256">
        <v>22652.62</v>
      </c>
      <c r="E1256">
        <v>25093.08</v>
      </c>
      <c r="F1256">
        <v>123.3</v>
      </c>
      <c r="G1256">
        <v>1249.55</v>
      </c>
      <c r="H1256">
        <f>E1256*1000000/D1256</f>
        <v>1107734.116406844</v>
      </c>
      <c r="I1256" t="str">
        <f>IF(AND(B1256&gt;=2018, B1256&lt;=2021), "2018-2021", IF(AND(B1256&gt;=2022, B1256&lt;=2024), "2022-2024", "Other"))</f>
        <v>2022-2024</v>
      </c>
    </row>
    <row r="1257" spans="1:9" x14ac:dyDescent="0.3">
      <c r="A1257" t="s">
        <v>17</v>
      </c>
      <c r="B1257">
        <v>2019</v>
      </c>
      <c r="C1257" t="s">
        <v>6</v>
      </c>
      <c r="D1257">
        <v>38067.96</v>
      </c>
      <c r="E1257">
        <v>31816.14</v>
      </c>
      <c r="F1257">
        <v>35.07</v>
      </c>
      <c r="G1257">
        <v>341.19</v>
      </c>
      <c r="H1257">
        <f>E1257*1000000/D1257</f>
        <v>835772.12963342399</v>
      </c>
      <c r="I1257" t="str">
        <f>IF(AND(B1257&gt;=2018, B1257&lt;=2021), "2018-2021", IF(AND(B1257&gt;=2022, B1257&lt;=2024), "2022-2024", "Other"))</f>
        <v>2018-2021</v>
      </c>
    </row>
    <row r="1258" spans="1:9" x14ac:dyDescent="0.3">
      <c r="A1258" t="s">
        <v>10</v>
      </c>
      <c r="B1258">
        <v>2022</v>
      </c>
      <c r="C1258" t="s">
        <v>9</v>
      </c>
      <c r="D1258">
        <v>35280.5</v>
      </c>
      <c r="E1258">
        <v>35456.5</v>
      </c>
      <c r="F1258">
        <v>199.44</v>
      </c>
      <c r="G1258">
        <v>859.08</v>
      </c>
      <c r="H1258">
        <f>E1258*1000000/D1258</f>
        <v>1004988.5914315273</v>
      </c>
      <c r="I1258" t="str">
        <f>IF(AND(B1258&gt;=2018, B1258&lt;=2021), "2018-2021", IF(AND(B1258&gt;=2022, B1258&lt;=2024), "2022-2024", "Other"))</f>
        <v>2022-2024</v>
      </c>
    </row>
    <row r="1259" spans="1:9" x14ac:dyDescent="0.3">
      <c r="A1259" t="s">
        <v>20</v>
      </c>
      <c r="B1259">
        <v>2018</v>
      </c>
      <c r="C1259" t="s">
        <v>9</v>
      </c>
      <c r="D1259">
        <v>1788.01</v>
      </c>
      <c r="E1259">
        <v>1952.56</v>
      </c>
      <c r="F1259">
        <v>159.02000000000001</v>
      </c>
      <c r="G1259">
        <v>430.13</v>
      </c>
      <c r="H1259">
        <f>E1259*1000000/D1259</f>
        <v>1092029.6866348623</v>
      </c>
      <c r="I1259" t="str">
        <f>IF(AND(B1259&gt;=2018, B1259&lt;=2021), "2018-2021", IF(AND(B1259&gt;=2022, B1259&lt;=2024), "2022-2024", "Other"))</f>
        <v>2018-2021</v>
      </c>
    </row>
    <row r="1260" spans="1:9" x14ac:dyDescent="0.3">
      <c r="A1260" t="s">
        <v>23</v>
      </c>
      <c r="B1260">
        <v>2020</v>
      </c>
      <c r="C1260" t="s">
        <v>0</v>
      </c>
      <c r="D1260">
        <v>9646.2000000000007</v>
      </c>
      <c r="E1260">
        <v>9480.76</v>
      </c>
      <c r="F1260">
        <v>116.66</v>
      </c>
      <c r="G1260">
        <v>138.97999999999999</v>
      </c>
      <c r="H1260">
        <f>E1260*1000000/D1260</f>
        <v>982849.20486823819</v>
      </c>
      <c r="I1260" t="str">
        <f>IF(AND(B1260&gt;=2018, B1260&lt;=2021), "2018-2021", IF(AND(B1260&gt;=2022, B1260&lt;=2024), "2022-2024", "Other"))</f>
        <v>2018-2021</v>
      </c>
    </row>
    <row r="1261" spans="1:9" x14ac:dyDescent="0.3">
      <c r="A1261" t="s">
        <v>22</v>
      </c>
      <c r="B1261">
        <v>2022</v>
      </c>
      <c r="C1261" t="s">
        <v>4</v>
      </c>
      <c r="D1261">
        <v>41263.64</v>
      </c>
      <c r="E1261">
        <v>35583.19</v>
      </c>
      <c r="F1261">
        <v>37.78</v>
      </c>
      <c r="G1261">
        <v>417.22</v>
      </c>
      <c r="H1261">
        <f>E1261*1000000/D1261</f>
        <v>862337.6415653103</v>
      </c>
      <c r="I1261" t="str">
        <f>IF(AND(B1261&gt;=2018, B1261&lt;=2021), "2018-2021", IF(AND(B1261&gt;=2022, B1261&lt;=2024), "2022-2024", "Other"))</f>
        <v>2022-2024</v>
      </c>
    </row>
    <row r="1262" spans="1:9" x14ac:dyDescent="0.3">
      <c r="A1262" t="s">
        <v>26</v>
      </c>
      <c r="B1262">
        <v>2022</v>
      </c>
      <c r="C1262" t="s">
        <v>8</v>
      </c>
      <c r="D1262">
        <v>6234.85</v>
      </c>
      <c r="E1262">
        <v>7062.98</v>
      </c>
      <c r="F1262">
        <v>21.23</v>
      </c>
      <c r="G1262">
        <v>508.75</v>
      </c>
      <c r="H1262">
        <f>E1262*1000000/D1262</f>
        <v>1132822.7623759992</v>
      </c>
      <c r="I1262" t="str">
        <f>IF(AND(B1262&gt;=2018, B1262&lt;=2021), "2018-2021", IF(AND(B1262&gt;=2022, B1262&lt;=2024), "2022-2024", "Other"))</f>
        <v>2022-2024</v>
      </c>
    </row>
    <row r="1263" spans="1:9" x14ac:dyDescent="0.3">
      <c r="A1263" t="s">
        <v>25</v>
      </c>
      <c r="B1263">
        <v>2019</v>
      </c>
      <c r="C1263" t="s">
        <v>9</v>
      </c>
      <c r="D1263">
        <v>45354.77</v>
      </c>
      <c r="E1263">
        <v>41336.720000000001</v>
      </c>
      <c r="F1263">
        <v>99.36</v>
      </c>
      <c r="G1263">
        <v>464.47</v>
      </c>
      <c r="H1263">
        <f>E1263*1000000/D1263</f>
        <v>911408.43620196951</v>
      </c>
      <c r="I1263" t="str">
        <f>IF(AND(B1263&gt;=2018, B1263&lt;=2021), "2018-2021", IF(AND(B1263&gt;=2022, B1263&lt;=2024), "2022-2024", "Other"))</f>
        <v>2018-2021</v>
      </c>
    </row>
    <row r="1264" spans="1:9" x14ac:dyDescent="0.3">
      <c r="A1264" t="s">
        <v>23</v>
      </c>
      <c r="B1264">
        <v>2019</v>
      </c>
      <c r="C1264" t="s">
        <v>6</v>
      </c>
      <c r="D1264">
        <v>9084.0300000000007</v>
      </c>
      <c r="E1264">
        <v>9204.48</v>
      </c>
      <c r="F1264">
        <v>170.75</v>
      </c>
      <c r="G1264">
        <v>1145.19</v>
      </c>
      <c r="H1264">
        <f>E1264*1000000/D1264</f>
        <v>1013259.5334889911</v>
      </c>
      <c r="I1264" t="str">
        <f>IF(AND(B1264&gt;=2018, B1264&lt;=2021), "2018-2021", IF(AND(B1264&gt;=2022, B1264&lt;=2024), "2022-2024", "Other"))</f>
        <v>2018-2021</v>
      </c>
    </row>
    <row r="1265" spans="1:9" x14ac:dyDescent="0.3">
      <c r="A1265" t="s">
        <v>23</v>
      </c>
      <c r="B1265">
        <v>2021</v>
      </c>
      <c r="C1265" t="s">
        <v>4</v>
      </c>
      <c r="D1265">
        <v>10339.44</v>
      </c>
      <c r="E1265">
        <v>10235.950000000001</v>
      </c>
      <c r="F1265">
        <v>55.67</v>
      </c>
      <c r="G1265">
        <v>884.98</v>
      </c>
      <c r="H1265">
        <f>E1265*1000000/D1265</f>
        <v>989990.7538512724</v>
      </c>
      <c r="I1265" t="str">
        <f>IF(AND(B1265&gt;=2018, B1265&lt;=2021), "2018-2021", IF(AND(B1265&gt;=2022, B1265&lt;=2024), "2022-2024", "Other"))</f>
        <v>2018-2021</v>
      </c>
    </row>
    <row r="1266" spans="1:9" x14ac:dyDescent="0.3">
      <c r="A1266" t="s">
        <v>13</v>
      </c>
      <c r="B1266">
        <v>2018</v>
      </c>
      <c r="C1266" t="s">
        <v>8</v>
      </c>
      <c r="D1266">
        <v>41688.480000000003</v>
      </c>
      <c r="E1266">
        <v>39891.050000000003</v>
      </c>
      <c r="F1266">
        <v>116.11</v>
      </c>
      <c r="G1266">
        <v>516.22</v>
      </c>
      <c r="H1266">
        <f>E1266*1000000/D1266</f>
        <v>956884.25195641571</v>
      </c>
      <c r="I1266" t="str">
        <f>IF(AND(B1266&gt;=2018, B1266&lt;=2021), "2018-2021", IF(AND(B1266&gt;=2022, B1266&lt;=2024), "2022-2024", "Other"))</f>
        <v>2018-2021</v>
      </c>
    </row>
    <row r="1267" spans="1:9" x14ac:dyDescent="0.3">
      <c r="A1267" t="s">
        <v>23</v>
      </c>
      <c r="B1267">
        <v>2018</v>
      </c>
      <c r="C1267" t="s">
        <v>2</v>
      </c>
      <c r="D1267">
        <v>48530.06</v>
      </c>
      <c r="E1267">
        <v>49974.84</v>
      </c>
      <c r="F1267">
        <v>58.56</v>
      </c>
      <c r="G1267">
        <v>652.6</v>
      </c>
      <c r="H1267">
        <f>E1267*1000000/D1267</f>
        <v>1029770.8265763529</v>
      </c>
      <c r="I1267" t="str">
        <f>IF(AND(B1267&gt;=2018, B1267&lt;=2021), "2018-2021", IF(AND(B1267&gt;=2022, B1267&lt;=2024), "2022-2024", "Other"))</f>
        <v>2018-2021</v>
      </c>
    </row>
    <row r="1268" spans="1:9" x14ac:dyDescent="0.3">
      <c r="A1268" t="s">
        <v>21</v>
      </c>
      <c r="B1268">
        <v>2024</v>
      </c>
      <c r="C1268" t="s">
        <v>6</v>
      </c>
      <c r="D1268">
        <v>22659.37</v>
      </c>
      <c r="E1268">
        <v>26691.89</v>
      </c>
      <c r="F1268">
        <v>78.150000000000006</v>
      </c>
      <c r="G1268">
        <v>1129.9000000000001</v>
      </c>
      <c r="H1268">
        <f>E1268*1000000/D1268</f>
        <v>1177962.5823665883</v>
      </c>
      <c r="I1268" t="str">
        <f>IF(AND(B1268&gt;=2018, B1268&lt;=2021), "2018-2021", IF(AND(B1268&gt;=2022, B1268&lt;=2024), "2022-2024", "Other"))</f>
        <v>2022-2024</v>
      </c>
    </row>
    <row r="1269" spans="1:9" x14ac:dyDescent="0.3">
      <c r="A1269" t="s">
        <v>5</v>
      </c>
      <c r="B1269">
        <v>2020</v>
      </c>
      <c r="C1269" t="s">
        <v>8</v>
      </c>
      <c r="D1269">
        <v>49413.98</v>
      </c>
      <c r="E1269">
        <v>43555.28</v>
      </c>
      <c r="F1269">
        <v>171.55</v>
      </c>
      <c r="G1269">
        <v>664.24</v>
      </c>
      <c r="H1269">
        <f>E1269*1000000/D1269</f>
        <v>881436.38703055284</v>
      </c>
      <c r="I1269" t="str">
        <f>IF(AND(B1269&gt;=2018, B1269&lt;=2021), "2018-2021", IF(AND(B1269&gt;=2022, B1269&lt;=2024), "2022-2024", "Other"))</f>
        <v>2018-2021</v>
      </c>
    </row>
    <row r="1270" spans="1:9" x14ac:dyDescent="0.3">
      <c r="A1270" t="s">
        <v>27</v>
      </c>
      <c r="B1270">
        <v>2023</v>
      </c>
      <c r="C1270" t="s">
        <v>8</v>
      </c>
      <c r="D1270">
        <v>27421.17</v>
      </c>
      <c r="E1270">
        <v>22348.6</v>
      </c>
      <c r="F1270">
        <v>84.8</v>
      </c>
      <c r="G1270">
        <v>915.98</v>
      </c>
      <c r="H1270">
        <f>E1270*1000000/D1270</f>
        <v>815012.63439889695</v>
      </c>
      <c r="I1270" t="str">
        <f>IF(AND(B1270&gt;=2018, B1270&lt;=2021), "2018-2021", IF(AND(B1270&gt;=2022, B1270&lt;=2024), "2022-2024", "Other"))</f>
        <v>2022-2024</v>
      </c>
    </row>
    <row r="1271" spans="1:9" x14ac:dyDescent="0.3">
      <c r="A1271" t="s">
        <v>22</v>
      </c>
      <c r="B1271">
        <v>2024</v>
      </c>
      <c r="C1271" t="s">
        <v>8</v>
      </c>
      <c r="D1271">
        <v>14393.52</v>
      </c>
      <c r="E1271">
        <v>12636.77</v>
      </c>
      <c r="F1271">
        <v>189.58</v>
      </c>
      <c r="G1271">
        <v>407.1</v>
      </c>
      <c r="H1271">
        <f>E1271*1000000/D1271</f>
        <v>877948.54906930344</v>
      </c>
      <c r="I1271" t="str">
        <f>IF(AND(B1271&gt;=2018, B1271&lt;=2021), "2018-2021", IF(AND(B1271&gt;=2022, B1271&lt;=2024), "2022-2024", "Other"))</f>
        <v>2022-2024</v>
      </c>
    </row>
    <row r="1272" spans="1:9" x14ac:dyDescent="0.3">
      <c r="A1272" t="s">
        <v>24</v>
      </c>
      <c r="B1272">
        <v>2022</v>
      </c>
      <c r="C1272" t="s">
        <v>0</v>
      </c>
      <c r="D1272">
        <v>16359</v>
      </c>
      <c r="E1272">
        <v>17432.88</v>
      </c>
      <c r="F1272">
        <v>197.08</v>
      </c>
      <c r="G1272">
        <v>525.36</v>
      </c>
      <c r="H1272">
        <f>E1272*1000000/D1272</f>
        <v>1065644.5993031359</v>
      </c>
      <c r="I1272" t="str">
        <f>IF(AND(B1272&gt;=2018, B1272&lt;=2021), "2018-2021", IF(AND(B1272&gt;=2022, B1272&lt;=2024), "2022-2024", "Other"))</f>
        <v>2022-2024</v>
      </c>
    </row>
    <row r="1273" spans="1:9" x14ac:dyDescent="0.3">
      <c r="A1273" t="s">
        <v>19</v>
      </c>
      <c r="B1273">
        <v>2023</v>
      </c>
      <c r="C1273" t="s">
        <v>4</v>
      </c>
      <c r="D1273">
        <v>8175.92</v>
      </c>
      <c r="E1273">
        <v>8432.6</v>
      </c>
      <c r="F1273">
        <v>34.19</v>
      </c>
      <c r="G1273">
        <v>294.24</v>
      </c>
      <c r="H1273">
        <f>E1273*1000000/D1273</f>
        <v>1031394.6320414094</v>
      </c>
      <c r="I1273" t="str">
        <f>IF(AND(B1273&gt;=2018, B1273&lt;=2021), "2018-2021", IF(AND(B1273&gt;=2022, B1273&lt;=2024), "2022-2024", "Other"))</f>
        <v>2022-2024</v>
      </c>
    </row>
    <row r="1274" spans="1:9" x14ac:dyDescent="0.3">
      <c r="A1274" t="s">
        <v>21</v>
      </c>
      <c r="B1274">
        <v>2023</v>
      </c>
      <c r="C1274" t="s">
        <v>2</v>
      </c>
      <c r="D1274">
        <v>41797.93</v>
      </c>
      <c r="E1274">
        <v>40312.720000000001</v>
      </c>
      <c r="F1274">
        <v>74.459999999999994</v>
      </c>
      <c r="G1274">
        <v>448.26</v>
      </c>
      <c r="H1274">
        <f>E1274*1000000/D1274</f>
        <v>964466.900633596</v>
      </c>
      <c r="I1274" t="str">
        <f>IF(AND(B1274&gt;=2018, B1274&lt;=2021), "2018-2021", IF(AND(B1274&gt;=2022, B1274&lt;=2024), "2022-2024", "Other"))</f>
        <v>2022-2024</v>
      </c>
    </row>
    <row r="1275" spans="1:9" x14ac:dyDescent="0.3">
      <c r="A1275" t="s">
        <v>23</v>
      </c>
      <c r="B1275">
        <v>2019</v>
      </c>
      <c r="C1275" t="s">
        <v>2</v>
      </c>
      <c r="D1275">
        <v>11452.87</v>
      </c>
      <c r="E1275">
        <v>9426.67</v>
      </c>
      <c r="F1275">
        <v>146.18</v>
      </c>
      <c r="G1275">
        <v>175.76</v>
      </c>
      <c r="H1275">
        <f>E1275*1000000/D1275</f>
        <v>823083.6462825475</v>
      </c>
      <c r="I1275" t="str">
        <f>IF(AND(B1275&gt;=2018, B1275&lt;=2021), "2018-2021", IF(AND(B1275&gt;=2022, B1275&lt;=2024), "2022-2024", "Other"))</f>
        <v>2018-2021</v>
      </c>
    </row>
    <row r="1276" spans="1:9" x14ac:dyDescent="0.3">
      <c r="A1276" t="s">
        <v>20</v>
      </c>
      <c r="B1276">
        <v>2024</v>
      </c>
      <c r="C1276" t="s">
        <v>9</v>
      </c>
      <c r="D1276">
        <v>28821.56</v>
      </c>
      <c r="E1276">
        <v>29584.17</v>
      </c>
      <c r="F1276">
        <v>152.78</v>
      </c>
      <c r="G1276">
        <v>1080.56</v>
      </c>
      <c r="H1276">
        <f>E1276*1000000/D1276</f>
        <v>1026459.705859086</v>
      </c>
      <c r="I1276" t="str">
        <f>IF(AND(B1276&gt;=2018, B1276&lt;=2021), "2018-2021", IF(AND(B1276&gt;=2022, B1276&lt;=2024), "2022-2024", "Other"))</f>
        <v>2022-2024</v>
      </c>
    </row>
    <row r="1277" spans="1:9" x14ac:dyDescent="0.3">
      <c r="A1277" t="s">
        <v>7</v>
      </c>
      <c r="B1277">
        <v>2019</v>
      </c>
      <c r="C1277" t="s">
        <v>2</v>
      </c>
      <c r="D1277">
        <v>26800.13</v>
      </c>
      <c r="E1277">
        <v>30406.55</v>
      </c>
      <c r="F1277">
        <v>118.95</v>
      </c>
      <c r="G1277">
        <v>1329.37</v>
      </c>
      <c r="H1277">
        <f>E1277*1000000/D1277</f>
        <v>1134567.257696138</v>
      </c>
      <c r="I1277" t="str">
        <f>IF(AND(B1277&gt;=2018, B1277&lt;=2021), "2018-2021", IF(AND(B1277&gt;=2022, B1277&lt;=2024), "2022-2024", "Other"))</f>
        <v>2018-2021</v>
      </c>
    </row>
    <row r="1278" spans="1:9" x14ac:dyDescent="0.3">
      <c r="A1278" t="s">
        <v>27</v>
      </c>
      <c r="B1278">
        <v>2021</v>
      </c>
      <c r="C1278" t="s">
        <v>8</v>
      </c>
      <c r="D1278">
        <v>29613.99</v>
      </c>
      <c r="E1278">
        <v>33330.620000000003</v>
      </c>
      <c r="F1278">
        <v>71.209999999999994</v>
      </c>
      <c r="G1278">
        <v>684.81</v>
      </c>
      <c r="H1278">
        <f>E1278*1000000/D1278</f>
        <v>1125502.5074297655</v>
      </c>
      <c r="I1278" t="str">
        <f>IF(AND(B1278&gt;=2018, B1278&lt;=2021), "2018-2021", IF(AND(B1278&gt;=2022, B1278&lt;=2024), "2022-2024", "Other"))</f>
        <v>2018-2021</v>
      </c>
    </row>
    <row r="1279" spans="1:9" x14ac:dyDescent="0.3">
      <c r="A1279" t="s">
        <v>23</v>
      </c>
      <c r="B1279">
        <v>2024</v>
      </c>
      <c r="C1279" t="s">
        <v>6</v>
      </c>
      <c r="D1279">
        <v>12524.47</v>
      </c>
      <c r="E1279">
        <v>10671.38</v>
      </c>
      <c r="F1279">
        <v>180.96</v>
      </c>
      <c r="G1279">
        <v>1153.44</v>
      </c>
      <c r="H1279">
        <f>E1279*1000000/D1279</f>
        <v>852042.4417160966</v>
      </c>
      <c r="I1279" t="str">
        <f>IF(AND(B1279&gt;=2018, B1279&lt;=2021), "2018-2021", IF(AND(B1279&gt;=2022, B1279&lt;=2024), "2022-2024", "Other"))</f>
        <v>2022-2024</v>
      </c>
    </row>
    <row r="1280" spans="1:9" x14ac:dyDescent="0.3">
      <c r="A1280" t="s">
        <v>26</v>
      </c>
      <c r="B1280">
        <v>2024</v>
      </c>
      <c r="C1280" t="s">
        <v>12</v>
      </c>
      <c r="D1280">
        <v>563.82000000000005</v>
      </c>
      <c r="E1280">
        <v>483.7</v>
      </c>
      <c r="F1280">
        <v>87.46</v>
      </c>
      <c r="G1280">
        <v>936.48</v>
      </c>
      <c r="H1280">
        <f>E1280*1000000/D1280</f>
        <v>857897.9106807136</v>
      </c>
      <c r="I1280" t="str">
        <f>IF(AND(B1280&gt;=2018, B1280&lt;=2021), "2018-2021", IF(AND(B1280&gt;=2022, B1280&lt;=2024), "2022-2024", "Other"))</f>
        <v>2022-2024</v>
      </c>
    </row>
    <row r="1281" spans="1:9" x14ac:dyDescent="0.3">
      <c r="A1281" t="s">
        <v>24</v>
      </c>
      <c r="B1281">
        <v>2023</v>
      </c>
      <c r="C1281" t="s">
        <v>9</v>
      </c>
      <c r="D1281">
        <v>24218.15</v>
      </c>
      <c r="E1281">
        <v>20941.25</v>
      </c>
      <c r="F1281">
        <v>143.37</v>
      </c>
      <c r="G1281">
        <v>1258.71</v>
      </c>
      <c r="H1281">
        <f>E1281*1000000/D1281</f>
        <v>864692.38979856006</v>
      </c>
      <c r="I1281" t="str">
        <f>IF(AND(B1281&gt;=2018, B1281&lt;=2021), "2018-2021", IF(AND(B1281&gt;=2022, B1281&lt;=2024), "2022-2024", "Other"))</f>
        <v>2022-2024</v>
      </c>
    </row>
    <row r="1282" spans="1:9" x14ac:dyDescent="0.3">
      <c r="A1282" t="s">
        <v>5</v>
      </c>
      <c r="B1282">
        <v>2018</v>
      </c>
      <c r="C1282" t="s">
        <v>9</v>
      </c>
      <c r="D1282">
        <v>23253.200000000001</v>
      </c>
      <c r="E1282">
        <v>19750.560000000001</v>
      </c>
      <c r="F1282">
        <v>160.16</v>
      </c>
      <c r="G1282">
        <v>424.13</v>
      </c>
      <c r="H1282">
        <f>E1282*1000000/D1282</f>
        <v>849369.54913732305</v>
      </c>
      <c r="I1282" t="str">
        <f>IF(AND(B1282&gt;=2018, B1282&lt;=2021), "2018-2021", IF(AND(B1282&gt;=2022, B1282&lt;=2024), "2022-2024", "Other"))</f>
        <v>2018-2021</v>
      </c>
    </row>
    <row r="1283" spans="1:9" x14ac:dyDescent="0.3">
      <c r="A1283" t="s">
        <v>13</v>
      </c>
      <c r="B1283">
        <v>2024</v>
      </c>
      <c r="C1283" t="s">
        <v>8</v>
      </c>
      <c r="D1283">
        <v>45925.08</v>
      </c>
      <c r="E1283">
        <v>47953.86</v>
      </c>
      <c r="F1283">
        <v>99.48</v>
      </c>
      <c r="G1283">
        <v>1383.18</v>
      </c>
      <c r="H1283">
        <f>E1283*1000000/D1283</f>
        <v>1044175.8620779756</v>
      </c>
      <c r="I1283" t="str">
        <f>IF(AND(B1283&gt;=2018, B1283&lt;=2021), "2018-2021", IF(AND(B1283&gt;=2022, B1283&lt;=2024), "2022-2024", "Other"))</f>
        <v>2022-2024</v>
      </c>
    </row>
    <row r="1284" spans="1:9" x14ac:dyDescent="0.3">
      <c r="A1284" t="s">
        <v>18</v>
      </c>
      <c r="B1284">
        <v>2023</v>
      </c>
      <c r="C1284" t="s">
        <v>4</v>
      </c>
      <c r="D1284">
        <v>15173.08</v>
      </c>
      <c r="E1284">
        <v>12308.37</v>
      </c>
      <c r="F1284">
        <v>130.24</v>
      </c>
      <c r="G1284">
        <v>878.37</v>
      </c>
      <c r="H1284">
        <f>E1284*1000000/D1284</f>
        <v>811197.85831222136</v>
      </c>
      <c r="I1284" t="str">
        <f>IF(AND(B1284&gt;=2018, B1284&lt;=2021), "2018-2021", IF(AND(B1284&gt;=2022, B1284&lt;=2024), "2022-2024", "Other"))</f>
        <v>2022-2024</v>
      </c>
    </row>
    <row r="1285" spans="1:9" x14ac:dyDescent="0.3">
      <c r="A1285" t="s">
        <v>27</v>
      </c>
      <c r="B1285">
        <v>2021</v>
      </c>
      <c r="C1285" t="s">
        <v>6</v>
      </c>
      <c r="D1285">
        <v>46712.67</v>
      </c>
      <c r="E1285">
        <v>55490.15</v>
      </c>
      <c r="F1285">
        <v>46.92</v>
      </c>
      <c r="G1285">
        <v>680.42</v>
      </c>
      <c r="H1285">
        <f>E1285*1000000/D1285</f>
        <v>1187903.6244342274</v>
      </c>
      <c r="I1285" t="str">
        <f>IF(AND(B1285&gt;=2018, B1285&lt;=2021), "2018-2021", IF(AND(B1285&gt;=2022, B1285&lt;=2024), "2022-2024", "Other"))</f>
        <v>2018-2021</v>
      </c>
    </row>
    <row r="1286" spans="1:9" x14ac:dyDescent="0.3">
      <c r="A1286" t="s">
        <v>19</v>
      </c>
      <c r="B1286">
        <v>2018</v>
      </c>
      <c r="C1286" t="s">
        <v>14</v>
      </c>
      <c r="D1286">
        <v>48132.63</v>
      </c>
      <c r="E1286">
        <v>51767.74</v>
      </c>
      <c r="F1286">
        <v>54.74</v>
      </c>
      <c r="G1286">
        <v>254.66</v>
      </c>
      <c r="H1286">
        <f>E1286*1000000/D1286</f>
        <v>1075522.7794533563</v>
      </c>
      <c r="I1286" t="str">
        <f>IF(AND(B1286&gt;=2018, B1286&lt;=2021), "2018-2021", IF(AND(B1286&gt;=2022, B1286&lt;=2024), "2022-2024", "Other"))</f>
        <v>2018-2021</v>
      </c>
    </row>
    <row r="1287" spans="1:9" x14ac:dyDescent="0.3">
      <c r="A1287" t="s">
        <v>7</v>
      </c>
      <c r="B1287">
        <v>2018</v>
      </c>
      <c r="C1287" t="s">
        <v>2</v>
      </c>
      <c r="D1287">
        <v>30206.43</v>
      </c>
      <c r="E1287">
        <v>26359.24</v>
      </c>
      <c r="F1287">
        <v>92.82</v>
      </c>
      <c r="G1287">
        <v>99.54</v>
      </c>
      <c r="H1287">
        <f>E1287*1000000/D1287</f>
        <v>872636.72006258264</v>
      </c>
      <c r="I1287" t="str">
        <f>IF(AND(B1287&gt;=2018, B1287&lt;=2021), "2018-2021", IF(AND(B1287&gt;=2022, B1287&lt;=2024), "2022-2024", "Other"))</f>
        <v>2018-2021</v>
      </c>
    </row>
    <row r="1288" spans="1:9" x14ac:dyDescent="0.3">
      <c r="A1288" t="s">
        <v>25</v>
      </c>
      <c r="B1288">
        <v>2023</v>
      </c>
      <c r="C1288" t="s">
        <v>9</v>
      </c>
      <c r="D1288">
        <v>44284.99</v>
      </c>
      <c r="E1288">
        <v>38861.06</v>
      </c>
      <c r="F1288">
        <v>51.28</v>
      </c>
      <c r="G1288">
        <v>908.33</v>
      </c>
      <c r="H1288">
        <f>E1288*1000000/D1288</f>
        <v>877522.15818497422</v>
      </c>
      <c r="I1288" t="str">
        <f>IF(AND(B1288&gt;=2018, B1288&lt;=2021), "2018-2021", IF(AND(B1288&gt;=2022, B1288&lt;=2024), "2022-2024", "Other"))</f>
        <v>2022-2024</v>
      </c>
    </row>
    <row r="1289" spans="1:9" x14ac:dyDescent="0.3">
      <c r="A1289" t="s">
        <v>22</v>
      </c>
      <c r="B1289">
        <v>2022</v>
      </c>
      <c r="C1289" t="s">
        <v>12</v>
      </c>
      <c r="D1289">
        <v>10766.12</v>
      </c>
      <c r="E1289">
        <v>10972.16</v>
      </c>
      <c r="F1289">
        <v>182.51</v>
      </c>
      <c r="G1289">
        <v>118.34</v>
      </c>
      <c r="H1289">
        <f>E1289*1000000/D1289</f>
        <v>1019137.8138085029</v>
      </c>
      <c r="I1289" t="str">
        <f>IF(AND(B1289&gt;=2018, B1289&lt;=2021), "2018-2021", IF(AND(B1289&gt;=2022, B1289&lt;=2024), "2022-2024", "Other"))</f>
        <v>2022-2024</v>
      </c>
    </row>
    <row r="1290" spans="1:9" x14ac:dyDescent="0.3">
      <c r="A1290" t="s">
        <v>13</v>
      </c>
      <c r="B1290">
        <v>2022</v>
      </c>
      <c r="C1290" t="s">
        <v>8</v>
      </c>
      <c r="D1290">
        <v>13946.56</v>
      </c>
      <c r="E1290">
        <v>16195.95</v>
      </c>
      <c r="F1290">
        <v>29.15</v>
      </c>
      <c r="G1290">
        <v>384.94</v>
      </c>
      <c r="H1290">
        <f>E1290*1000000/D1290</f>
        <v>1161286.3673909553</v>
      </c>
      <c r="I1290" t="str">
        <f>IF(AND(B1290&gt;=2018, B1290&lt;=2021), "2018-2021", IF(AND(B1290&gt;=2022, B1290&lt;=2024), "2022-2024", "Other"))</f>
        <v>2022-2024</v>
      </c>
    </row>
    <row r="1291" spans="1:9" x14ac:dyDescent="0.3">
      <c r="A1291" t="s">
        <v>1</v>
      </c>
      <c r="B1291">
        <v>2019</v>
      </c>
      <c r="C1291" t="s">
        <v>0</v>
      </c>
      <c r="D1291">
        <v>46493.22</v>
      </c>
      <c r="E1291">
        <v>52602.35</v>
      </c>
      <c r="F1291">
        <v>57.27</v>
      </c>
      <c r="G1291">
        <v>233.64</v>
      </c>
      <c r="H1291">
        <f>E1291*1000000/D1291</f>
        <v>1131398.2985045991</v>
      </c>
      <c r="I1291" t="str">
        <f>IF(AND(B1291&gt;=2018, B1291&lt;=2021), "2018-2021", IF(AND(B1291&gt;=2022, B1291&lt;=2024), "2022-2024", "Other"))</f>
        <v>2018-2021</v>
      </c>
    </row>
    <row r="1292" spans="1:9" x14ac:dyDescent="0.3">
      <c r="A1292" t="s">
        <v>27</v>
      </c>
      <c r="B1292">
        <v>2024</v>
      </c>
      <c r="C1292" t="s">
        <v>2</v>
      </c>
      <c r="D1292">
        <v>16128.56</v>
      </c>
      <c r="E1292">
        <v>14838.72</v>
      </c>
      <c r="F1292">
        <v>75.31</v>
      </c>
      <c r="G1292">
        <v>106.57</v>
      </c>
      <c r="H1292">
        <f>E1292*1000000/D1292</f>
        <v>920027.57840749575</v>
      </c>
      <c r="I1292" t="str">
        <f>IF(AND(B1292&gt;=2018, B1292&lt;=2021), "2018-2021", IF(AND(B1292&gt;=2022, B1292&lt;=2024), "2022-2024", "Other"))</f>
        <v>2022-2024</v>
      </c>
    </row>
    <row r="1293" spans="1:9" x14ac:dyDescent="0.3">
      <c r="A1293" t="s">
        <v>26</v>
      </c>
      <c r="B1293">
        <v>2022</v>
      </c>
      <c r="C1293" t="s">
        <v>6</v>
      </c>
      <c r="D1293">
        <v>43572.95</v>
      </c>
      <c r="E1293">
        <v>41125.1</v>
      </c>
      <c r="F1293">
        <v>140.18</v>
      </c>
      <c r="G1293">
        <v>821.32</v>
      </c>
      <c r="H1293">
        <f>E1293*1000000/D1293</f>
        <v>943821.79769788368</v>
      </c>
      <c r="I1293" t="str">
        <f>IF(AND(B1293&gt;=2018, B1293&lt;=2021), "2018-2021", IF(AND(B1293&gt;=2022, B1293&lt;=2024), "2022-2024", "Other"))</f>
        <v>2022-2024</v>
      </c>
    </row>
    <row r="1294" spans="1:9" x14ac:dyDescent="0.3">
      <c r="A1294" t="s">
        <v>25</v>
      </c>
      <c r="B1294">
        <v>2023</v>
      </c>
      <c r="C1294" t="s">
        <v>2</v>
      </c>
      <c r="D1294">
        <v>23087.01</v>
      </c>
      <c r="E1294">
        <v>27030.78</v>
      </c>
      <c r="F1294">
        <v>78.16</v>
      </c>
      <c r="G1294">
        <v>424.13</v>
      </c>
      <c r="H1294">
        <f>E1294*1000000/D1294</f>
        <v>1170822.0336890747</v>
      </c>
      <c r="I1294" t="str">
        <f>IF(AND(B1294&gt;=2018, B1294&lt;=2021), "2018-2021", IF(AND(B1294&gt;=2022, B1294&lt;=2024), "2022-2024", "Other"))</f>
        <v>2022-2024</v>
      </c>
    </row>
    <row r="1295" spans="1:9" x14ac:dyDescent="0.3">
      <c r="A1295" t="s">
        <v>25</v>
      </c>
      <c r="B1295">
        <v>2020</v>
      </c>
      <c r="C1295" t="s">
        <v>2</v>
      </c>
      <c r="D1295">
        <v>27248.63</v>
      </c>
      <c r="E1295">
        <v>23242.07</v>
      </c>
      <c r="F1295">
        <v>147.16999999999999</v>
      </c>
      <c r="G1295">
        <v>159</v>
      </c>
      <c r="H1295">
        <f>E1295*1000000/D1295</f>
        <v>852962.88290457171</v>
      </c>
      <c r="I1295" t="str">
        <f>IF(AND(B1295&gt;=2018, B1295&lt;=2021), "2018-2021", IF(AND(B1295&gt;=2022, B1295&lt;=2024), "2022-2024", "Other"))</f>
        <v>2018-2021</v>
      </c>
    </row>
    <row r="1296" spans="1:9" x14ac:dyDescent="0.3">
      <c r="A1296" t="s">
        <v>7</v>
      </c>
      <c r="B1296">
        <v>2022</v>
      </c>
      <c r="C1296" t="s">
        <v>4</v>
      </c>
      <c r="D1296">
        <v>27393.87</v>
      </c>
      <c r="E1296">
        <v>28681.65</v>
      </c>
      <c r="F1296">
        <v>140.04</v>
      </c>
      <c r="G1296">
        <v>360.21</v>
      </c>
      <c r="H1296">
        <f>E1296*1000000/D1296</f>
        <v>1047009.7872261204</v>
      </c>
      <c r="I1296" t="str">
        <f>IF(AND(B1296&gt;=2018, B1296&lt;=2021), "2018-2021", IF(AND(B1296&gt;=2022, B1296&lt;=2024), "2022-2024", "Other"))</f>
        <v>2022-2024</v>
      </c>
    </row>
    <row r="1297" spans="1:9" x14ac:dyDescent="0.3">
      <c r="A1297" t="s">
        <v>11</v>
      </c>
      <c r="B1297">
        <v>2019</v>
      </c>
      <c r="C1297" t="s">
        <v>12</v>
      </c>
      <c r="D1297">
        <v>43281.52</v>
      </c>
      <c r="E1297">
        <v>50252.44</v>
      </c>
      <c r="F1297">
        <v>185.32</v>
      </c>
      <c r="G1297">
        <v>81.760000000000005</v>
      </c>
      <c r="H1297">
        <f>E1297*1000000/D1297</f>
        <v>1161059.9627739508</v>
      </c>
      <c r="I1297" t="str">
        <f>IF(AND(B1297&gt;=2018, B1297&lt;=2021), "2018-2021", IF(AND(B1297&gt;=2022, B1297&lt;=2024), "2022-2024", "Other"))</f>
        <v>2018-2021</v>
      </c>
    </row>
    <row r="1298" spans="1:9" x14ac:dyDescent="0.3">
      <c r="A1298" t="s">
        <v>3</v>
      </c>
      <c r="B1298">
        <v>2019</v>
      </c>
      <c r="C1298" t="s">
        <v>8</v>
      </c>
      <c r="D1298">
        <v>36721.58</v>
      </c>
      <c r="E1298">
        <v>40889.919999999998</v>
      </c>
      <c r="F1298">
        <v>63.82</v>
      </c>
      <c r="G1298">
        <v>956.39</v>
      </c>
      <c r="H1298">
        <f>E1298*1000000/D1298</f>
        <v>1113512.0003006407</v>
      </c>
      <c r="I1298" t="str">
        <f>IF(AND(B1298&gt;=2018, B1298&lt;=2021), "2018-2021", IF(AND(B1298&gt;=2022, B1298&lt;=2024), "2022-2024", "Other"))</f>
        <v>2018-2021</v>
      </c>
    </row>
    <row r="1299" spans="1:9" x14ac:dyDescent="0.3">
      <c r="A1299" t="s">
        <v>20</v>
      </c>
      <c r="B1299">
        <v>2022</v>
      </c>
      <c r="C1299" t="s">
        <v>6</v>
      </c>
      <c r="D1299">
        <v>3620.29</v>
      </c>
      <c r="E1299">
        <v>3800.3</v>
      </c>
      <c r="F1299">
        <v>151.72</v>
      </c>
      <c r="G1299">
        <v>910.07</v>
      </c>
      <c r="H1299">
        <f>E1299*1000000/D1299</f>
        <v>1049722.5360399305</v>
      </c>
      <c r="I1299" t="str">
        <f>IF(AND(B1299&gt;=2018, B1299&lt;=2021), "2018-2021", IF(AND(B1299&gt;=2022, B1299&lt;=2024), "2022-2024", "Other"))</f>
        <v>2022-2024</v>
      </c>
    </row>
    <row r="1300" spans="1:9" x14ac:dyDescent="0.3">
      <c r="A1300" t="s">
        <v>25</v>
      </c>
      <c r="B1300">
        <v>2021</v>
      </c>
      <c r="C1300" t="s">
        <v>9</v>
      </c>
      <c r="D1300">
        <v>39092.720000000001</v>
      </c>
      <c r="E1300">
        <v>40546.57</v>
      </c>
      <c r="F1300">
        <v>61.05</v>
      </c>
      <c r="G1300">
        <v>1332.14</v>
      </c>
      <c r="H1300">
        <f>E1300*1000000/D1300</f>
        <v>1037189.7887893193</v>
      </c>
      <c r="I1300" t="str">
        <f>IF(AND(B1300&gt;=2018, B1300&lt;=2021), "2018-2021", IF(AND(B1300&gt;=2022, B1300&lt;=2024), "2022-2024", "Other"))</f>
        <v>2018-2021</v>
      </c>
    </row>
    <row r="1301" spans="1:9" x14ac:dyDescent="0.3">
      <c r="A1301" t="s">
        <v>15</v>
      </c>
      <c r="B1301">
        <v>2019</v>
      </c>
      <c r="C1301" t="s">
        <v>4</v>
      </c>
      <c r="D1301">
        <v>7411.92</v>
      </c>
      <c r="E1301">
        <v>6561.36</v>
      </c>
      <c r="F1301">
        <v>157.02000000000001</v>
      </c>
      <c r="G1301">
        <v>1000.4</v>
      </c>
      <c r="H1301">
        <f>E1301*1000000/D1301</f>
        <v>885244.30916685553</v>
      </c>
      <c r="I1301" t="str">
        <f>IF(AND(B1301&gt;=2018, B1301&lt;=2021), "2018-2021", IF(AND(B1301&gt;=2022, B1301&lt;=2024), "2022-2024", "Other"))</f>
        <v>2018-2021</v>
      </c>
    </row>
    <row r="1302" spans="1:9" x14ac:dyDescent="0.3">
      <c r="A1302" t="s">
        <v>5</v>
      </c>
      <c r="B1302">
        <v>2022</v>
      </c>
      <c r="C1302" t="s">
        <v>0</v>
      </c>
      <c r="D1302">
        <v>13434.62</v>
      </c>
      <c r="E1302">
        <v>15556.38</v>
      </c>
      <c r="F1302">
        <v>69.430000000000007</v>
      </c>
      <c r="G1302">
        <v>1265.99</v>
      </c>
      <c r="H1302">
        <f>E1302*1000000/D1302</f>
        <v>1157932.2675297104</v>
      </c>
      <c r="I1302" t="str">
        <f>IF(AND(B1302&gt;=2018, B1302&lt;=2021), "2018-2021", IF(AND(B1302&gt;=2022, B1302&lt;=2024), "2022-2024", "Other"))</f>
        <v>2022-2024</v>
      </c>
    </row>
    <row r="1303" spans="1:9" x14ac:dyDescent="0.3">
      <c r="A1303" t="s">
        <v>26</v>
      </c>
      <c r="B1303">
        <v>2020</v>
      </c>
      <c r="C1303" t="s">
        <v>6</v>
      </c>
      <c r="D1303">
        <v>16766.82</v>
      </c>
      <c r="E1303">
        <v>14111.79</v>
      </c>
      <c r="F1303">
        <v>87.29</v>
      </c>
      <c r="G1303">
        <v>1249.21</v>
      </c>
      <c r="H1303">
        <f>E1303*1000000/D1303</f>
        <v>841649.75827258837</v>
      </c>
      <c r="I1303" t="str">
        <f>IF(AND(B1303&gt;=2018, B1303&lt;=2021), "2018-2021", IF(AND(B1303&gt;=2022, B1303&lt;=2024), "2022-2024", "Other"))</f>
        <v>2018-2021</v>
      </c>
    </row>
    <row r="1304" spans="1:9" x14ac:dyDescent="0.3">
      <c r="A1304" t="s">
        <v>3</v>
      </c>
      <c r="B1304">
        <v>2018</v>
      </c>
      <c r="C1304" t="s">
        <v>6</v>
      </c>
      <c r="D1304">
        <v>12653.2</v>
      </c>
      <c r="E1304">
        <v>10610.5</v>
      </c>
      <c r="F1304">
        <v>67.69</v>
      </c>
      <c r="G1304">
        <v>1173.8499999999999</v>
      </c>
      <c r="H1304">
        <f>E1304*1000000/D1304</f>
        <v>838562.57705560641</v>
      </c>
      <c r="I1304" t="str">
        <f>IF(AND(B1304&gt;=2018, B1304&lt;=2021), "2018-2021", IF(AND(B1304&gt;=2022, B1304&lt;=2024), "2022-2024", "Other"))</f>
        <v>2018-2021</v>
      </c>
    </row>
    <row r="1305" spans="1:9" x14ac:dyDescent="0.3">
      <c r="A1305" t="s">
        <v>13</v>
      </c>
      <c r="B1305">
        <v>2024</v>
      </c>
      <c r="C1305" t="s">
        <v>0</v>
      </c>
      <c r="D1305">
        <v>19816.91</v>
      </c>
      <c r="E1305">
        <v>22843.49</v>
      </c>
      <c r="F1305">
        <v>22.03</v>
      </c>
      <c r="G1305">
        <v>1125.3900000000001</v>
      </c>
      <c r="H1305">
        <f>E1305*1000000/D1305</f>
        <v>1152727.1406087023</v>
      </c>
      <c r="I1305" t="str">
        <f>IF(AND(B1305&gt;=2018, B1305&lt;=2021), "2018-2021", IF(AND(B1305&gt;=2022, B1305&lt;=2024), "2022-2024", "Other"))</f>
        <v>2022-2024</v>
      </c>
    </row>
    <row r="1306" spans="1:9" x14ac:dyDescent="0.3">
      <c r="A1306" t="s">
        <v>26</v>
      </c>
      <c r="B1306">
        <v>2024</v>
      </c>
      <c r="C1306" t="s">
        <v>12</v>
      </c>
      <c r="D1306">
        <v>48862.19</v>
      </c>
      <c r="E1306">
        <v>39240.6</v>
      </c>
      <c r="F1306">
        <v>182.57</v>
      </c>
      <c r="G1306">
        <v>1164.68</v>
      </c>
      <c r="H1306">
        <f>E1306*1000000/D1306</f>
        <v>803087.21324197704</v>
      </c>
      <c r="I1306" t="str">
        <f>IF(AND(B1306&gt;=2018, B1306&lt;=2021), "2018-2021", IF(AND(B1306&gt;=2022, B1306&lt;=2024), "2022-2024", "Other"))</f>
        <v>2022-2024</v>
      </c>
    </row>
    <row r="1307" spans="1:9" x14ac:dyDescent="0.3">
      <c r="A1307" t="s">
        <v>5</v>
      </c>
      <c r="B1307">
        <v>2021</v>
      </c>
      <c r="C1307" t="s">
        <v>8</v>
      </c>
      <c r="D1307">
        <v>1104.25</v>
      </c>
      <c r="E1307">
        <v>1183.95</v>
      </c>
      <c r="F1307">
        <v>166.83</v>
      </c>
      <c r="G1307">
        <v>467.86</v>
      </c>
      <c r="H1307">
        <f>E1307*1000000/D1307</f>
        <v>1072175.6848539733</v>
      </c>
      <c r="I1307" t="str">
        <f>IF(AND(B1307&gt;=2018, B1307&lt;=2021), "2018-2021", IF(AND(B1307&gt;=2022, B1307&lt;=2024), "2022-2024", "Other"))</f>
        <v>2018-2021</v>
      </c>
    </row>
    <row r="1308" spans="1:9" x14ac:dyDescent="0.3">
      <c r="A1308" t="s">
        <v>17</v>
      </c>
      <c r="B1308">
        <v>2024</v>
      </c>
      <c r="C1308" t="s">
        <v>9</v>
      </c>
      <c r="D1308">
        <v>36454.83</v>
      </c>
      <c r="E1308">
        <v>36970.89</v>
      </c>
      <c r="F1308">
        <v>92.61</v>
      </c>
      <c r="G1308">
        <v>1282.4000000000001</v>
      </c>
      <c r="H1308">
        <f>E1308*1000000/D1308</f>
        <v>1014156.1488559952</v>
      </c>
      <c r="I1308" t="str">
        <f>IF(AND(B1308&gt;=2018, B1308&lt;=2021), "2018-2021", IF(AND(B1308&gt;=2022, B1308&lt;=2024), "2022-2024", "Other"))</f>
        <v>2022-2024</v>
      </c>
    </row>
    <row r="1309" spans="1:9" x14ac:dyDescent="0.3">
      <c r="A1309" t="s">
        <v>18</v>
      </c>
      <c r="B1309">
        <v>2021</v>
      </c>
      <c r="C1309" t="s">
        <v>6</v>
      </c>
      <c r="D1309">
        <v>44803.48</v>
      </c>
      <c r="E1309">
        <v>42804.14</v>
      </c>
      <c r="F1309">
        <v>53.62</v>
      </c>
      <c r="G1309">
        <v>801.62</v>
      </c>
      <c r="H1309">
        <f>E1309*1000000/D1309</f>
        <v>955375.34137973201</v>
      </c>
      <c r="I1309" t="str">
        <f>IF(AND(B1309&gt;=2018, B1309&lt;=2021), "2018-2021", IF(AND(B1309&gt;=2022, B1309&lt;=2024), "2022-2024", "Other"))</f>
        <v>2018-2021</v>
      </c>
    </row>
    <row r="1310" spans="1:9" x14ac:dyDescent="0.3">
      <c r="A1310" t="s">
        <v>10</v>
      </c>
      <c r="B1310">
        <v>2021</v>
      </c>
      <c r="C1310" t="s">
        <v>8</v>
      </c>
      <c r="D1310">
        <v>17602.490000000002</v>
      </c>
      <c r="E1310">
        <v>20594.52</v>
      </c>
      <c r="F1310">
        <v>104.77</v>
      </c>
      <c r="G1310">
        <v>1101.0999999999999</v>
      </c>
      <c r="H1310">
        <f>E1310*1000000/D1310</f>
        <v>1169977.6565701782</v>
      </c>
      <c r="I1310" t="str">
        <f>IF(AND(B1310&gt;=2018, B1310&lt;=2021), "2018-2021", IF(AND(B1310&gt;=2022, B1310&lt;=2024), "2022-2024", "Other"))</f>
        <v>2018-2021</v>
      </c>
    </row>
    <row r="1311" spans="1:9" x14ac:dyDescent="0.3">
      <c r="A1311" t="s">
        <v>19</v>
      </c>
      <c r="B1311">
        <v>2022</v>
      </c>
      <c r="C1311" t="s">
        <v>8</v>
      </c>
      <c r="D1311">
        <v>37200.74</v>
      </c>
      <c r="E1311">
        <v>41753.730000000003</v>
      </c>
      <c r="F1311">
        <v>57.46</v>
      </c>
      <c r="G1311">
        <v>1337.2</v>
      </c>
      <c r="H1311">
        <f>E1311*1000000/D1311</f>
        <v>1122389.7696658722</v>
      </c>
      <c r="I1311" t="str">
        <f>IF(AND(B1311&gt;=2018, B1311&lt;=2021), "2018-2021", IF(AND(B1311&gt;=2022, B1311&lt;=2024), "2022-2024", "Other"))</f>
        <v>2022-2024</v>
      </c>
    </row>
    <row r="1312" spans="1:9" x14ac:dyDescent="0.3">
      <c r="A1312" t="s">
        <v>24</v>
      </c>
      <c r="B1312">
        <v>2018</v>
      </c>
      <c r="C1312" t="s">
        <v>6</v>
      </c>
      <c r="D1312">
        <v>28281.34</v>
      </c>
      <c r="E1312">
        <v>25850.04</v>
      </c>
      <c r="F1312">
        <v>64.67</v>
      </c>
      <c r="G1312">
        <v>474.26</v>
      </c>
      <c r="H1312">
        <f>E1312*1000000/D1312</f>
        <v>914031.65479429194</v>
      </c>
      <c r="I1312" t="str">
        <f>IF(AND(B1312&gt;=2018, B1312&lt;=2021), "2018-2021", IF(AND(B1312&gt;=2022, B1312&lt;=2024), "2022-2024", "Other"))</f>
        <v>2018-2021</v>
      </c>
    </row>
    <row r="1313" spans="1:9" x14ac:dyDescent="0.3">
      <c r="A1313" t="s">
        <v>15</v>
      </c>
      <c r="B1313">
        <v>2024</v>
      </c>
      <c r="C1313" t="s">
        <v>9</v>
      </c>
      <c r="D1313">
        <v>33695.26</v>
      </c>
      <c r="E1313">
        <v>38272.43</v>
      </c>
      <c r="F1313">
        <v>152.54</v>
      </c>
      <c r="G1313">
        <v>1396.52</v>
      </c>
      <c r="H1313">
        <f>E1313*1000000/D1313</f>
        <v>1135840.1745527412</v>
      </c>
      <c r="I1313" t="str">
        <f>IF(AND(B1313&gt;=2018, B1313&lt;=2021), "2018-2021", IF(AND(B1313&gt;=2022, B1313&lt;=2024), "2022-2024", "Other"))</f>
        <v>2022-2024</v>
      </c>
    </row>
    <row r="1314" spans="1:9" x14ac:dyDescent="0.3">
      <c r="A1314" t="s">
        <v>24</v>
      </c>
      <c r="B1314">
        <v>2018</v>
      </c>
      <c r="C1314" t="s">
        <v>9</v>
      </c>
      <c r="D1314">
        <v>31139.18</v>
      </c>
      <c r="E1314">
        <v>35388.31</v>
      </c>
      <c r="F1314">
        <v>74.88</v>
      </c>
      <c r="G1314">
        <v>355.39</v>
      </c>
      <c r="H1314">
        <f>E1314*1000000/D1314</f>
        <v>1136456.0659593476</v>
      </c>
      <c r="I1314" t="str">
        <f>IF(AND(B1314&gt;=2018, B1314&lt;=2021), "2018-2021", IF(AND(B1314&gt;=2022, B1314&lt;=2024), "2022-2024", "Other"))</f>
        <v>2018-2021</v>
      </c>
    </row>
    <row r="1315" spans="1:9" x14ac:dyDescent="0.3">
      <c r="A1315" t="s">
        <v>10</v>
      </c>
      <c r="B1315">
        <v>2023</v>
      </c>
      <c r="C1315" t="s">
        <v>9</v>
      </c>
      <c r="D1315">
        <v>40742.239999999998</v>
      </c>
      <c r="E1315">
        <v>41870.589999999997</v>
      </c>
      <c r="F1315">
        <v>130.91</v>
      </c>
      <c r="G1315">
        <v>269.85000000000002</v>
      </c>
      <c r="H1315">
        <f>E1315*1000000/D1315</f>
        <v>1027694.8444660873</v>
      </c>
      <c r="I1315" t="str">
        <f>IF(AND(B1315&gt;=2018, B1315&lt;=2021), "2018-2021", IF(AND(B1315&gt;=2022, B1315&lt;=2024), "2022-2024", "Other"))</f>
        <v>2022-2024</v>
      </c>
    </row>
    <row r="1316" spans="1:9" x14ac:dyDescent="0.3">
      <c r="A1316" t="s">
        <v>13</v>
      </c>
      <c r="B1316">
        <v>2023</v>
      </c>
      <c r="C1316" t="s">
        <v>0</v>
      </c>
      <c r="D1316">
        <v>48092.85</v>
      </c>
      <c r="E1316">
        <v>49579.360000000001</v>
      </c>
      <c r="F1316">
        <v>177.78</v>
      </c>
      <c r="G1316">
        <v>902.87</v>
      </c>
      <c r="H1316">
        <f>E1316*1000000/D1316</f>
        <v>1030909.168410689</v>
      </c>
      <c r="I1316" t="str">
        <f>IF(AND(B1316&gt;=2018, B1316&lt;=2021), "2018-2021", IF(AND(B1316&gt;=2022, B1316&lt;=2024), "2022-2024", "Other"))</f>
        <v>2022-2024</v>
      </c>
    </row>
    <row r="1317" spans="1:9" x14ac:dyDescent="0.3">
      <c r="A1317" t="s">
        <v>13</v>
      </c>
      <c r="B1317">
        <v>2019</v>
      </c>
      <c r="C1317" t="s">
        <v>8</v>
      </c>
      <c r="D1317">
        <v>35115.79</v>
      </c>
      <c r="E1317">
        <v>34821.660000000003</v>
      </c>
      <c r="F1317">
        <v>93.46</v>
      </c>
      <c r="G1317">
        <v>630.41</v>
      </c>
      <c r="H1317">
        <f>E1317*1000000/D1317</f>
        <v>991623.99592889694</v>
      </c>
      <c r="I1317" t="str">
        <f>IF(AND(B1317&gt;=2018, B1317&lt;=2021), "2018-2021", IF(AND(B1317&gt;=2022, B1317&lt;=2024), "2022-2024", "Other"))</f>
        <v>2018-2021</v>
      </c>
    </row>
    <row r="1318" spans="1:9" x14ac:dyDescent="0.3">
      <c r="A1318" t="s">
        <v>11</v>
      </c>
      <c r="B1318">
        <v>2022</v>
      </c>
      <c r="C1318" t="s">
        <v>2</v>
      </c>
      <c r="D1318">
        <v>37881.410000000003</v>
      </c>
      <c r="E1318">
        <v>38285.5</v>
      </c>
      <c r="F1318">
        <v>75.959999999999994</v>
      </c>
      <c r="G1318">
        <v>693.08</v>
      </c>
      <c r="H1318">
        <f>E1318*1000000/D1318</f>
        <v>1010667.2375711463</v>
      </c>
      <c r="I1318" t="str">
        <f>IF(AND(B1318&gt;=2018, B1318&lt;=2021), "2018-2021", IF(AND(B1318&gt;=2022, B1318&lt;=2024), "2022-2024", "Other"))</f>
        <v>2022-2024</v>
      </c>
    </row>
    <row r="1319" spans="1:9" x14ac:dyDescent="0.3">
      <c r="A1319" t="s">
        <v>19</v>
      </c>
      <c r="B1319">
        <v>2023</v>
      </c>
      <c r="C1319" t="s">
        <v>14</v>
      </c>
      <c r="D1319">
        <v>3006.19</v>
      </c>
      <c r="E1319">
        <v>3128.94</v>
      </c>
      <c r="F1319">
        <v>192.61</v>
      </c>
      <c r="G1319">
        <v>989.04</v>
      </c>
      <c r="H1319">
        <f>E1319*1000000/D1319</f>
        <v>1040832.415782103</v>
      </c>
      <c r="I1319" t="str">
        <f>IF(AND(B1319&gt;=2018, B1319&lt;=2021), "2018-2021", IF(AND(B1319&gt;=2022, B1319&lt;=2024), "2022-2024", "Other"))</f>
        <v>2022-2024</v>
      </c>
    </row>
    <row r="1320" spans="1:9" x14ac:dyDescent="0.3">
      <c r="A1320" t="s">
        <v>17</v>
      </c>
      <c r="B1320">
        <v>2019</v>
      </c>
      <c r="C1320" t="s">
        <v>14</v>
      </c>
      <c r="D1320">
        <v>31107.05</v>
      </c>
      <c r="E1320">
        <v>31908.1</v>
      </c>
      <c r="F1320">
        <v>27.68</v>
      </c>
      <c r="G1320">
        <v>824.31</v>
      </c>
      <c r="H1320">
        <f>E1320*1000000/D1320</f>
        <v>1025751.3971913119</v>
      </c>
      <c r="I1320" t="str">
        <f>IF(AND(B1320&gt;=2018, B1320&lt;=2021), "2018-2021", IF(AND(B1320&gt;=2022, B1320&lt;=2024), "2022-2024", "Other"))</f>
        <v>2018-2021</v>
      </c>
    </row>
    <row r="1321" spans="1:9" x14ac:dyDescent="0.3">
      <c r="A1321" t="s">
        <v>24</v>
      </c>
      <c r="B1321">
        <v>2023</v>
      </c>
      <c r="C1321" t="s">
        <v>12</v>
      </c>
      <c r="D1321">
        <v>7025.55</v>
      </c>
      <c r="E1321">
        <v>5854.36</v>
      </c>
      <c r="F1321">
        <v>154.08000000000001</v>
      </c>
      <c r="G1321">
        <v>633.21</v>
      </c>
      <c r="H1321">
        <f>E1321*1000000/D1321</f>
        <v>833295.61386653001</v>
      </c>
      <c r="I1321" t="str">
        <f>IF(AND(B1321&gt;=2018, B1321&lt;=2021), "2018-2021", IF(AND(B1321&gt;=2022, B1321&lt;=2024), "2022-2024", "Other"))</f>
        <v>2022-2024</v>
      </c>
    </row>
    <row r="1322" spans="1:9" x14ac:dyDescent="0.3">
      <c r="A1322" t="s">
        <v>1</v>
      </c>
      <c r="B1322">
        <v>2021</v>
      </c>
      <c r="C1322" t="s">
        <v>9</v>
      </c>
      <c r="D1322">
        <v>41055.24</v>
      </c>
      <c r="E1322">
        <v>46163.54</v>
      </c>
      <c r="F1322">
        <v>62.8</v>
      </c>
      <c r="G1322">
        <v>263.23</v>
      </c>
      <c r="H1322">
        <f>E1322*1000000/D1322</f>
        <v>1124425.0429421433</v>
      </c>
      <c r="I1322" t="str">
        <f>IF(AND(B1322&gt;=2018, B1322&lt;=2021), "2018-2021", IF(AND(B1322&gt;=2022, B1322&lt;=2024), "2022-2024", "Other"))</f>
        <v>2018-2021</v>
      </c>
    </row>
    <row r="1323" spans="1:9" x14ac:dyDescent="0.3">
      <c r="A1323" t="s">
        <v>26</v>
      </c>
      <c r="B1323">
        <v>2021</v>
      </c>
      <c r="C1323" t="s">
        <v>6</v>
      </c>
      <c r="D1323">
        <v>40760.94</v>
      </c>
      <c r="E1323">
        <v>44617.65</v>
      </c>
      <c r="F1323">
        <v>112.68</v>
      </c>
      <c r="G1323">
        <v>753.08</v>
      </c>
      <c r="H1323">
        <f>E1323*1000000/D1323</f>
        <v>1094617.7885004615</v>
      </c>
      <c r="I1323" t="str">
        <f>IF(AND(B1323&gt;=2018, B1323&lt;=2021), "2018-2021", IF(AND(B1323&gt;=2022, B1323&lt;=2024), "2022-2024", "Other"))</f>
        <v>2018-2021</v>
      </c>
    </row>
    <row r="1324" spans="1:9" x14ac:dyDescent="0.3">
      <c r="A1324" t="s">
        <v>20</v>
      </c>
      <c r="B1324">
        <v>2020</v>
      </c>
      <c r="C1324" t="s">
        <v>12</v>
      </c>
      <c r="D1324">
        <v>27461.24</v>
      </c>
      <c r="E1324">
        <v>32352.81</v>
      </c>
      <c r="F1324">
        <v>196.66</v>
      </c>
      <c r="G1324">
        <v>1067.42</v>
      </c>
      <c r="H1324">
        <f>E1324*1000000/D1324</f>
        <v>1178126.3336979684</v>
      </c>
      <c r="I1324" t="str">
        <f>IF(AND(B1324&gt;=2018, B1324&lt;=2021), "2018-2021", IF(AND(B1324&gt;=2022, B1324&lt;=2024), "2022-2024", "Other"))</f>
        <v>2018-2021</v>
      </c>
    </row>
    <row r="1325" spans="1:9" x14ac:dyDescent="0.3">
      <c r="A1325" t="s">
        <v>25</v>
      </c>
      <c r="B1325">
        <v>2022</v>
      </c>
      <c r="C1325" t="s">
        <v>14</v>
      </c>
      <c r="D1325">
        <v>39749.49</v>
      </c>
      <c r="E1325">
        <v>36414.43</v>
      </c>
      <c r="F1325">
        <v>103.6</v>
      </c>
      <c r="G1325">
        <v>556.55999999999995</v>
      </c>
      <c r="H1325">
        <f>E1325*1000000/D1325</f>
        <v>916098.04301891674</v>
      </c>
      <c r="I1325" t="str">
        <f>IF(AND(B1325&gt;=2018, B1325&lt;=2021), "2018-2021", IF(AND(B1325&gt;=2022, B1325&lt;=2024), "2022-2024", "Other"))</f>
        <v>2022-2024</v>
      </c>
    </row>
    <row r="1326" spans="1:9" x14ac:dyDescent="0.3">
      <c r="A1326" t="s">
        <v>21</v>
      </c>
      <c r="B1326">
        <v>2021</v>
      </c>
      <c r="C1326" t="s">
        <v>12</v>
      </c>
      <c r="D1326">
        <v>29875.75</v>
      </c>
      <c r="E1326">
        <v>31760.799999999999</v>
      </c>
      <c r="F1326">
        <v>43.69</v>
      </c>
      <c r="G1326">
        <v>85.71</v>
      </c>
      <c r="H1326">
        <f>E1326*1000000/D1326</f>
        <v>1063096.3239416585</v>
      </c>
      <c r="I1326" t="str">
        <f>IF(AND(B1326&gt;=2018, B1326&lt;=2021), "2018-2021", IF(AND(B1326&gt;=2022, B1326&lt;=2024), "2022-2024", "Other"))</f>
        <v>2018-2021</v>
      </c>
    </row>
    <row r="1327" spans="1:9" x14ac:dyDescent="0.3">
      <c r="A1327" t="s">
        <v>22</v>
      </c>
      <c r="B1327">
        <v>2018</v>
      </c>
      <c r="C1327" t="s">
        <v>8</v>
      </c>
      <c r="D1327">
        <v>48194.34</v>
      </c>
      <c r="E1327">
        <v>52444.24</v>
      </c>
      <c r="F1327">
        <v>63.53</v>
      </c>
      <c r="G1327">
        <v>869.55</v>
      </c>
      <c r="H1327">
        <f>E1327*1000000/D1327</f>
        <v>1088182.5542169476</v>
      </c>
      <c r="I1327" t="str">
        <f>IF(AND(B1327&gt;=2018, B1327&lt;=2021), "2018-2021", IF(AND(B1327&gt;=2022, B1327&lt;=2024), "2022-2024", "Other"))</f>
        <v>2018-2021</v>
      </c>
    </row>
    <row r="1328" spans="1:9" x14ac:dyDescent="0.3">
      <c r="A1328" t="s">
        <v>5</v>
      </c>
      <c r="B1328">
        <v>2020</v>
      </c>
      <c r="C1328" t="s">
        <v>12</v>
      </c>
      <c r="D1328">
        <v>4877.08</v>
      </c>
      <c r="E1328">
        <v>4588.33</v>
      </c>
      <c r="F1328">
        <v>55.31</v>
      </c>
      <c r="G1328">
        <v>282.97000000000003</v>
      </c>
      <c r="H1328">
        <f>E1328*1000000/D1328</f>
        <v>940794.49178606877</v>
      </c>
      <c r="I1328" t="str">
        <f>IF(AND(B1328&gt;=2018, B1328&lt;=2021), "2018-2021", IF(AND(B1328&gt;=2022, B1328&lt;=2024), "2022-2024", "Other"))</f>
        <v>2018-2021</v>
      </c>
    </row>
    <row r="1329" spans="1:9" x14ac:dyDescent="0.3">
      <c r="A1329" t="s">
        <v>27</v>
      </c>
      <c r="B1329">
        <v>2018</v>
      </c>
      <c r="C1329" t="s">
        <v>9</v>
      </c>
      <c r="D1329">
        <v>15863.51</v>
      </c>
      <c r="E1329">
        <v>13642.08</v>
      </c>
      <c r="F1329">
        <v>176.76</v>
      </c>
      <c r="G1329">
        <v>265.58999999999997</v>
      </c>
      <c r="H1329">
        <f>E1329*1000000/D1329</f>
        <v>859966.04786708613</v>
      </c>
      <c r="I1329" t="str">
        <f>IF(AND(B1329&gt;=2018, B1329&lt;=2021), "2018-2021", IF(AND(B1329&gt;=2022, B1329&lt;=2024), "2022-2024", "Other"))</f>
        <v>2018-2021</v>
      </c>
    </row>
    <row r="1330" spans="1:9" x14ac:dyDescent="0.3">
      <c r="A1330" t="s">
        <v>19</v>
      </c>
      <c r="B1330">
        <v>2021</v>
      </c>
      <c r="C1330" t="s">
        <v>14</v>
      </c>
      <c r="D1330">
        <v>16562.57</v>
      </c>
      <c r="E1330">
        <v>19826.28</v>
      </c>
      <c r="F1330">
        <v>196.6</v>
      </c>
      <c r="G1330">
        <v>1273.6500000000001</v>
      </c>
      <c r="H1330">
        <f>E1330*1000000/D1330</f>
        <v>1197053.3558499678</v>
      </c>
      <c r="I1330" t="str">
        <f>IF(AND(B1330&gt;=2018, B1330&lt;=2021), "2018-2021", IF(AND(B1330&gt;=2022, B1330&lt;=2024), "2022-2024", "Other"))</f>
        <v>2018-2021</v>
      </c>
    </row>
    <row r="1331" spans="1:9" x14ac:dyDescent="0.3">
      <c r="A1331" t="s">
        <v>21</v>
      </c>
      <c r="B1331">
        <v>2021</v>
      </c>
      <c r="C1331" t="s">
        <v>8</v>
      </c>
      <c r="D1331">
        <v>39645.51</v>
      </c>
      <c r="E1331">
        <v>41360.79</v>
      </c>
      <c r="F1331">
        <v>48.33</v>
      </c>
      <c r="G1331">
        <v>874.89</v>
      </c>
      <c r="H1331">
        <f>E1331*1000000/D1331</f>
        <v>1043265.4290485858</v>
      </c>
      <c r="I1331" t="str">
        <f>IF(AND(B1331&gt;=2018, B1331&lt;=2021), "2018-2021", IF(AND(B1331&gt;=2022, B1331&lt;=2024), "2022-2024", "Other"))</f>
        <v>2018-2021</v>
      </c>
    </row>
    <row r="1332" spans="1:9" x14ac:dyDescent="0.3">
      <c r="A1332" t="s">
        <v>23</v>
      </c>
      <c r="B1332">
        <v>2024</v>
      </c>
      <c r="C1332" t="s">
        <v>9</v>
      </c>
      <c r="D1332">
        <v>38121.699999999997</v>
      </c>
      <c r="E1332">
        <v>40311.64</v>
      </c>
      <c r="F1332">
        <v>198.79</v>
      </c>
      <c r="G1332">
        <v>604.01</v>
      </c>
      <c r="H1332">
        <f>E1332*1000000/D1332</f>
        <v>1057446.0215572759</v>
      </c>
      <c r="I1332" t="str">
        <f>IF(AND(B1332&gt;=2018, B1332&lt;=2021), "2018-2021", IF(AND(B1332&gt;=2022, B1332&lt;=2024), "2022-2024", "Other"))</f>
        <v>2022-2024</v>
      </c>
    </row>
    <row r="1333" spans="1:9" x14ac:dyDescent="0.3">
      <c r="A1333" t="s">
        <v>23</v>
      </c>
      <c r="B1333">
        <v>2022</v>
      </c>
      <c r="C1333" t="s">
        <v>14</v>
      </c>
      <c r="D1333">
        <v>22076.13</v>
      </c>
      <c r="E1333">
        <v>23085.51</v>
      </c>
      <c r="F1333">
        <v>146.49</v>
      </c>
      <c r="G1333">
        <v>500.08</v>
      </c>
      <c r="H1333">
        <f>E1333*1000000/D1333</f>
        <v>1045722.6878080532</v>
      </c>
      <c r="I1333" t="str">
        <f>IF(AND(B1333&gt;=2018, B1333&lt;=2021), "2018-2021", IF(AND(B1333&gt;=2022, B1333&lt;=2024), "2022-2024", "Other"))</f>
        <v>2022-2024</v>
      </c>
    </row>
    <row r="1334" spans="1:9" x14ac:dyDescent="0.3">
      <c r="A1334" t="s">
        <v>19</v>
      </c>
      <c r="B1334">
        <v>2018</v>
      </c>
      <c r="C1334" t="s">
        <v>8</v>
      </c>
      <c r="D1334">
        <v>27125.919999999998</v>
      </c>
      <c r="E1334">
        <v>23214.43</v>
      </c>
      <c r="F1334">
        <v>196.38</v>
      </c>
      <c r="G1334">
        <v>721.51</v>
      </c>
      <c r="H1334">
        <f>E1334*1000000/D1334</f>
        <v>855802.4944407416</v>
      </c>
      <c r="I1334" t="str">
        <f>IF(AND(B1334&gt;=2018, B1334&lt;=2021), "2018-2021", IF(AND(B1334&gt;=2022, B1334&lt;=2024), "2022-2024", "Other"))</f>
        <v>2018-2021</v>
      </c>
    </row>
    <row r="1335" spans="1:9" x14ac:dyDescent="0.3">
      <c r="A1335" t="s">
        <v>10</v>
      </c>
      <c r="B1335">
        <v>2023</v>
      </c>
      <c r="C1335" t="s">
        <v>9</v>
      </c>
      <c r="D1335">
        <v>43341.18</v>
      </c>
      <c r="E1335">
        <v>50022.11</v>
      </c>
      <c r="F1335">
        <v>134.44</v>
      </c>
      <c r="G1335">
        <v>845.7</v>
      </c>
      <c r="H1335">
        <f>E1335*1000000/D1335</f>
        <v>1154147.3951562925</v>
      </c>
      <c r="I1335" t="str">
        <f>IF(AND(B1335&gt;=2018, B1335&lt;=2021), "2018-2021", IF(AND(B1335&gt;=2022, B1335&lt;=2024), "2022-2024", "Other"))</f>
        <v>2022-2024</v>
      </c>
    </row>
    <row r="1336" spans="1:9" x14ac:dyDescent="0.3">
      <c r="A1336" t="s">
        <v>5</v>
      </c>
      <c r="B1336">
        <v>2022</v>
      </c>
      <c r="C1336" t="s">
        <v>0</v>
      </c>
      <c r="D1336">
        <v>17883.919999999998</v>
      </c>
      <c r="E1336">
        <v>20562.78</v>
      </c>
      <c r="F1336">
        <v>70.73</v>
      </c>
      <c r="G1336">
        <v>493.07</v>
      </c>
      <c r="H1336">
        <f>E1336*1000000/D1336</f>
        <v>1149791.5445830668</v>
      </c>
      <c r="I1336" t="str">
        <f>IF(AND(B1336&gt;=2018, B1336&lt;=2021), "2018-2021", IF(AND(B1336&gt;=2022, B1336&lt;=2024), "2022-2024", "Other"))</f>
        <v>2022-2024</v>
      </c>
    </row>
    <row r="1337" spans="1:9" x14ac:dyDescent="0.3">
      <c r="A1337" t="s">
        <v>24</v>
      </c>
      <c r="B1337">
        <v>2023</v>
      </c>
      <c r="C1337" t="s">
        <v>14</v>
      </c>
      <c r="D1337">
        <v>17959.47</v>
      </c>
      <c r="E1337">
        <v>17095.59</v>
      </c>
      <c r="F1337">
        <v>196.54</v>
      </c>
      <c r="G1337">
        <v>286.94</v>
      </c>
      <c r="H1337">
        <f>E1337*1000000/D1337</f>
        <v>951898.35780231818</v>
      </c>
      <c r="I1337" t="str">
        <f>IF(AND(B1337&gt;=2018, B1337&lt;=2021), "2018-2021", IF(AND(B1337&gt;=2022, B1337&lt;=2024), "2022-2024", "Other"))</f>
        <v>2022-2024</v>
      </c>
    </row>
    <row r="1338" spans="1:9" x14ac:dyDescent="0.3">
      <c r="A1338" t="s">
        <v>27</v>
      </c>
      <c r="B1338">
        <v>2022</v>
      </c>
      <c r="C1338" t="s">
        <v>9</v>
      </c>
      <c r="D1338">
        <v>44421.56</v>
      </c>
      <c r="E1338">
        <v>52735.74</v>
      </c>
      <c r="F1338">
        <v>49.55</v>
      </c>
      <c r="G1338">
        <v>289.01</v>
      </c>
      <c r="H1338">
        <f>E1338*1000000/D1338</f>
        <v>1187165.4214755178</v>
      </c>
      <c r="I1338" t="str">
        <f>IF(AND(B1338&gt;=2018, B1338&lt;=2021), "2018-2021", IF(AND(B1338&gt;=2022, B1338&lt;=2024), "2022-2024", "Other"))</f>
        <v>2022-2024</v>
      </c>
    </row>
    <row r="1339" spans="1:9" x14ac:dyDescent="0.3">
      <c r="A1339" t="s">
        <v>16</v>
      </c>
      <c r="B1339">
        <v>2024</v>
      </c>
      <c r="C1339" t="s">
        <v>0</v>
      </c>
      <c r="D1339">
        <v>30882.6</v>
      </c>
      <c r="E1339">
        <v>27595.88</v>
      </c>
      <c r="F1339">
        <v>97.22</v>
      </c>
      <c r="G1339">
        <v>250.83</v>
      </c>
      <c r="H1339">
        <f>E1339*1000000/D1339</f>
        <v>893573.7276006554</v>
      </c>
      <c r="I1339" t="str">
        <f>IF(AND(B1339&gt;=2018, B1339&lt;=2021), "2018-2021", IF(AND(B1339&gt;=2022, B1339&lt;=2024), "2022-2024", "Other"))</f>
        <v>2022-2024</v>
      </c>
    </row>
    <row r="1340" spans="1:9" x14ac:dyDescent="0.3">
      <c r="A1340" t="s">
        <v>24</v>
      </c>
      <c r="B1340">
        <v>2023</v>
      </c>
      <c r="C1340" t="s">
        <v>0</v>
      </c>
      <c r="D1340">
        <v>47661.94</v>
      </c>
      <c r="E1340">
        <v>40313.199999999997</v>
      </c>
      <c r="F1340">
        <v>147.01</v>
      </c>
      <c r="G1340">
        <v>173.82</v>
      </c>
      <c r="H1340">
        <f>E1340*1000000/D1340</f>
        <v>845815.34029038681</v>
      </c>
      <c r="I1340" t="str">
        <f>IF(AND(B1340&gt;=2018, B1340&lt;=2021), "2018-2021", IF(AND(B1340&gt;=2022, B1340&lt;=2024), "2022-2024", "Other"))</f>
        <v>2022-2024</v>
      </c>
    </row>
    <row r="1341" spans="1:9" x14ac:dyDescent="0.3">
      <c r="A1341" t="s">
        <v>13</v>
      </c>
      <c r="B1341">
        <v>2021</v>
      </c>
      <c r="C1341" t="s">
        <v>2</v>
      </c>
      <c r="D1341">
        <v>38589.78</v>
      </c>
      <c r="E1341">
        <v>41102.410000000003</v>
      </c>
      <c r="F1341">
        <v>53.93</v>
      </c>
      <c r="G1341">
        <v>1136.3399999999999</v>
      </c>
      <c r="H1341">
        <f>E1341*1000000/D1341</f>
        <v>1065111.2807587916</v>
      </c>
      <c r="I1341" t="str">
        <f>IF(AND(B1341&gt;=2018, B1341&lt;=2021), "2018-2021", IF(AND(B1341&gt;=2022, B1341&lt;=2024), "2022-2024", "Other"))</f>
        <v>2018-2021</v>
      </c>
    </row>
    <row r="1342" spans="1:9" x14ac:dyDescent="0.3">
      <c r="A1342" t="s">
        <v>27</v>
      </c>
      <c r="B1342">
        <v>2019</v>
      </c>
      <c r="C1342" t="s">
        <v>0</v>
      </c>
      <c r="D1342">
        <v>16133.77</v>
      </c>
      <c r="E1342">
        <v>17173.330000000002</v>
      </c>
      <c r="F1342">
        <v>28.34</v>
      </c>
      <c r="G1342">
        <v>1334.08</v>
      </c>
      <c r="H1342">
        <f>E1342*1000000/D1342</f>
        <v>1064433.7932175803</v>
      </c>
      <c r="I1342" t="str">
        <f>IF(AND(B1342&gt;=2018, B1342&lt;=2021), "2018-2021", IF(AND(B1342&gt;=2022, B1342&lt;=2024), "2022-2024", "Other"))</f>
        <v>2018-2021</v>
      </c>
    </row>
    <row r="1343" spans="1:9" x14ac:dyDescent="0.3">
      <c r="A1343" t="s">
        <v>25</v>
      </c>
      <c r="B1343">
        <v>2022</v>
      </c>
      <c r="C1343" t="s">
        <v>6</v>
      </c>
      <c r="D1343">
        <v>16898.09</v>
      </c>
      <c r="E1343">
        <v>18118.419999999998</v>
      </c>
      <c r="F1343">
        <v>169.95</v>
      </c>
      <c r="G1343">
        <v>151.66</v>
      </c>
      <c r="H1343">
        <f>E1343*1000000/D1343</f>
        <v>1072217.037546847</v>
      </c>
      <c r="I1343" t="str">
        <f>IF(AND(B1343&gt;=2018, B1343&lt;=2021), "2018-2021", IF(AND(B1343&gt;=2022, B1343&lt;=2024), "2022-2024", "Other"))</f>
        <v>2022-2024</v>
      </c>
    </row>
    <row r="1344" spans="1:9" x14ac:dyDescent="0.3">
      <c r="A1344" t="s">
        <v>1</v>
      </c>
      <c r="B1344">
        <v>2024</v>
      </c>
      <c r="C1344" t="s">
        <v>6</v>
      </c>
      <c r="D1344">
        <v>41760.67</v>
      </c>
      <c r="E1344">
        <v>39426.82</v>
      </c>
      <c r="F1344">
        <v>176.93</v>
      </c>
      <c r="G1344">
        <v>681.6</v>
      </c>
      <c r="H1344">
        <f>E1344*1000000/D1344</f>
        <v>944113.68399980175</v>
      </c>
      <c r="I1344" t="str">
        <f>IF(AND(B1344&gt;=2018, B1344&lt;=2021), "2018-2021", IF(AND(B1344&gt;=2022, B1344&lt;=2024), "2022-2024", "Other"))</f>
        <v>2022-2024</v>
      </c>
    </row>
    <row r="1345" spans="1:9" x14ac:dyDescent="0.3">
      <c r="A1345" t="s">
        <v>10</v>
      </c>
      <c r="B1345">
        <v>2018</v>
      </c>
      <c r="C1345" t="s">
        <v>2</v>
      </c>
      <c r="D1345">
        <v>15294.75</v>
      </c>
      <c r="E1345">
        <v>12948.79</v>
      </c>
      <c r="F1345">
        <v>139.72</v>
      </c>
      <c r="G1345">
        <v>321.27999999999997</v>
      </c>
      <c r="H1345">
        <f>E1345*1000000/D1345</f>
        <v>846616.64950391476</v>
      </c>
      <c r="I1345" t="str">
        <f>IF(AND(B1345&gt;=2018, B1345&lt;=2021), "2018-2021", IF(AND(B1345&gt;=2022, B1345&lt;=2024), "2022-2024", "Other"))</f>
        <v>2018-2021</v>
      </c>
    </row>
    <row r="1346" spans="1:9" x14ac:dyDescent="0.3">
      <c r="A1346" t="s">
        <v>10</v>
      </c>
      <c r="B1346">
        <v>2022</v>
      </c>
      <c r="C1346" t="s">
        <v>8</v>
      </c>
      <c r="D1346">
        <v>46158.97</v>
      </c>
      <c r="E1346">
        <v>41857.980000000003</v>
      </c>
      <c r="F1346">
        <v>86.73</v>
      </c>
      <c r="G1346">
        <v>661.77</v>
      </c>
      <c r="H1346">
        <f>E1346*1000000/D1346</f>
        <v>906822.22761903051</v>
      </c>
      <c r="I1346" t="str">
        <f>IF(AND(B1346&gt;=2018, B1346&lt;=2021), "2018-2021", IF(AND(B1346&gt;=2022, B1346&lt;=2024), "2022-2024", "Other"))</f>
        <v>2022-2024</v>
      </c>
    </row>
    <row r="1347" spans="1:9" x14ac:dyDescent="0.3">
      <c r="A1347" t="s">
        <v>3</v>
      </c>
      <c r="B1347">
        <v>2024</v>
      </c>
      <c r="C1347" t="s">
        <v>0</v>
      </c>
      <c r="D1347">
        <v>45135.33</v>
      </c>
      <c r="E1347">
        <v>41771.589999999997</v>
      </c>
      <c r="F1347">
        <v>173.04</v>
      </c>
      <c r="G1347">
        <v>1306.9100000000001</v>
      </c>
      <c r="H1347">
        <f>E1347*1000000/D1347</f>
        <v>925474.34570656728</v>
      </c>
      <c r="I1347" t="str">
        <f>IF(AND(B1347&gt;=2018, B1347&lt;=2021), "2018-2021", IF(AND(B1347&gt;=2022, B1347&lt;=2024), "2022-2024", "Other"))</f>
        <v>2022-2024</v>
      </c>
    </row>
    <row r="1348" spans="1:9" x14ac:dyDescent="0.3">
      <c r="A1348" t="s">
        <v>1</v>
      </c>
      <c r="B1348">
        <v>2024</v>
      </c>
      <c r="C1348" t="s">
        <v>14</v>
      </c>
      <c r="D1348">
        <v>46191.21</v>
      </c>
      <c r="E1348">
        <v>42204.85</v>
      </c>
      <c r="F1348">
        <v>88.13</v>
      </c>
      <c r="G1348">
        <v>1011.99</v>
      </c>
      <c r="H1348">
        <f>E1348*1000000/D1348</f>
        <v>913698.73185829085</v>
      </c>
      <c r="I1348" t="str">
        <f>IF(AND(B1348&gt;=2018, B1348&lt;=2021), "2018-2021", IF(AND(B1348&gt;=2022, B1348&lt;=2024), "2022-2024", "Other"))</f>
        <v>2022-2024</v>
      </c>
    </row>
    <row r="1349" spans="1:9" x14ac:dyDescent="0.3">
      <c r="A1349" t="s">
        <v>7</v>
      </c>
      <c r="B1349">
        <v>2022</v>
      </c>
      <c r="C1349" t="s">
        <v>2</v>
      </c>
      <c r="D1349">
        <v>39179.760000000002</v>
      </c>
      <c r="E1349">
        <v>41903.839999999997</v>
      </c>
      <c r="F1349">
        <v>20.53</v>
      </c>
      <c r="G1349">
        <v>853.93</v>
      </c>
      <c r="H1349">
        <f>E1349*1000000/D1349</f>
        <v>1069527.7357492745</v>
      </c>
      <c r="I1349" t="str">
        <f>IF(AND(B1349&gt;=2018, B1349&lt;=2021), "2018-2021", IF(AND(B1349&gt;=2022, B1349&lt;=2024), "2022-2024", "Other"))</f>
        <v>2022-2024</v>
      </c>
    </row>
    <row r="1350" spans="1:9" x14ac:dyDescent="0.3">
      <c r="A1350" t="s">
        <v>26</v>
      </c>
      <c r="B1350">
        <v>2024</v>
      </c>
      <c r="C1350" t="s">
        <v>8</v>
      </c>
      <c r="D1350">
        <v>26250.32</v>
      </c>
      <c r="E1350">
        <v>25541.43</v>
      </c>
      <c r="F1350">
        <v>116.24</v>
      </c>
      <c r="G1350">
        <v>536.73</v>
      </c>
      <c r="H1350">
        <f>E1350*1000000/D1350</f>
        <v>972994.99587052653</v>
      </c>
      <c r="I1350" t="str">
        <f>IF(AND(B1350&gt;=2018, B1350&lt;=2021), "2018-2021", IF(AND(B1350&gt;=2022, B1350&lt;=2024), "2022-2024", "Other"))</f>
        <v>2022-2024</v>
      </c>
    </row>
    <row r="1351" spans="1:9" x14ac:dyDescent="0.3">
      <c r="A1351" t="s">
        <v>16</v>
      </c>
      <c r="B1351">
        <v>2018</v>
      </c>
      <c r="C1351" t="s">
        <v>4</v>
      </c>
      <c r="D1351">
        <v>14971</v>
      </c>
      <c r="E1351">
        <v>14851.57</v>
      </c>
      <c r="F1351">
        <v>41.03</v>
      </c>
      <c r="G1351">
        <v>471.21</v>
      </c>
      <c r="H1351">
        <f>E1351*1000000/D1351</f>
        <v>992022.57698216557</v>
      </c>
      <c r="I1351" t="str">
        <f>IF(AND(B1351&gt;=2018, B1351&lt;=2021), "2018-2021", IF(AND(B1351&gt;=2022, B1351&lt;=2024), "2022-2024", "Other"))</f>
        <v>2018-2021</v>
      </c>
    </row>
    <row r="1352" spans="1:9" x14ac:dyDescent="0.3">
      <c r="A1352" t="s">
        <v>16</v>
      </c>
      <c r="B1352">
        <v>2023</v>
      </c>
      <c r="C1352" t="s">
        <v>0</v>
      </c>
      <c r="D1352">
        <v>30733.72</v>
      </c>
      <c r="E1352">
        <v>33769.58</v>
      </c>
      <c r="F1352">
        <v>120.73</v>
      </c>
      <c r="G1352">
        <v>1189.92</v>
      </c>
      <c r="H1352">
        <f>E1352*1000000/D1352</f>
        <v>1098779.4513648201</v>
      </c>
      <c r="I1352" t="str">
        <f>IF(AND(B1352&gt;=2018, B1352&lt;=2021), "2018-2021", IF(AND(B1352&gt;=2022, B1352&lt;=2024), "2022-2024", "Other"))</f>
        <v>2022-2024</v>
      </c>
    </row>
    <row r="1353" spans="1:9" x14ac:dyDescent="0.3">
      <c r="A1353" t="s">
        <v>7</v>
      </c>
      <c r="B1353">
        <v>2020</v>
      </c>
      <c r="C1353" t="s">
        <v>9</v>
      </c>
      <c r="D1353">
        <v>12872.9</v>
      </c>
      <c r="E1353">
        <v>14389.09</v>
      </c>
      <c r="F1353">
        <v>51.67</v>
      </c>
      <c r="G1353">
        <v>482.92</v>
      </c>
      <c r="H1353">
        <f>E1353*1000000/D1353</f>
        <v>1117781.5410668924</v>
      </c>
      <c r="I1353" t="str">
        <f>IF(AND(B1353&gt;=2018, B1353&lt;=2021), "2018-2021", IF(AND(B1353&gt;=2022, B1353&lt;=2024), "2022-2024", "Other"))</f>
        <v>2018-2021</v>
      </c>
    </row>
    <row r="1354" spans="1:9" x14ac:dyDescent="0.3">
      <c r="A1354" t="s">
        <v>19</v>
      </c>
      <c r="B1354">
        <v>2024</v>
      </c>
      <c r="C1354" t="s">
        <v>4</v>
      </c>
      <c r="D1354">
        <v>4882.01</v>
      </c>
      <c r="E1354">
        <v>4313.83</v>
      </c>
      <c r="F1354">
        <v>180.47</v>
      </c>
      <c r="G1354">
        <v>1137.07</v>
      </c>
      <c r="H1354">
        <f>E1354*1000000/D1354</f>
        <v>883617.60832116276</v>
      </c>
      <c r="I1354" t="str">
        <f>IF(AND(B1354&gt;=2018, B1354&lt;=2021), "2018-2021", IF(AND(B1354&gt;=2022, B1354&lt;=2024), "2022-2024", "Other"))</f>
        <v>2022-2024</v>
      </c>
    </row>
    <row r="1355" spans="1:9" x14ac:dyDescent="0.3">
      <c r="A1355" t="s">
        <v>24</v>
      </c>
      <c r="B1355">
        <v>2022</v>
      </c>
      <c r="C1355" t="s">
        <v>9</v>
      </c>
      <c r="D1355">
        <v>10530.07</v>
      </c>
      <c r="E1355">
        <v>9172.9699999999993</v>
      </c>
      <c r="F1355">
        <v>136.9</v>
      </c>
      <c r="G1355">
        <v>511.7</v>
      </c>
      <c r="H1355">
        <f>E1355*1000000/D1355</f>
        <v>871121.46452967555</v>
      </c>
      <c r="I1355" t="str">
        <f>IF(AND(B1355&gt;=2018, B1355&lt;=2021), "2018-2021", IF(AND(B1355&gt;=2022, B1355&lt;=2024), "2022-2024", "Other"))</f>
        <v>2022-2024</v>
      </c>
    </row>
    <row r="1356" spans="1:9" x14ac:dyDescent="0.3">
      <c r="A1356" t="s">
        <v>25</v>
      </c>
      <c r="B1356">
        <v>2019</v>
      </c>
      <c r="C1356" t="s">
        <v>9</v>
      </c>
      <c r="D1356">
        <v>41436.19</v>
      </c>
      <c r="E1356">
        <v>47060.959999999999</v>
      </c>
      <c r="F1356">
        <v>60.12</v>
      </c>
      <c r="G1356">
        <v>656.08</v>
      </c>
      <c r="H1356">
        <f>E1356*1000000/D1356</f>
        <v>1135745.3472435568</v>
      </c>
      <c r="I1356" t="str">
        <f>IF(AND(B1356&gt;=2018, B1356&lt;=2021), "2018-2021", IF(AND(B1356&gt;=2022, B1356&lt;=2024), "2022-2024", "Other"))</f>
        <v>2018-2021</v>
      </c>
    </row>
    <row r="1357" spans="1:9" x14ac:dyDescent="0.3">
      <c r="A1357" t="s">
        <v>5</v>
      </c>
      <c r="B1357">
        <v>2023</v>
      </c>
      <c r="C1357" t="s">
        <v>2</v>
      </c>
      <c r="D1357">
        <v>48055.47</v>
      </c>
      <c r="E1357">
        <v>55114.239999999998</v>
      </c>
      <c r="F1357">
        <v>187.57</v>
      </c>
      <c r="G1357">
        <v>499.69</v>
      </c>
      <c r="H1357">
        <f>E1357*1000000/D1357</f>
        <v>1146887.9609334795</v>
      </c>
      <c r="I1357" t="str">
        <f>IF(AND(B1357&gt;=2018, B1357&lt;=2021), "2018-2021", IF(AND(B1357&gt;=2022, B1357&lt;=2024), "2022-2024", "Other"))</f>
        <v>2022-2024</v>
      </c>
    </row>
    <row r="1358" spans="1:9" x14ac:dyDescent="0.3">
      <c r="A1358" t="s">
        <v>16</v>
      </c>
      <c r="B1358">
        <v>2019</v>
      </c>
      <c r="C1358" t="s">
        <v>6</v>
      </c>
      <c r="D1358">
        <v>30533.919999999998</v>
      </c>
      <c r="E1358">
        <v>35859.64</v>
      </c>
      <c r="F1358">
        <v>84.32</v>
      </c>
      <c r="G1358">
        <v>523.85</v>
      </c>
      <c r="H1358">
        <f>E1358*1000000/D1358</f>
        <v>1174419.7928074745</v>
      </c>
      <c r="I1358" t="str">
        <f>IF(AND(B1358&gt;=2018, B1358&lt;=2021), "2018-2021", IF(AND(B1358&gt;=2022, B1358&lt;=2024), "2022-2024", "Other"))</f>
        <v>2018-2021</v>
      </c>
    </row>
    <row r="1359" spans="1:9" x14ac:dyDescent="0.3">
      <c r="A1359" t="s">
        <v>5</v>
      </c>
      <c r="B1359">
        <v>2020</v>
      </c>
      <c r="C1359" t="s">
        <v>9</v>
      </c>
      <c r="D1359">
        <v>23132.37</v>
      </c>
      <c r="E1359">
        <v>22896.66</v>
      </c>
      <c r="F1359">
        <v>73.540000000000006</v>
      </c>
      <c r="G1359">
        <v>545.84</v>
      </c>
      <c r="H1359">
        <f>E1359*1000000/D1359</f>
        <v>989810.38259374211</v>
      </c>
      <c r="I1359" t="str">
        <f>IF(AND(B1359&gt;=2018, B1359&lt;=2021), "2018-2021", IF(AND(B1359&gt;=2022, B1359&lt;=2024), "2022-2024", "Other"))</f>
        <v>2018-2021</v>
      </c>
    </row>
    <row r="1360" spans="1:9" x14ac:dyDescent="0.3">
      <c r="A1360" t="s">
        <v>5</v>
      </c>
      <c r="B1360">
        <v>2023</v>
      </c>
      <c r="C1360" t="s">
        <v>4</v>
      </c>
      <c r="D1360">
        <v>8890.9</v>
      </c>
      <c r="E1360">
        <v>9996.09</v>
      </c>
      <c r="F1360">
        <v>151.08000000000001</v>
      </c>
      <c r="G1360">
        <v>523.30999999999995</v>
      </c>
      <c r="H1360">
        <f>E1360*1000000/D1360</f>
        <v>1124305.7508238761</v>
      </c>
      <c r="I1360" t="str">
        <f>IF(AND(B1360&gt;=2018, B1360&lt;=2021), "2018-2021", IF(AND(B1360&gt;=2022, B1360&lt;=2024), "2022-2024", "Other"))</f>
        <v>2022-2024</v>
      </c>
    </row>
    <row r="1361" spans="1:9" x14ac:dyDescent="0.3">
      <c r="A1361" t="s">
        <v>27</v>
      </c>
      <c r="B1361">
        <v>2021</v>
      </c>
      <c r="C1361" t="s">
        <v>12</v>
      </c>
      <c r="D1361">
        <v>24188.93</v>
      </c>
      <c r="E1361">
        <v>24435.03</v>
      </c>
      <c r="F1361">
        <v>143.66999999999999</v>
      </c>
      <c r="G1361">
        <v>303.25</v>
      </c>
      <c r="H1361">
        <f>E1361*1000000/D1361</f>
        <v>1010174.0754965184</v>
      </c>
      <c r="I1361" t="str">
        <f>IF(AND(B1361&gt;=2018, B1361&lt;=2021), "2018-2021", IF(AND(B1361&gt;=2022, B1361&lt;=2024), "2022-2024", "Other"))</f>
        <v>2018-2021</v>
      </c>
    </row>
    <row r="1362" spans="1:9" x14ac:dyDescent="0.3">
      <c r="A1362" t="s">
        <v>25</v>
      </c>
      <c r="B1362">
        <v>2018</v>
      </c>
      <c r="C1362" t="s">
        <v>14</v>
      </c>
      <c r="D1362">
        <v>16990.14</v>
      </c>
      <c r="E1362">
        <v>17413.05</v>
      </c>
      <c r="F1362">
        <v>85.81</v>
      </c>
      <c r="G1362">
        <v>644.91999999999996</v>
      </c>
      <c r="H1362">
        <f>E1362*1000000/D1362</f>
        <v>1024891.4958911464</v>
      </c>
      <c r="I1362" t="str">
        <f>IF(AND(B1362&gt;=2018, B1362&lt;=2021), "2018-2021", IF(AND(B1362&gt;=2022, B1362&lt;=2024), "2022-2024", "Other"))</f>
        <v>2018-2021</v>
      </c>
    </row>
    <row r="1363" spans="1:9" x14ac:dyDescent="0.3">
      <c r="A1363" t="s">
        <v>10</v>
      </c>
      <c r="B1363">
        <v>2024</v>
      </c>
      <c r="C1363" t="s">
        <v>0</v>
      </c>
      <c r="D1363">
        <v>6558.35</v>
      </c>
      <c r="E1363">
        <v>5615.49</v>
      </c>
      <c r="F1363">
        <v>57.99</v>
      </c>
      <c r="G1363">
        <v>1049.71</v>
      </c>
      <c r="H1363">
        <f>E1363*1000000/D1363</f>
        <v>856235.18110500346</v>
      </c>
      <c r="I1363" t="str">
        <f>IF(AND(B1363&gt;=2018, B1363&lt;=2021), "2018-2021", IF(AND(B1363&gt;=2022, B1363&lt;=2024), "2022-2024", "Other"))</f>
        <v>2022-2024</v>
      </c>
    </row>
    <row r="1364" spans="1:9" x14ac:dyDescent="0.3">
      <c r="A1364" t="s">
        <v>16</v>
      </c>
      <c r="B1364">
        <v>2023</v>
      </c>
      <c r="C1364" t="s">
        <v>14</v>
      </c>
      <c r="D1364">
        <v>37860.050000000003</v>
      </c>
      <c r="E1364">
        <v>41876.1</v>
      </c>
      <c r="F1364">
        <v>27.72</v>
      </c>
      <c r="G1364">
        <v>631.04999999999995</v>
      </c>
      <c r="H1364">
        <f>E1364*1000000/D1364</f>
        <v>1106076.1937715348</v>
      </c>
      <c r="I1364" t="str">
        <f>IF(AND(B1364&gt;=2018, B1364&lt;=2021), "2018-2021", IF(AND(B1364&gt;=2022, B1364&lt;=2024), "2022-2024", "Other"))</f>
        <v>2022-2024</v>
      </c>
    </row>
    <row r="1365" spans="1:9" x14ac:dyDescent="0.3">
      <c r="A1365" t="s">
        <v>24</v>
      </c>
      <c r="B1365">
        <v>2022</v>
      </c>
      <c r="C1365" t="s">
        <v>14</v>
      </c>
      <c r="D1365">
        <v>2835.61</v>
      </c>
      <c r="E1365">
        <v>2322.2399999999998</v>
      </c>
      <c r="F1365">
        <v>64.81</v>
      </c>
      <c r="G1365">
        <v>1090.54</v>
      </c>
      <c r="H1365">
        <f>E1365*1000000/D1365</f>
        <v>818956.0623640063</v>
      </c>
      <c r="I1365" t="str">
        <f>IF(AND(B1365&gt;=2018, B1365&lt;=2021), "2018-2021", IF(AND(B1365&gt;=2022, B1365&lt;=2024), "2022-2024", "Other"))</f>
        <v>2022-2024</v>
      </c>
    </row>
    <row r="1366" spans="1:9" x14ac:dyDescent="0.3">
      <c r="A1366" t="s">
        <v>15</v>
      </c>
      <c r="B1366">
        <v>2021</v>
      </c>
      <c r="C1366" t="s">
        <v>4</v>
      </c>
      <c r="D1366">
        <v>40465.31</v>
      </c>
      <c r="E1366">
        <v>36708</v>
      </c>
      <c r="F1366">
        <v>175.49</v>
      </c>
      <c r="G1366">
        <v>1316.85</v>
      </c>
      <c r="H1366">
        <f>E1366*1000000/D1366</f>
        <v>907147.38130018034</v>
      </c>
      <c r="I1366" t="str">
        <f>IF(AND(B1366&gt;=2018, B1366&lt;=2021), "2018-2021", IF(AND(B1366&gt;=2022, B1366&lt;=2024), "2022-2024", "Other"))</f>
        <v>2018-2021</v>
      </c>
    </row>
    <row r="1367" spans="1:9" x14ac:dyDescent="0.3">
      <c r="A1367" t="s">
        <v>15</v>
      </c>
      <c r="B1367">
        <v>2021</v>
      </c>
      <c r="C1367" t="s">
        <v>9</v>
      </c>
      <c r="D1367">
        <v>45273.31</v>
      </c>
      <c r="E1367">
        <v>41425</v>
      </c>
      <c r="F1367">
        <v>140.41999999999999</v>
      </c>
      <c r="G1367">
        <v>1230.1099999999999</v>
      </c>
      <c r="H1367">
        <f>E1367*1000000/D1367</f>
        <v>914998.26277336478</v>
      </c>
      <c r="I1367" t="str">
        <f>IF(AND(B1367&gt;=2018, B1367&lt;=2021), "2018-2021", IF(AND(B1367&gt;=2022, B1367&lt;=2024), "2022-2024", "Other"))</f>
        <v>2018-2021</v>
      </c>
    </row>
    <row r="1368" spans="1:9" x14ac:dyDescent="0.3">
      <c r="A1368" t="s">
        <v>18</v>
      </c>
      <c r="B1368">
        <v>2019</v>
      </c>
      <c r="C1368" t="s">
        <v>12</v>
      </c>
      <c r="D1368">
        <v>12175.41</v>
      </c>
      <c r="E1368">
        <v>12256.12</v>
      </c>
      <c r="F1368">
        <v>117.2</v>
      </c>
      <c r="G1368">
        <v>460.97</v>
      </c>
      <c r="H1368">
        <f>E1368*1000000/D1368</f>
        <v>1006628.9348777577</v>
      </c>
      <c r="I1368" t="str">
        <f>IF(AND(B1368&gt;=2018, B1368&lt;=2021), "2018-2021", IF(AND(B1368&gt;=2022, B1368&lt;=2024), "2022-2024", "Other"))</f>
        <v>2018-2021</v>
      </c>
    </row>
    <row r="1369" spans="1:9" x14ac:dyDescent="0.3">
      <c r="A1369" t="s">
        <v>1</v>
      </c>
      <c r="B1369">
        <v>2020</v>
      </c>
      <c r="C1369" t="s">
        <v>6</v>
      </c>
      <c r="D1369">
        <v>44669.120000000003</v>
      </c>
      <c r="E1369">
        <v>48458.67</v>
      </c>
      <c r="F1369">
        <v>79.45</v>
      </c>
      <c r="G1369">
        <v>26.65</v>
      </c>
      <c r="H1369">
        <f>E1369*1000000/D1369</f>
        <v>1084836.011992177</v>
      </c>
      <c r="I1369" t="str">
        <f>IF(AND(B1369&gt;=2018, B1369&lt;=2021), "2018-2021", IF(AND(B1369&gt;=2022, B1369&lt;=2024), "2022-2024", "Other"))</f>
        <v>2018-2021</v>
      </c>
    </row>
    <row r="1370" spans="1:9" x14ac:dyDescent="0.3">
      <c r="A1370" t="s">
        <v>19</v>
      </c>
      <c r="B1370">
        <v>2023</v>
      </c>
      <c r="C1370" t="s">
        <v>8</v>
      </c>
      <c r="D1370">
        <v>15877.32</v>
      </c>
      <c r="E1370">
        <v>17233.580000000002</v>
      </c>
      <c r="F1370">
        <v>84.86</v>
      </c>
      <c r="G1370">
        <v>46.27</v>
      </c>
      <c r="H1370">
        <f>E1370*1000000/D1370</f>
        <v>1085421.2171827487</v>
      </c>
      <c r="I1370" t="str">
        <f>IF(AND(B1370&gt;=2018, B1370&lt;=2021), "2018-2021", IF(AND(B1370&gt;=2022, B1370&lt;=2024), "2022-2024", "Other"))</f>
        <v>2022-2024</v>
      </c>
    </row>
    <row r="1371" spans="1:9" x14ac:dyDescent="0.3">
      <c r="A1371" t="s">
        <v>17</v>
      </c>
      <c r="B1371">
        <v>2024</v>
      </c>
      <c r="C1371" t="s">
        <v>9</v>
      </c>
      <c r="D1371">
        <v>6575.91</v>
      </c>
      <c r="E1371">
        <v>6249.36</v>
      </c>
      <c r="F1371">
        <v>118.44</v>
      </c>
      <c r="G1371">
        <v>635.65</v>
      </c>
      <c r="H1371">
        <f>E1371*1000000/D1371</f>
        <v>950341.47365155548</v>
      </c>
      <c r="I1371" t="str">
        <f>IF(AND(B1371&gt;=2018, B1371&lt;=2021), "2018-2021", IF(AND(B1371&gt;=2022, B1371&lt;=2024), "2022-2024", "Other"))</f>
        <v>2022-2024</v>
      </c>
    </row>
    <row r="1372" spans="1:9" x14ac:dyDescent="0.3">
      <c r="A1372" t="s">
        <v>26</v>
      </c>
      <c r="B1372">
        <v>2023</v>
      </c>
      <c r="C1372" t="s">
        <v>2</v>
      </c>
      <c r="D1372">
        <v>28516.52</v>
      </c>
      <c r="E1372">
        <v>26477.35</v>
      </c>
      <c r="F1372">
        <v>110.39</v>
      </c>
      <c r="G1372">
        <v>1151.44</v>
      </c>
      <c r="H1372">
        <f>E1372*1000000/D1372</f>
        <v>928491.62520531961</v>
      </c>
      <c r="I1372" t="str">
        <f>IF(AND(B1372&gt;=2018, B1372&lt;=2021), "2018-2021", IF(AND(B1372&gt;=2022, B1372&lt;=2024), "2022-2024", "Other"))</f>
        <v>2022-2024</v>
      </c>
    </row>
    <row r="1373" spans="1:9" x14ac:dyDescent="0.3">
      <c r="A1373" t="s">
        <v>27</v>
      </c>
      <c r="B1373">
        <v>2024</v>
      </c>
      <c r="C1373" t="s">
        <v>2</v>
      </c>
      <c r="D1373">
        <v>2971.47</v>
      </c>
      <c r="E1373">
        <v>3030.6</v>
      </c>
      <c r="F1373">
        <v>39.049999999999997</v>
      </c>
      <c r="G1373">
        <v>352.07</v>
      </c>
      <c r="H1373">
        <f>E1373*1000000/D1373</f>
        <v>1019899.2417894175</v>
      </c>
      <c r="I1373" t="str">
        <f>IF(AND(B1373&gt;=2018, B1373&lt;=2021), "2018-2021", IF(AND(B1373&gt;=2022, B1373&lt;=2024), "2022-2024", "Other"))</f>
        <v>2022-2024</v>
      </c>
    </row>
    <row r="1374" spans="1:9" x14ac:dyDescent="0.3">
      <c r="A1374" t="s">
        <v>18</v>
      </c>
      <c r="B1374">
        <v>2020</v>
      </c>
      <c r="C1374" t="s">
        <v>6</v>
      </c>
      <c r="D1374">
        <v>40147.89</v>
      </c>
      <c r="E1374">
        <v>33275.99</v>
      </c>
      <c r="F1374">
        <v>151.63</v>
      </c>
      <c r="G1374">
        <v>856.99</v>
      </c>
      <c r="H1374">
        <f>E1374*1000000/D1374</f>
        <v>828835.33854456607</v>
      </c>
      <c r="I1374" t="str">
        <f>IF(AND(B1374&gt;=2018, B1374&lt;=2021), "2018-2021", IF(AND(B1374&gt;=2022, B1374&lt;=2024), "2022-2024", "Other"))</f>
        <v>2018-2021</v>
      </c>
    </row>
    <row r="1375" spans="1:9" x14ac:dyDescent="0.3">
      <c r="A1375" t="s">
        <v>11</v>
      </c>
      <c r="B1375">
        <v>2023</v>
      </c>
      <c r="C1375" t="s">
        <v>2</v>
      </c>
      <c r="D1375">
        <v>24558.37</v>
      </c>
      <c r="E1375">
        <v>28500.240000000002</v>
      </c>
      <c r="F1375">
        <v>140.44999999999999</v>
      </c>
      <c r="G1375">
        <v>576.19000000000005</v>
      </c>
      <c r="H1375">
        <f>E1375*1000000/D1375</f>
        <v>1160510.2455904037</v>
      </c>
      <c r="I1375" t="str">
        <f>IF(AND(B1375&gt;=2018, B1375&lt;=2021), "2018-2021", IF(AND(B1375&gt;=2022, B1375&lt;=2024), "2022-2024", "Other"))</f>
        <v>2022-2024</v>
      </c>
    </row>
    <row r="1376" spans="1:9" x14ac:dyDescent="0.3">
      <c r="A1376" t="s">
        <v>23</v>
      </c>
      <c r="B1376">
        <v>2020</v>
      </c>
      <c r="C1376" t="s">
        <v>12</v>
      </c>
      <c r="D1376">
        <v>1089.46</v>
      </c>
      <c r="E1376">
        <v>1083.93</v>
      </c>
      <c r="F1376">
        <v>78.59</v>
      </c>
      <c r="G1376">
        <v>412.57</v>
      </c>
      <c r="H1376">
        <f>E1376*1000000/D1376</f>
        <v>994924.09083399107</v>
      </c>
      <c r="I1376" t="str">
        <f>IF(AND(B1376&gt;=2018, B1376&lt;=2021), "2018-2021", IF(AND(B1376&gt;=2022, B1376&lt;=2024), "2022-2024", "Other"))</f>
        <v>2018-2021</v>
      </c>
    </row>
    <row r="1377" spans="1:9" x14ac:dyDescent="0.3">
      <c r="A1377" t="s">
        <v>11</v>
      </c>
      <c r="B1377">
        <v>2024</v>
      </c>
      <c r="C1377" t="s">
        <v>6</v>
      </c>
      <c r="D1377">
        <v>13227.42</v>
      </c>
      <c r="E1377">
        <v>14726.89</v>
      </c>
      <c r="F1377">
        <v>179.67</v>
      </c>
      <c r="G1377">
        <v>16.93</v>
      </c>
      <c r="H1377">
        <f>E1377*1000000/D1377</f>
        <v>1113360.7309664318</v>
      </c>
      <c r="I1377" t="str">
        <f>IF(AND(B1377&gt;=2018, B1377&lt;=2021), "2018-2021", IF(AND(B1377&gt;=2022, B1377&lt;=2024), "2022-2024", "Other"))</f>
        <v>2022-2024</v>
      </c>
    </row>
    <row r="1378" spans="1:9" x14ac:dyDescent="0.3">
      <c r="A1378" t="s">
        <v>5</v>
      </c>
      <c r="B1378">
        <v>2023</v>
      </c>
      <c r="C1378" t="s">
        <v>4</v>
      </c>
      <c r="D1378">
        <v>19338.41</v>
      </c>
      <c r="E1378">
        <v>20365.97</v>
      </c>
      <c r="F1378">
        <v>190.1</v>
      </c>
      <c r="G1378">
        <v>424.67</v>
      </c>
      <c r="H1378">
        <f>E1378*1000000/D1378</f>
        <v>1053135.7024698514</v>
      </c>
      <c r="I1378" t="str">
        <f>IF(AND(B1378&gt;=2018, B1378&lt;=2021), "2018-2021", IF(AND(B1378&gt;=2022, B1378&lt;=2024), "2022-2024", "Other"))</f>
        <v>2022-2024</v>
      </c>
    </row>
    <row r="1379" spans="1:9" x14ac:dyDescent="0.3">
      <c r="A1379" t="s">
        <v>5</v>
      </c>
      <c r="B1379">
        <v>2021</v>
      </c>
      <c r="C1379" t="s">
        <v>4</v>
      </c>
      <c r="D1379">
        <v>4036.49</v>
      </c>
      <c r="E1379">
        <v>3560.08</v>
      </c>
      <c r="F1379">
        <v>88.34</v>
      </c>
      <c r="G1379">
        <v>279.31</v>
      </c>
      <c r="H1379">
        <f>E1379*1000000/D1379</f>
        <v>881974.19044764142</v>
      </c>
      <c r="I1379" t="str">
        <f>IF(AND(B1379&gt;=2018, B1379&lt;=2021), "2018-2021", IF(AND(B1379&gt;=2022, B1379&lt;=2024), "2022-2024", "Other"))</f>
        <v>2018-2021</v>
      </c>
    </row>
    <row r="1380" spans="1:9" x14ac:dyDescent="0.3">
      <c r="A1380" t="s">
        <v>26</v>
      </c>
      <c r="B1380">
        <v>2023</v>
      </c>
      <c r="C1380" t="s">
        <v>8</v>
      </c>
      <c r="D1380">
        <v>1207.3699999999999</v>
      </c>
      <c r="E1380">
        <v>1390.41</v>
      </c>
      <c r="F1380">
        <v>128.87</v>
      </c>
      <c r="G1380">
        <v>1061.17</v>
      </c>
      <c r="H1380">
        <f>E1380*1000000/D1380</f>
        <v>1151602.2428915743</v>
      </c>
      <c r="I1380" t="str">
        <f>IF(AND(B1380&gt;=2018, B1380&lt;=2021), "2018-2021", IF(AND(B1380&gt;=2022, B1380&lt;=2024), "2022-2024", "Other"))</f>
        <v>2022-2024</v>
      </c>
    </row>
    <row r="1381" spans="1:9" x14ac:dyDescent="0.3">
      <c r="A1381" t="s">
        <v>16</v>
      </c>
      <c r="B1381">
        <v>2020</v>
      </c>
      <c r="C1381" t="s">
        <v>8</v>
      </c>
      <c r="D1381">
        <v>23225.05</v>
      </c>
      <c r="E1381">
        <v>26503.439999999999</v>
      </c>
      <c r="F1381">
        <v>52.02</v>
      </c>
      <c r="G1381">
        <v>493.99</v>
      </c>
      <c r="H1381">
        <f>E1381*1000000/D1381</f>
        <v>1141157.5001991384</v>
      </c>
      <c r="I1381" t="str">
        <f>IF(AND(B1381&gt;=2018, B1381&lt;=2021), "2018-2021", IF(AND(B1381&gt;=2022, B1381&lt;=2024), "2022-2024", "Other"))</f>
        <v>2018-2021</v>
      </c>
    </row>
    <row r="1382" spans="1:9" x14ac:dyDescent="0.3">
      <c r="A1382" t="s">
        <v>16</v>
      </c>
      <c r="B1382">
        <v>2024</v>
      </c>
      <c r="C1382" t="s">
        <v>12</v>
      </c>
      <c r="D1382">
        <v>2474.83</v>
      </c>
      <c r="E1382">
        <v>2663.13</v>
      </c>
      <c r="F1382">
        <v>91.22</v>
      </c>
      <c r="G1382">
        <v>1382.17</v>
      </c>
      <c r="H1382">
        <f>E1382*1000000/D1382</f>
        <v>1076086.0341922475</v>
      </c>
      <c r="I1382" t="str">
        <f>IF(AND(B1382&gt;=2018, B1382&lt;=2021), "2018-2021", IF(AND(B1382&gt;=2022, B1382&lt;=2024), "2022-2024", "Other"))</f>
        <v>2022-2024</v>
      </c>
    </row>
    <row r="1383" spans="1:9" x14ac:dyDescent="0.3">
      <c r="A1383" t="s">
        <v>17</v>
      </c>
      <c r="B1383">
        <v>2019</v>
      </c>
      <c r="C1383" t="s">
        <v>14</v>
      </c>
      <c r="D1383">
        <v>40559.42</v>
      </c>
      <c r="E1383">
        <v>44726.11</v>
      </c>
      <c r="F1383">
        <v>179.04</v>
      </c>
      <c r="G1383">
        <v>565.32000000000005</v>
      </c>
      <c r="H1383">
        <f>E1383*1000000/D1383</f>
        <v>1102730.5124185702</v>
      </c>
      <c r="I1383" t="str">
        <f>IF(AND(B1383&gt;=2018, B1383&lt;=2021), "2018-2021", IF(AND(B1383&gt;=2022, B1383&lt;=2024), "2022-2024", "Other"))</f>
        <v>2018-2021</v>
      </c>
    </row>
    <row r="1384" spans="1:9" x14ac:dyDescent="0.3">
      <c r="A1384" t="s">
        <v>26</v>
      </c>
      <c r="B1384">
        <v>2023</v>
      </c>
      <c r="C1384" t="s">
        <v>4</v>
      </c>
      <c r="D1384">
        <v>4618.68</v>
      </c>
      <c r="E1384">
        <v>5138.08</v>
      </c>
      <c r="F1384">
        <v>69.78</v>
      </c>
      <c r="G1384">
        <v>280.37</v>
      </c>
      <c r="H1384">
        <f>E1384*1000000/D1384</f>
        <v>1112456.3728164756</v>
      </c>
      <c r="I1384" t="str">
        <f>IF(AND(B1384&gt;=2018, B1384&lt;=2021), "2018-2021", IF(AND(B1384&gt;=2022, B1384&lt;=2024), "2022-2024", "Other"))</f>
        <v>2022-2024</v>
      </c>
    </row>
    <row r="1385" spans="1:9" x14ac:dyDescent="0.3">
      <c r="A1385" t="s">
        <v>25</v>
      </c>
      <c r="B1385">
        <v>2023</v>
      </c>
      <c r="C1385" t="s">
        <v>2</v>
      </c>
      <c r="D1385">
        <v>1634.45</v>
      </c>
      <c r="E1385">
        <v>1960.97</v>
      </c>
      <c r="F1385">
        <v>71.680000000000007</v>
      </c>
      <c r="G1385">
        <v>23.17</v>
      </c>
      <c r="H1385">
        <f>E1385*1000000/D1385</f>
        <v>1199773.6241549144</v>
      </c>
      <c r="I1385" t="str">
        <f>IF(AND(B1385&gt;=2018, B1385&lt;=2021), "2018-2021", IF(AND(B1385&gt;=2022, B1385&lt;=2024), "2022-2024", "Other"))</f>
        <v>2022-2024</v>
      </c>
    </row>
    <row r="1386" spans="1:9" x14ac:dyDescent="0.3">
      <c r="A1386" t="s">
        <v>1</v>
      </c>
      <c r="B1386">
        <v>2023</v>
      </c>
      <c r="C1386" t="s">
        <v>2</v>
      </c>
      <c r="D1386">
        <v>45126.17</v>
      </c>
      <c r="E1386">
        <v>49357.919999999998</v>
      </c>
      <c r="F1386">
        <v>156.41</v>
      </c>
      <c r="G1386">
        <v>1162.42</v>
      </c>
      <c r="H1386">
        <f>E1386*1000000/D1386</f>
        <v>1093775.9619307378</v>
      </c>
      <c r="I1386" t="str">
        <f>IF(AND(B1386&gt;=2018, B1386&lt;=2021), "2018-2021", IF(AND(B1386&gt;=2022, B1386&lt;=2024), "2022-2024", "Other"))</f>
        <v>2022-2024</v>
      </c>
    </row>
    <row r="1387" spans="1:9" x14ac:dyDescent="0.3">
      <c r="A1387" t="s">
        <v>23</v>
      </c>
      <c r="B1387">
        <v>2021</v>
      </c>
      <c r="C1387" t="s">
        <v>4</v>
      </c>
      <c r="D1387">
        <v>45374.16</v>
      </c>
      <c r="E1387">
        <v>46143.9</v>
      </c>
      <c r="F1387">
        <v>182.49</v>
      </c>
      <c r="G1387">
        <v>1199.9000000000001</v>
      </c>
      <c r="H1387">
        <f>E1387*1000000/D1387</f>
        <v>1016964.280991648</v>
      </c>
      <c r="I1387" t="str">
        <f>IF(AND(B1387&gt;=2018, B1387&lt;=2021), "2018-2021", IF(AND(B1387&gt;=2022, B1387&lt;=2024), "2022-2024", "Other"))</f>
        <v>2018-2021</v>
      </c>
    </row>
    <row r="1388" spans="1:9" x14ac:dyDescent="0.3">
      <c r="A1388" t="s">
        <v>21</v>
      </c>
      <c r="B1388">
        <v>2020</v>
      </c>
      <c r="C1388" t="s">
        <v>2</v>
      </c>
      <c r="D1388">
        <v>48449.26</v>
      </c>
      <c r="E1388">
        <v>47672.6</v>
      </c>
      <c r="F1388">
        <v>136.74</v>
      </c>
      <c r="G1388">
        <v>331.37</v>
      </c>
      <c r="H1388">
        <f>E1388*1000000/D1388</f>
        <v>983969.62100143533</v>
      </c>
      <c r="I1388" t="str">
        <f>IF(AND(B1388&gt;=2018, B1388&lt;=2021), "2018-2021", IF(AND(B1388&gt;=2022, B1388&lt;=2024), "2022-2024", "Other"))</f>
        <v>2018-2021</v>
      </c>
    </row>
    <row r="1389" spans="1:9" x14ac:dyDescent="0.3">
      <c r="A1389" t="s">
        <v>23</v>
      </c>
      <c r="B1389">
        <v>2024</v>
      </c>
      <c r="C1389" t="s">
        <v>6</v>
      </c>
      <c r="D1389">
        <v>1732.31</v>
      </c>
      <c r="E1389">
        <v>1610.76</v>
      </c>
      <c r="F1389">
        <v>195.49</v>
      </c>
      <c r="G1389">
        <v>684.97</v>
      </c>
      <c r="H1389">
        <f>E1389*1000000/D1389</f>
        <v>929833.57482205844</v>
      </c>
      <c r="I1389" t="str">
        <f>IF(AND(B1389&gt;=2018, B1389&lt;=2021), "2018-2021", IF(AND(B1389&gt;=2022, B1389&lt;=2024), "2022-2024", "Other"))</f>
        <v>2022-2024</v>
      </c>
    </row>
    <row r="1390" spans="1:9" x14ac:dyDescent="0.3">
      <c r="A1390" t="s">
        <v>7</v>
      </c>
      <c r="B1390">
        <v>2024</v>
      </c>
      <c r="C1390" t="s">
        <v>14</v>
      </c>
      <c r="D1390">
        <v>18682.939999999999</v>
      </c>
      <c r="E1390">
        <v>16863.27</v>
      </c>
      <c r="F1390">
        <v>69.900000000000006</v>
      </c>
      <c r="G1390">
        <v>1362.25</v>
      </c>
      <c r="H1390">
        <f>E1390*1000000/D1390</f>
        <v>902602.58824360627</v>
      </c>
      <c r="I1390" t="str">
        <f>IF(AND(B1390&gt;=2018, B1390&lt;=2021), "2018-2021", IF(AND(B1390&gt;=2022, B1390&lt;=2024), "2022-2024", "Other"))</f>
        <v>2022-2024</v>
      </c>
    </row>
    <row r="1391" spans="1:9" x14ac:dyDescent="0.3">
      <c r="A1391" t="s">
        <v>15</v>
      </c>
      <c r="B1391">
        <v>2021</v>
      </c>
      <c r="C1391" t="s">
        <v>14</v>
      </c>
      <c r="D1391">
        <v>13763.66</v>
      </c>
      <c r="E1391">
        <v>13534.15</v>
      </c>
      <c r="F1391">
        <v>159.82</v>
      </c>
      <c r="G1391">
        <v>1279.45</v>
      </c>
      <c r="H1391">
        <f>E1391*1000000/D1391</f>
        <v>983324.92956088716</v>
      </c>
      <c r="I1391" t="str">
        <f>IF(AND(B1391&gt;=2018, B1391&lt;=2021), "2018-2021", IF(AND(B1391&gt;=2022, B1391&lt;=2024), "2022-2024", "Other"))</f>
        <v>2018-2021</v>
      </c>
    </row>
    <row r="1392" spans="1:9" x14ac:dyDescent="0.3">
      <c r="A1392" t="s">
        <v>22</v>
      </c>
      <c r="B1392">
        <v>2021</v>
      </c>
      <c r="C1392" t="s">
        <v>12</v>
      </c>
      <c r="D1392">
        <v>21211.62</v>
      </c>
      <c r="E1392">
        <v>22934.32</v>
      </c>
      <c r="F1392">
        <v>23.56</v>
      </c>
      <c r="G1392">
        <v>462.99</v>
      </c>
      <c r="H1392">
        <f>E1392*1000000/D1392</f>
        <v>1081214.9189925145</v>
      </c>
      <c r="I1392" t="str">
        <f>IF(AND(B1392&gt;=2018, B1392&lt;=2021), "2018-2021", IF(AND(B1392&gt;=2022, B1392&lt;=2024), "2022-2024", "Other"))</f>
        <v>2018-2021</v>
      </c>
    </row>
    <row r="1393" spans="1:9" x14ac:dyDescent="0.3">
      <c r="A1393" t="s">
        <v>23</v>
      </c>
      <c r="B1393">
        <v>2021</v>
      </c>
      <c r="C1393" t="s">
        <v>4</v>
      </c>
      <c r="D1393">
        <v>34559.81</v>
      </c>
      <c r="E1393">
        <v>30645.51</v>
      </c>
      <c r="F1393">
        <v>160.72</v>
      </c>
      <c r="G1393">
        <v>744.61</v>
      </c>
      <c r="H1393">
        <f>E1393*1000000/D1393</f>
        <v>886738.3819529101</v>
      </c>
      <c r="I1393" t="str">
        <f>IF(AND(B1393&gt;=2018, B1393&lt;=2021), "2018-2021", IF(AND(B1393&gt;=2022, B1393&lt;=2024), "2022-2024", "Other"))</f>
        <v>2018-2021</v>
      </c>
    </row>
    <row r="1394" spans="1:9" x14ac:dyDescent="0.3">
      <c r="A1394" t="s">
        <v>1</v>
      </c>
      <c r="B1394">
        <v>2020</v>
      </c>
      <c r="C1394" t="s">
        <v>14</v>
      </c>
      <c r="D1394">
        <v>6103.15</v>
      </c>
      <c r="E1394">
        <v>5286.27</v>
      </c>
      <c r="F1394">
        <v>105.48</v>
      </c>
      <c r="G1394">
        <v>998.77</v>
      </c>
      <c r="H1394">
        <f>E1394*1000000/D1394</f>
        <v>866154.36291095591</v>
      </c>
      <c r="I1394" t="str">
        <f>IF(AND(B1394&gt;=2018, B1394&lt;=2021), "2018-2021", IF(AND(B1394&gt;=2022, B1394&lt;=2024), "2022-2024", "Other"))</f>
        <v>2018-2021</v>
      </c>
    </row>
    <row r="1395" spans="1:9" x14ac:dyDescent="0.3">
      <c r="A1395" t="s">
        <v>1</v>
      </c>
      <c r="B1395">
        <v>2021</v>
      </c>
      <c r="C1395" t="s">
        <v>8</v>
      </c>
      <c r="D1395">
        <v>3737.96</v>
      </c>
      <c r="E1395">
        <v>4130.6400000000003</v>
      </c>
      <c r="F1395">
        <v>149.56</v>
      </c>
      <c r="G1395">
        <v>198.66</v>
      </c>
      <c r="H1395">
        <f>E1395*1000000/D1395</f>
        <v>1105051.9534719475</v>
      </c>
      <c r="I1395" t="str">
        <f>IF(AND(B1395&gt;=2018, B1395&lt;=2021), "2018-2021", IF(AND(B1395&gt;=2022, B1395&lt;=2024), "2022-2024", "Other"))</f>
        <v>2018-2021</v>
      </c>
    </row>
    <row r="1396" spans="1:9" x14ac:dyDescent="0.3">
      <c r="A1396" t="s">
        <v>10</v>
      </c>
      <c r="B1396">
        <v>2024</v>
      </c>
      <c r="C1396" t="s">
        <v>0</v>
      </c>
      <c r="D1396">
        <v>46857.01</v>
      </c>
      <c r="E1396">
        <v>53113.51</v>
      </c>
      <c r="F1396">
        <v>114.12</v>
      </c>
      <c r="G1396">
        <v>518.64</v>
      </c>
      <c r="H1396">
        <f>E1396*1000000/D1396</f>
        <v>1133523.2444409064</v>
      </c>
      <c r="I1396" t="str">
        <f>IF(AND(B1396&gt;=2018, B1396&lt;=2021), "2018-2021", IF(AND(B1396&gt;=2022, B1396&lt;=2024), "2022-2024", "Other"))</f>
        <v>2022-2024</v>
      </c>
    </row>
    <row r="1397" spans="1:9" x14ac:dyDescent="0.3">
      <c r="A1397" t="s">
        <v>5</v>
      </c>
      <c r="B1397">
        <v>2023</v>
      </c>
      <c r="C1397" t="s">
        <v>6</v>
      </c>
      <c r="D1397">
        <v>4611.9399999999996</v>
      </c>
      <c r="E1397">
        <v>4929.34</v>
      </c>
      <c r="F1397">
        <v>41.21</v>
      </c>
      <c r="G1397">
        <v>53.58</v>
      </c>
      <c r="H1397">
        <f>E1397*1000000/D1397</f>
        <v>1068821.3636777583</v>
      </c>
      <c r="I1397" t="str">
        <f>IF(AND(B1397&gt;=2018, B1397&lt;=2021), "2018-2021", IF(AND(B1397&gt;=2022, B1397&lt;=2024), "2022-2024", "Other"))</f>
        <v>2022-2024</v>
      </c>
    </row>
    <row r="1398" spans="1:9" x14ac:dyDescent="0.3">
      <c r="A1398" t="s">
        <v>22</v>
      </c>
      <c r="B1398">
        <v>2020</v>
      </c>
      <c r="C1398" t="s">
        <v>2</v>
      </c>
      <c r="D1398">
        <v>43480.95</v>
      </c>
      <c r="E1398">
        <v>38449.019999999997</v>
      </c>
      <c r="F1398">
        <v>165.29</v>
      </c>
      <c r="G1398">
        <v>734.49</v>
      </c>
      <c r="H1398">
        <f>E1398*1000000/D1398</f>
        <v>884272.76772931602</v>
      </c>
      <c r="I1398" t="str">
        <f>IF(AND(B1398&gt;=2018, B1398&lt;=2021), "2018-2021", IF(AND(B1398&gt;=2022, B1398&lt;=2024), "2022-2024", "Other"))</f>
        <v>2018-2021</v>
      </c>
    </row>
    <row r="1399" spans="1:9" x14ac:dyDescent="0.3">
      <c r="A1399" t="s">
        <v>22</v>
      </c>
      <c r="B1399">
        <v>2020</v>
      </c>
      <c r="C1399" t="s">
        <v>0</v>
      </c>
      <c r="D1399">
        <v>42834.82</v>
      </c>
      <c r="E1399">
        <v>34838.160000000003</v>
      </c>
      <c r="F1399">
        <v>92.86</v>
      </c>
      <c r="G1399">
        <v>234.89</v>
      </c>
      <c r="H1399">
        <f>E1399*1000000/D1399</f>
        <v>813314.02816680446</v>
      </c>
      <c r="I1399" t="str">
        <f>IF(AND(B1399&gt;=2018, B1399&lt;=2021), "2018-2021", IF(AND(B1399&gt;=2022, B1399&lt;=2024), "2022-2024", "Other"))</f>
        <v>2018-2021</v>
      </c>
    </row>
    <row r="1400" spans="1:9" x14ac:dyDescent="0.3">
      <c r="A1400" t="s">
        <v>7</v>
      </c>
      <c r="B1400">
        <v>2023</v>
      </c>
      <c r="C1400" t="s">
        <v>6</v>
      </c>
      <c r="D1400">
        <v>49816.86</v>
      </c>
      <c r="E1400">
        <v>41239.85</v>
      </c>
      <c r="F1400">
        <v>134.88</v>
      </c>
      <c r="G1400">
        <v>1382.02</v>
      </c>
      <c r="H1400">
        <f>E1400*1000000/D1400</f>
        <v>827829.17269374267</v>
      </c>
      <c r="I1400" t="str">
        <f>IF(AND(B1400&gt;=2018, B1400&lt;=2021), "2018-2021", IF(AND(B1400&gt;=2022, B1400&lt;=2024), "2022-2024", "Other"))</f>
        <v>2022-2024</v>
      </c>
    </row>
    <row r="1401" spans="1:9" x14ac:dyDescent="0.3">
      <c r="A1401" t="s">
        <v>22</v>
      </c>
      <c r="B1401">
        <v>2024</v>
      </c>
      <c r="C1401" t="s">
        <v>6</v>
      </c>
      <c r="D1401">
        <v>11404.52</v>
      </c>
      <c r="E1401">
        <v>11204.75</v>
      </c>
      <c r="F1401">
        <v>75.84</v>
      </c>
      <c r="G1401">
        <v>326.42</v>
      </c>
      <c r="H1401">
        <f>E1401*1000000/D1401</f>
        <v>982483.26102282247</v>
      </c>
      <c r="I1401" t="str">
        <f>IF(AND(B1401&gt;=2018, B1401&lt;=2021), "2018-2021", IF(AND(B1401&gt;=2022, B1401&lt;=2024), "2022-2024", "Other"))</f>
        <v>2022-2024</v>
      </c>
    </row>
    <row r="1402" spans="1:9" x14ac:dyDescent="0.3">
      <c r="A1402" t="s">
        <v>19</v>
      </c>
      <c r="B1402">
        <v>2021</v>
      </c>
      <c r="C1402" t="s">
        <v>8</v>
      </c>
      <c r="D1402">
        <v>46798.57</v>
      </c>
      <c r="E1402">
        <v>37623.18</v>
      </c>
      <c r="F1402">
        <v>131.37</v>
      </c>
      <c r="G1402">
        <v>1307.1099999999999</v>
      </c>
      <c r="H1402">
        <f>E1402*1000000/D1402</f>
        <v>803938.66735671624</v>
      </c>
      <c r="I1402" t="str">
        <f>IF(AND(B1402&gt;=2018, B1402&lt;=2021), "2018-2021", IF(AND(B1402&gt;=2022, B1402&lt;=2024), "2022-2024", "Other"))</f>
        <v>2018-2021</v>
      </c>
    </row>
    <row r="1403" spans="1:9" x14ac:dyDescent="0.3">
      <c r="A1403" t="s">
        <v>24</v>
      </c>
      <c r="B1403">
        <v>2021</v>
      </c>
      <c r="C1403" t="s">
        <v>6</v>
      </c>
      <c r="D1403">
        <v>20641.740000000002</v>
      </c>
      <c r="E1403">
        <v>21083.59</v>
      </c>
      <c r="F1403">
        <v>75.790000000000006</v>
      </c>
      <c r="G1403">
        <v>1293.17</v>
      </c>
      <c r="H1403">
        <f>E1403*1000000/D1403</f>
        <v>1021405.6566936701</v>
      </c>
      <c r="I1403" t="str">
        <f>IF(AND(B1403&gt;=2018, B1403&lt;=2021), "2018-2021", IF(AND(B1403&gt;=2022, B1403&lt;=2024), "2022-2024", "Other"))</f>
        <v>2018-2021</v>
      </c>
    </row>
    <row r="1404" spans="1:9" x14ac:dyDescent="0.3">
      <c r="A1404" t="s">
        <v>11</v>
      </c>
      <c r="B1404">
        <v>2018</v>
      </c>
      <c r="C1404" t="s">
        <v>14</v>
      </c>
      <c r="D1404">
        <v>47627.360000000001</v>
      </c>
      <c r="E1404">
        <v>42337.22</v>
      </c>
      <c r="F1404">
        <v>92.55</v>
      </c>
      <c r="G1404">
        <v>131.9</v>
      </c>
      <c r="H1404">
        <f>E1404*1000000/D1404</f>
        <v>888926.44899906276</v>
      </c>
      <c r="I1404" t="str">
        <f>IF(AND(B1404&gt;=2018, B1404&lt;=2021), "2018-2021", IF(AND(B1404&gt;=2022, B1404&lt;=2024), "2022-2024", "Other"))</f>
        <v>2018-2021</v>
      </c>
    </row>
    <row r="1405" spans="1:9" x14ac:dyDescent="0.3">
      <c r="A1405" t="s">
        <v>11</v>
      </c>
      <c r="B1405">
        <v>2021</v>
      </c>
      <c r="C1405" t="s">
        <v>8</v>
      </c>
      <c r="D1405">
        <v>47689.02</v>
      </c>
      <c r="E1405">
        <v>56242.94</v>
      </c>
      <c r="F1405">
        <v>167.89</v>
      </c>
      <c r="G1405">
        <v>427.78</v>
      </c>
      <c r="H1405">
        <f>E1405*1000000/D1405</f>
        <v>1179368.7519684825</v>
      </c>
      <c r="I1405" t="str">
        <f>IF(AND(B1405&gt;=2018, B1405&lt;=2021), "2018-2021", IF(AND(B1405&gt;=2022, B1405&lt;=2024), "2022-2024", "Other"))</f>
        <v>2018-2021</v>
      </c>
    </row>
    <row r="1406" spans="1:9" x14ac:dyDescent="0.3">
      <c r="A1406" t="s">
        <v>27</v>
      </c>
      <c r="B1406">
        <v>2023</v>
      </c>
      <c r="C1406" t="s">
        <v>6</v>
      </c>
      <c r="D1406">
        <v>1498.6</v>
      </c>
      <c r="E1406">
        <v>1441.45</v>
      </c>
      <c r="F1406">
        <v>179.65</v>
      </c>
      <c r="G1406">
        <v>79.16</v>
      </c>
      <c r="H1406">
        <f>E1406*1000000/D1406</f>
        <v>961864.40677966108</v>
      </c>
      <c r="I1406" t="str">
        <f>IF(AND(B1406&gt;=2018, B1406&lt;=2021), "2018-2021", IF(AND(B1406&gt;=2022, B1406&lt;=2024), "2022-2024", "Other"))</f>
        <v>2022-2024</v>
      </c>
    </row>
    <row r="1407" spans="1:9" x14ac:dyDescent="0.3">
      <c r="A1407" t="s">
        <v>21</v>
      </c>
      <c r="B1407">
        <v>2018</v>
      </c>
      <c r="C1407" t="s">
        <v>6</v>
      </c>
      <c r="D1407">
        <v>1658.5</v>
      </c>
      <c r="E1407">
        <v>1792.44</v>
      </c>
      <c r="F1407">
        <v>38.86</v>
      </c>
      <c r="G1407">
        <v>561.39</v>
      </c>
      <c r="H1407">
        <f>E1407*1000000/D1407</f>
        <v>1080759.7226409407</v>
      </c>
      <c r="I1407" t="str">
        <f>IF(AND(B1407&gt;=2018, B1407&lt;=2021), "2018-2021", IF(AND(B1407&gt;=2022, B1407&lt;=2024), "2022-2024", "Other"))</f>
        <v>2018-2021</v>
      </c>
    </row>
    <row r="1408" spans="1:9" x14ac:dyDescent="0.3">
      <c r="A1408" t="s">
        <v>13</v>
      </c>
      <c r="B1408">
        <v>2020</v>
      </c>
      <c r="C1408" t="s">
        <v>4</v>
      </c>
      <c r="D1408">
        <v>28148</v>
      </c>
      <c r="E1408">
        <v>30663.05</v>
      </c>
      <c r="F1408">
        <v>167.89</v>
      </c>
      <c r="G1408">
        <v>961.56</v>
      </c>
      <c r="H1408">
        <f>E1408*1000000/D1408</f>
        <v>1089350.9307943727</v>
      </c>
      <c r="I1408" t="str">
        <f>IF(AND(B1408&gt;=2018, B1408&lt;=2021), "2018-2021", IF(AND(B1408&gt;=2022, B1408&lt;=2024), "2022-2024", "Other"))</f>
        <v>2018-2021</v>
      </c>
    </row>
    <row r="1409" spans="1:9" x14ac:dyDescent="0.3">
      <c r="A1409" t="s">
        <v>1</v>
      </c>
      <c r="B1409">
        <v>2024</v>
      </c>
      <c r="C1409" t="s">
        <v>12</v>
      </c>
      <c r="D1409">
        <v>24659.88</v>
      </c>
      <c r="E1409">
        <v>23758.67</v>
      </c>
      <c r="F1409">
        <v>62.68</v>
      </c>
      <c r="G1409">
        <v>1397.01</v>
      </c>
      <c r="H1409">
        <f>E1409*1000000/D1409</f>
        <v>963454.40448209806</v>
      </c>
      <c r="I1409" t="str">
        <f>IF(AND(B1409&gt;=2018, B1409&lt;=2021), "2018-2021", IF(AND(B1409&gt;=2022, B1409&lt;=2024), "2022-2024", "Other"))</f>
        <v>2022-2024</v>
      </c>
    </row>
    <row r="1410" spans="1:9" x14ac:dyDescent="0.3">
      <c r="A1410" t="s">
        <v>23</v>
      </c>
      <c r="B1410">
        <v>2021</v>
      </c>
      <c r="C1410" t="s">
        <v>0</v>
      </c>
      <c r="D1410">
        <v>4299.29</v>
      </c>
      <c r="E1410">
        <v>3674.24</v>
      </c>
      <c r="F1410">
        <v>29.92</v>
      </c>
      <c r="G1410">
        <v>1201.1400000000001</v>
      </c>
      <c r="H1410">
        <f>E1410*1000000/D1410</f>
        <v>854615.52954092424</v>
      </c>
      <c r="I1410" t="str">
        <f>IF(AND(B1410&gt;=2018, B1410&lt;=2021), "2018-2021", IF(AND(B1410&gt;=2022, B1410&lt;=2024), "2022-2024", "Other"))</f>
        <v>2018-2021</v>
      </c>
    </row>
    <row r="1411" spans="1:9" x14ac:dyDescent="0.3">
      <c r="A1411" t="s">
        <v>19</v>
      </c>
      <c r="B1411">
        <v>2019</v>
      </c>
      <c r="C1411" t="s">
        <v>12</v>
      </c>
      <c r="D1411">
        <v>17578.48</v>
      </c>
      <c r="E1411">
        <v>17978.29</v>
      </c>
      <c r="F1411">
        <v>92.23</v>
      </c>
      <c r="G1411">
        <v>492.46</v>
      </c>
      <c r="H1411">
        <f>E1411*1000000/D1411</f>
        <v>1022744.2873331483</v>
      </c>
      <c r="I1411" t="str">
        <f>IF(AND(B1411&gt;=2018, B1411&lt;=2021), "2018-2021", IF(AND(B1411&gt;=2022, B1411&lt;=2024), "2022-2024", "Other"))</f>
        <v>2018-2021</v>
      </c>
    </row>
    <row r="1412" spans="1:9" x14ac:dyDescent="0.3">
      <c r="A1412" t="s">
        <v>7</v>
      </c>
      <c r="B1412">
        <v>2022</v>
      </c>
      <c r="C1412" t="s">
        <v>12</v>
      </c>
      <c r="D1412">
        <v>19354.400000000001</v>
      </c>
      <c r="E1412">
        <v>20751.86</v>
      </c>
      <c r="F1412">
        <v>64.75</v>
      </c>
      <c r="G1412">
        <v>1049.56</v>
      </c>
      <c r="H1412">
        <f>E1412*1000000/D1412</f>
        <v>1072203.7366180299</v>
      </c>
      <c r="I1412" t="str">
        <f>IF(AND(B1412&gt;=2018, B1412&lt;=2021), "2018-2021", IF(AND(B1412&gt;=2022, B1412&lt;=2024), "2022-2024", "Other"))</f>
        <v>2022-2024</v>
      </c>
    </row>
    <row r="1413" spans="1:9" x14ac:dyDescent="0.3">
      <c r="A1413" t="s">
        <v>11</v>
      </c>
      <c r="B1413">
        <v>2021</v>
      </c>
      <c r="C1413" t="s">
        <v>8</v>
      </c>
      <c r="D1413">
        <v>30790.19</v>
      </c>
      <c r="E1413">
        <v>29014.13</v>
      </c>
      <c r="F1413">
        <v>152.13999999999999</v>
      </c>
      <c r="G1413">
        <v>1212.42</v>
      </c>
      <c r="H1413">
        <f>E1413*1000000/D1413</f>
        <v>942317.34198457375</v>
      </c>
      <c r="I1413" t="str">
        <f>IF(AND(B1413&gt;=2018, B1413&lt;=2021), "2018-2021", IF(AND(B1413&gt;=2022, B1413&lt;=2024), "2022-2024", "Other"))</f>
        <v>2018-2021</v>
      </c>
    </row>
    <row r="1414" spans="1:9" x14ac:dyDescent="0.3">
      <c r="A1414" t="s">
        <v>1</v>
      </c>
      <c r="B1414">
        <v>2023</v>
      </c>
      <c r="C1414" t="s">
        <v>0</v>
      </c>
      <c r="D1414">
        <v>13901.18</v>
      </c>
      <c r="E1414">
        <v>11299.59</v>
      </c>
      <c r="F1414">
        <v>64.06</v>
      </c>
      <c r="G1414">
        <v>21.9</v>
      </c>
      <c r="H1414">
        <f>E1414*1000000/D1414</f>
        <v>812851.13925580413</v>
      </c>
      <c r="I1414" t="str">
        <f>IF(AND(B1414&gt;=2018, B1414&lt;=2021), "2018-2021", IF(AND(B1414&gt;=2022, B1414&lt;=2024), "2022-2024", "Other"))</f>
        <v>2022-2024</v>
      </c>
    </row>
    <row r="1415" spans="1:9" x14ac:dyDescent="0.3">
      <c r="A1415" t="s">
        <v>20</v>
      </c>
      <c r="B1415">
        <v>2020</v>
      </c>
      <c r="C1415" t="s">
        <v>0</v>
      </c>
      <c r="D1415">
        <v>11071.57</v>
      </c>
      <c r="E1415">
        <v>12338.73</v>
      </c>
      <c r="F1415">
        <v>142.21</v>
      </c>
      <c r="G1415">
        <v>52.39</v>
      </c>
      <c r="H1415">
        <f>E1415*1000000/D1415</f>
        <v>1114451.6992621643</v>
      </c>
      <c r="I1415" t="str">
        <f>IF(AND(B1415&gt;=2018, B1415&lt;=2021), "2018-2021", IF(AND(B1415&gt;=2022, B1415&lt;=2024), "2022-2024", "Other"))</f>
        <v>2018-2021</v>
      </c>
    </row>
    <row r="1416" spans="1:9" x14ac:dyDescent="0.3">
      <c r="A1416" t="s">
        <v>16</v>
      </c>
      <c r="B1416">
        <v>2024</v>
      </c>
      <c r="C1416" t="s">
        <v>2</v>
      </c>
      <c r="D1416">
        <v>7032.21</v>
      </c>
      <c r="E1416">
        <v>8297.39</v>
      </c>
      <c r="F1416">
        <v>196.12</v>
      </c>
      <c r="G1416">
        <v>603.96</v>
      </c>
      <c r="H1416">
        <f>E1416*1000000/D1416</f>
        <v>1179912.1471059595</v>
      </c>
      <c r="I1416" t="str">
        <f>IF(AND(B1416&gt;=2018, B1416&lt;=2021), "2018-2021", IF(AND(B1416&gt;=2022, B1416&lt;=2024), "2022-2024", "Other"))</f>
        <v>2022-2024</v>
      </c>
    </row>
    <row r="1417" spans="1:9" x14ac:dyDescent="0.3">
      <c r="A1417" t="s">
        <v>16</v>
      </c>
      <c r="B1417">
        <v>2024</v>
      </c>
      <c r="C1417" t="s">
        <v>12</v>
      </c>
      <c r="D1417">
        <v>8065.54</v>
      </c>
      <c r="E1417">
        <v>9121.86</v>
      </c>
      <c r="F1417">
        <v>33.119999999999997</v>
      </c>
      <c r="G1417">
        <v>292.33999999999997</v>
      </c>
      <c r="H1417">
        <f>E1417*1000000/D1417</f>
        <v>1130967.0524230243</v>
      </c>
      <c r="I1417" t="str">
        <f>IF(AND(B1417&gt;=2018, B1417&lt;=2021), "2018-2021", IF(AND(B1417&gt;=2022, B1417&lt;=2024), "2022-2024", "Other"))</f>
        <v>2022-2024</v>
      </c>
    </row>
    <row r="1418" spans="1:9" x14ac:dyDescent="0.3">
      <c r="A1418" t="s">
        <v>7</v>
      </c>
      <c r="B1418">
        <v>2022</v>
      </c>
      <c r="C1418" t="s">
        <v>9</v>
      </c>
      <c r="D1418">
        <v>43637.05</v>
      </c>
      <c r="E1418">
        <v>38890.959999999999</v>
      </c>
      <c r="F1418">
        <v>79.13</v>
      </c>
      <c r="G1418">
        <v>524.46</v>
      </c>
      <c r="H1418">
        <f>E1418*1000000/D1418</f>
        <v>891237.14824902231</v>
      </c>
      <c r="I1418" t="str">
        <f>IF(AND(B1418&gt;=2018, B1418&lt;=2021), "2018-2021", IF(AND(B1418&gt;=2022, B1418&lt;=2024), "2022-2024", "Other"))</f>
        <v>2022-2024</v>
      </c>
    </row>
    <row r="1419" spans="1:9" x14ac:dyDescent="0.3">
      <c r="A1419" t="s">
        <v>10</v>
      </c>
      <c r="B1419">
        <v>2020</v>
      </c>
      <c r="C1419" t="s">
        <v>9</v>
      </c>
      <c r="D1419">
        <v>41058.239999999998</v>
      </c>
      <c r="E1419">
        <v>38421.440000000002</v>
      </c>
      <c r="F1419">
        <v>63.99</v>
      </c>
      <c r="G1419">
        <v>293.55</v>
      </c>
      <c r="H1419">
        <f>E1419*1000000/D1419</f>
        <v>935779.02998277568</v>
      </c>
      <c r="I1419" t="str">
        <f>IF(AND(B1419&gt;=2018, B1419&lt;=2021), "2018-2021", IF(AND(B1419&gt;=2022, B1419&lt;=2024), "2022-2024", "Other"))</f>
        <v>2018-2021</v>
      </c>
    </row>
    <row r="1420" spans="1:9" x14ac:dyDescent="0.3">
      <c r="A1420" t="s">
        <v>25</v>
      </c>
      <c r="B1420">
        <v>2018</v>
      </c>
      <c r="C1420" t="s">
        <v>8</v>
      </c>
      <c r="D1420">
        <v>22078.21</v>
      </c>
      <c r="E1420">
        <v>20545.650000000001</v>
      </c>
      <c r="F1420">
        <v>120.17</v>
      </c>
      <c r="G1420">
        <v>835.93</v>
      </c>
      <c r="H1420">
        <f>E1420*1000000/D1420</f>
        <v>930584.95231271011</v>
      </c>
      <c r="I1420" t="str">
        <f>IF(AND(B1420&gt;=2018, B1420&lt;=2021), "2018-2021", IF(AND(B1420&gt;=2022, B1420&lt;=2024), "2022-2024", "Other"))</f>
        <v>2018-2021</v>
      </c>
    </row>
    <row r="1421" spans="1:9" x14ac:dyDescent="0.3">
      <c r="A1421" t="s">
        <v>26</v>
      </c>
      <c r="B1421">
        <v>2023</v>
      </c>
      <c r="C1421" t="s">
        <v>12</v>
      </c>
      <c r="D1421">
        <v>28458.05</v>
      </c>
      <c r="E1421">
        <v>32053.14</v>
      </c>
      <c r="F1421">
        <v>111.9</v>
      </c>
      <c r="G1421">
        <v>1023.31</v>
      </c>
      <c r="H1421">
        <f>E1421*1000000/D1421</f>
        <v>1126329.4568672134</v>
      </c>
      <c r="I1421" t="str">
        <f>IF(AND(B1421&gt;=2018, B1421&lt;=2021), "2018-2021", IF(AND(B1421&gt;=2022, B1421&lt;=2024), "2022-2024", "Other"))</f>
        <v>2022-2024</v>
      </c>
    </row>
    <row r="1422" spans="1:9" x14ac:dyDescent="0.3">
      <c r="A1422" t="s">
        <v>13</v>
      </c>
      <c r="B1422">
        <v>2019</v>
      </c>
      <c r="C1422" t="s">
        <v>8</v>
      </c>
      <c r="D1422">
        <v>41000.870000000003</v>
      </c>
      <c r="E1422">
        <v>47408.27</v>
      </c>
      <c r="F1422">
        <v>61.27</v>
      </c>
      <c r="G1422">
        <v>792.47</v>
      </c>
      <c r="H1422">
        <f>E1422*1000000/D1422</f>
        <v>1156274.7327068914</v>
      </c>
      <c r="I1422" t="str">
        <f>IF(AND(B1422&gt;=2018, B1422&lt;=2021), "2018-2021", IF(AND(B1422&gt;=2022, B1422&lt;=2024), "2022-2024", "Other"))</f>
        <v>2018-2021</v>
      </c>
    </row>
    <row r="1423" spans="1:9" x14ac:dyDescent="0.3">
      <c r="A1423" t="s">
        <v>20</v>
      </c>
      <c r="B1423">
        <v>2024</v>
      </c>
      <c r="C1423" t="s">
        <v>6</v>
      </c>
      <c r="D1423">
        <v>7236.25</v>
      </c>
      <c r="E1423">
        <v>5985.85</v>
      </c>
      <c r="F1423">
        <v>112.63</v>
      </c>
      <c r="G1423">
        <v>41.66</v>
      </c>
      <c r="H1423">
        <f>E1423*1000000/D1423</f>
        <v>827203.31663499738</v>
      </c>
      <c r="I1423" t="str">
        <f>IF(AND(B1423&gt;=2018, B1423&lt;=2021), "2018-2021", IF(AND(B1423&gt;=2022, B1423&lt;=2024), "2022-2024", "Other"))</f>
        <v>2022-2024</v>
      </c>
    </row>
    <row r="1424" spans="1:9" x14ac:dyDescent="0.3">
      <c r="A1424" t="s">
        <v>11</v>
      </c>
      <c r="B1424">
        <v>2019</v>
      </c>
      <c r="C1424" t="s">
        <v>0</v>
      </c>
      <c r="D1424">
        <v>19679.23</v>
      </c>
      <c r="E1424">
        <v>23414.639999999999</v>
      </c>
      <c r="F1424">
        <v>152.57</v>
      </c>
      <c r="G1424">
        <v>771.08</v>
      </c>
      <c r="H1424">
        <f>E1424*1000000/D1424</f>
        <v>1189814.8453979145</v>
      </c>
      <c r="I1424" t="str">
        <f>IF(AND(B1424&gt;=2018, B1424&lt;=2021), "2018-2021", IF(AND(B1424&gt;=2022, B1424&lt;=2024), "2022-2024", "Other"))</f>
        <v>2018-2021</v>
      </c>
    </row>
    <row r="1425" spans="1:9" x14ac:dyDescent="0.3">
      <c r="A1425" t="s">
        <v>13</v>
      </c>
      <c r="B1425">
        <v>2024</v>
      </c>
      <c r="C1425" t="s">
        <v>12</v>
      </c>
      <c r="D1425">
        <v>35483.410000000003</v>
      </c>
      <c r="E1425">
        <v>33462.870000000003</v>
      </c>
      <c r="F1425">
        <v>188.4</v>
      </c>
      <c r="G1425">
        <v>802.52</v>
      </c>
      <c r="H1425">
        <f>E1425*1000000/D1425</f>
        <v>943056.7693465763</v>
      </c>
      <c r="I1425" t="str">
        <f>IF(AND(B1425&gt;=2018, B1425&lt;=2021), "2018-2021", IF(AND(B1425&gt;=2022, B1425&lt;=2024), "2022-2024", "Other"))</f>
        <v>2022-2024</v>
      </c>
    </row>
    <row r="1426" spans="1:9" x14ac:dyDescent="0.3">
      <c r="A1426" t="s">
        <v>11</v>
      </c>
      <c r="B1426">
        <v>2024</v>
      </c>
      <c r="C1426" t="s">
        <v>0</v>
      </c>
      <c r="D1426">
        <v>34795.800000000003</v>
      </c>
      <c r="E1426">
        <v>36643.269999999997</v>
      </c>
      <c r="F1426">
        <v>90.7</v>
      </c>
      <c r="G1426">
        <v>922.21</v>
      </c>
      <c r="H1426">
        <f>E1426*1000000/D1426</f>
        <v>1053094.6263629517</v>
      </c>
      <c r="I1426" t="str">
        <f>IF(AND(B1426&gt;=2018, B1426&lt;=2021), "2018-2021", IF(AND(B1426&gt;=2022, B1426&lt;=2024), "2022-2024", "Other"))</f>
        <v>2022-2024</v>
      </c>
    </row>
    <row r="1427" spans="1:9" x14ac:dyDescent="0.3">
      <c r="A1427" t="s">
        <v>24</v>
      </c>
      <c r="B1427">
        <v>2021</v>
      </c>
      <c r="C1427" t="s">
        <v>12</v>
      </c>
      <c r="D1427">
        <v>41413.4</v>
      </c>
      <c r="E1427">
        <v>46444.54</v>
      </c>
      <c r="F1427">
        <v>192.43</v>
      </c>
      <c r="G1427">
        <v>25.16</v>
      </c>
      <c r="H1427">
        <f>E1427*1000000/D1427</f>
        <v>1121485.7992823578</v>
      </c>
      <c r="I1427" t="str">
        <f>IF(AND(B1427&gt;=2018, B1427&lt;=2021), "2018-2021", IF(AND(B1427&gt;=2022, B1427&lt;=2024), "2022-2024", "Other"))</f>
        <v>2018-2021</v>
      </c>
    </row>
    <row r="1428" spans="1:9" x14ac:dyDescent="0.3">
      <c r="A1428" t="s">
        <v>27</v>
      </c>
      <c r="B1428">
        <v>2018</v>
      </c>
      <c r="C1428" t="s">
        <v>0</v>
      </c>
      <c r="D1428">
        <v>29213.9</v>
      </c>
      <c r="E1428">
        <v>30961.95</v>
      </c>
      <c r="F1428">
        <v>118.87</v>
      </c>
      <c r="G1428">
        <v>26.11</v>
      </c>
      <c r="H1428">
        <f>E1428*1000000/D1428</f>
        <v>1059836.2423366958</v>
      </c>
      <c r="I1428" t="str">
        <f>IF(AND(B1428&gt;=2018, B1428&lt;=2021), "2018-2021", IF(AND(B1428&gt;=2022, B1428&lt;=2024), "2022-2024", "Other"))</f>
        <v>2018-2021</v>
      </c>
    </row>
    <row r="1429" spans="1:9" x14ac:dyDescent="0.3">
      <c r="A1429" t="s">
        <v>3</v>
      </c>
      <c r="B1429">
        <v>2023</v>
      </c>
      <c r="C1429" t="s">
        <v>12</v>
      </c>
      <c r="D1429">
        <v>13010.89</v>
      </c>
      <c r="E1429">
        <v>13474.49</v>
      </c>
      <c r="F1429">
        <v>187.25</v>
      </c>
      <c r="G1429">
        <v>466.68</v>
      </c>
      <c r="H1429">
        <f>E1429*1000000/D1429</f>
        <v>1035631.6900688577</v>
      </c>
      <c r="I1429" t="str">
        <f>IF(AND(B1429&gt;=2018, B1429&lt;=2021), "2018-2021", IF(AND(B1429&gt;=2022, B1429&lt;=2024), "2022-2024", "Other"))</f>
        <v>2022-2024</v>
      </c>
    </row>
    <row r="1430" spans="1:9" x14ac:dyDescent="0.3">
      <c r="A1430" t="s">
        <v>3</v>
      </c>
      <c r="B1430">
        <v>2021</v>
      </c>
      <c r="C1430" t="s">
        <v>8</v>
      </c>
      <c r="D1430">
        <v>4140.1099999999997</v>
      </c>
      <c r="E1430">
        <v>3741.73</v>
      </c>
      <c r="F1430">
        <v>170.14</v>
      </c>
      <c r="G1430">
        <v>1050.1199999999999</v>
      </c>
      <c r="H1430">
        <f>E1430*1000000/D1430</f>
        <v>903775.50354942272</v>
      </c>
      <c r="I1430" t="str">
        <f>IF(AND(B1430&gt;=2018, B1430&lt;=2021), "2018-2021", IF(AND(B1430&gt;=2022, B1430&lt;=2024), "2022-2024", "Other"))</f>
        <v>2018-2021</v>
      </c>
    </row>
    <row r="1431" spans="1:9" x14ac:dyDescent="0.3">
      <c r="A1431" t="s">
        <v>27</v>
      </c>
      <c r="B1431">
        <v>2024</v>
      </c>
      <c r="C1431" t="s">
        <v>14</v>
      </c>
      <c r="D1431">
        <v>17681.37</v>
      </c>
      <c r="E1431">
        <v>18549.68</v>
      </c>
      <c r="F1431">
        <v>141.22</v>
      </c>
      <c r="G1431">
        <v>402.52</v>
      </c>
      <c r="H1431">
        <f>E1431*1000000/D1431</f>
        <v>1049108.7511883979</v>
      </c>
      <c r="I1431" t="str">
        <f>IF(AND(B1431&gt;=2018, B1431&lt;=2021), "2018-2021", IF(AND(B1431&gt;=2022, B1431&lt;=2024), "2022-2024", "Other"))</f>
        <v>2022-2024</v>
      </c>
    </row>
    <row r="1432" spans="1:9" x14ac:dyDescent="0.3">
      <c r="A1432" t="s">
        <v>1</v>
      </c>
      <c r="B1432">
        <v>2022</v>
      </c>
      <c r="C1432" t="s">
        <v>12</v>
      </c>
      <c r="D1432">
        <v>46668.91</v>
      </c>
      <c r="E1432">
        <v>47669.01</v>
      </c>
      <c r="F1432">
        <v>109.29</v>
      </c>
      <c r="G1432">
        <v>647</v>
      </c>
      <c r="H1432">
        <f>E1432*1000000/D1432</f>
        <v>1021429.6841301842</v>
      </c>
      <c r="I1432" t="str">
        <f>IF(AND(B1432&gt;=2018, B1432&lt;=2021), "2018-2021", IF(AND(B1432&gt;=2022, B1432&lt;=2024), "2022-2024", "Other"))</f>
        <v>2022-2024</v>
      </c>
    </row>
    <row r="1433" spans="1:9" x14ac:dyDescent="0.3">
      <c r="A1433" t="s">
        <v>17</v>
      </c>
      <c r="B1433">
        <v>2022</v>
      </c>
      <c r="C1433" t="s">
        <v>9</v>
      </c>
      <c r="D1433">
        <v>35232.720000000001</v>
      </c>
      <c r="E1433">
        <v>40282.97</v>
      </c>
      <c r="F1433">
        <v>103.69</v>
      </c>
      <c r="G1433">
        <v>682.19</v>
      </c>
      <c r="H1433">
        <f>E1433*1000000/D1433</f>
        <v>1143339.7705314832</v>
      </c>
      <c r="I1433" t="str">
        <f>IF(AND(B1433&gt;=2018, B1433&lt;=2021), "2018-2021", IF(AND(B1433&gt;=2022, B1433&lt;=2024), "2022-2024", "Other"))</f>
        <v>2022-2024</v>
      </c>
    </row>
    <row r="1434" spans="1:9" x14ac:dyDescent="0.3">
      <c r="A1434" t="s">
        <v>5</v>
      </c>
      <c r="B1434">
        <v>2023</v>
      </c>
      <c r="C1434" t="s">
        <v>4</v>
      </c>
      <c r="D1434">
        <v>32497.32</v>
      </c>
      <c r="E1434">
        <v>33166.68</v>
      </c>
      <c r="F1434">
        <v>155.52000000000001</v>
      </c>
      <c r="G1434">
        <v>99.24</v>
      </c>
      <c r="H1434">
        <f>E1434*1000000/D1434</f>
        <v>1020597.390800226</v>
      </c>
      <c r="I1434" t="str">
        <f>IF(AND(B1434&gt;=2018, B1434&lt;=2021), "2018-2021", IF(AND(B1434&gt;=2022, B1434&lt;=2024), "2022-2024", "Other"))</f>
        <v>2022-2024</v>
      </c>
    </row>
    <row r="1435" spans="1:9" x14ac:dyDescent="0.3">
      <c r="A1435" t="s">
        <v>5</v>
      </c>
      <c r="B1435">
        <v>2020</v>
      </c>
      <c r="C1435" t="s">
        <v>4</v>
      </c>
      <c r="D1435">
        <v>40408.04</v>
      </c>
      <c r="E1435">
        <v>46888.38</v>
      </c>
      <c r="F1435">
        <v>189.14</v>
      </c>
      <c r="G1435">
        <v>654.22</v>
      </c>
      <c r="H1435">
        <f>E1435*1000000/D1435</f>
        <v>1160372.5397222929</v>
      </c>
      <c r="I1435" t="str">
        <f>IF(AND(B1435&gt;=2018, B1435&lt;=2021), "2018-2021", IF(AND(B1435&gt;=2022, B1435&lt;=2024), "2022-2024", "Other"))</f>
        <v>2018-2021</v>
      </c>
    </row>
    <row r="1436" spans="1:9" x14ac:dyDescent="0.3">
      <c r="A1436" t="s">
        <v>26</v>
      </c>
      <c r="B1436">
        <v>2023</v>
      </c>
      <c r="C1436" t="s">
        <v>4</v>
      </c>
      <c r="D1436">
        <v>22245.81</v>
      </c>
      <c r="E1436">
        <v>24544.51</v>
      </c>
      <c r="F1436">
        <v>153.27000000000001</v>
      </c>
      <c r="G1436">
        <v>1030.6400000000001</v>
      </c>
      <c r="H1436">
        <f>E1436*1000000/D1436</f>
        <v>1103331.8184413153</v>
      </c>
      <c r="I1436" t="str">
        <f>IF(AND(B1436&gt;=2018, B1436&lt;=2021), "2018-2021", IF(AND(B1436&gt;=2022, B1436&lt;=2024), "2022-2024", "Other"))</f>
        <v>2022-2024</v>
      </c>
    </row>
    <row r="1437" spans="1:9" x14ac:dyDescent="0.3">
      <c r="A1437" t="s">
        <v>23</v>
      </c>
      <c r="B1437">
        <v>2022</v>
      </c>
      <c r="C1437" t="s">
        <v>14</v>
      </c>
      <c r="D1437">
        <v>34661.410000000003</v>
      </c>
      <c r="E1437">
        <v>41175.81</v>
      </c>
      <c r="F1437">
        <v>199.19</v>
      </c>
      <c r="G1437">
        <v>729.14</v>
      </c>
      <c r="H1437">
        <f>E1437*1000000/D1437</f>
        <v>1187943.8834138599</v>
      </c>
      <c r="I1437" t="str">
        <f>IF(AND(B1437&gt;=2018, B1437&lt;=2021), "2018-2021", IF(AND(B1437&gt;=2022, B1437&lt;=2024), "2022-2024", "Other"))</f>
        <v>2022-2024</v>
      </c>
    </row>
    <row r="1438" spans="1:9" x14ac:dyDescent="0.3">
      <c r="A1438" t="s">
        <v>22</v>
      </c>
      <c r="B1438">
        <v>2023</v>
      </c>
      <c r="C1438" t="s">
        <v>2</v>
      </c>
      <c r="D1438">
        <v>4747.33</v>
      </c>
      <c r="E1438">
        <v>5287.71</v>
      </c>
      <c r="F1438">
        <v>117.05</v>
      </c>
      <c r="G1438">
        <v>264.62</v>
      </c>
      <c r="H1438">
        <f>E1438*1000000/D1438</f>
        <v>1113828.1939532326</v>
      </c>
      <c r="I1438" t="str">
        <f>IF(AND(B1438&gt;=2018, B1438&lt;=2021), "2018-2021", IF(AND(B1438&gt;=2022, B1438&lt;=2024), "2022-2024", "Other"))</f>
        <v>2022-2024</v>
      </c>
    </row>
    <row r="1439" spans="1:9" x14ac:dyDescent="0.3">
      <c r="A1439" t="s">
        <v>25</v>
      </c>
      <c r="B1439">
        <v>2021</v>
      </c>
      <c r="C1439" t="s">
        <v>2</v>
      </c>
      <c r="D1439">
        <v>34123.97</v>
      </c>
      <c r="E1439">
        <v>35563.1</v>
      </c>
      <c r="F1439">
        <v>124.01</v>
      </c>
      <c r="G1439">
        <v>545.6</v>
      </c>
      <c r="H1439">
        <f>E1439*1000000/D1439</f>
        <v>1042173.5806238254</v>
      </c>
      <c r="I1439" t="str">
        <f>IF(AND(B1439&gt;=2018, B1439&lt;=2021), "2018-2021", IF(AND(B1439&gt;=2022, B1439&lt;=2024), "2022-2024", "Other"))</f>
        <v>2018-2021</v>
      </c>
    </row>
    <row r="1440" spans="1:9" x14ac:dyDescent="0.3">
      <c r="A1440" t="s">
        <v>17</v>
      </c>
      <c r="B1440">
        <v>2021</v>
      </c>
      <c r="C1440" t="s">
        <v>14</v>
      </c>
      <c r="D1440">
        <v>26651.27</v>
      </c>
      <c r="E1440">
        <v>22800.42</v>
      </c>
      <c r="F1440">
        <v>195.03</v>
      </c>
      <c r="G1440">
        <v>1370.22</v>
      </c>
      <c r="H1440">
        <f>E1440*1000000/D1440</f>
        <v>855509.6999129873</v>
      </c>
      <c r="I1440" t="str">
        <f>IF(AND(B1440&gt;=2018, B1440&lt;=2021), "2018-2021", IF(AND(B1440&gt;=2022, B1440&lt;=2024), "2022-2024", "Other"))</f>
        <v>2018-2021</v>
      </c>
    </row>
    <row r="1441" spans="1:9" x14ac:dyDescent="0.3">
      <c r="A1441" t="s">
        <v>21</v>
      </c>
      <c r="B1441">
        <v>2018</v>
      </c>
      <c r="C1441" t="s">
        <v>8</v>
      </c>
      <c r="D1441">
        <v>35830.120000000003</v>
      </c>
      <c r="E1441">
        <v>33509.64</v>
      </c>
      <c r="F1441">
        <v>125.51</v>
      </c>
      <c r="G1441">
        <v>442.34</v>
      </c>
      <c r="H1441">
        <f>E1441*1000000/D1441</f>
        <v>935236.61098539433</v>
      </c>
      <c r="I1441" t="str">
        <f>IF(AND(B1441&gt;=2018, B1441&lt;=2021), "2018-2021", IF(AND(B1441&gt;=2022, B1441&lt;=2024), "2022-2024", "Other"))</f>
        <v>2018-2021</v>
      </c>
    </row>
    <row r="1442" spans="1:9" x14ac:dyDescent="0.3">
      <c r="A1442" t="s">
        <v>16</v>
      </c>
      <c r="B1442">
        <v>2020</v>
      </c>
      <c r="C1442" t="s">
        <v>9</v>
      </c>
      <c r="D1442">
        <v>43604.76</v>
      </c>
      <c r="E1442">
        <v>41061.79</v>
      </c>
      <c r="F1442">
        <v>118.91</v>
      </c>
      <c r="G1442">
        <v>221.35</v>
      </c>
      <c r="H1442">
        <f>E1442*1000000/D1442</f>
        <v>941681.36689664156</v>
      </c>
      <c r="I1442" t="str">
        <f>IF(AND(B1442&gt;=2018, B1442&lt;=2021), "2018-2021", IF(AND(B1442&gt;=2022, B1442&lt;=2024), "2022-2024", "Other"))</f>
        <v>2018-2021</v>
      </c>
    </row>
    <row r="1443" spans="1:9" x14ac:dyDescent="0.3">
      <c r="A1443" t="s">
        <v>23</v>
      </c>
      <c r="B1443">
        <v>2019</v>
      </c>
      <c r="C1443" t="s">
        <v>2</v>
      </c>
      <c r="D1443">
        <v>28426.63</v>
      </c>
      <c r="E1443">
        <v>25882.46</v>
      </c>
      <c r="F1443">
        <v>167.06</v>
      </c>
      <c r="G1443">
        <v>171.49</v>
      </c>
      <c r="H1443">
        <f>E1443*1000000/D1443</f>
        <v>910500.47086130152</v>
      </c>
      <c r="I1443" t="str">
        <f>IF(AND(B1443&gt;=2018, B1443&lt;=2021), "2018-2021", IF(AND(B1443&gt;=2022, B1443&lt;=2024), "2022-2024", "Other"))</f>
        <v>2018-2021</v>
      </c>
    </row>
    <row r="1444" spans="1:9" x14ac:dyDescent="0.3">
      <c r="A1444" t="s">
        <v>16</v>
      </c>
      <c r="B1444">
        <v>2022</v>
      </c>
      <c r="C1444" t="s">
        <v>14</v>
      </c>
      <c r="D1444">
        <v>23421.47</v>
      </c>
      <c r="E1444">
        <v>24931.67</v>
      </c>
      <c r="F1444">
        <v>158.37</v>
      </c>
      <c r="G1444">
        <v>560.84</v>
      </c>
      <c r="H1444">
        <f>E1444*1000000/D1444</f>
        <v>1064479.3004025794</v>
      </c>
      <c r="I1444" t="str">
        <f>IF(AND(B1444&gt;=2018, B1444&lt;=2021), "2018-2021", IF(AND(B1444&gt;=2022, B1444&lt;=2024), "2022-2024", "Other"))</f>
        <v>2022-2024</v>
      </c>
    </row>
    <row r="1445" spans="1:9" x14ac:dyDescent="0.3">
      <c r="A1445" t="s">
        <v>20</v>
      </c>
      <c r="B1445">
        <v>2023</v>
      </c>
      <c r="C1445" t="s">
        <v>4</v>
      </c>
      <c r="D1445">
        <v>27099.72</v>
      </c>
      <c r="E1445">
        <v>28239.68</v>
      </c>
      <c r="F1445">
        <v>155.83000000000001</v>
      </c>
      <c r="G1445">
        <v>20.78</v>
      </c>
      <c r="H1445">
        <f>E1445*1000000/D1445</f>
        <v>1042065.3792732913</v>
      </c>
      <c r="I1445" t="str">
        <f>IF(AND(B1445&gt;=2018, B1445&lt;=2021), "2018-2021", IF(AND(B1445&gt;=2022, B1445&lt;=2024), "2022-2024", "Other"))</f>
        <v>2022-2024</v>
      </c>
    </row>
    <row r="1446" spans="1:9" x14ac:dyDescent="0.3">
      <c r="A1446" t="s">
        <v>13</v>
      </c>
      <c r="B1446">
        <v>2024</v>
      </c>
      <c r="C1446" t="s">
        <v>0</v>
      </c>
      <c r="D1446">
        <v>39581.839999999997</v>
      </c>
      <c r="E1446">
        <v>41930.82</v>
      </c>
      <c r="F1446">
        <v>104.09</v>
      </c>
      <c r="G1446">
        <v>342.77</v>
      </c>
      <c r="H1446">
        <f>E1446*1000000/D1446</f>
        <v>1059344.891495696</v>
      </c>
      <c r="I1446" t="str">
        <f>IF(AND(B1446&gt;=2018, B1446&lt;=2021), "2018-2021", IF(AND(B1446&gt;=2022, B1446&lt;=2024), "2022-2024", "Other"))</f>
        <v>2022-2024</v>
      </c>
    </row>
    <row r="1447" spans="1:9" x14ac:dyDescent="0.3">
      <c r="A1447" t="s">
        <v>18</v>
      </c>
      <c r="B1447">
        <v>2018</v>
      </c>
      <c r="C1447" t="s">
        <v>12</v>
      </c>
      <c r="D1447">
        <v>26144.5</v>
      </c>
      <c r="E1447">
        <v>22131.69</v>
      </c>
      <c r="F1447">
        <v>171.23</v>
      </c>
      <c r="G1447">
        <v>644.98</v>
      </c>
      <c r="H1447">
        <f>E1447*1000000/D1447</f>
        <v>846514.18080284575</v>
      </c>
      <c r="I1447" t="str">
        <f>IF(AND(B1447&gt;=2018, B1447&lt;=2021), "2018-2021", IF(AND(B1447&gt;=2022, B1447&lt;=2024), "2022-2024", "Other"))</f>
        <v>2018-2021</v>
      </c>
    </row>
    <row r="1448" spans="1:9" x14ac:dyDescent="0.3">
      <c r="A1448" t="s">
        <v>18</v>
      </c>
      <c r="B1448">
        <v>2019</v>
      </c>
      <c r="C1448" t="s">
        <v>8</v>
      </c>
      <c r="D1448">
        <v>17126.740000000002</v>
      </c>
      <c r="E1448">
        <v>17098.43</v>
      </c>
      <c r="F1448">
        <v>40.51</v>
      </c>
      <c r="G1448">
        <v>1331.19</v>
      </c>
      <c r="H1448">
        <f>E1448*1000000/D1448</f>
        <v>998347.02926534752</v>
      </c>
      <c r="I1448" t="str">
        <f>IF(AND(B1448&gt;=2018, B1448&lt;=2021), "2018-2021", IF(AND(B1448&gt;=2022, B1448&lt;=2024), "2022-2024", "Other"))</f>
        <v>2018-2021</v>
      </c>
    </row>
    <row r="1449" spans="1:9" x14ac:dyDescent="0.3">
      <c r="A1449" t="s">
        <v>17</v>
      </c>
      <c r="B1449">
        <v>2023</v>
      </c>
      <c r="C1449" t="s">
        <v>9</v>
      </c>
      <c r="D1449">
        <v>41112.980000000003</v>
      </c>
      <c r="E1449">
        <v>38944.29</v>
      </c>
      <c r="F1449">
        <v>125.91</v>
      </c>
      <c r="G1449">
        <v>1118.7</v>
      </c>
      <c r="H1449">
        <f>E1449*1000000/D1449</f>
        <v>947250.47904579039</v>
      </c>
      <c r="I1449" t="str">
        <f>IF(AND(B1449&gt;=2018, B1449&lt;=2021), "2018-2021", IF(AND(B1449&gt;=2022, B1449&lt;=2024), "2022-2024", "Other"))</f>
        <v>2022-2024</v>
      </c>
    </row>
    <row r="1450" spans="1:9" x14ac:dyDescent="0.3">
      <c r="A1450" t="s">
        <v>3</v>
      </c>
      <c r="B1450">
        <v>2023</v>
      </c>
      <c r="C1450" t="s">
        <v>12</v>
      </c>
      <c r="D1450">
        <v>34771.879999999997</v>
      </c>
      <c r="E1450">
        <v>39746.31</v>
      </c>
      <c r="F1450">
        <v>108.15</v>
      </c>
      <c r="G1450">
        <v>531.36</v>
      </c>
      <c r="H1450">
        <f>E1450*1000000/D1450</f>
        <v>1143058.9890451711</v>
      </c>
      <c r="I1450" t="str">
        <f>IF(AND(B1450&gt;=2018, B1450&lt;=2021), "2018-2021", IF(AND(B1450&gt;=2022, B1450&lt;=2024), "2022-2024", "Other"))</f>
        <v>2022-2024</v>
      </c>
    </row>
    <row r="1451" spans="1:9" x14ac:dyDescent="0.3">
      <c r="A1451" t="s">
        <v>15</v>
      </c>
      <c r="B1451">
        <v>2020</v>
      </c>
      <c r="C1451" t="s">
        <v>2</v>
      </c>
      <c r="D1451">
        <v>30532.53</v>
      </c>
      <c r="E1451">
        <v>35225.480000000003</v>
      </c>
      <c r="F1451">
        <v>101.96</v>
      </c>
      <c r="G1451">
        <v>1397.4</v>
      </c>
      <c r="H1451">
        <f>E1451*1000000/D1451</f>
        <v>1153703.2797478624</v>
      </c>
      <c r="I1451" t="str">
        <f>IF(AND(B1451&gt;=2018, B1451&lt;=2021), "2018-2021", IF(AND(B1451&gt;=2022, B1451&lt;=2024), "2022-2024", "Other"))</f>
        <v>2018-2021</v>
      </c>
    </row>
    <row r="1452" spans="1:9" x14ac:dyDescent="0.3">
      <c r="A1452" t="s">
        <v>18</v>
      </c>
      <c r="B1452">
        <v>2018</v>
      </c>
      <c r="C1452" t="s">
        <v>0</v>
      </c>
      <c r="D1452">
        <v>33302.910000000003</v>
      </c>
      <c r="E1452">
        <v>34775.160000000003</v>
      </c>
      <c r="F1452">
        <v>96.53</v>
      </c>
      <c r="G1452">
        <v>319.81</v>
      </c>
      <c r="H1452">
        <f>E1452*1000000/D1452</f>
        <v>1044207.8485033289</v>
      </c>
      <c r="I1452" t="str">
        <f>IF(AND(B1452&gt;=2018, B1452&lt;=2021), "2018-2021", IF(AND(B1452&gt;=2022, B1452&lt;=2024), "2022-2024", "Other"))</f>
        <v>2018-2021</v>
      </c>
    </row>
    <row r="1453" spans="1:9" x14ac:dyDescent="0.3">
      <c r="A1453" t="s">
        <v>13</v>
      </c>
      <c r="B1453">
        <v>2023</v>
      </c>
      <c r="C1453" t="s">
        <v>8</v>
      </c>
      <c r="D1453">
        <v>44376.959999999999</v>
      </c>
      <c r="E1453">
        <v>38365.99</v>
      </c>
      <c r="F1453">
        <v>126.78</v>
      </c>
      <c r="G1453">
        <v>1395.67</v>
      </c>
      <c r="H1453">
        <f>E1453*1000000/D1453</f>
        <v>864547.50392996729</v>
      </c>
      <c r="I1453" t="str">
        <f>IF(AND(B1453&gt;=2018, B1453&lt;=2021), "2018-2021", IF(AND(B1453&gt;=2022, B1453&lt;=2024), "2022-2024", "Other"))</f>
        <v>2022-2024</v>
      </c>
    </row>
    <row r="1454" spans="1:9" x14ac:dyDescent="0.3">
      <c r="A1454" t="s">
        <v>10</v>
      </c>
      <c r="B1454">
        <v>2019</v>
      </c>
      <c r="C1454" t="s">
        <v>0</v>
      </c>
      <c r="D1454">
        <v>19157.25</v>
      </c>
      <c r="E1454">
        <v>22447.11</v>
      </c>
      <c r="F1454">
        <v>26.79</v>
      </c>
      <c r="G1454">
        <v>732.64</v>
      </c>
      <c r="H1454">
        <f>E1454*1000000/D1454</f>
        <v>1171729.2408879146</v>
      </c>
      <c r="I1454" t="str">
        <f>IF(AND(B1454&gt;=2018, B1454&lt;=2021), "2018-2021", IF(AND(B1454&gt;=2022, B1454&lt;=2024), "2022-2024", "Other"))</f>
        <v>2018-2021</v>
      </c>
    </row>
    <row r="1455" spans="1:9" x14ac:dyDescent="0.3">
      <c r="A1455" t="s">
        <v>22</v>
      </c>
      <c r="B1455">
        <v>2020</v>
      </c>
      <c r="C1455" t="s">
        <v>4</v>
      </c>
      <c r="D1455">
        <v>19420.740000000002</v>
      </c>
      <c r="E1455">
        <v>18180.97</v>
      </c>
      <c r="F1455">
        <v>164.89</v>
      </c>
      <c r="G1455">
        <v>553.1</v>
      </c>
      <c r="H1455">
        <f>E1455*1000000/D1455</f>
        <v>936162.57670922938</v>
      </c>
      <c r="I1455" t="str">
        <f>IF(AND(B1455&gt;=2018, B1455&lt;=2021), "2018-2021", IF(AND(B1455&gt;=2022, B1455&lt;=2024), "2022-2024", "Other"))</f>
        <v>2018-2021</v>
      </c>
    </row>
    <row r="1456" spans="1:9" x14ac:dyDescent="0.3">
      <c r="A1456" t="s">
        <v>20</v>
      </c>
      <c r="B1456">
        <v>2024</v>
      </c>
      <c r="C1456" t="s">
        <v>6</v>
      </c>
      <c r="D1456">
        <v>26996.77</v>
      </c>
      <c r="E1456">
        <v>22247.24</v>
      </c>
      <c r="F1456">
        <v>141.19999999999999</v>
      </c>
      <c r="G1456">
        <v>195.3</v>
      </c>
      <c r="H1456">
        <f>E1456*1000000/D1456</f>
        <v>824070.43509279075</v>
      </c>
      <c r="I1456" t="str">
        <f>IF(AND(B1456&gt;=2018, B1456&lt;=2021), "2018-2021", IF(AND(B1456&gt;=2022, B1456&lt;=2024), "2022-2024", "Other"))</f>
        <v>2022-2024</v>
      </c>
    </row>
    <row r="1457" spans="1:9" x14ac:dyDescent="0.3">
      <c r="A1457" t="s">
        <v>18</v>
      </c>
      <c r="B1457">
        <v>2021</v>
      </c>
      <c r="C1457" t="s">
        <v>9</v>
      </c>
      <c r="D1457">
        <v>23230.45</v>
      </c>
      <c r="E1457">
        <v>24063.57</v>
      </c>
      <c r="F1457">
        <v>103.26</v>
      </c>
      <c r="G1457">
        <v>13.57</v>
      </c>
      <c r="H1457">
        <f>E1457*1000000/D1457</f>
        <v>1035863.2742800935</v>
      </c>
      <c r="I1457" t="str">
        <f>IF(AND(B1457&gt;=2018, B1457&lt;=2021), "2018-2021", IF(AND(B1457&gt;=2022, B1457&lt;=2024), "2022-2024", "Other"))</f>
        <v>2018-2021</v>
      </c>
    </row>
    <row r="1458" spans="1:9" x14ac:dyDescent="0.3">
      <c r="A1458" t="s">
        <v>5</v>
      </c>
      <c r="B1458">
        <v>2022</v>
      </c>
      <c r="C1458" t="s">
        <v>0</v>
      </c>
      <c r="D1458">
        <v>11941.14</v>
      </c>
      <c r="E1458">
        <v>10013.69</v>
      </c>
      <c r="F1458">
        <v>157.15</v>
      </c>
      <c r="G1458">
        <v>1387.28</v>
      </c>
      <c r="H1458">
        <f>E1458*1000000/D1458</f>
        <v>838587.43805030349</v>
      </c>
      <c r="I1458" t="str">
        <f>IF(AND(B1458&gt;=2018, B1458&lt;=2021), "2018-2021", IF(AND(B1458&gt;=2022, B1458&lt;=2024), "2022-2024", "Other"))</f>
        <v>2022-2024</v>
      </c>
    </row>
    <row r="1459" spans="1:9" x14ac:dyDescent="0.3">
      <c r="A1459" t="s">
        <v>13</v>
      </c>
      <c r="B1459">
        <v>2021</v>
      </c>
      <c r="C1459" t="s">
        <v>4</v>
      </c>
      <c r="D1459">
        <v>36620.6</v>
      </c>
      <c r="E1459">
        <v>33044.67</v>
      </c>
      <c r="F1459">
        <v>51.01</v>
      </c>
      <c r="G1459">
        <v>50.26</v>
      </c>
      <c r="H1459">
        <f>E1459*1000000/D1459</f>
        <v>902351.95491062407</v>
      </c>
      <c r="I1459" t="str">
        <f>IF(AND(B1459&gt;=2018, B1459&lt;=2021), "2018-2021", IF(AND(B1459&gt;=2022, B1459&lt;=2024), "2022-2024", "Other"))</f>
        <v>2018-2021</v>
      </c>
    </row>
    <row r="1460" spans="1:9" x14ac:dyDescent="0.3">
      <c r="A1460" t="s">
        <v>26</v>
      </c>
      <c r="B1460">
        <v>2020</v>
      </c>
      <c r="C1460" t="s">
        <v>6</v>
      </c>
      <c r="D1460">
        <v>39904.730000000003</v>
      </c>
      <c r="E1460">
        <v>42100.71</v>
      </c>
      <c r="F1460">
        <v>185.89</v>
      </c>
      <c r="G1460">
        <v>137.46</v>
      </c>
      <c r="H1460">
        <f>E1460*1000000/D1460</f>
        <v>1055030.5690578534</v>
      </c>
      <c r="I1460" t="str">
        <f>IF(AND(B1460&gt;=2018, B1460&lt;=2021), "2018-2021", IF(AND(B1460&gt;=2022, B1460&lt;=2024), "2022-2024", "Other"))</f>
        <v>2018-2021</v>
      </c>
    </row>
    <row r="1461" spans="1:9" x14ac:dyDescent="0.3">
      <c r="A1461" t="s">
        <v>16</v>
      </c>
      <c r="B1461">
        <v>2021</v>
      </c>
      <c r="C1461" t="s">
        <v>9</v>
      </c>
      <c r="D1461">
        <v>18677.97</v>
      </c>
      <c r="E1461">
        <v>18778.259999999998</v>
      </c>
      <c r="F1461">
        <v>67.16</v>
      </c>
      <c r="G1461">
        <v>1317.71</v>
      </c>
      <c r="H1461">
        <f>E1461*1000000/D1461</f>
        <v>1005369.4271914988</v>
      </c>
      <c r="I1461" t="str">
        <f>IF(AND(B1461&gt;=2018, B1461&lt;=2021), "2018-2021", IF(AND(B1461&gt;=2022, B1461&lt;=2024), "2022-2024", "Other"))</f>
        <v>2018-2021</v>
      </c>
    </row>
    <row r="1462" spans="1:9" x14ac:dyDescent="0.3">
      <c r="A1462" t="s">
        <v>19</v>
      </c>
      <c r="B1462">
        <v>2020</v>
      </c>
      <c r="C1462" t="s">
        <v>12</v>
      </c>
      <c r="D1462">
        <v>27775.14</v>
      </c>
      <c r="E1462">
        <v>27873.1</v>
      </c>
      <c r="F1462">
        <v>167.13</v>
      </c>
      <c r="G1462">
        <v>1285.73</v>
      </c>
      <c r="H1462">
        <f>E1462*1000000/D1462</f>
        <v>1003526.894913941</v>
      </c>
      <c r="I1462" t="str">
        <f>IF(AND(B1462&gt;=2018, B1462&lt;=2021), "2018-2021", IF(AND(B1462&gt;=2022, B1462&lt;=2024), "2022-2024", "Other"))</f>
        <v>2018-2021</v>
      </c>
    </row>
    <row r="1463" spans="1:9" x14ac:dyDescent="0.3">
      <c r="A1463" t="s">
        <v>21</v>
      </c>
      <c r="B1463">
        <v>2023</v>
      </c>
      <c r="C1463" t="s">
        <v>9</v>
      </c>
      <c r="D1463">
        <v>39575.31</v>
      </c>
      <c r="E1463">
        <v>33679.46</v>
      </c>
      <c r="F1463">
        <v>156.9</v>
      </c>
      <c r="G1463">
        <v>820.08</v>
      </c>
      <c r="H1463">
        <f>E1463*1000000/D1463</f>
        <v>851022.01347254135</v>
      </c>
      <c r="I1463" t="str">
        <f>IF(AND(B1463&gt;=2018, B1463&lt;=2021), "2018-2021", IF(AND(B1463&gt;=2022, B1463&lt;=2024), "2022-2024", "Other"))</f>
        <v>2022-2024</v>
      </c>
    </row>
    <row r="1464" spans="1:9" x14ac:dyDescent="0.3">
      <c r="A1464" t="s">
        <v>27</v>
      </c>
      <c r="B1464">
        <v>2024</v>
      </c>
      <c r="C1464" t="s">
        <v>9</v>
      </c>
      <c r="D1464">
        <v>44477.01</v>
      </c>
      <c r="E1464">
        <v>51554.51</v>
      </c>
      <c r="F1464">
        <v>135.69</v>
      </c>
      <c r="G1464">
        <v>634.66999999999996</v>
      </c>
      <c r="H1464">
        <f>E1464*1000000/D1464</f>
        <v>1159127.1535564102</v>
      </c>
      <c r="I1464" t="str">
        <f>IF(AND(B1464&gt;=2018, B1464&lt;=2021), "2018-2021", IF(AND(B1464&gt;=2022, B1464&lt;=2024), "2022-2024", "Other"))</f>
        <v>2022-2024</v>
      </c>
    </row>
    <row r="1465" spans="1:9" x14ac:dyDescent="0.3">
      <c r="A1465" t="s">
        <v>22</v>
      </c>
      <c r="B1465">
        <v>2021</v>
      </c>
      <c r="C1465" t="s">
        <v>2</v>
      </c>
      <c r="D1465">
        <v>45531.69</v>
      </c>
      <c r="E1465">
        <v>53905.440000000002</v>
      </c>
      <c r="F1465">
        <v>168.79</v>
      </c>
      <c r="G1465">
        <v>408.45</v>
      </c>
      <c r="H1465">
        <f>E1465*1000000/D1465</f>
        <v>1183910.3709965521</v>
      </c>
      <c r="I1465" t="str">
        <f>IF(AND(B1465&gt;=2018, B1465&lt;=2021), "2018-2021", IF(AND(B1465&gt;=2022, B1465&lt;=2024), "2022-2024", "Other"))</f>
        <v>2018-2021</v>
      </c>
    </row>
    <row r="1466" spans="1:9" x14ac:dyDescent="0.3">
      <c r="A1466" t="s">
        <v>26</v>
      </c>
      <c r="B1466">
        <v>2024</v>
      </c>
      <c r="C1466" t="s">
        <v>6</v>
      </c>
      <c r="D1466">
        <v>19136.57</v>
      </c>
      <c r="E1466">
        <v>15632.33</v>
      </c>
      <c r="F1466">
        <v>36.340000000000003</v>
      </c>
      <c r="G1466">
        <v>726.02</v>
      </c>
      <c r="H1466">
        <f>E1466*1000000/D1466</f>
        <v>816882.54478205869</v>
      </c>
      <c r="I1466" t="str">
        <f>IF(AND(B1466&gt;=2018, B1466&lt;=2021), "2018-2021", IF(AND(B1466&gt;=2022, B1466&lt;=2024), "2022-2024", "Other"))</f>
        <v>2022-2024</v>
      </c>
    </row>
    <row r="1467" spans="1:9" x14ac:dyDescent="0.3">
      <c r="A1467" t="s">
        <v>10</v>
      </c>
      <c r="B1467">
        <v>2019</v>
      </c>
      <c r="C1467" t="s">
        <v>2</v>
      </c>
      <c r="D1467">
        <v>39366.230000000003</v>
      </c>
      <c r="E1467">
        <v>31790.73</v>
      </c>
      <c r="F1467">
        <v>162.82</v>
      </c>
      <c r="G1467">
        <v>910.67</v>
      </c>
      <c r="H1467">
        <f>E1467*1000000/D1467</f>
        <v>807563.4877914394</v>
      </c>
      <c r="I1467" t="str">
        <f>IF(AND(B1467&gt;=2018, B1467&lt;=2021), "2018-2021", IF(AND(B1467&gt;=2022, B1467&lt;=2024), "2022-2024", "Other"))</f>
        <v>2018-2021</v>
      </c>
    </row>
    <row r="1468" spans="1:9" x14ac:dyDescent="0.3">
      <c r="A1468" t="s">
        <v>21</v>
      </c>
      <c r="B1468">
        <v>2019</v>
      </c>
      <c r="C1468" t="s">
        <v>12</v>
      </c>
      <c r="D1468">
        <v>42224.31</v>
      </c>
      <c r="E1468">
        <v>48288.33</v>
      </c>
      <c r="F1468">
        <v>29.15</v>
      </c>
      <c r="G1468">
        <v>989.16</v>
      </c>
      <c r="H1468">
        <f>E1468*1000000/D1468</f>
        <v>1143614.4249604079</v>
      </c>
      <c r="I1468" t="str">
        <f>IF(AND(B1468&gt;=2018, B1468&lt;=2021), "2018-2021", IF(AND(B1468&gt;=2022, B1468&lt;=2024), "2022-2024", "Other"))</f>
        <v>2018-2021</v>
      </c>
    </row>
    <row r="1469" spans="1:9" x14ac:dyDescent="0.3">
      <c r="A1469" t="s">
        <v>1</v>
      </c>
      <c r="B1469">
        <v>2018</v>
      </c>
      <c r="C1469" t="s">
        <v>2</v>
      </c>
      <c r="D1469">
        <v>11747.58</v>
      </c>
      <c r="E1469">
        <v>11927.44</v>
      </c>
      <c r="F1469">
        <v>31.53</v>
      </c>
      <c r="G1469">
        <v>429.29</v>
      </c>
      <c r="H1469">
        <f>E1469*1000000/D1469</f>
        <v>1015310.3873308375</v>
      </c>
      <c r="I1469" t="str">
        <f>IF(AND(B1469&gt;=2018, B1469&lt;=2021), "2018-2021", IF(AND(B1469&gt;=2022, B1469&lt;=2024), "2022-2024", "Other"))</f>
        <v>2018-2021</v>
      </c>
    </row>
    <row r="1470" spans="1:9" x14ac:dyDescent="0.3">
      <c r="A1470" t="s">
        <v>18</v>
      </c>
      <c r="B1470">
        <v>2022</v>
      </c>
      <c r="C1470" t="s">
        <v>6</v>
      </c>
      <c r="D1470">
        <v>32541.66</v>
      </c>
      <c r="E1470">
        <v>31769.86</v>
      </c>
      <c r="F1470">
        <v>181.61</v>
      </c>
      <c r="G1470">
        <v>958.99</v>
      </c>
      <c r="H1470">
        <f>E1470*1000000/D1470</f>
        <v>976282.70960977406</v>
      </c>
      <c r="I1470" t="str">
        <f>IF(AND(B1470&gt;=2018, B1470&lt;=2021), "2018-2021", IF(AND(B1470&gt;=2022, B1470&lt;=2024), "2022-2024", "Other"))</f>
        <v>2022-2024</v>
      </c>
    </row>
    <row r="1471" spans="1:9" x14ac:dyDescent="0.3">
      <c r="A1471" t="s">
        <v>13</v>
      </c>
      <c r="B1471">
        <v>2024</v>
      </c>
      <c r="C1471" t="s">
        <v>14</v>
      </c>
      <c r="D1471">
        <v>10346.33</v>
      </c>
      <c r="E1471">
        <v>8873.4599999999991</v>
      </c>
      <c r="F1471">
        <v>178.04</v>
      </c>
      <c r="G1471">
        <v>174.47</v>
      </c>
      <c r="H1471">
        <f>E1471*1000000/D1471</f>
        <v>857643.24161320971</v>
      </c>
      <c r="I1471" t="str">
        <f>IF(AND(B1471&gt;=2018, B1471&lt;=2021), "2018-2021", IF(AND(B1471&gt;=2022, B1471&lt;=2024), "2022-2024", "Other"))</f>
        <v>2022-2024</v>
      </c>
    </row>
    <row r="1472" spans="1:9" x14ac:dyDescent="0.3">
      <c r="A1472" t="s">
        <v>24</v>
      </c>
      <c r="B1472">
        <v>2024</v>
      </c>
      <c r="C1472" t="s">
        <v>12</v>
      </c>
      <c r="D1472">
        <v>11663.37</v>
      </c>
      <c r="E1472">
        <v>9373.5400000000009</v>
      </c>
      <c r="F1472">
        <v>27.2</v>
      </c>
      <c r="G1472">
        <v>1132.72</v>
      </c>
      <c r="H1472">
        <f>E1472*1000000/D1472</f>
        <v>803673.38084961718</v>
      </c>
      <c r="I1472" t="str">
        <f>IF(AND(B1472&gt;=2018, B1472&lt;=2021), "2018-2021", IF(AND(B1472&gt;=2022, B1472&lt;=2024), "2022-2024", "Other"))</f>
        <v>2022-2024</v>
      </c>
    </row>
    <row r="1473" spans="1:9" x14ac:dyDescent="0.3">
      <c r="A1473" t="s">
        <v>5</v>
      </c>
      <c r="B1473">
        <v>2019</v>
      </c>
      <c r="C1473" t="s">
        <v>6</v>
      </c>
      <c r="D1473">
        <v>36775.279999999999</v>
      </c>
      <c r="E1473">
        <v>42989.16</v>
      </c>
      <c r="F1473">
        <v>35.159999999999997</v>
      </c>
      <c r="G1473">
        <v>766.59</v>
      </c>
      <c r="H1473">
        <f>E1473*1000000/D1473</f>
        <v>1168968.9378299771</v>
      </c>
      <c r="I1473" t="str">
        <f>IF(AND(B1473&gt;=2018, B1473&lt;=2021), "2018-2021", IF(AND(B1473&gt;=2022, B1473&lt;=2024), "2022-2024", "Other"))</f>
        <v>2018-2021</v>
      </c>
    </row>
    <row r="1474" spans="1:9" x14ac:dyDescent="0.3">
      <c r="A1474" t="s">
        <v>26</v>
      </c>
      <c r="B1474">
        <v>2023</v>
      </c>
      <c r="C1474" t="s">
        <v>8</v>
      </c>
      <c r="D1474">
        <v>47754.5</v>
      </c>
      <c r="E1474">
        <v>43538.98</v>
      </c>
      <c r="F1474">
        <v>84.26</v>
      </c>
      <c r="G1474">
        <v>724.99</v>
      </c>
      <c r="H1474">
        <f>E1474*1000000/D1474</f>
        <v>911725.17773194145</v>
      </c>
      <c r="I1474" t="str">
        <f>IF(AND(B1474&gt;=2018, B1474&lt;=2021), "2018-2021", IF(AND(B1474&gt;=2022, B1474&lt;=2024), "2022-2024", "Other"))</f>
        <v>2022-2024</v>
      </c>
    </row>
    <row r="1475" spans="1:9" x14ac:dyDescent="0.3">
      <c r="A1475" t="s">
        <v>23</v>
      </c>
      <c r="B1475">
        <v>2019</v>
      </c>
      <c r="C1475" t="s">
        <v>6</v>
      </c>
      <c r="D1475">
        <v>49597.08</v>
      </c>
      <c r="E1475">
        <v>51503.85</v>
      </c>
      <c r="F1475">
        <v>53.87</v>
      </c>
      <c r="G1475">
        <v>1203.6300000000001</v>
      </c>
      <c r="H1475">
        <f>E1475*1000000/D1475</f>
        <v>1038445.2068549197</v>
      </c>
      <c r="I1475" t="str">
        <f>IF(AND(B1475&gt;=2018, B1475&lt;=2021), "2018-2021", IF(AND(B1475&gt;=2022, B1475&lt;=2024), "2022-2024", "Other"))</f>
        <v>2018-2021</v>
      </c>
    </row>
    <row r="1476" spans="1:9" x14ac:dyDescent="0.3">
      <c r="A1476" t="s">
        <v>27</v>
      </c>
      <c r="B1476">
        <v>2019</v>
      </c>
      <c r="C1476" t="s">
        <v>6</v>
      </c>
      <c r="D1476">
        <v>9854.36</v>
      </c>
      <c r="E1476">
        <v>9751.73</v>
      </c>
      <c r="F1476">
        <v>121.65</v>
      </c>
      <c r="G1476">
        <v>1333.26</v>
      </c>
      <c r="H1476">
        <f>E1476*1000000/D1476</f>
        <v>989585.32060935453</v>
      </c>
      <c r="I1476" t="str">
        <f>IF(AND(B1476&gt;=2018, B1476&lt;=2021), "2018-2021", IF(AND(B1476&gt;=2022, B1476&lt;=2024), "2022-2024", "Other"))</f>
        <v>2018-2021</v>
      </c>
    </row>
    <row r="1477" spans="1:9" x14ac:dyDescent="0.3">
      <c r="A1477" t="s">
        <v>11</v>
      </c>
      <c r="B1477">
        <v>2021</v>
      </c>
      <c r="C1477" t="s">
        <v>9</v>
      </c>
      <c r="D1477">
        <v>32026.66</v>
      </c>
      <c r="E1477">
        <v>37170.93</v>
      </c>
      <c r="F1477">
        <v>66.349999999999994</v>
      </c>
      <c r="G1477">
        <v>1253.9100000000001</v>
      </c>
      <c r="H1477">
        <f>E1477*1000000/D1477</f>
        <v>1160624.6171158655</v>
      </c>
      <c r="I1477" t="str">
        <f>IF(AND(B1477&gt;=2018, B1477&lt;=2021), "2018-2021", IF(AND(B1477&gt;=2022, B1477&lt;=2024), "2022-2024", "Other"))</f>
        <v>2018-2021</v>
      </c>
    </row>
    <row r="1478" spans="1:9" x14ac:dyDescent="0.3">
      <c r="A1478" t="s">
        <v>13</v>
      </c>
      <c r="B1478">
        <v>2019</v>
      </c>
      <c r="C1478" t="s">
        <v>14</v>
      </c>
      <c r="D1478">
        <v>42268.39</v>
      </c>
      <c r="E1478">
        <v>47258.559999999998</v>
      </c>
      <c r="F1478">
        <v>22.83</v>
      </c>
      <c r="G1478">
        <v>1347.24</v>
      </c>
      <c r="H1478">
        <f>E1478*1000000/D1478</f>
        <v>1118059.1453802711</v>
      </c>
      <c r="I1478" t="str">
        <f>IF(AND(B1478&gt;=2018, B1478&lt;=2021), "2018-2021", IF(AND(B1478&gt;=2022, B1478&lt;=2024), "2022-2024", "Other"))</f>
        <v>2018-2021</v>
      </c>
    </row>
    <row r="1479" spans="1:9" x14ac:dyDescent="0.3">
      <c r="A1479" t="s">
        <v>20</v>
      </c>
      <c r="B1479">
        <v>2018</v>
      </c>
      <c r="C1479" t="s">
        <v>6</v>
      </c>
      <c r="D1479">
        <v>4432.12</v>
      </c>
      <c r="E1479">
        <v>4843.8500000000004</v>
      </c>
      <c r="F1479">
        <v>48.24</v>
      </c>
      <c r="G1479">
        <v>979.69</v>
      </c>
      <c r="H1479">
        <f>E1479*1000000/D1479</f>
        <v>1092896.8529732949</v>
      </c>
      <c r="I1479" t="str">
        <f>IF(AND(B1479&gt;=2018, B1479&lt;=2021), "2018-2021", IF(AND(B1479&gt;=2022, B1479&lt;=2024), "2022-2024", "Other"))</f>
        <v>2018-2021</v>
      </c>
    </row>
    <row r="1480" spans="1:9" x14ac:dyDescent="0.3">
      <c r="A1480" t="s">
        <v>24</v>
      </c>
      <c r="B1480">
        <v>2024</v>
      </c>
      <c r="C1480" t="s">
        <v>14</v>
      </c>
      <c r="D1480">
        <v>46335.1</v>
      </c>
      <c r="E1480">
        <v>44293.66</v>
      </c>
      <c r="F1480">
        <v>68.290000000000006</v>
      </c>
      <c r="G1480">
        <v>878.73</v>
      </c>
      <c r="H1480">
        <f>E1480*1000000/D1480</f>
        <v>955941.823800963</v>
      </c>
      <c r="I1480" t="str">
        <f>IF(AND(B1480&gt;=2018, B1480&lt;=2021), "2018-2021", IF(AND(B1480&gt;=2022, B1480&lt;=2024), "2022-2024", "Other"))</f>
        <v>2022-2024</v>
      </c>
    </row>
    <row r="1481" spans="1:9" x14ac:dyDescent="0.3">
      <c r="A1481" t="s">
        <v>3</v>
      </c>
      <c r="B1481">
        <v>2023</v>
      </c>
      <c r="C1481" t="s">
        <v>12</v>
      </c>
      <c r="D1481">
        <v>32008.19</v>
      </c>
      <c r="E1481">
        <v>37944.81</v>
      </c>
      <c r="F1481">
        <v>96.91</v>
      </c>
      <c r="G1481">
        <v>293.20999999999998</v>
      </c>
      <c r="H1481">
        <f>E1481*1000000/D1481</f>
        <v>1185471.9057841133</v>
      </c>
      <c r="I1481" t="str">
        <f>IF(AND(B1481&gt;=2018, B1481&lt;=2021), "2018-2021", IF(AND(B1481&gt;=2022, B1481&lt;=2024), "2022-2024", "Other"))</f>
        <v>2022-2024</v>
      </c>
    </row>
    <row r="1482" spans="1:9" x14ac:dyDescent="0.3">
      <c r="A1482" t="s">
        <v>10</v>
      </c>
      <c r="B1482">
        <v>2020</v>
      </c>
      <c r="C1482" t="s">
        <v>8</v>
      </c>
      <c r="D1482">
        <v>12158.17</v>
      </c>
      <c r="E1482">
        <v>12654.12</v>
      </c>
      <c r="F1482">
        <v>88.35</v>
      </c>
      <c r="G1482">
        <v>854.64</v>
      </c>
      <c r="H1482">
        <f>E1482*1000000/D1482</f>
        <v>1040791.5006945947</v>
      </c>
      <c r="I1482" t="str">
        <f>IF(AND(B1482&gt;=2018, B1482&lt;=2021), "2018-2021", IF(AND(B1482&gt;=2022, B1482&lt;=2024), "2022-2024", "Other"))</f>
        <v>2018-2021</v>
      </c>
    </row>
    <row r="1483" spans="1:9" x14ac:dyDescent="0.3">
      <c r="A1483" t="s">
        <v>27</v>
      </c>
      <c r="B1483">
        <v>2023</v>
      </c>
      <c r="C1483" t="s">
        <v>2</v>
      </c>
      <c r="D1483">
        <v>26692.28</v>
      </c>
      <c r="E1483">
        <v>27029.96</v>
      </c>
      <c r="F1483">
        <v>35.130000000000003</v>
      </c>
      <c r="G1483">
        <v>830.67</v>
      </c>
      <c r="H1483">
        <f>E1483*1000000/D1483</f>
        <v>1012650.8488596703</v>
      </c>
      <c r="I1483" t="str">
        <f>IF(AND(B1483&gt;=2018, B1483&lt;=2021), "2018-2021", IF(AND(B1483&gt;=2022, B1483&lt;=2024), "2022-2024", "Other"))</f>
        <v>2022-2024</v>
      </c>
    </row>
    <row r="1484" spans="1:9" x14ac:dyDescent="0.3">
      <c r="A1484" t="s">
        <v>18</v>
      </c>
      <c r="B1484">
        <v>2020</v>
      </c>
      <c r="C1484" t="s">
        <v>14</v>
      </c>
      <c r="D1484">
        <v>25611.51</v>
      </c>
      <c r="E1484">
        <v>27250.82</v>
      </c>
      <c r="F1484">
        <v>194.94</v>
      </c>
      <c r="G1484">
        <v>975.85</v>
      </c>
      <c r="H1484">
        <f>E1484*1000000/D1484</f>
        <v>1064006.7688316698</v>
      </c>
      <c r="I1484" t="str">
        <f>IF(AND(B1484&gt;=2018, B1484&lt;=2021), "2018-2021", IF(AND(B1484&gt;=2022, B1484&lt;=2024), "2022-2024", "Other"))</f>
        <v>2018-2021</v>
      </c>
    </row>
    <row r="1485" spans="1:9" x14ac:dyDescent="0.3">
      <c r="A1485" t="s">
        <v>13</v>
      </c>
      <c r="B1485">
        <v>2024</v>
      </c>
      <c r="C1485" t="s">
        <v>2</v>
      </c>
      <c r="D1485">
        <v>38673.18</v>
      </c>
      <c r="E1485">
        <v>34473.089999999997</v>
      </c>
      <c r="F1485">
        <v>190.61</v>
      </c>
      <c r="G1485">
        <v>803.85</v>
      </c>
      <c r="H1485">
        <f>E1485*1000000/D1485</f>
        <v>891395.2770369543</v>
      </c>
      <c r="I1485" t="str">
        <f>IF(AND(B1485&gt;=2018, B1485&lt;=2021), "2018-2021", IF(AND(B1485&gt;=2022, B1485&lt;=2024), "2022-2024", "Other"))</f>
        <v>2022-2024</v>
      </c>
    </row>
    <row r="1486" spans="1:9" x14ac:dyDescent="0.3">
      <c r="A1486" t="s">
        <v>20</v>
      </c>
      <c r="B1486">
        <v>2022</v>
      </c>
      <c r="C1486" t="s">
        <v>8</v>
      </c>
      <c r="D1486">
        <v>38902.239999999998</v>
      </c>
      <c r="E1486">
        <v>41321.620000000003</v>
      </c>
      <c r="F1486">
        <v>183.52</v>
      </c>
      <c r="G1486">
        <v>155.41</v>
      </c>
      <c r="H1486">
        <f>E1486*1000000/D1486</f>
        <v>1062191.2774174444</v>
      </c>
      <c r="I1486" t="str">
        <f>IF(AND(B1486&gt;=2018, B1486&lt;=2021), "2018-2021", IF(AND(B1486&gt;=2022, B1486&lt;=2024), "2022-2024", "Other"))</f>
        <v>2022-2024</v>
      </c>
    </row>
    <row r="1487" spans="1:9" x14ac:dyDescent="0.3">
      <c r="A1487" t="s">
        <v>23</v>
      </c>
      <c r="B1487">
        <v>2024</v>
      </c>
      <c r="C1487" t="s">
        <v>14</v>
      </c>
      <c r="D1487">
        <v>21328.53</v>
      </c>
      <c r="E1487">
        <v>21673.87</v>
      </c>
      <c r="F1487">
        <v>56.09</v>
      </c>
      <c r="G1487">
        <v>365.74</v>
      </c>
      <c r="H1487">
        <f>E1487*1000000/D1487</f>
        <v>1016191.4581079896</v>
      </c>
      <c r="I1487" t="str">
        <f>IF(AND(B1487&gt;=2018, B1487&lt;=2021), "2018-2021", IF(AND(B1487&gt;=2022, B1487&lt;=2024), "2022-2024", "Other"))</f>
        <v>2022-2024</v>
      </c>
    </row>
    <row r="1488" spans="1:9" x14ac:dyDescent="0.3">
      <c r="A1488" t="s">
        <v>17</v>
      </c>
      <c r="B1488">
        <v>2024</v>
      </c>
      <c r="C1488" t="s">
        <v>0</v>
      </c>
      <c r="D1488">
        <v>37219.35</v>
      </c>
      <c r="E1488">
        <v>38057.65</v>
      </c>
      <c r="F1488">
        <v>186.06</v>
      </c>
      <c r="G1488">
        <v>904.55</v>
      </c>
      <c r="H1488">
        <f>E1488*1000000/D1488</f>
        <v>1022523.2305239076</v>
      </c>
      <c r="I1488" t="str">
        <f>IF(AND(B1488&gt;=2018, B1488&lt;=2021), "2018-2021", IF(AND(B1488&gt;=2022, B1488&lt;=2024), "2022-2024", "Other"))</f>
        <v>2022-2024</v>
      </c>
    </row>
    <row r="1489" spans="1:9" x14ac:dyDescent="0.3">
      <c r="A1489" t="s">
        <v>23</v>
      </c>
      <c r="B1489">
        <v>2018</v>
      </c>
      <c r="C1489" t="s">
        <v>14</v>
      </c>
      <c r="D1489">
        <v>36730.78</v>
      </c>
      <c r="E1489">
        <v>31317.17</v>
      </c>
      <c r="F1489">
        <v>102.27</v>
      </c>
      <c r="G1489">
        <v>1099.95</v>
      </c>
      <c r="H1489">
        <f>E1489*1000000/D1489</f>
        <v>852613.8023750108</v>
      </c>
      <c r="I1489" t="str">
        <f>IF(AND(B1489&gt;=2018, B1489&lt;=2021), "2018-2021", IF(AND(B1489&gt;=2022, B1489&lt;=2024), "2022-2024", "Other"))</f>
        <v>2018-2021</v>
      </c>
    </row>
    <row r="1490" spans="1:9" x14ac:dyDescent="0.3">
      <c r="A1490" t="s">
        <v>27</v>
      </c>
      <c r="B1490">
        <v>2023</v>
      </c>
      <c r="C1490" t="s">
        <v>2</v>
      </c>
      <c r="D1490">
        <v>12317.88</v>
      </c>
      <c r="E1490">
        <v>10632.5</v>
      </c>
      <c r="F1490">
        <v>186.06</v>
      </c>
      <c r="G1490">
        <v>993.41</v>
      </c>
      <c r="H1490">
        <f>E1490*1000000/D1490</f>
        <v>863176.13095759985</v>
      </c>
      <c r="I1490" t="str">
        <f>IF(AND(B1490&gt;=2018, B1490&lt;=2021), "2018-2021", IF(AND(B1490&gt;=2022, B1490&lt;=2024), "2022-2024", "Other"))</f>
        <v>2022-2024</v>
      </c>
    </row>
    <row r="1491" spans="1:9" x14ac:dyDescent="0.3">
      <c r="A1491" t="s">
        <v>18</v>
      </c>
      <c r="B1491">
        <v>2020</v>
      </c>
      <c r="C1491" t="s">
        <v>0</v>
      </c>
      <c r="D1491">
        <v>34788.43</v>
      </c>
      <c r="E1491">
        <v>36710.86</v>
      </c>
      <c r="F1491">
        <v>175.07</v>
      </c>
      <c r="G1491">
        <v>1259.71</v>
      </c>
      <c r="H1491">
        <f>E1491*1000000/D1491</f>
        <v>1055260.6139454986</v>
      </c>
      <c r="I1491" t="str">
        <f>IF(AND(B1491&gt;=2018, B1491&lt;=2021), "2018-2021", IF(AND(B1491&gt;=2022, B1491&lt;=2024), "2022-2024", "Other"))</f>
        <v>2018-2021</v>
      </c>
    </row>
    <row r="1492" spans="1:9" x14ac:dyDescent="0.3">
      <c r="A1492" t="s">
        <v>18</v>
      </c>
      <c r="B1492">
        <v>2019</v>
      </c>
      <c r="C1492" t="s">
        <v>2</v>
      </c>
      <c r="D1492">
        <v>38637.82</v>
      </c>
      <c r="E1492">
        <v>37387.449999999997</v>
      </c>
      <c r="F1492">
        <v>28.74</v>
      </c>
      <c r="G1492">
        <v>797.19</v>
      </c>
      <c r="H1492">
        <f>E1492*1000000/D1492</f>
        <v>967638.70218350831</v>
      </c>
      <c r="I1492" t="str">
        <f>IF(AND(B1492&gt;=2018, B1492&lt;=2021), "2018-2021", IF(AND(B1492&gt;=2022, B1492&lt;=2024), "2022-2024", "Other"))</f>
        <v>2018-2021</v>
      </c>
    </row>
    <row r="1493" spans="1:9" x14ac:dyDescent="0.3">
      <c r="A1493" t="s">
        <v>1</v>
      </c>
      <c r="B1493">
        <v>2018</v>
      </c>
      <c r="C1493" t="s">
        <v>6</v>
      </c>
      <c r="D1493">
        <v>23315.360000000001</v>
      </c>
      <c r="E1493">
        <v>25409.49</v>
      </c>
      <c r="F1493">
        <v>151.47</v>
      </c>
      <c r="G1493">
        <v>1158.29</v>
      </c>
      <c r="H1493">
        <f>E1493*1000000/D1493</f>
        <v>1089817.6137962269</v>
      </c>
      <c r="I1493" t="str">
        <f>IF(AND(B1493&gt;=2018, B1493&lt;=2021), "2018-2021", IF(AND(B1493&gt;=2022, B1493&lt;=2024), "2022-2024", "Other"))</f>
        <v>2018-2021</v>
      </c>
    </row>
    <row r="1494" spans="1:9" x14ac:dyDescent="0.3">
      <c r="A1494" t="s">
        <v>22</v>
      </c>
      <c r="B1494">
        <v>2021</v>
      </c>
      <c r="C1494" t="s">
        <v>12</v>
      </c>
      <c r="D1494">
        <v>42720.3</v>
      </c>
      <c r="E1494">
        <v>43857.89</v>
      </c>
      <c r="F1494">
        <v>180.31</v>
      </c>
      <c r="G1494">
        <v>33.869999999999997</v>
      </c>
      <c r="H1494">
        <f>E1494*1000000/D1494</f>
        <v>1026628.7924008024</v>
      </c>
      <c r="I1494" t="str">
        <f>IF(AND(B1494&gt;=2018, B1494&lt;=2021), "2018-2021", IF(AND(B1494&gt;=2022, B1494&lt;=2024), "2022-2024", "Other"))</f>
        <v>2018-2021</v>
      </c>
    </row>
    <row r="1495" spans="1:9" x14ac:dyDescent="0.3">
      <c r="A1495" t="s">
        <v>18</v>
      </c>
      <c r="B1495">
        <v>2023</v>
      </c>
      <c r="C1495" t="s">
        <v>12</v>
      </c>
      <c r="D1495">
        <v>19516.89</v>
      </c>
      <c r="E1495">
        <v>16728.23</v>
      </c>
      <c r="F1495">
        <v>118.66</v>
      </c>
      <c r="G1495">
        <v>299.23</v>
      </c>
      <c r="H1495">
        <f>E1495*1000000/D1495</f>
        <v>857115.55478357465</v>
      </c>
      <c r="I1495" t="str">
        <f>IF(AND(B1495&gt;=2018, B1495&lt;=2021), "2018-2021", IF(AND(B1495&gt;=2022, B1495&lt;=2024), "2022-2024", "Other"))</f>
        <v>2022-2024</v>
      </c>
    </row>
    <row r="1496" spans="1:9" x14ac:dyDescent="0.3">
      <c r="A1496" t="s">
        <v>3</v>
      </c>
      <c r="B1496">
        <v>2019</v>
      </c>
      <c r="C1496" t="s">
        <v>2</v>
      </c>
      <c r="D1496">
        <v>36675.14</v>
      </c>
      <c r="E1496">
        <v>33795.370000000003</v>
      </c>
      <c r="F1496">
        <v>69.14</v>
      </c>
      <c r="G1496">
        <v>190.32</v>
      </c>
      <c r="H1496">
        <f>E1496*1000000/D1496</f>
        <v>921478.96367948432</v>
      </c>
      <c r="I1496" t="str">
        <f>IF(AND(B1496&gt;=2018, B1496&lt;=2021), "2018-2021", IF(AND(B1496&gt;=2022, B1496&lt;=2024), "2022-2024", "Other"))</f>
        <v>2018-2021</v>
      </c>
    </row>
    <row r="1497" spans="1:9" x14ac:dyDescent="0.3">
      <c r="A1497" t="s">
        <v>1</v>
      </c>
      <c r="B1497">
        <v>2018</v>
      </c>
      <c r="C1497" t="s">
        <v>0</v>
      </c>
      <c r="D1497">
        <v>33455.5</v>
      </c>
      <c r="E1497">
        <v>35751.360000000001</v>
      </c>
      <c r="F1497">
        <v>111.54</v>
      </c>
      <c r="G1497">
        <v>767.8</v>
      </c>
      <c r="H1497">
        <f>E1497*1000000/D1497</f>
        <v>1068624.2919699303</v>
      </c>
      <c r="I1497" t="str">
        <f>IF(AND(B1497&gt;=2018, B1497&lt;=2021), "2018-2021", IF(AND(B1497&gt;=2022, B1497&lt;=2024), "2022-2024", "Other"))</f>
        <v>2018-2021</v>
      </c>
    </row>
    <row r="1498" spans="1:9" x14ac:dyDescent="0.3">
      <c r="A1498" t="s">
        <v>18</v>
      </c>
      <c r="B1498">
        <v>2024</v>
      </c>
      <c r="C1498" t="s">
        <v>8</v>
      </c>
      <c r="D1498">
        <v>39730.33</v>
      </c>
      <c r="E1498">
        <v>32152.11</v>
      </c>
      <c r="F1498">
        <v>99.6</v>
      </c>
      <c r="G1498">
        <v>1232.9100000000001</v>
      </c>
      <c r="H1498">
        <f>E1498*1000000/D1498</f>
        <v>809258.56895726768</v>
      </c>
      <c r="I1498" t="str">
        <f>IF(AND(B1498&gt;=2018, B1498&lt;=2021), "2018-2021", IF(AND(B1498&gt;=2022, B1498&lt;=2024), "2022-2024", "Other"))</f>
        <v>2022-2024</v>
      </c>
    </row>
    <row r="1499" spans="1:9" x14ac:dyDescent="0.3">
      <c r="A1499" t="s">
        <v>18</v>
      </c>
      <c r="B1499">
        <v>2023</v>
      </c>
      <c r="C1499" t="s">
        <v>9</v>
      </c>
      <c r="D1499">
        <v>28256.65</v>
      </c>
      <c r="E1499">
        <v>26235.52</v>
      </c>
      <c r="F1499">
        <v>76.73</v>
      </c>
      <c r="G1499">
        <v>294.5</v>
      </c>
      <c r="H1499">
        <f>E1499*1000000/D1499</f>
        <v>928472.41268869443</v>
      </c>
      <c r="I1499" t="str">
        <f>IF(AND(B1499&gt;=2018, B1499&lt;=2021), "2018-2021", IF(AND(B1499&gt;=2022, B1499&lt;=2024), "2022-2024", "Other"))</f>
        <v>2022-2024</v>
      </c>
    </row>
    <row r="1500" spans="1:9" x14ac:dyDescent="0.3">
      <c r="A1500" t="s">
        <v>20</v>
      </c>
      <c r="B1500">
        <v>2018</v>
      </c>
      <c r="C1500" t="s">
        <v>4</v>
      </c>
      <c r="D1500">
        <v>10569.89</v>
      </c>
      <c r="E1500">
        <v>9254.9699999999993</v>
      </c>
      <c r="F1500">
        <v>82.36</v>
      </c>
      <c r="G1500">
        <v>1311.01</v>
      </c>
      <c r="H1500">
        <f>E1500*1000000/D1500</f>
        <v>875597.57007878041</v>
      </c>
      <c r="I1500" t="str">
        <f>IF(AND(B1500&gt;=2018, B1500&lt;=2021), "2018-2021", IF(AND(B1500&gt;=2022, B1500&lt;=2024), "2022-2024", "Other"))</f>
        <v>2018-2021</v>
      </c>
    </row>
    <row r="1501" spans="1:9" x14ac:dyDescent="0.3">
      <c r="A1501" t="s">
        <v>23</v>
      </c>
      <c r="B1501">
        <v>2020</v>
      </c>
      <c r="C1501" t="s">
        <v>6</v>
      </c>
      <c r="D1501">
        <v>7673.38</v>
      </c>
      <c r="E1501">
        <v>6152.46</v>
      </c>
      <c r="F1501">
        <v>144.15</v>
      </c>
      <c r="G1501">
        <v>537.14</v>
      </c>
      <c r="H1501">
        <f>E1501*1000000/D1501</f>
        <v>801792.69109571015</v>
      </c>
      <c r="I1501" t="str">
        <f>IF(AND(B1501&gt;=2018, B1501&lt;=2021), "2018-2021", IF(AND(B1501&gt;=2022, B1501&lt;=2024), "2022-2024", "Other"))</f>
        <v>2018-2021</v>
      </c>
    </row>
    <row r="1502" spans="1:9" x14ac:dyDescent="0.3">
      <c r="A1502" t="s">
        <v>27</v>
      </c>
      <c r="B1502">
        <v>2021</v>
      </c>
      <c r="C1502" t="s">
        <v>6</v>
      </c>
      <c r="D1502">
        <v>8921.7199999999993</v>
      </c>
      <c r="E1502">
        <v>8813.68</v>
      </c>
      <c r="F1502">
        <v>99.65</v>
      </c>
      <c r="G1502">
        <v>1088.04</v>
      </c>
      <c r="H1502">
        <f>E1502*1000000/D1502</f>
        <v>987890.22744493221</v>
      </c>
      <c r="I1502" t="str">
        <f>IF(AND(B1502&gt;=2018, B1502&lt;=2021), "2018-2021", IF(AND(B1502&gt;=2022, B1502&lt;=2024), "2022-2024", "Other"))</f>
        <v>2018-2021</v>
      </c>
    </row>
    <row r="1503" spans="1:9" x14ac:dyDescent="0.3">
      <c r="A1503" t="s">
        <v>15</v>
      </c>
      <c r="B1503">
        <v>2018</v>
      </c>
      <c r="C1503" t="s">
        <v>2</v>
      </c>
      <c r="D1503">
        <v>49821.95</v>
      </c>
      <c r="E1503">
        <v>47175.67</v>
      </c>
      <c r="F1503">
        <v>44.62</v>
      </c>
      <c r="G1503">
        <v>903.11</v>
      </c>
      <c r="H1503">
        <f>E1503*1000000/D1503</f>
        <v>946885.25840518088</v>
      </c>
      <c r="I1503" t="str">
        <f>IF(AND(B1503&gt;=2018, B1503&lt;=2021), "2018-2021", IF(AND(B1503&gt;=2022, B1503&lt;=2024), "2022-2024", "Other"))</f>
        <v>2018-2021</v>
      </c>
    </row>
    <row r="1504" spans="1:9" x14ac:dyDescent="0.3">
      <c r="A1504" t="s">
        <v>16</v>
      </c>
      <c r="B1504">
        <v>2024</v>
      </c>
      <c r="C1504" t="s">
        <v>12</v>
      </c>
      <c r="D1504">
        <v>40628.720000000001</v>
      </c>
      <c r="E1504">
        <v>32673.05</v>
      </c>
      <c r="F1504">
        <v>122.42</v>
      </c>
      <c r="G1504">
        <v>982.85</v>
      </c>
      <c r="H1504">
        <f>E1504*1000000/D1504</f>
        <v>804186.05360936793</v>
      </c>
      <c r="I1504" t="str">
        <f>IF(AND(B1504&gt;=2018, B1504&lt;=2021), "2018-2021", IF(AND(B1504&gt;=2022, B1504&lt;=2024), "2022-2024", "Other"))</f>
        <v>2022-2024</v>
      </c>
    </row>
    <row r="1505" spans="1:9" x14ac:dyDescent="0.3">
      <c r="A1505" t="s">
        <v>19</v>
      </c>
      <c r="B1505">
        <v>2021</v>
      </c>
      <c r="C1505" t="s">
        <v>12</v>
      </c>
      <c r="D1505">
        <v>33384.17</v>
      </c>
      <c r="E1505">
        <v>30304.240000000002</v>
      </c>
      <c r="F1505">
        <v>58.8</v>
      </c>
      <c r="G1505">
        <v>1246.1400000000001</v>
      </c>
      <c r="H1505">
        <f>E1505*1000000/D1505</f>
        <v>907742.80145350331</v>
      </c>
      <c r="I1505" t="str">
        <f>IF(AND(B1505&gt;=2018, B1505&lt;=2021), "2018-2021", IF(AND(B1505&gt;=2022, B1505&lt;=2024), "2022-2024", "Other"))</f>
        <v>2018-2021</v>
      </c>
    </row>
    <row r="1506" spans="1:9" x14ac:dyDescent="0.3">
      <c r="A1506" t="s">
        <v>7</v>
      </c>
      <c r="B1506">
        <v>2023</v>
      </c>
      <c r="C1506" t="s">
        <v>0</v>
      </c>
      <c r="D1506">
        <v>32291.89</v>
      </c>
      <c r="E1506">
        <v>28109.53</v>
      </c>
      <c r="F1506">
        <v>128.13</v>
      </c>
      <c r="G1506">
        <v>647.41999999999996</v>
      </c>
      <c r="H1506">
        <f>E1506*1000000/D1506</f>
        <v>870482.65059741004</v>
      </c>
      <c r="I1506" t="str">
        <f>IF(AND(B1506&gt;=2018, B1506&lt;=2021), "2018-2021", IF(AND(B1506&gt;=2022, B1506&lt;=2024), "2022-2024", "Other"))</f>
        <v>2022-2024</v>
      </c>
    </row>
    <row r="1507" spans="1:9" x14ac:dyDescent="0.3">
      <c r="A1507" t="s">
        <v>5</v>
      </c>
      <c r="B1507">
        <v>2018</v>
      </c>
      <c r="C1507" t="s">
        <v>8</v>
      </c>
      <c r="D1507">
        <v>30411.47</v>
      </c>
      <c r="E1507">
        <v>25760.76</v>
      </c>
      <c r="F1507">
        <v>94.73</v>
      </c>
      <c r="G1507">
        <v>548.01</v>
      </c>
      <c r="H1507">
        <f>E1507*1000000/D1507</f>
        <v>847073.8178720068</v>
      </c>
      <c r="I1507" t="str">
        <f>IF(AND(B1507&gt;=2018, B1507&lt;=2021), "2018-2021", IF(AND(B1507&gt;=2022, B1507&lt;=2024), "2022-2024", "Other"))</f>
        <v>2018-2021</v>
      </c>
    </row>
    <row r="1508" spans="1:9" x14ac:dyDescent="0.3">
      <c r="A1508" t="s">
        <v>22</v>
      </c>
      <c r="B1508">
        <v>2022</v>
      </c>
      <c r="C1508" t="s">
        <v>4</v>
      </c>
      <c r="D1508">
        <v>45621.2</v>
      </c>
      <c r="E1508">
        <v>44279.58</v>
      </c>
      <c r="F1508">
        <v>31.47</v>
      </c>
      <c r="G1508">
        <v>766.29</v>
      </c>
      <c r="H1508">
        <f>E1508*1000000/D1508</f>
        <v>970592.18082821148</v>
      </c>
      <c r="I1508" t="str">
        <f>IF(AND(B1508&gt;=2018, B1508&lt;=2021), "2018-2021", IF(AND(B1508&gt;=2022, B1508&lt;=2024), "2022-2024", "Other"))</f>
        <v>2022-2024</v>
      </c>
    </row>
    <row r="1509" spans="1:9" x14ac:dyDescent="0.3">
      <c r="A1509" t="s">
        <v>11</v>
      </c>
      <c r="B1509">
        <v>2023</v>
      </c>
      <c r="C1509" t="s">
        <v>8</v>
      </c>
      <c r="D1509">
        <v>18519.25</v>
      </c>
      <c r="E1509">
        <v>19892.46</v>
      </c>
      <c r="F1509">
        <v>69.69</v>
      </c>
      <c r="G1509">
        <v>800.92</v>
      </c>
      <c r="H1509">
        <f>E1509*1000000/D1509</f>
        <v>1074150.4110587633</v>
      </c>
      <c r="I1509" t="str">
        <f>IF(AND(B1509&gt;=2018, B1509&lt;=2021), "2018-2021", IF(AND(B1509&gt;=2022, B1509&lt;=2024), "2022-2024", "Other"))</f>
        <v>2022-2024</v>
      </c>
    </row>
    <row r="1510" spans="1:9" x14ac:dyDescent="0.3">
      <c r="A1510" t="s">
        <v>10</v>
      </c>
      <c r="B1510">
        <v>2020</v>
      </c>
      <c r="C1510" t="s">
        <v>4</v>
      </c>
      <c r="D1510">
        <v>9274.18</v>
      </c>
      <c r="E1510">
        <v>9013.0499999999993</v>
      </c>
      <c r="F1510">
        <v>192.6</v>
      </c>
      <c r="G1510">
        <v>1071.6400000000001</v>
      </c>
      <c r="H1510">
        <f>E1510*1000000/D1510</f>
        <v>971843.3327798252</v>
      </c>
      <c r="I1510" t="str">
        <f>IF(AND(B1510&gt;=2018, B1510&lt;=2021), "2018-2021", IF(AND(B1510&gt;=2022, B1510&lt;=2024), "2022-2024", "Other"))</f>
        <v>2018-2021</v>
      </c>
    </row>
    <row r="1511" spans="1:9" x14ac:dyDescent="0.3">
      <c r="A1511" t="s">
        <v>13</v>
      </c>
      <c r="B1511">
        <v>2020</v>
      </c>
      <c r="C1511" t="s">
        <v>9</v>
      </c>
      <c r="D1511">
        <v>26717.58</v>
      </c>
      <c r="E1511">
        <v>26423.71</v>
      </c>
      <c r="F1511">
        <v>32.15</v>
      </c>
      <c r="G1511">
        <v>946.48</v>
      </c>
      <c r="H1511">
        <f>E1511*1000000/D1511</f>
        <v>989000.87507925485</v>
      </c>
      <c r="I1511" t="str">
        <f>IF(AND(B1511&gt;=2018, B1511&lt;=2021), "2018-2021", IF(AND(B1511&gt;=2022, B1511&lt;=2024), "2022-2024", "Other"))</f>
        <v>2018-2021</v>
      </c>
    </row>
    <row r="1512" spans="1:9" x14ac:dyDescent="0.3">
      <c r="A1512" t="s">
        <v>16</v>
      </c>
      <c r="B1512">
        <v>2024</v>
      </c>
      <c r="C1512" t="s">
        <v>12</v>
      </c>
      <c r="D1512">
        <v>11568.58</v>
      </c>
      <c r="E1512">
        <v>13468.51</v>
      </c>
      <c r="F1512">
        <v>137.79</v>
      </c>
      <c r="G1512">
        <v>417.49</v>
      </c>
      <c r="H1512">
        <f>E1512*1000000/D1512</f>
        <v>1164231.9109173296</v>
      </c>
      <c r="I1512" t="str">
        <f>IF(AND(B1512&gt;=2018, B1512&lt;=2021), "2018-2021", IF(AND(B1512&gt;=2022, B1512&lt;=2024), "2022-2024", "Other"))</f>
        <v>2022-2024</v>
      </c>
    </row>
    <row r="1513" spans="1:9" x14ac:dyDescent="0.3">
      <c r="A1513" t="s">
        <v>26</v>
      </c>
      <c r="B1513">
        <v>2020</v>
      </c>
      <c r="C1513" t="s">
        <v>4</v>
      </c>
      <c r="D1513">
        <v>35478.35</v>
      </c>
      <c r="E1513">
        <v>32831.46</v>
      </c>
      <c r="F1513">
        <v>93.19</v>
      </c>
      <c r="G1513">
        <v>792.91</v>
      </c>
      <c r="H1513">
        <f>E1513*1000000/D1513</f>
        <v>925394.2192914834</v>
      </c>
      <c r="I1513" t="str">
        <f>IF(AND(B1513&gt;=2018, B1513&lt;=2021), "2018-2021", IF(AND(B1513&gt;=2022, B1513&lt;=2024), "2022-2024", "Other"))</f>
        <v>2018-2021</v>
      </c>
    </row>
    <row r="1514" spans="1:9" x14ac:dyDescent="0.3">
      <c r="A1514" t="s">
        <v>3</v>
      </c>
      <c r="B1514">
        <v>2024</v>
      </c>
      <c r="C1514" t="s">
        <v>2</v>
      </c>
      <c r="D1514">
        <v>47042.59</v>
      </c>
      <c r="E1514">
        <v>46315.24</v>
      </c>
      <c r="F1514">
        <v>170.85</v>
      </c>
      <c r="G1514">
        <v>273.42</v>
      </c>
      <c r="H1514">
        <f>E1514*1000000/D1514</f>
        <v>984538.4788550121</v>
      </c>
      <c r="I1514" t="str">
        <f>IF(AND(B1514&gt;=2018, B1514&lt;=2021), "2018-2021", IF(AND(B1514&gt;=2022, B1514&lt;=2024), "2022-2024", "Other"))</f>
        <v>2022-2024</v>
      </c>
    </row>
    <row r="1515" spans="1:9" x14ac:dyDescent="0.3">
      <c r="A1515" t="s">
        <v>19</v>
      </c>
      <c r="B1515">
        <v>2024</v>
      </c>
      <c r="C1515" t="s">
        <v>14</v>
      </c>
      <c r="D1515">
        <v>28578.74</v>
      </c>
      <c r="E1515">
        <v>30720.54</v>
      </c>
      <c r="F1515">
        <v>21.53</v>
      </c>
      <c r="G1515">
        <v>1288.55</v>
      </c>
      <c r="H1515">
        <f>E1515*1000000/D1515</f>
        <v>1074943.821875982</v>
      </c>
      <c r="I1515" t="str">
        <f>IF(AND(B1515&gt;=2018, B1515&lt;=2021), "2018-2021", IF(AND(B1515&gt;=2022, B1515&lt;=2024), "2022-2024", "Other"))</f>
        <v>2022-2024</v>
      </c>
    </row>
    <row r="1516" spans="1:9" x14ac:dyDescent="0.3">
      <c r="A1516" t="s">
        <v>1</v>
      </c>
      <c r="B1516">
        <v>2020</v>
      </c>
      <c r="C1516" t="s">
        <v>14</v>
      </c>
      <c r="D1516">
        <v>34539.589999999997</v>
      </c>
      <c r="E1516">
        <v>38087.67</v>
      </c>
      <c r="F1516">
        <v>147.33000000000001</v>
      </c>
      <c r="G1516">
        <v>426.08</v>
      </c>
      <c r="H1516">
        <f>E1516*1000000/D1516</f>
        <v>1102725.0178707971</v>
      </c>
      <c r="I1516" t="str">
        <f>IF(AND(B1516&gt;=2018, B1516&lt;=2021), "2018-2021", IF(AND(B1516&gt;=2022, B1516&lt;=2024), "2022-2024", "Other"))</f>
        <v>2018-2021</v>
      </c>
    </row>
    <row r="1517" spans="1:9" x14ac:dyDescent="0.3">
      <c r="A1517" t="s">
        <v>16</v>
      </c>
      <c r="B1517">
        <v>2024</v>
      </c>
      <c r="C1517" t="s">
        <v>14</v>
      </c>
      <c r="D1517">
        <v>33143.480000000003</v>
      </c>
      <c r="E1517">
        <v>27390.55</v>
      </c>
      <c r="F1517">
        <v>198.88</v>
      </c>
      <c r="G1517">
        <v>1229.8800000000001</v>
      </c>
      <c r="H1517">
        <f>E1517*1000000/D1517</f>
        <v>826423.47755878372</v>
      </c>
      <c r="I1517" t="str">
        <f>IF(AND(B1517&gt;=2018, B1517&lt;=2021), "2018-2021", IF(AND(B1517&gt;=2022, B1517&lt;=2024), "2022-2024", "Other"))</f>
        <v>2022-2024</v>
      </c>
    </row>
    <row r="1518" spans="1:9" x14ac:dyDescent="0.3">
      <c r="A1518" t="s">
        <v>26</v>
      </c>
      <c r="B1518">
        <v>2024</v>
      </c>
      <c r="C1518" t="s">
        <v>4</v>
      </c>
      <c r="D1518">
        <v>3571.28</v>
      </c>
      <c r="E1518">
        <v>4051.43</v>
      </c>
      <c r="F1518">
        <v>197.55</v>
      </c>
      <c r="G1518">
        <v>220.99</v>
      </c>
      <c r="H1518">
        <f>E1518*1000000/D1518</f>
        <v>1134447.5930198696</v>
      </c>
      <c r="I1518" t="str">
        <f>IF(AND(B1518&gt;=2018, B1518&lt;=2021), "2018-2021", IF(AND(B1518&gt;=2022, B1518&lt;=2024), "2022-2024", "Other"))</f>
        <v>2022-2024</v>
      </c>
    </row>
    <row r="1519" spans="1:9" x14ac:dyDescent="0.3">
      <c r="A1519" t="s">
        <v>19</v>
      </c>
      <c r="B1519">
        <v>2023</v>
      </c>
      <c r="C1519" t="s">
        <v>8</v>
      </c>
      <c r="D1519">
        <v>23410.02</v>
      </c>
      <c r="E1519">
        <v>20912.79</v>
      </c>
      <c r="F1519">
        <v>58.78</v>
      </c>
      <c r="G1519">
        <v>1350.89</v>
      </c>
      <c r="H1519">
        <f>E1519*1000000/D1519</f>
        <v>893326.44739303936</v>
      </c>
      <c r="I1519" t="str">
        <f>IF(AND(B1519&gt;=2018, B1519&lt;=2021), "2018-2021", IF(AND(B1519&gt;=2022, B1519&lt;=2024), "2022-2024", "Other"))</f>
        <v>2022-2024</v>
      </c>
    </row>
    <row r="1520" spans="1:9" x14ac:dyDescent="0.3">
      <c r="A1520" t="s">
        <v>15</v>
      </c>
      <c r="B1520">
        <v>2023</v>
      </c>
      <c r="C1520" t="s">
        <v>14</v>
      </c>
      <c r="D1520">
        <v>32805.49</v>
      </c>
      <c r="E1520">
        <v>27652.9</v>
      </c>
      <c r="F1520">
        <v>187.31</v>
      </c>
      <c r="G1520">
        <v>858.85</v>
      </c>
      <c r="H1520">
        <f>E1520*1000000/D1520</f>
        <v>842935.13067477429</v>
      </c>
      <c r="I1520" t="str">
        <f>IF(AND(B1520&gt;=2018, B1520&lt;=2021), "2018-2021", IF(AND(B1520&gt;=2022, B1520&lt;=2024), "2022-2024", "Other"))</f>
        <v>2022-2024</v>
      </c>
    </row>
    <row r="1521" spans="1:9" x14ac:dyDescent="0.3">
      <c r="A1521" t="s">
        <v>3</v>
      </c>
      <c r="B1521">
        <v>2019</v>
      </c>
      <c r="C1521" t="s">
        <v>14</v>
      </c>
      <c r="D1521">
        <v>35160.21</v>
      </c>
      <c r="E1521">
        <v>41400.400000000001</v>
      </c>
      <c r="F1521">
        <v>99.21</v>
      </c>
      <c r="G1521">
        <v>27.53</v>
      </c>
      <c r="H1521">
        <f>E1521*1000000/D1521</f>
        <v>1177478.7465717639</v>
      </c>
      <c r="I1521" t="str">
        <f>IF(AND(B1521&gt;=2018, B1521&lt;=2021), "2018-2021", IF(AND(B1521&gt;=2022, B1521&lt;=2024), "2022-2024", "Other"))</f>
        <v>2018-2021</v>
      </c>
    </row>
    <row r="1522" spans="1:9" x14ac:dyDescent="0.3">
      <c r="A1522" t="s">
        <v>21</v>
      </c>
      <c r="B1522">
        <v>2022</v>
      </c>
      <c r="C1522" t="s">
        <v>9</v>
      </c>
      <c r="D1522">
        <v>8594.59</v>
      </c>
      <c r="E1522">
        <v>9752.7199999999993</v>
      </c>
      <c r="F1522">
        <v>77.760000000000005</v>
      </c>
      <c r="G1522">
        <v>718.5</v>
      </c>
      <c r="H1522">
        <f>E1522*1000000/D1522</f>
        <v>1134751.0468794904</v>
      </c>
      <c r="I1522" t="str">
        <f>IF(AND(B1522&gt;=2018, B1522&lt;=2021), "2018-2021", IF(AND(B1522&gt;=2022, B1522&lt;=2024), "2022-2024", "Other"))</f>
        <v>2022-2024</v>
      </c>
    </row>
    <row r="1523" spans="1:9" x14ac:dyDescent="0.3">
      <c r="A1523" t="s">
        <v>26</v>
      </c>
      <c r="B1523">
        <v>2024</v>
      </c>
      <c r="C1523" t="s">
        <v>14</v>
      </c>
      <c r="D1523">
        <v>22720.68</v>
      </c>
      <c r="E1523">
        <v>21947.26</v>
      </c>
      <c r="F1523">
        <v>79.97</v>
      </c>
      <c r="G1523">
        <v>858.05</v>
      </c>
      <c r="H1523">
        <f>E1523*1000000/D1523</f>
        <v>965959.64557398809</v>
      </c>
      <c r="I1523" t="str">
        <f>IF(AND(B1523&gt;=2018, B1523&lt;=2021), "2018-2021", IF(AND(B1523&gt;=2022, B1523&lt;=2024), "2022-2024", "Other"))</f>
        <v>2022-2024</v>
      </c>
    </row>
    <row r="1524" spans="1:9" x14ac:dyDescent="0.3">
      <c r="A1524" t="s">
        <v>16</v>
      </c>
      <c r="B1524">
        <v>2023</v>
      </c>
      <c r="C1524" t="s">
        <v>6</v>
      </c>
      <c r="D1524">
        <v>45865.38</v>
      </c>
      <c r="E1524">
        <v>47164.59</v>
      </c>
      <c r="F1524">
        <v>42.96</v>
      </c>
      <c r="G1524">
        <v>194.31</v>
      </c>
      <c r="H1524">
        <f>E1524*1000000/D1524</f>
        <v>1028326.5940454435</v>
      </c>
      <c r="I1524" t="str">
        <f>IF(AND(B1524&gt;=2018, B1524&lt;=2021), "2018-2021", IF(AND(B1524&gt;=2022, B1524&lt;=2024), "2022-2024", "Other"))</f>
        <v>2022-2024</v>
      </c>
    </row>
    <row r="1525" spans="1:9" x14ac:dyDescent="0.3">
      <c r="A1525" t="s">
        <v>27</v>
      </c>
      <c r="B1525">
        <v>2018</v>
      </c>
      <c r="C1525" t="s">
        <v>6</v>
      </c>
      <c r="D1525">
        <v>31016.42</v>
      </c>
      <c r="E1525">
        <v>28710.720000000001</v>
      </c>
      <c r="F1525">
        <v>185.7</v>
      </c>
      <c r="G1525">
        <v>1146.8900000000001</v>
      </c>
      <c r="H1525">
        <f>E1525*1000000/D1525</f>
        <v>925661.95582855796</v>
      </c>
      <c r="I1525" t="str">
        <f>IF(AND(B1525&gt;=2018, B1525&lt;=2021), "2018-2021", IF(AND(B1525&gt;=2022, B1525&lt;=2024), "2022-2024", "Other"))</f>
        <v>2018-2021</v>
      </c>
    </row>
    <row r="1526" spans="1:9" x14ac:dyDescent="0.3">
      <c r="A1526" t="s">
        <v>18</v>
      </c>
      <c r="B1526">
        <v>2024</v>
      </c>
      <c r="C1526" t="s">
        <v>4</v>
      </c>
      <c r="D1526">
        <v>16537.53</v>
      </c>
      <c r="E1526">
        <v>18897.13</v>
      </c>
      <c r="F1526">
        <v>168.59</v>
      </c>
      <c r="G1526">
        <v>866.61</v>
      </c>
      <c r="H1526">
        <f>E1526*1000000/D1526</f>
        <v>1142681.5249919426</v>
      </c>
      <c r="I1526" t="str">
        <f>IF(AND(B1526&gt;=2018, B1526&lt;=2021), "2018-2021", IF(AND(B1526&gt;=2022, B1526&lt;=2024), "2022-2024", "Other"))</f>
        <v>2022-2024</v>
      </c>
    </row>
    <row r="1527" spans="1:9" x14ac:dyDescent="0.3">
      <c r="A1527" t="s">
        <v>22</v>
      </c>
      <c r="B1527">
        <v>2023</v>
      </c>
      <c r="C1527" t="s">
        <v>6</v>
      </c>
      <c r="D1527">
        <v>36370.28</v>
      </c>
      <c r="E1527">
        <v>42376.5</v>
      </c>
      <c r="F1527">
        <v>42.69</v>
      </c>
      <c r="G1527">
        <v>513.05999999999995</v>
      </c>
      <c r="H1527">
        <f>E1527*1000000/D1527</f>
        <v>1165140.8787614503</v>
      </c>
      <c r="I1527" t="str">
        <f>IF(AND(B1527&gt;=2018, B1527&lt;=2021), "2018-2021", IF(AND(B1527&gt;=2022, B1527&lt;=2024), "2022-2024", "Other"))</f>
        <v>2022-2024</v>
      </c>
    </row>
    <row r="1528" spans="1:9" x14ac:dyDescent="0.3">
      <c r="A1528" t="s">
        <v>19</v>
      </c>
      <c r="B1528">
        <v>2023</v>
      </c>
      <c r="C1528" t="s">
        <v>12</v>
      </c>
      <c r="D1528">
        <v>3328.11</v>
      </c>
      <c r="E1528">
        <v>3896.18</v>
      </c>
      <c r="F1528">
        <v>103.8</v>
      </c>
      <c r="G1528">
        <v>1341.94</v>
      </c>
      <c r="H1528">
        <f>E1528*1000000/D1528</f>
        <v>1170688.4688306577</v>
      </c>
      <c r="I1528" t="str">
        <f>IF(AND(B1528&gt;=2018, B1528&lt;=2021), "2018-2021", IF(AND(B1528&gt;=2022, B1528&lt;=2024), "2022-2024", "Other"))</f>
        <v>2022-2024</v>
      </c>
    </row>
    <row r="1529" spans="1:9" x14ac:dyDescent="0.3">
      <c r="A1529" t="s">
        <v>3</v>
      </c>
      <c r="B1529">
        <v>2021</v>
      </c>
      <c r="C1529" t="s">
        <v>8</v>
      </c>
      <c r="D1529">
        <v>35841.160000000003</v>
      </c>
      <c r="E1529">
        <v>37334.99</v>
      </c>
      <c r="F1529">
        <v>36.86</v>
      </c>
      <c r="G1529">
        <v>88.82</v>
      </c>
      <c r="H1529">
        <f>E1529*1000000/D1529</f>
        <v>1041679.175562398</v>
      </c>
      <c r="I1529" t="str">
        <f>IF(AND(B1529&gt;=2018, B1529&lt;=2021), "2018-2021", IF(AND(B1529&gt;=2022, B1529&lt;=2024), "2022-2024", "Other"))</f>
        <v>2018-2021</v>
      </c>
    </row>
    <row r="1530" spans="1:9" x14ac:dyDescent="0.3">
      <c r="A1530" t="s">
        <v>10</v>
      </c>
      <c r="B1530">
        <v>2018</v>
      </c>
      <c r="C1530" t="s">
        <v>6</v>
      </c>
      <c r="D1530">
        <v>34932.959999999999</v>
      </c>
      <c r="E1530">
        <v>31002.47</v>
      </c>
      <c r="F1530">
        <v>24.41</v>
      </c>
      <c r="G1530">
        <v>234.78</v>
      </c>
      <c r="H1530">
        <f>E1530*1000000/D1530</f>
        <v>887484.77082961192</v>
      </c>
      <c r="I1530" t="str">
        <f>IF(AND(B1530&gt;=2018, B1530&lt;=2021), "2018-2021", IF(AND(B1530&gt;=2022, B1530&lt;=2024), "2022-2024", "Other"))</f>
        <v>2018-2021</v>
      </c>
    </row>
    <row r="1531" spans="1:9" x14ac:dyDescent="0.3">
      <c r="A1531" t="s">
        <v>21</v>
      </c>
      <c r="B1531">
        <v>2019</v>
      </c>
      <c r="C1531" t="s">
        <v>6</v>
      </c>
      <c r="D1531">
        <v>6210.96</v>
      </c>
      <c r="E1531">
        <v>5625.31</v>
      </c>
      <c r="F1531">
        <v>183.28</v>
      </c>
      <c r="G1531">
        <v>1389.04</v>
      </c>
      <c r="H1531">
        <f>E1531*1000000/D1531</f>
        <v>905707.00825637265</v>
      </c>
      <c r="I1531" t="str">
        <f>IF(AND(B1531&gt;=2018, B1531&lt;=2021), "2018-2021", IF(AND(B1531&gt;=2022, B1531&lt;=2024), "2022-2024", "Other"))</f>
        <v>2018-2021</v>
      </c>
    </row>
    <row r="1532" spans="1:9" x14ac:dyDescent="0.3">
      <c r="A1532" t="s">
        <v>27</v>
      </c>
      <c r="B1532">
        <v>2021</v>
      </c>
      <c r="C1532" t="s">
        <v>12</v>
      </c>
      <c r="D1532">
        <v>16554.330000000002</v>
      </c>
      <c r="E1532">
        <v>18394.009999999998</v>
      </c>
      <c r="F1532">
        <v>180.81</v>
      </c>
      <c r="G1532">
        <v>1319.03</v>
      </c>
      <c r="H1532">
        <f>E1532*1000000/D1532</f>
        <v>1111129.8373295686</v>
      </c>
      <c r="I1532" t="str">
        <f>IF(AND(B1532&gt;=2018, B1532&lt;=2021), "2018-2021", IF(AND(B1532&gt;=2022, B1532&lt;=2024), "2022-2024", "Other"))</f>
        <v>2018-2021</v>
      </c>
    </row>
    <row r="1533" spans="1:9" x14ac:dyDescent="0.3">
      <c r="A1533" t="s">
        <v>23</v>
      </c>
      <c r="B1533">
        <v>2018</v>
      </c>
      <c r="C1533" t="s">
        <v>0</v>
      </c>
      <c r="D1533">
        <v>17206.7</v>
      </c>
      <c r="E1533">
        <v>14672.27</v>
      </c>
      <c r="F1533">
        <v>55.56</v>
      </c>
      <c r="G1533">
        <v>977.52</v>
      </c>
      <c r="H1533">
        <f>E1533*1000000/D1533</f>
        <v>852706.79444634938</v>
      </c>
      <c r="I1533" t="str">
        <f>IF(AND(B1533&gt;=2018, B1533&lt;=2021), "2018-2021", IF(AND(B1533&gt;=2022, B1533&lt;=2024), "2022-2024", "Other"))</f>
        <v>2018-2021</v>
      </c>
    </row>
    <row r="1534" spans="1:9" x14ac:dyDescent="0.3">
      <c r="A1534" t="s">
        <v>18</v>
      </c>
      <c r="B1534">
        <v>2023</v>
      </c>
      <c r="C1534" t="s">
        <v>14</v>
      </c>
      <c r="D1534">
        <v>41514.19</v>
      </c>
      <c r="E1534">
        <v>37913.97</v>
      </c>
      <c r="F1534">
        <v>58.18</v>
      </c>
      <c r="G1534">
        <v>1182.06</v>
      </c>
      <c r="H1534">
        <f>E1534*1000000/D1534</f>
        <v>913277.36371587636</v>
      </c>
      <c r="I1534" t="str">
        <f>IF(AND(B1534&gt;=2018, B1534&lt;=2021), "2018-2021", IF(AND(B1534&gt;=2022, B1534&lt;=2024), "2022-2024", "Other"))</f>
        <v>2022-2024</v>
      </c>
    </row>
    <row r="1535" spans="1:9" x14ac:dyDescent="0.3">
      <c r="A1535" t="s">
        <v>1</v>
      </c>
      <c r="B1535">
        <v>2020</v>
      </c>
      <c r="C1535" t="s">
        <v>4</v>
      </c>
      <c r="D1535">
        <v>44973.35</v>
      </c>
      <c r="E1535">
        <v>37316.07</v>
      </c>
      <c r="F1535">
        <v>195.23</v>
      </c>
      <c r="G1535">
        <v>907.78</v>
      </c>
      <c r="H1535">
        <f>E1535*1000000/D1535</f>
        <v>829737.3889203273</v>
      </c>
      <c r="I1535" t="str">
        <f>IF(AND(B1535&gt;=2018, B1535&lt;=2021), "2018-2021", IF(AND(B1535&gt;=2022, B1535&lt;=2024), "2022-2024", "Other"))</f>
        <v>2018-2021</v>
      </c>
    </row>
    <row r="1536" spans="1:9" x14ac:dyDescent="0.3">
      <c r="A1536" t="s">
        <v>26</v>
      </c>
      <c r="B1536">
        <v>2023</v>
      </c>
      <c r="C1536" t="s">
        <v>0</v>
      </c>
      <c r="D1536">
        <v>44961.18</v>
      </c>
      <c r="E1536">
        <v>40280.46</v>
      </c>
      <c r="F1536">
        <v>56.72</v>
      </c>
      <c r="G1536">
        <v>593.33000000000004</v>
      </c>
      <c r="H1536">
        <f>E1536*1000000/D1536</f>
        <v>895894.19138910505</v>
      </c>
      <c r="I1536" t="str">
        <f>IF(AND(B1536&gt;=2018, B1536&lt;=2021), "2018-2021", IF(AND(B1536&gt;=2022, B1536&lt;=2024), "2022-2024", "Other"))</f>
        <v>2022-2024</v>
      </c>
    </row>
    <row r="1537" spans="1:9" x14ac:dyDescent="0.3">
      <c r="A1537" t="s">
        <v>16</v>
      </c>
      <c r="B1537">
        <v>2020</v>
      </c>
      <c r="C1537" t="s">
        <v>6</v>
      </c>
      <c r="D1537">
        <v>22334.46</v>
      </c>
      <c r="E1537">
        <v>23183.3</v>
      </c>
      <c r="F1537">
        <v>104.23</v>
      </c>
      <c r="G1537">
        <v>488.53</v>
      </c>
      <c r="H1537">
        <f>E1537*1000000/D1537</f>
        <v>1038005.8438842937</v>
      </c>
      <c r="I1537" t="str">
        <f>IF(AND(B1537&gt;=2018, B1537&lt;=2021), "2018-2021", IF(AND(B1537&gt;=2022, B1537&lt;=2024), "2022-2024", "Other"))</f>
        <v>2018-2021</v>
      </c>
    </row>
    <row r="1538" spans="1:9" x14ac:dyDescent="0.3">
      <c r="A1538" t="s">
        <v>17</v>
      </c>
      <c r="B1538">
        <v>2020</v>
      </c>
      <c r="C1538" t="s">
        <v>14</v>
      </c>
      <c r="D1538">
        <v>20517.259999999998</v>
      </c>
      <c r="E1538">
        <v>22108.48</v>
      </c>
      <c r="F1538">
        <v>71.66</v>
      </c>
      <c r="G1538">
        <v>855.36</v>
      </c>
      <c r="H1538">
        <f>E1538*1000000/D1538</f>
        <v>1077555.1901179787</v>
      </c>
      <c r="I1538" t="str">
        <f>IF(AND(B1538&gt;=2018, B1538&lt;=2021), "2018-2021", IF(AND(B1538&gt;=2022, B1538&lt;=2024), "2022-2024", "Other"))</f>
        <v>2018-2021</v>
      </c>
    </row>
    <row r="1539" spans="1:9" x14ac:dyDescent="0.3">
      <c r="A1539" t="s">
        <v>20</v>
      </c>
      <c r="B1539">
        <v>2019</v>
      </c>
      <c r="C1539" t="s">
        <v>6</v>
      </c>
      <c r="D1539">
        <v>49948.23</v>
      </c>
      <c r="E1539">
        <v>50637.51</v>
      </c>
      <c r="F1539">
        <v>108.11</v>
      </c>
      <c r="G1539">
        <v>1220.46</v>
      </c>
      <c r="H1539">
        <f>E1539*1000000/D1539</f>
        <v>1013799.8884044539</v>
      </c>
      <c r="I1539" t="str">
        <f>IF(AND(B1539&gt;=2018, B1539&lt;=2021), "2018-2021", IF(AND(B1539&gt;=2022, B1539&lt;=2024), "2022-2024", "Other"))</f>
        <v>2018-2021</v>
      </c>
    </row>
    <row r="1540" spans="1:9" x14ac:dyDescent="0.3">
      <c r="A1540" t="s">
        <v>7</v>
      </c>
      <c r="B1540">
        <v>2019</v>
      </c>
      <c r="C1540" t="s">
        <v>12</v>
      </c>
      <c r="D1540">
        <v>20319.53</v>
      </c>
      <c r="E1540">
        <v>16766.939999999999</v>
      </c>
      <c r="F1540">
        <v>44.42</v>
      </c>
      <c r="G1540">
        <v>240.36</v>
      </c>
      <c r="H1540">
        <f>E1540*1000000/D1540</f>
        <v>825163.77101242007</v>
      </c>
      <c r="I1540" t="str">
        <f>IF(AND(B1540&gt;=2018, B1540&lt;=2021), "2018-2021", IF(AND(B1540&gt;=2022, B1540&lt;=2024), "2022-2024", "Other"))</f>
        <v>2018-2021</v>
      </c>
    </row>
    <row r="1541" spans="1:9" x14ac:dyDescent="0.3">
      <c r="A1541" t="s">
        <v>15</v>
      </c>
      <c r="B1541">
        <v>2022</v>
      </c>
      <c r="C1541" t="s">
        <v>6</v>
      </c>
      <c r="D1541">
        <v>5379.46</v>
      </c>
      <c r="E1541">
        <v>6107.14</v>
      </c>
      <c r="F1541">
        <v>48.99</v>
      </c>
      <c r="G1541">
        <v>1088.1199999999999</v>
      </c>
      <c r="H1541">
        <f>E1541*1000000/D1541</f>
        <v>1135270.0828707714</v>
      </c>
      <c r="I1541" t="str">
        <f>IF(AND(B1541&gt;=2018, B1541&lt;=2021), "2018-2021", IF(AND(B1541&gt;=2022, B1541&lt;=2024), "2022-2024", "Other"))</f>
        <v>2022-2024</v>
      </c>
    </row>
    <row r="1542" spans="1:9" x14ac:dyDescent="0.3">
      <c r="A1542" t="s">
        <v>25</v>
      </c>
      <c r="B1542">
        <v>2018</v>
      </c>
      <c r="C1542" t="s">
        <v>2</v>
      </c>
      <c r="D1542">
        <v>41579.75</v>
      </c>
      <c r="E1542">
        <v>41344.17</v>
      </c>
      <c r="F1542">
        <v>75.88</v>
      </c>
      <c r="G1542">
        <v>1067.55</v>
      </c>
      <c r="H1542">
        <f>E1542*1000000/D1542</f>
        <v>994334.26126900711</v>
      </c>
      <c r="I1542" t="str">
        <f>IF(AND(B1542&gt;=2018, B1542&lt;=2021), "2018-2021", IF(AND(B1542&gt;=2022, B1542&lt;=2024), "2022-2024", "Other"))</f>
        <v>2018-2021</v>
      </c>
    </row>
    <row r="1543" spans="1:9" x14ac:dyDescent="0.3">
      <c r="A1543" t="s">
        <v>27</v>
      </c>
      <c r="B1543">
        <v>2018</v>
      </c>
      <c r="C1543" t="s">
        <v>2</v>
      </c>
      <c r="D1543">
        <v>30244.66</v>
      </c>
      <c r="E1543">
        <v>35752.15</v>
      </c>
      <c r="F1543">
        <v>93.55</v>
      </c>
      <c r="G1543">
        <v>797.24</v>
      </c>
      <c r="H1543">
        <f>E1543*1000000/D1543</f>
        <v>1182097.9306760267</v>
      </c>
      <c r="I1543" t="str">
        <f>IF(AND(B1543&gt;=2018, B1543&lt;=2021), "2018-2021", IF(AND(B1543&gt;=2022, B1543&lt;=2024), "2022-2024", "Other"))</f>
        <v>2018-2021</v>
      </c>
    </row>
    <row r="1544" spans="1:9" x14ac:dyDescent="0.3">
      <c r="A1544" t="s">
        <v>3</v>
      </c>
      <c r="B1544">
        <v>2021</v>
      </c>
      <c r="C1544" t="s">
        <v>8</v>
      </c>
      <c r="D1544">
        <v>38968.29</v>
      </c>
      <c r="E1544">
        <v>31654.11</v>
      </c>
      <c r="F1544">
        <v>99.24</v>
      </c>
      <c r="G1544">
        <v>846.81</v>
      </c>
      <c r="H1544">
        <f>E1544*1000000/D1544</f>
        <v>812304.31204448536</v>
      </c>
      <c r="I1544" t="str">
        <f>IF(AND(B1544&gt;=2018, B1544&lt;=2021), "2018-2021", IF(AND(B1544&gt;=2022, B1544&lt;=2024), "2022-2024", "Other"))</f>
        <v>2018-2021</v>
      </c>
    </row>
    <row r="1545" spans="1:9" x14ac:dyDescent="0.3">
      <c r="A1545" t="s">
        <v>7</v>
      </c>
      <c r="B1545">
        <v>2022</v>
      </c>
      <c r="C1545" t="s">
        <v>4</v>
      </c>
      <c r="D1545">
        <v>47785.73</v>
      </c>
      <c r="E1545">
        <v>54367.08</v>
      </c>
      <c r="F1545">
        <v>193.43</v>
      </c>
      <c r="G1545">
        <v>46.42</v>
      </c>
      <c r="H1545">
        <f>E1545*1000000/D1545</f>
        <v>1137726.2626311244</v>
      </c>
      <c r="I1545" t="str">
        <f>IF(AND(B1545&gt;=2018, B1545&lt;=2021), "2018-2021", IF(AND(B1545&gt;=2022, B1545&lt;=2024), "2022-2024", "Other"))</f>
        <v>2022-2024</v>
      </c>
    </row>
    <row r="1546" spans="1:9" x14ac:dyDescent="0.3">
      <c r="A1546" t="s">
        <v>16</v>
      </c>
      <c r="B1546">
        <v>2024</v>
      </c>
      <c r="C1546" t="s">
        <v>0</v>
      </c>
      <c r="D1546">
        <v>17376.060000000001</v>
      </c>
      <c r="E1546">
        <v>17601.38</v>
      </c>
      <c r="F1546">
        <v>91.5</v>
      </c>
      <c r="G1546">
        <v>1323.92</v>
      </c>
      <c r="H1546">
        <f>E1546*1000000/D1546</f>
        <v>1012967.2664574132</v>
      </c>
      <c r="I1546" t="str">
        <f>IF(AND(B1546&gt;=2018, B1546&lt;=2021), "2018-2021", IF(AND(B1546&gt;=2022, B1546&lt;=2024), "2022-2024", "Other"))</f>
        <v>2022-2024</v>
      </c>
    </row>
    <row r="1547" spans="1:9" x14ac:dyDescent="0.3">
      <c r="A1547" t="s">
        <v>27</v>
      </c>
      <c r="B1547">
        <v>2022</v>
      </c>
      <c r="C1547" t="s">
        <v>9</v>
      </c>
      <c r="D1547">
        <v>44157.47</v>
      </c>
      <c r="E1547">
        <v>43402.559999999998</v>
      </c>
      <c r="F1547">
        <v>35.06</v>
      </c>
      <c r="G1547">
        <v>235.52</v>
      </c>
      <c r="H1547">
        <f>E1547*1000000/D1547</f>
        <v>982904.1383032134</v>
      </c>
      <c r="I1547" t="str">
        <f>IF(AND(B1547&gt;=2018, B1547&lt;=2021), "2018-2021", IF(AND(B1547&gt;=2022, B1547&lt;=2024), "2022-2024", "Other"))</f>
        <v>2022-2024</v>
      </c>
    </row>
    <row r="1548" spans="1:9" x14ac:dyDescent="0.3">
      <c r="A1548" t="s">
        <v>21</v>
      </c>
      <c r="B1548">
        <v>2022</v>
      </c>
      <c r="C1548" t="s">
        <v>8</v>
      </c>
      <c r="D1548">
        <v>23398.53</v>
      </c>
      <c r="E1548">
        <v>21432.11</v>
      </c>
      <c r="F1548">
        <v>150.91</v>
      </c>
      <c r="G1548">
        <v>780.7</v>
      </c>
      <c r="H1548">
        <f>E1548*1000000/D1548</f>
        <v>915959.67780881969</v>
      </c>
      <c r="I1548" t="str">
        <f>IF(AND(B1548&gt;=2018, B1548&lt;=2021), "2018-2021", IF(AND(B1548&gt;=2022, B1548&lt;=2024), "2022-2024", "Other"))</f>
        <v>2022-2024</v>
      </c>
    </row>
    <row r="1549" spans="1:9" x14ac:dyDescent="0.3">
      <c r="A1549" t="s">
        <v>16</v>
      </c>
      <c r="B1549">
        <v>2023</v>
      </c>
      <c r="C1549" t="s">
        <v>6</v>
      </c>
      <c r="D1549">
        <v>33813.660000000003</v>
      </c>
      <c r="E1549">
        <v>37518.620000000003</v>
      </c>
      <c r="F1549">
        <v>183.18</v>
      </c>
      <c r="G1549">
        <v>283.27</v>
      </c>
      <c r="H1549">
        <f>E1549*1000000/D1549</f>
        <v>1109569.9193757789</v>
      </c>
      <c r="I1549" t="str">
        <f>IF(AND(B1549&gt;=2018, B1549&lt;=2021), "2018-2021", IF(AND(B1549&gt;=2022, B1549&lt;=2024), "2022-2024", "Other"))</f>
        <v>2022-2024</v>
      </c>
    </row>
    <row r="1550" spans="1:9" x14ac:dyDescent="0.3">
      <c r="A1550" t="s">
        <v>21</v>
      </c>
      <c r="B1550">
        <v>2020</v>
      </c>
      <c r="C1550" t="s">
        <v>4</v>
      </c>
      <c r="D1550">
        <v>19641.05</v>
      </c>
      <c r="E1550">
        <v>21899.7</v>
      </c>
      <c r="F1550">
        <v>83.58</v>
      </c>
      <c r="G1550">
        <v>1268.3599999999999</v>
      </c>
      <c r="H1550">
        <f>E1550*1000000/D1550</f>
        <v>1114996.3978504206</v>
      </c>
      <c r="I1550" t="str">
        <f>IF(AND(B1550&gt;=2018, B1550&lt;=2021), "2018-2021", IF(AND(B1550&gt;=2022, B1550&lt;=2024), "2022-2024", "Other"))</f>
        <v>2018-2021</v>
      </c>
    </row>
    <row r="1551" spans="1:9" x14ac:dyDescent="0.3">
      <c r="A1551" t="s">
        <v>5</v>
      </c>
      <c r="B1551">
        <v>2021</v>
      </c>
      <c r="C1551" t="s">
        <v>6</v>
      </c>
      <c r="D1551">
        <v>28554.51</v>
      </c>
      <c r="E1551">
        <v>28238.46</v>
      </c>
      <c r="F1551">
        <v>191.61</v>
      </c>
      <c r="G1551">
        <v>676.67</v>
      </c>
      <c r="H1551">
        <f>E1551*1000000/D1551</f>
        <v>988931.69590372941</v>
      </c>
      <c r="I1551" t="str">
        <f>IF(AND(B1551&gt;=2018, B1551&lt;=2021), "2018-2021", IF(AND(B1551&gt;=2022, B1551&lt;=2024), "2022-2024", "Other"))</f>
        <v>2018-2021</v>
      </c>
    </row>
    <row r="1552" spans="1:9" x14ac:dyDescent="0.3">
      <c r="A1552" t="s">
        <v>22</v>
      </c>
      <c r="B1552">
        <v>2022</v>
      </c>
      <c r="C1552" t="s">
        <v>8</v>
      </c>
      <c r="D1552">
        <v>29640.04</v>
      </c>
      <c r="E1552">
        <v>24538.41</v>
      </c>
      <c r="F1552">
        <v>52.38</v>
      </c>
      <c r="G1552">
        <v>1038.17</v>
      </c>
      <c r="H1552">
        <f>E1552*1000000/D1552</f>
        <v>827880.46169978171</v>
      </c>
      <c r="I1552" t="str">
        <f>IF(AND(B1552&gt;=2018, B1552&lt;=2021), "2018-2021", IF(AND(B1552&gt;=2022, B1552&lt;=2024), "2022-2024", "Other"))</f>
        <v>2022-2024</v>
      </c>
    </row>
    <row r="1553" spans="1:9" x14ac:dyDescent="0.3">
      <c r="A1553" t="s">
        <v>10</v>
      </c>
      <c r="B1553">
        <v>2021</v>
      </c>
      <c r="C1553" t="s">
        <v>12</v>
      </c>
      <c r="D1553">
        <v>14631.16</v>
      </c>
      <c r="E1553">
        <v>17408.169999999998</v>
      </c>
      <c r="F1553">
        <v>62.08</v>
      </c>
      <c r="G1553">
        <v>1307.6400000000001</v>
      </c>
      <c r="H1553">
        <f>E1553*1000000/D1553</f>
        <v>1189801.0820741486</v>
      </c>
      <c r="I1553" t="str">
        <f>IF(AND(B1553&gt;=2018, B1553&lt;=2021), "2018-2021", IF(AND(B1553&gt;=2022, B1553&lt;=2024), "2022-2024", "Other"))</f>
        <v>2018-2021</v>
      </c>
    </row>
    <row r="1554" spans="1:9" x14ac:dyDescent="0.3">
      <c r="A1554" t="s">
        <v>19</v>
      </c>
      <c r="B1554">
        <v>2018</v>
      </c>
      <c r="C1554" t="s">
        <v>4</v>
      </c>
      <c r="D1554">
        <v>44803.95</v>
      </c>
      <c r="E1554">
        <v>36580.07</v>
      </c>
      <c r="F1554">
        <v>195.86</v>
      </c>
      <c r="G1554">
        <v>264.95</v>
      </c>
      <c r="H1554">
        <f>E1554*1000000/D1554</f>
        <v>816447.43376421055</v>
      </c>
      <c r="I1554" t="str">
        <f>IF(AND(B1554&gt;=2018, B1554&lt;=2021), "2018-2021", IF(AND(B1554&gt;=2022, B1554&lt;=2024), "2022-2024", "Other"))</f>
        <v>2018-2021</v>
      </c>
    </row>
    <row r="1555" spans="1:9" x14ac:dyDescent="0.3">
      <c r="A1555" t="s">
        <v>13</v>
      </c>
      <c r="B1555">
        <v>2022</v>
      </c>
      <c r="C1555" t="s">
        <v>4</v>
      </c>
      <c r="D1555">
        <v>5153.47</v>
      </c>
      <c r="E1555">
        <v>5204.55</v>
      </c>
      <c r="F1555">
        <v>111.25</v>
      </c>
      <c r="G1555">
        <v>1055.8</v>
      </c>
      <c r="H1555">
        <f>E1555*1000000/D1555</f>
        <v>1009911.7681872601</v>
      </c>
      <c r="I1555" t="str">
        <f>IF(AND(B1555&gt;=2018, B1555&lt;=2021), "2018-2021", IF(AND(B1555&gt;=2022, B1555&lt;=2024), "2022-2024", "Other"))</f>
        <v>2022-2024</v>
      </c>
    </row>
    <row r="1556" spans="1:9" x14ac:dyDescent="0.3">
      <c r="A1556" t="s">
        <v>13</v>
      </c>
      <c r="B1556">
        <v>2019</v>
      </c>
      <c r="C1556" t="s">
        <v>6</v>
      </c>
      <c r="D1556">
        <v>15340.42</v>
      </c>
      <c r="E1556">
        <v>13304.64</v>
      </c>
      <c r="F1556">
        <v>126.03</v>
      </c>
      <c r="G1556">
        <v>945.44</v>
      </c>
      <c r="H1556">
        <f>E1556*1000000/D1556</f>
        <v>867293.07281026209</v>
      </c>
      <c r="I1556" t="str">
        <f>IF(AND(B1556&gt;=2018, B1556&lt;=2021), "2018-2021", IF(AND(B1556&gt;=2022, B1556&lt;=2024), "2022-2024", "Other"))</f>
        <v>2018-2021</v>
      </c>
    </row>
    <row r="1557" spans="1:9" x14ac:dyDescent="0.3">
      <c r="A1557" t="s">
        <v>17</v>
      </c>
      <c r="B1557">
        <v>2018</v>
      </c>
      <c r="C1557" t="s">
        <v>8</v>
      </c>
      <c r="D1557">
        <v>43798.26</v>
      </c>
      <c r="E1557">
        <v>37179.4</v>
      </c>
      <c r="F1557">
        <v>197.41</v>
      </c>
      <c r="G1557">
        <v>646.19000000000005</v>
      </c>
      <c r="H1557">
        <f>E1557*1000000/D1557</f>
        <v>848878.47142786032</v>
      </c>
      <c r="I1557" t="str">
        <f>IF(AND(B1557&gt;=2018, B1557&lt;=2021), "2018-2021", IF(AND(B1557&gt;=2022, B1557&lt;=2024), "2022-2024", "Other"))</f>
        <v>2018-2021</v>
      </c>
    </row>
    <row r="1558" spans="1:9" x14ac:dyDescent="0.3">
      <c r="A1558" t="s">
        <v>3</v>
      </c>
      <c r="B1558">
        <v>2018</v>
      </c>
      <c r="C1558" t="s">
        <v>2</v>
      </c>
      <c r="D1558">
        <v>15809.24</v>
      </c>
      <c r="E1558">
        <v>16731.04</v>
      </c>
      <c r="F1558">
        <v>129.63999999999999</v>
      </c>
      <c r="G1558">
        <v>91.23</v>
      </c>
      <c r="H1558">
        <f>E1558*1000000/D1558</f>
        <v>1058307.673234134</v>
      </c>
      <c r="I1558" t="str">
        <f>IF(AND(B1558&gt;=2018, B1558&lt;=2021), "2018-2021", IF(AND(B1558&gt;=2022, B1558&lt;=2024), "2022-2024", "Other"))</f>
        <v>2018-2021</v>
      </c>
    </row>
    <row r="1559" spans="1:9" x14ac:dyDescent="0.3">
      <c r="A1559" t="s">
        <v>10</v>
      </c>
      <c r="B1559">
        <v>2018</v>
      </c>
      <c r="C1559" t="s">
        <v>6</v>
      </c>
      <c r="D1559">
        <v>28645.81</v>
      </c>
      <c r="E1559">
        <v>24791.78</v>
      </c>
      <c r="F1559">
        <v>57.39</v>
      </c>
      <c r="G1559">
        <v>1319.39</v>
      </c>
      <c r="H1559">
        <f>E1559*1000000/D1559</f>
        <v>865459.20677404478</v>
      </c>
      <c r="I1559" t="str">
        <f>IF(AND(B1559&gt;=2018, B1559&lt;=2021), "2018-2021", IF(AND(B1559&gt;=2022, B1559&lt;=2024), "2022-2024", "Other"))</f>
        <v>2018-2021</v>
      </c>
    </row>
    <row r="1560" spans="1:9" x14ac:dyDescent="0.3">
      <c r="A1560" t="s">
        <v>16</v>
      </c>
      <c r="B1560">
        <v>2021</v>
      </c>
      <c r="C1560" t="s">
        <v>2</v>
      </c>
      <c r="D1560">
        <v>17498.669999999998</v>
      </c>
      <c r="E1560">
        <v>15495.46</v>
      </c>
      <c r="F1560">
        <v>62.41</v>
      </c>
      <c r="G1560">
        <v>977.68</v>
      </c>
      <c r="H1560">
        <f>E1560*1000000/D1560</f>
        <v>885522.1568267761</v>
      </c>
      <c r="I1560" t="str">
        <f>IF(AND(B1560&gt;=2018, B1560&lt;=2021), "2018-2021", IF(AND(B1560&gt;=2022, B1560&lt;=2024), "2022-2024", "Other"))</f>
        <v>2018-2021</v>
      </c>
    </row>
    <row r="1561" spans="1:9" x14ac:dyDescent="0.3">
      <c r="A1561" t="s">
        <v>10</v>
      </c>
      <c r="B1561">
        <v>2024</v>
      </c>
      <c r="C1561" t="s">
        <v>8</v>
      </c>
      <c r="D1561">
        <v>5527.56</v>
      </c>
      <c r="E1561">
        <v>6587.05</v>
      </c>
      <c r="F1561">
        <v>33.26</v>
      </c>
      <c r="G1561">
        <v>1194.06</v>
      </c>
      <c r="H1561">
        <f>E1561*1000000/D1561</f>
        <v>1191674.0840443161</v>
      </c>
      <c r="I1561" t="str">
        <f>IF(AND(B1561&gt;=2018, B1561&lt;=2021), "2018-2021", IF(AND(B1561&gt;=2022, B1561&lt;=2024), "2022-2024", "Other"))</f>
        <v>2022-2024</v>
      </c>
    </row>
    <row r="1562" spans="1:9" x14ac:dyDescent="0.3">
      <c r="A1562" t="s">
        <v>15</v>
      </c>
      <c r="B1562">
        <v>2018</v>
      </c>
      <c r="C1562" t="s">
        <v>6</v>
      </c>
      <c r="D1562">
        <v>36308.58</v>
      </c>
      <c r="E1562">
        <v>35569.19</v>
      </c>
      <c r="F1562">
        <v>42.28</v>
      </c>
      <c r="G1562">
        <v>1368.21</v>
      </c>
      <c r="H1562">
        <f>E1562*1000000/D1562</f>
        <v>979635.94279919507</v>
      </c>
      <c r="I1562" t="str">
        <f>IF(AND(B1562&gt;=2018, B1562&lt;=2021), "2018-2021", IF(AND(B1562&gt;=2022, B1562&lt;=2024), "2022-2024", "Other"))</f>
        <v>2018-2021</v>
      </c>
    </row>
    <row r="1563" spans="1:9" x14ac:dyDescent="0.3">
      <c r="A1563" t="s">
        <v>1</v>
      </c>
      <c r="B1563">
        <v>2018</v>
      </c>
      <c r="C1563" t="s">
        <v>2</v>
      </c>
      <c r="D1563">
        <v>20555.66</v>
      </c>
      <c r="E1563">
        <v>20002.41</v>
      </c>
      <c r="F1563">
        <v>86.77</v>
      </c>
      <c r="G1563">
        <v>446.58</v>
      </c>
      <c r="H1563">
        <f>E1563*1000000/D1563</f>
        <v>973085.27189105097</v>
      </c>
      <c r="I1563" t="str">
        <f>IF(AND(B1563&gt;=2018, B1563&lt;=2021), "2018-2021", IF(AND(B1563&gt;=2022, B1563&lt;=2024), "2022-2024", "Other"))</f>
        <v>2018-2021</v>
      </c>
    </row>
    <row r="1564" spans="1:9" x14ac:dyDescent="0.3">
      <c r="A1564" t="s">
        <v>16</v>
      </c>
      <c r="B1564">
        <v>2020</v>
      </c>
      <c r="C1564" t="s">
        <v>2</v>
      </c>
      <c r="D1564">
        <v>25833.45</v>
      </c>
      <c r="E1564">
        <v>23028.03</v>
      </c>
      <c r="F1564">
        <v>55.29</v>
      </c>
      <c r="G1564">
        <v>1048.51</v>
      </c>
      <c r="H1564">
        <f>E1564*1000000/D1564</f>
        <v>891403.58720960608</v>
      </c>
      <c r="I1564" t="str">
        <f>IF(AND(B1564&gt;=2018, B1564&lt;=2021), "2018-2021", IF(AND(B1564&gt;=2022, B1564&lt;=2024), "2022-2024", "Other"))</f>
        <v>2018-2021</v>
      </c>
    </row>
    <row r="1565" spans="1:9" x14ac:dyDescent="0.3">
      <c r="A1565" t="s">
        <v>7</v>
      </c>
      <c r="B1565">
        <v>2019</v>
      </c>
      <c r="C1565" t="s">
        <v>9</v>
      </c>
      <c r="D1565">
        <v>37879.97</v>
      </c>
      <c r="E1565">
        <v>37428.1</v>
      </c>
      <c r="F1565">
        <v>189.28</v>
      </c>
      <c r="G1565">
        <v>1323.33</v>
      </c>
      <c r="H1565">
        <f>E1565*1000000/D1565</f>
        <v>988071.00428009836</v>
      </c>
      <c r="I1565" t="str">
        <f>IF(AND(B1565&gt;=2018, B1565&lt;=2021), "2018-2021", IF(AND(B1565&gt;=2022, B1565&lt;=2024), "2022-2024", "Other"))</f>
        <v>2018-2021</v>
      </c>
    </row>
    <row r="1566" spans="1:9" x14ac:dyDescent="0.3">
      <c r="A1566" t="s">
        <v>24</v>
      </c>
      <c r="B1566">
        <v>2023</v>
      </c>
      <c r="C1566" t="s">
        <v>9</v>
      </c>
      <c r="D1566">
        <v>32919.760000000002</v>
      </c>
      <c r="E1566">
        <v>39313.15</v>
      </c>
      <c r="F1566">
        <v>124.41</v>
      </c>
      <c r="G1566">
        <v>379.92</v>
      </c>
      <c r="H1566">
        <f>E1566*1000000/D1566</f>
        <v>1194211.31867304</v>
      </c>
      <c r="I1566" t="str">
        <f>IF(AND(B1566&gt;=2018, B1566&lt;=2021), "2018-2021", IF(AND(B1566&gt;=2022, B1566&lt;=2024), "2022-2024", "Other"))</f>
        <v>2022-2024</v>
      </c>
    </row>
    <row r="1567" spans="1:9" x14ac:dyDescent="0.3">
      <c r="A1567" t="s">
        <v>5</v>
      </c>
      <c r="B1567">
        <v>2024</v>
      </c>
      <c r="C1567" t="s">
        <v>6</v>
      </c>
      <c r="D1567">
        <v>30618.560000000001</v>
      </c>
      <c r="E1567">
        <v>34281.61</v>
      </c>
      <c r="F1567">
        <v>21.66</v>
      </c>
      <c r="G1567">
        <v>1015.92</v>
      </c>
      <c r="H1567">
        <f>E1567*1000000/D1567</f>
        <v>1119634.953440005</v>
      </c>
      <c r="I1567" t="str">
        <f>IF(AND(B1567&gt;=2018, B1567&lt;=2021), "2018-2021", IF(AND(B1567&gt;=2022, B1567&lt;=2024), "2022-2024", "Other"))</f>
        <v>2022-2024</v>
      </c>
    </row>
    <row r="1568" spans="1:9" x14ac:dyDescent="0.3">
      <c r="A1568" t="s">
        <v>26</v>
      </c>
      <c r="B1568">
        <v>2023</v>
      </c>
      <c r="C1568" t="s">
        <v>8</v>
      </c>
      <c r="D1568">
        <v>9845.39</v>
      </c>
      <c r="E1568">
        <v>9764.39</v>
      </c>
      <c r="F1568">
        <v>59.4</v>
      </c>
      <c r="G1568">
        <v>876.16</v>
      </c>
      <c r="H1568">
        <f>E1568*1000000/D1568</f>
        <v>991772.79924919177</v>
      </c>
      <c r="I1568" t="str">
        <f>IF(AND(B1568&gt;=2018, B1568&lt;=2021), "2018-2021", IF(AND(B1568&gt;=2022, B1568&lt;=2024), "2022-2024", "Other"))</f>
        <v>2022-2024</v>
      </c>
    </row>
    <row r="1569" spans="1:9" x14ac:dyDescent="0.3">
      <c r="A1569" t="s">
        <v>25</v>
      </c>
      <c r="B1569">
        <v>2018</v>
      </c>
      <c r="C1569" t="s">
        <v>14</v>
      </c>
      <c r="D1569">
        <v>579.36</v>
      </c>
      <c r="E1569">
        <v>644.62</v>
      </c>
      <c r="F1569">
        <v>191.73</v>
      </c>
      <c r="G1569">
        <v>277.10000000000002</v>
      </c>
      <c r="H1569">
        <f>E1569*1000000/D1569</f>
        <v>1112641.5354874344</v>
      </c>
      <c r="I1569" t="str">
        <f>IF(AND(B1569&gt;=2018, B1569&lt;=2021), "2018-2021", IF(AND(B1569&gt;=2022, B1569&lt;=2024), "2022-2024", "Other"))</f>
        <v>2018-2021</v>
      </c>
    </row>
    <row r="1570" spans="1:9" x14ac:dyDescent="0.3">
      <c r="A1570" t="s">
        <v>7</v>
      </c>
      <c r="B1570">
        <v>2024</v>
      </c>
      <c r="C1570" t="s">
        <v>12</v>
      </c>
      <c r="D1570">
        <v>32844.67</v>
      </c>
      <c r="E1570">
        <v>35654.28</v>
      </c>
      <c r="F1570">
        <v>114.02</v>
      </c>
      <c r="G1570">
        <v>762.99</v>
      </c>
      <c r="H1570">
        <f>E1570*1000000/D1570</f>
        <v>1085542.3421821562</v>
      </c>
      <c r="I1570" t="str">
        <f>IF(AND(B1570&gt;=2018, B1570&lt;=2021), "2018-2021", IF(AND(B1570&gt;=2022, B1570&lt;=2024), "2022-2024", "Other"))</f>
        <v>2022-2024</v>
      </c>
    </row>
    <row r="1571" spans="1:9" x14ac:dyDescent="0.3">
      <c r="A1571" t="s">
        <v>23</v>
      </c>
      <c r="B1571">
        <v>2021</v>
      </c>
      <c r="C1571" t="s">
        <v>14</v>
      </c>
      <c r="D1571">
        <v>30246.080000000002</v>
      </c>
      <c r="E1571">
        <v>33555.870000000003</v>
      </c>
      <c r="F1571">
        <v>102.26</v>
      </c>
      <c r="G1571">
        <v>302.73</v>
      </c>
      <c r="H1571">
        <f>E1571*1000000/D1571</f>
        <v>1109428.7259704398</v>
      </c>
      <c r="I1571" t="str">
        <f>IF(AND(B1571&gt;=2018, B1571&lt;=2021), "2018-2021", IF(AND(B1571&gt;=2022, B1571&lt;=2024), "2022-2024", "Other"))</f>
        <v>2018-2021</v>
      </c>
    </row>
    <row r="1572" spans="1:9" x14ac:dyDescent="0.3">
      <c r="A1572" t="s">
        <v>18</v>
      </c>
      <c r="B1572">
        <v>2021</v>
      </c>
      <c r="C1572" t="s">
        <v>4</v>
      </c>
      <c r="D1572">
        <v>33939.22</v>
      </c>
      <c r="E1572">
        <v>34884.769999999997</v>
      </c>
      <c r="F1572">
        <v>62.46</v>
      </c>
      <c r="G1572">
        <v>685.49</v>
      </c>
      <c r="H1572">
        <f>E1572*1000000/D1572</f>
        <v>1027860.0981401458</v>
      </c>
      <c r="I1572" t="str">
        <f>IF(AND(B1572&gt;=2018, B1572&lt;=2021), "2018-2021", IF(AND(B1572&gt;=2022, B1572&lt;=2024), "2022-2024", "Other"))</f>
        <v>2018-2021</v>
      </c>
    </row>
    <row r="1573" spans="1:9" x14ac:dyDescent="0.3">
      <c r="A1573" t="s">
        <v>17</v>
      </c>
      <c r="B1573">
        <v>2018</v>
      </c>
      <c r="C1573" t="s">
        <v>0</v>
      </c>
      <c r="D1573">
        <v>25862.02</v>
      </c>
      <c r="E1573">
        <v>24104.65</v>
      </c>
      <c r="F1573">
        <v>67.58</v>
      </c>
      <c r="G1573">
        <v>776.7</v>
      </c>
      <c r="H1573">
        <f>E1573*1000000/D1573</f>
        <v>932048.23134465131</v>
      </c>
      <c r="I1573" t="str">
        <f>IF(AND(B1573&gt;=2018, B1573&lt;=2021), "2018-2021", IF(AND(B1573&gt;=2022, B1573&lt;=2024), "2022-2024", "Other"))</f>
        <v>2018-2021</v>
      </c>
    </row>
    <row r="1574" spans="1:9" x14ac:dyDescent="0.3">
      <c r="A1574" t="s">
        <v>24</v>
      </c>
      <c r="B1574">
        <v>2021</v>
      </c>
      <c r="C1574" t="s">
        <v>8</v>
      </c>
      <c r="D1574">
        <v>47836.63</v>
      </c>
      <c r="E1574">
        <v>38345.089999999997</v>
      </c>
      <c r="F1574">
        <v>22.78</v>
      </c>
      <c r="G1574">
        <v>974.06</v>
      </c>
      <c r="H1574">
        <f>E1574*1000000/D1574</f>
        <v>801584.26711915119</v>
      </c>
      <c r="I1574" t="str">
        <f>IF(AND(B1574&gt;=2018, B1574&lt;=2021), "2018-2021", IF(AND(B1574&gt;=2022, B1574&lt;=2024), "2022-2024", "Other"))</f>
        <v>2018-2021</v>
      </c>
    </row>
    <row r="1575" spans="1:9" x14ac:dyDescent="0.3">
      <c r="A1575" t="s">
        <v>27</v>
      </c>
      <c r="B1575">
        <v>2020</v>
      </c>
      <c r="C1575" t="s">
        <v>12</v>
      </c>
      <c r="D1575">
        <v>3657.3</v>
      </c>
      <c r="E1575">
        <v>3674.47</v>
      </c>
      <c r="F1575">
        <v>25.04</v>
      </c>
      <c r="G1575">
        <v>697.88</v>
      </c>
      <c r="H1575">
        <f>E1575*1000000/D1575</f>
        <v>1004694.7201487436</v>
      </c>
      <c r="I1575" t="str">
        <f>IF(AND(B1575&gt;=2018, B1575&lt;=2021), "2018-2021", IF(AND(B1575&gt;=2022, B1575&lt;=2024), "2022-2024", "Other"))</f>
        <v>2018-2021</v>
      </c>
    </row>
    <row r="1576" spans="1:9" x14ac:dyDescent="0.3">
      <c r="A1576" t="s">
        <v>16</v>
      </c>
      <c r="B1576">
        <v>2019</v>
      </c>
      <c r="C1576" t="s">
        <v>14</v>
      </c>
      <c r="D1576">
        <v>10879.19</v>
      </c>
      <c r="E1576">
        <v>11396.98</v>
      </c>
      <c r="F1576">
        <v>127.31</v>
      </c>
      <c r="G1576">
        <v>982.16</v>
      </c>
      <c r="H1576">
        <f>E1576*1000000/D1576</f>
        <v>1047594.5359902713</v>
      </c>
      <c r="I1576" t="str">
        <f>IF(AND(B1576&gt;=2018, B1576&lt;=2021), "2018-2021", IF(AND(B1576&gt;=2022, B1576&lt;=2024), "2022-2024", "Other"))</f>
        <v>2018-2021</v>
      </c>
    </row>
    <row r="1577" spans="1:9" x14ac:dyDescent="0.3">
      <c r="A1577" t="s">
        <v>7</v>
      </c>
      <c r="B1577">
        <v>2023</v>
      </c>
      <c r="C1577" t="s">
        <v>12</v>
      </c>
      <c r="D1577">
        <v>1518.82</v>
      </c>
      <c r="E1577">
        <v>1441.51</v>
      </c>
      <c r="F1577">
        <v>53.56</v>
      </c>
      <c r="G1577">
        <v>430.12</v>
      </c>
      <c r="H1577">
        <f>E1577*1000000/D1577</f>
        <v>949098.64236710081</v>
      </c>
      <c r="I1577" t="str">
        <f>IF(AND(B1577&gt;=2018, B1577&lt;=2021), "2018-2021", IF(AND(B1577&gt;=2022, B1577&lt;=2024), "2022-2024", "Other"))</f>
        <v>2022-2024</v>
      </c>
    </row>
    <row r="1578" spans="1:9" x14ac:dyDescent="0.3">
      <c r="A1578" t="s">
        <v>7</v>
      </c>
      <c r="B1578">
        <v>2020</v>
      </c>
      <c r="C1578" t="s">
        <v>2</v>
      </c>
      <c r="D1578">
        <v>35577.480000000003</v>
      </c>
      <c r="E1578">
        <v>38585.410000000003</v>
      </c>
      <c r="F1578">
        <v>119.54</v>
      </c>
      <c r="G1578">
        <v>426.7</v>
      </c>
      <c r="H1578">
        <f>E1578*1000000/D1578</f>
        <v>1084545.898135562</v>
      </c>
      <c r="I1578" t="str">
        <f>IF(AND(B1578&gt;=2018, B1578&lt;=2021), "2018-2021", IF(AND(B1578&gt;=2022, B1578&lt;=2024), "2022-2024", "Other"))</f>
        <v>2018-2021</v>
      </c>
    </row>
    <row r="1579" spans="1:9" x14ac:dyDescent="0.3">
      <c r="A1579" t="s">
        <v>23</v>
      </c>
      <c r="B1579">
        <v>2020</v>
      </c>
      <c r="C1579" t="s">
        <v>6</v>
      </c>
      <c r="D1579">
        <v>8675.35</v>
      </c>
      <c r="E1579">
        <v>9670.83</v>
      </c>
      <c r="F1579">
        <v>176.75</v>
      </c>
      <c r="G1579">
        <v>1253.3499999999999</v>
      </c>
      <c r="H1579">
        <f>E1579*1000000/D1579</f>
        <v>1114748.1081454926</v>
      </c>
      <c r="I1579" t="str">
        <f>IF(AND(B1579&gt;=2018, B1579&lt;=2021), "2018-2021", IF(AND(B1579&gt;=2022, B1579&lt;=2024), "2022-2024", "Other"))</f>
        <v>2018-2021</v>
      </c>
    </row>
    <row r="1580" spans="1:9" x14ac:dyDescent="0.3">
      <c r="A1580" t="s">
        <v>11</v>
      </c>
      <c r="B1580">
        <v>2024</v>
      </c>
      <c r="C1580" t="s">
        <v>0</v>
      </c>
      <c r="D1580">
        <v>40131.85</v>
      </c>
      <c r="E1580">
        <v>40786.47</v>
      </c>
      <c r="F1580">
        <v>78.599999999999994</v>
      </c>
      <c r="G1580">
        <v>1385.86</v>
      </c>
      <c r="H1580">
        <f>E1580*1000000/D1580</f>
        <v>1016311.7324519055</v>
      </c>
      <c r="I1580" t="str">
        <f>IF(AND(B1580&gt;=2018, B1580&lt;=2021), "2018-2021", IF(AND(B1580&gt;=2022, B1580&lt;=2024), "2022-2024", "Other"))</f>
        <v>2022-2024</v>
      </c>
    </row>
    <row r="1581" spans="1:9" x14ac:dyDescent="0.3">
      <c r="A1581" t="s">
        <v>19</v>
      </c>
      <c r="B1581">
        <v>2023</v>
      </c>
      <c r="C1581" t="s">
        <v>6</v>
      </c>
      <c r="D1581">
        <v>15799.66</v>
      </c>
      <c r="E1581">
        <v>15339</v>
      </c>
      <c r="F1581">
        <v>87.49</v>
      </c>
      <c r="G1581">
        <v>887.33</v>
      </c>
      <c r="H1581">
        <f>E1581*1000000/D1581</f>
        <v>970843.67638290953</v>
      </c>
      <c r="I1581" t="str">
        <f>IF(AND(B1581&gt;=2018, B1581&lt;=2021), "2018-2021", IF(AND(B1581&gt;=2022, B1581&lt;=2024), "2022-2024", "Other"))</f>
        <v>2022-2024</v>
      </c>
    </row>
    <row r="1582" spans="1:9" x14ac:dyDescent="0.3">
      <c r="A1582" t="s">
        <v>20</v>
      </c>
      <c r="B1582">
        <v>2018</v>
      </c>
      <c r="C1582" t="s">
        <v>0</v>
      </c>
      <c r="D1582">
        <v>40615.14</v>
      </c>
      <c r="E1582">
        <v>36728.65</v>
      </c>
      <c r="F1582">
        <v>148.9</v>
      </c>
      <c r="G1582">
        <v>1045.22</v>
      </c>
      <c r="H1582">
        <f>E1582*1000000/D1582</f>
        <v>904309.3289842162</v>
      </c>
      <c r="I1582" t="str">
        <f>IF(AND(B1582&gt;=2018, B1582&lt;=2021), "2018-2021", IF(AND(B1582&gt;=2022, B1582&lt;=2024), "2022-2024", "Other"))</f>
        <v>2018-2021</v>
      </c>
    </row>
    <row r="1583" spans="1:9" x14ac:dyDescent="0.3">
      <c r="A1583" t="s">
        <v>11</v>
      </c>
      <c r="B1583">
        <v>2018</v>
      </c>
      <c r="C1583" t="s">
        <v>0</v>
      </c>
      <c r="D1583">
        <v>33554.89</v>
      </c>
      <c r="E1583">
        <v>30227.41</v>
      </c>
      <c r="F1583">
        <v>125.82</v>
      </c>
      <c r="G1583">
        <v>1002.74</v>
      </c>
      <c r="H1583">
        <f>E1583*1000000/D1583</f>
        <v>900834.72185425134</v>
      </c>
      <c r="I1583" t="str">
        <f>IF(AND(B1583&gt;=2018, B1583&lt;=2021), "2018-2021", IF(AND(B1583&gt;=2022, B1583&lt;=2024), "2022-2024", "Other"))</f>
        <v>2018-2021</v>
      </c>
    </row>
    <row r="1584" spans="1:9" x14ac:dyDescent="0.3">
      <c r="A1584" t="s">
        <v>16</v>
      </c>
      <c r="B1584">
        <v>2021</v>
      </c>
      <c r="C1584" t="s">
        <v>6</v>
      </c>
      <c r="D1584">
        <v>39581.08</v>
      </c>
      <c r="E1584">
        <v>35472.800000000003</v>
      </c>
      <c r="F1584">
        <v>156.62</v>
      </c>
      <c r="G1584">
        <v>179.98</v>
      </c>
      <c r="H1584">
        <f>E1584*1000000/D1584</f>
        <v>896205.9650722011</v>
      </c>
      <c r="I1584" t="str">
        <f>IF(AND(B1584&gt;=2018, B1584&lt;=2021), "2018-2021", IF(AND(B1584&gt;=2022, B1584&lt;=2024), "2022-2024", "Other"))</f>
        <v>2018-2021</v>
      </c>
    </row>
    <row r="1585" spans="1:9" x14ac:dyDescent="0.3">
      <c r="A1585" t="s">
        <v>18</v>
      </c>
      <c r="B1585">
        <v>2020</v>
      </c>
      <c r="C1585" t="s">
        <v>9</v>
      </c>
      <c r="D1585">
        <v>24163.81</v>
      </c>
      <c r="E1585">
        <v>21675.81</v>
      </c>
      <c r="F1585">
        <v>136.38999999999999</v>
      </c>
      <c r="G1585">
        <v>708.31</v>
      </c>
      <c r="H1585">
        <f>E1585*1000000/D1585</f>
        <v>897036.10481956275</v>
      </c>
      <c r="I1585" t="str">
        <f>IF(AND(B1585&gt;=2018, B1585&lt;=2021), "2018-2021", IF(AND(B1585&gt;=2022, B1585&lt;=2024), "2022-2024", "Other"))</f>
        <v>2018-2021</v>
      </c>
    </row>
    <row r="1586" spans="1:9" x14ac:dyDescent="0.3">
      <c r="A1586" t="s">
        <v>11</v>
      </c>
      <c r="B1586">
        <v>2023</v>
      </c>
      <c r="C1586" t="s">
        <v>8</v>
      </c>
      <c r="D1586">
        <v>20766.05</v>
      </c>
      <c r="E1586">
        <v>22909.68</v>
      </c>
      <c r="F1586">
        <v>33.99</v>
      </c>
      <c r="G1586">
        <v>973.73</v>
      </c>
      <c r="H1586">
        <f>E1586*1000000/D1586</f>
        <v>1103227.623934258</v>
      </c>
      <c r="I1586" t="str">
        <f>IF(AND(B1586&gt;=2018, B1586&lt;=2021), "2018-2021", IF(AND(B1586&gt;=2022, B1586&lt;=2024), "2022-2024", "Other"))</f>
        <v>2022-2024</v>
      </c>
    </row>
    <row r="1587" spans="1:9" x14ac:dyDescent="0.3">
      <c r="A1587" t="s">
        <v>11</v>
      </c>
      <c r="B1587">
        <v>2023</v>
      </c>
      <c r="C1587" t="s">
        <v>8</v>
      </c>
      <c r="D1587">
        <v>22756.14</v>
      </c>
      <c r="E1587">
        <v>19733.919999999998</v>
      </c>
      <c r="F1587">
        <v>140.47999999999999</v>
      </c>
      <c r="G1587">
        <v>965.39</v>
      </c>
      <c r="H1587">
        <f>E1587*1000000/D1587</f>
        <v>867191.00866842968</v>
      </c>
      <c r="I1587" t="str">
        <f>IF(AND(B1587&gt;=2018, B1587&lt;=2021), "2018-2021", IF(AND(B1587&gt;=2022, B1587&lt;=2024), "2022-2024", "Other"))</f>
        <v>2022-2024</v>
      </c>
    </row>
    <row r="1588" spans="1:9" x14ac:dyDescent="0.3">
      <c r="A1588" t="s">
        <v>3</v>
      </c>
      <c r="B1588">
        <v>2019</v>
      </c>
      <c r="C1588" t="s">
        <v>4</v>
      </c>
      <c r="D1588">
        <v>2499.5</v>
      </c>
      <c r="E1588">
        <v>2890.07</v>
      </c>
      <c r="F1588">
        <v>69.73</v>
      </c>
      <c r="G1588">
        <v>1074.3900000000001</v>
      </c>
      <c r="H1588">
        <f>E1588*1000000/D1588</f>
        <v>1156259.2518503701</v>
      </c>
      <c r="I1588" t="str">
        <f>IF(AND(B1588&gt;=2018, B1588&lt;=2021), "2018-2021", IF(AND(B1588&gt;=2022, B1588&lt;=2024), "2022-2024", "Other"))</f>
        <v>2018-2021</v>
      </c>
    </row>
    <row r="1589" spans="1:9" x14ac:dyDescent="0.3">
      <c r="A1589" t="s">
        <v>15</v>
      </c>
      <c r="B1589">
        <v>2018</v>
      </c>
      <c r="C1589" t="s">
        <v>0</v>
      </c>
      <c r="D1589">
        <v>28693.27</v>
      </c>
      <c r="E1589">
        <v>26756.34</v>
      </c>
      <c r="F1589">
        <v>149.88</v>
      </c>
      <c r="G1589">
        <v>474.98</v>
      </c>
      <c r="H1589">
        <f>E1589*1000000/D1589</f>
        <v>932495.32033121353</v>
      </c>
      <c r="I1589" t="str">
        <f>IF(AND(B1589&gt;=2018, B1589&lt;=2021), "2018-2021", IF(AND(B1589&gt;=2022, B1589&lt;=2024), "2022-2024", "Other"))</f>
        <v>2018-2021</v>
      </c>
    </row>
    <row r="1590" spans="1:9" x14ac:dyDescent="0.3">
      <c r="A1590" t="s">
        <v>16</v>
      </c>
      <c r="B1590">
        <v>2022</v>
      </c>
      <c r="C1590" t="s">
        <v>4</v>
      </c>
      <c r="D1590">
        <v>12120.39</v>
      </c>
      <c r="E1590">
        <v>12122.38</v>
      </c>
      <c r="F1590">
        <v>77.39</v>
      </c>
      <c r="G1590">
        <v>133.38</v>
      </c>
      <c r="H1590">
        <f>E1590*1000000/D1590</f>
        <v>1000164.1861359248</v>
      </c>
      <c r="I1590" t="str">
        <f>IF(AND(B1590&gt;=2018, B1590&lt;=2021), "2018-2021", IF(AND(B1590&gt;=2022, B1590&lt;=2024), "2022-2024", "Other"))</f>
        <v>2022-2024</v>
      </c>
    </row>
    <row r="1591" spans="1:9" x14ac:dyDescent="0.3">
      <c r="A1591" t="s">
        <v>3</v>
      </c>
      <c r="B1591">
        <v>2018</v>
      </c>
      <c r="C1591" t="s">
        <v>6</v>
      </c>
      <c r="D1591">
        <v>35063.050000000003</v>
      </c>
      <c r="E1591">
        <v>29702.46</v>
      </c>
      <c r="F1591">
        <v>59.62</v>
      </c>
      <c r="G1591">
        <v>821.63</v>
      </c>
      <c r="H1591">
        <f>E1591*1000000/D1591</f>
        <v>847115.69586787221</v>
      </c>
      <c r="I1591" t="str">
        <f>IF(AND(B1591&gt;=2018, B1591&lt;=2021), "2018-2021", IF(AND(B1591&gt;=2022, B1591&lt;=2024), "2022-2024", "Other"))</f>
        <v>2018-2021</v>
      </c>
    </row>
    <row r="1592" spans="1:9" x14ac:dyDescent="0.3">
      <c r="A1592" t="s">
        <v>23</v>
      </c>
      <c r="B1592">
        <v>2020</v>
      </c>
      <c r="C1592" t="s">
        <v>6</v>
      </c>
      <c r="D1592">
        <v>17577.02</v>
      </c>
      <c r="E1592">
        <v>16452.169999999998</v>
      </c>
      <c r="F1592">
        <v>99.44</v>
      </c>
      <c r="G1592">
        <v>1205.53</v>
      </c>
      <c r="H1592">
        <f>E1592*1000000/D1592</f>
        <v>936004.51043464697</v>
      </c>
      <c r="I1592" t="str">
        <f>IF(AND(B1592&gt;=2018, B1592&lt;=2021), "2018-2021", IF(AND(B1592&gt;=2022, B1592&lt;=2024), "2022-2024", "Other"))</f>
        <v>2018-2021</v>
      </c>
    </row>
    <row r="1593" spans="1:9" x14ac:dyDescent="0.3">
      <c r="A1593" t="s">
        <v>1</v>
      </c>
      <c r="B1593">
        <v>2021</v>
      </c>
      <c r="C1593" t="s">
        <v>14</v>
      </c>
      <c r="D1593">
        <v>42883.75</v>
      </c>
      <c r="E1593">
        <v>43639.17</v>
      </c>
      <c r="F1593">
        <v>181.74</v>
      </c>
      <c r="G1593">
        <v>1361.01</v>
      </c>
      <c r="H1593">
        <f>E1593*1000000/D1593</f>
        <v>1017615.5303582359</v>
      </c>
      <c r="I1593" t="str">
        <f>IF(AND(B1593&gt;=2018, B1593&lt;=2021), "2018-2021", IF(AND(B1593&gt;=2022, B1593&lt;=2024), "2022-2024", "Other"))</f>
        <v>2018-2021</v>
      </c>
    </row>
    <row r="1594" spans="1:9" x14ac:dyDescent="0.3">
      <c r="A1594" t="s">
        <v>15</v>
      </c>
      <c r="B1594">
        <v>2022</v>
      </c>
      <c r="C1594" t="s">
        <v>8</v>
      </c>
      <c r="D1594">
        <v>32734.18</v>
      </c>
      <c r="E1594">
        <v>37934.01</v>
      </c>
      <c r="F1594">
        <v>30.94</v>
      </c>
      <c r="G1594">
        <v>349.5</v>
      </c>
      <c r="H1594">
        <f>E1594*1000000/D1594</f>
        <v>1158850.1682339378</v>
      </c>
      <c r="I1594" t="str">
        <f>IF(AND(B1594&gt;=2018, B1594&lt;=2021), "2018-2021", IF(AND(B1594&gt;=2022, B1594&lt;=2024), "2022-2024", "Other"))</f>
        <v>2022-2024</v>
      </c>
    </row>
    <row r="1595" spans="1:9" x14ac:dyDescent="0.3">
      <c r="A1595" t="s">
        <v>18</v>
      </c>
      <c r="B1595">
        <v>2019</v>
      </c>
      <c r="C1595" t="s">
        <v>12</v>
      </c>
      <c r="D1595">
        <v>23935.919999999998</v>
      </c>
      <c r="E1595">
        <v>24758.66</v>
      </c>
      <c r="F1595">
        <v>198.73</v>
      </c>
      <c r="G1595">
        <v>1224.73</v>
      </c>
      <c r="H1595">
        <f>E1595*1000000/D1595</f>
        <v>1034372.60819722</v>
      </c>
      <c r="I1595" t="str">
        <f>IF(AND(B1595&gt;=2018, B1595&lt;=2021), "2018-2021", IF(AND(B1595&gt;=2022, B1595&lt;=2024), "2022-2024", "Other"))</f>
        <v>2018-2021</v>
      </c>
    </row>
    <row r="1596" spans="1:9" x14ac:dyDescent="0.3">
      <c r="A1596" t="s">
        <v>21</v>
      </c>
      <c r="B1596">
        <v>2021</v>
      </c>
      <c r="C1596" t="s">
        <v>12</v>
      </c>
      <c r="D1596">
        <v>30419.82</v>
      </c>
      <c r="E1596">
        <v>29457.65</v>
      </c>
      <c r="F1596">
        <v>115.84</v>
      </c>
      <c r="G1596">
        <v>983.7</v>
      </c>
      <c r="H1596">
        <f>E1596*1000000/D1596</f>
        <v>968370.29278937215</v>
      </c>
      <c r="I1596" t="str">
        <f>IF(AND(B1596&gt;=2018, B1596&lt;=2021), "2018-2021", IF(AND(B1596&gt;=2022, B1596&lt;=2024), "2022-2024", "Other"))</f>
        <v>2018-2021</v>
      </c>
    </row>
    <row r="1597" spans="1:9" x14ac:dyDescent="0.3">
      <c r="A1597" t="s">
        <v>26</v>
      </c>
      <c r="B1597">
        <v>2018</v>
      </c>
      <c r="C1597" t="s">
        <v>0</v>
      </c>
      <c r="D1597">
        <v>15651.93</v>
      </c>
      <c r="E1597">
        <v>14003.78</v>
      </c>
      <c r="F1597">
        <v>62.88</v>
      </c>
      <c r="G1597">
        <v>863.8</v>
      </c>
      <c r="H1597">
        <f>E1597*1000000/D1597</f>
        <v>894699.88685101457</v>
      </c>
      <c r="I1597" t="str">
        <f>IF(AND(B1597&gt;=2018, B1597&lt;=2021), "2018-2021", IF(AND(B1597&gt;=2022, B1597&lt;=2024), "2022-2024", "Other"))</f>
        <v>2018-2021</v>
      </c>
    </row>
    <row r="1598" spans="1:9" x14ac:dyDescent="0.3">
      <c r="A1598" t="s">
        <v>10</v>
      </c>
      <c r="B1598">
        <v>2023</v>
      </c>
      <c r="C1598" t="s">
        <v>8</v>
      </c>
      <c r="D1598">
        <v>5717.85</v>
      </c>
      <c r="E1598">
        <v>5416.86</v>
      </c>
      <c r="F1598">
        <v>83.75</v>
      </c>
      <c r="G1598">
        <v>1334.57</v>
      </c>
      <c r="H1598">
        <f>E1598*1000000/D1598</f>
        <v>947359.58445919352</v>
      </c>
      <c r="I1598" t="str">
        <f>IF(AND(B1598&gt;=2018, B1598&lt;=2021), "2018-2021", IF(AND(B1598&gt;=2022, B1598&lt;=2024), "2022-2024", "Other"))</f>
        <v>2022-2024</v>
      </c>
    </row>
    <row r="1599" spans="1:9" x14ac:dyDescent="0.3">
      <c r="A1599" t="s">
        <v>3</v>
      </c>
      <c r="B1599">
        <v>2024</v>
      </c>
      <c r="C1599" t="s">
        <v>9</v>
      </c>
      <c r="D1599">
        <v>26748.080000000002</v>
      </c>
      <c r="E1599">
        <v>27086.57</v>
      </c>
      <c r="F1599">
        <v>67.2</v>
      </c>
      <c r="G1599">
        <v>598.69000000000005</v>
      </c>
      <c r="H1599">
        <f>E1599*1000000/D1599</f>
        <v>1012654.7400785402</v>
      </c>
      <c r="I1599" t="str">
        <f>IF(AND(B1599&gt;=2018, B1599&lt;=2021), "2018-2021", IF(AND(B1599&gt;=2022, B1599&lt;=2024), "2022-2024", "Other"))</f>
        <v>2022-2024</v>
      </c>
    </row>
    <row r="1600" spans="1:9" x14ac:dyDescent="0.3">
      <c r="A1600" t="s">
        <v>21</v>
      </c>
      <c r="B1600">
        <v>2019</v>
      </c>
      <c r="C1600" t="s">
        <v>14</v>
      </c>
      <c r="D1600">
        <v>11932.47</v>
      </c>
      <c r="E1600">
        <v>12003.72</v>
      </c>
      <c r="F1600">
        <v>179.56</v>
      </c>
      <c r="G1600">
        <v>233</v>
      </c>
      <c r="H1600">
        <f>E1600*1000000/D1600</f>
        <v>1005971.1023786358</v>
      </c>
      <c r="I1600" t="str">
        <f>IF(AND(B1600&gt;=2018, B1600&lt;=2021), "2018-2021", IF(AND(B1600&gt;=2022, B1600&lt;=2024), "2022-2024", "Other"))</f>
        <v>2018-2021</v>
      </c>
    </row>
    <row r="1601" spans="1:9" x14ac:dyDescent="0.3">
      <c r="A1601" t="s">
        <v>27</v>
      </c>
      <c r="B1601">
        <v>2023</v>
      </c>
      <c r="C1601" t="s">
        <v>2</v>
      </c>
      <c r="D1601">
        <v>37904.410000000003</v>
      </c>
      <c r="E1601">
        <v>42959</v>
      </c>
      <c r="F1601">
        <v>161.82</v>
      </c>
      <c r="G1601">
        <v>157.75</v>
      </c>
      <c r="H1601">
        <f>E1601*1000000/D1601</f>
        <v>1133350.9742006273</v>
      </c>
      <c r="I1601" t="str">
        <f>IF(AND(B1601&gt;=2018, B1601&lt;=2021), "2018-2021", IF(AND(B1601&gt;=2022, B1601&lt;=2024), "2022-2024", "Other"))</f>
        <v>2022-2024</v>
      </c>
    </row>
    <row r="1602" spans="1:9" x14ac:dyDescent="0.3">
      <c r="A1602" t="s">
        <v>7</v>
      </c>
      <c r="B1602">
        <v>2023</v>
      </c>
      <c r="C1602" t="s">
        <v>8</v>
      </c>
      <c r="D1602">
        <v>33312.33</v>
      </c>
      <c r="E1602">
        <v>35144.44</v>
      </c>
      <c r="F1602">
        <v>96.49</v>
      </c>
      <c r="G1602">
        <v>1035.22</v>
      </c>
      <c r="H1602">
        <f>E1602*1000000/D1602</f>
        <v>1054997.9542109482</v>
      </c>
      <c r="I1602" t="str">
        <f>IF(AND(B1602&gt;=2018, B1602&lt;=2021), "2018-2021", IF(AND(B1602&gt;=2022, B1602&lt;=2024), "2022-2024", "Other"))</f>
        <v>2022-2024</v>
      </c>
    </row>
    <row r="1603" spans="1:9" x14ac:dyDescent="0.3">
      <c r="A1603" t="s">
        <v>27</v>
      </c>
      <c r="B1603">
        <v>2020</v>
      </c>
      <c r="C1603" t="s">
        <v>8</v>
      </c>
      <c r="D1603">
        <v>15712.78</v>
      </c>
      <c r="E1603">
        <v>14495.91</v>
      </c>
      <c r="F1603">
        <v>135.30000000000001</v>
      </c>
      <c r="G1603">
        <v>772.57</v>
      </c>
      <c r="H1603">
        <f>E1603*1000000/D1603</f>
        <v>922555.3975808227</v>
      </c>
      <c r="I1603" t="str">
        <f>IF(AND(B1603&gt;=2018, B1603&lt;=2021), "2018-2021", IF(AND(B1603&gt;=2022, B1603&lt;=2024), "2022-2024", "Other"))</f>
        <v>2018-2021</v>
      </c>
    </row>
    <row r="1604" spans="1:9" x14ac:dyDescent="0.3">
      <c r="A1604" t="s">
        <v>5</v>
      </c>
      <c r="B1604">
        <v>2021</v>
      </c>
      <c r="C1604" t="s">
        <v>4</v>
      </c>
      <c r="D1604">
        <v>3248.71</v>
      </c>
      <c r="E1604">
        <v>3508.32</v>
      </c>
      <c r="F1604">
        <v>55.08</v>
      </c>
      <c r="G1604">
        <v>332.62</v>
      </c>
      <c r="H1604">
        <f>E1604*1000000/D1604</f>
        <v>1079911.7188053103</v>
      </c>
      <c r="I1604" t="str">
        <f>IF(AND(B1604&gt;=2018, B1604&lt;=2021), "2018-2021", IF(AND(B1604&gt;=2022, B1604&lt;=2024), "2022-2024", "Other"))</f>
        <v>2018-2021</v>
      </c>
    </row>
    <row r="1605" spans="1:9" x14ac:dyDescent="0.3">
      <c r="A1605" t="s">
        <v>15</v>
      </c>
      <c r="B1605">
        <v>2023</v>
      </c>
      <c r="C1605" t="s">
        <v>6</v>
      </c>
      <c r="D1605">
        <v>35051.75</v>
      </c>
      <c r="E1605">
        <v>30279.11</v>
      </c>
      <c r="F1605">
        <v>117.21</v>
      </c>
      <c r="G1605">
        <v>37.35</v>
      </c>
      <c r="H1605">
        <f>E1605*1000000/D1605</f>
        <v>863840.17916366516</v>
      </c>
      <c r="I1605" t="str">
        <f>IF(AND(B1605&gt;=2018, B1605&lt;=2021), "2018-2021", IF(AND(B1605&gt;=2022, B1605&lt;=2024), "2022-2024", "Other"))</f>
        <v>2022-2024</v>
      </c>
    </row>
    <row r="1606" spans="1:9" x14ac:dyDescent="0.3">
      <c r="A1606" t="s">
        <v>20</v>
      </c>
      <c r="B1606">
        <v>2021</v>
      </c>
      <c r="C1606" t="s">
        <v>2</v>
      </c>
      <c r="D1606">
        <v>40111.61</v>
      </c>
      <c r="E1606">
        <v>40023.93</v>
      </c>
      <c r="F1606">
        <v>55.51</v>
      </c>
      <c r="G1606">
        <v>1151.53</v>
      </c>
      <c r="H1606">
        <f>E1606*1000000/D1606</f>
        <v>997814.09920968022</v>
      </c>
      <c r="I1606" t="str">
        <f>IF(AND(B1606&gt;=2018, B1606&lt;=2021), "2018-2021", IF(AND(B1606&gt;=2022, B1606&lt;=2024), "2022-2024", "Other"))</f>
        <v>2018-2021</v>
      </c>
    </row>
    <row r="1607" spans="1:9" x14ac:dyDescent="0.3">
      <c r="A1607" t="s">
        <v>27</v>
      </c>
      <c r="B1607">
        <v>2021</v>
      </c>
      <c r="C1607" t="s">
        <v>12</v>
      </c>
      <c r="D1607">
        <v>3295.94</v>
      </c>
      <c r="E1607">
        <v>3663.62</v>
      </c>
      <c r="F1607">
        <v>42.29</v>
      </c>
      <c r="G1607">
        <v>805.51</v>
      </c>
      <c r="H1607">
        <f>E1607*1000000/D1607</f>
        <v>1111555.4288002816</v>
      </c>
      <c r="I1607" t="str">
        <f>IF(AND(B1607&gt;=2018, B1607&lt;=2021), "2018-2021", IF(AND(B1607&gt;=2022, B1607&lt;=2024), "2022-2024", "Other"))</f>
        <v>2018-2021</v>
      </c>
    </row>
    <row r="1608" spans="1:9" x14ac:dyDescent="0.3">
      <c r="A1608" t="s">
        <v>11</v>
      </c>
      <c r="B1608">
        <v>2019</v>
      </c>
      <c r="C1608" t="s">
        <v>8</v>
      </c>
      <c r="D1608">
        <v>12943.62</v>
      </c>
      <c r="E1608">
        <v>14989.25</v>
      </c>
      <c r="F1608">
        <v>41.38</v>
      </c>
      <c r="G1608">
        <v>646.84</v>
      </c>
      <c r="H1608">
        <f>E1608*1000000/D1608</f>
        <v>1158041.5679693935</v>
      </c>
      <c r="I1608" t="str">
        <f>IF(AND(B1608&gt;=2018, B1608&lt;=2021), "2018-2021", IF(AND(B1608&gt;=2022, B1608&lt;=2024), "2022-2024", "Other"))</f>
        <v>2018-2021</v>
      </c>
    </row>
    <row r="1609" spans="1:9" x14ac:dyDescent="0.3">
      <c r="A1609" t="s">
        <v>25</v>
      </c>
      <c r="B1609">
        <v>2018</v>
      </c>
      <c r="C1609" t="s">
        <v>0</v>
      </c>
      <c r="D1609">
        <v>44914.720000000001</v>
      </c>
      <c r="E1609">
        <v>39769.919999999998</v>
      </c>
      <c r="F1609">
        <v>44.32</v>
      </c>
      <c r="G1609">
        <v>816.14</v>
      </c>
      <c r="H1609">
        <f>E1609*1000000/D1609</f>
        <v>885454.03377779038</v>
      </c>
      <c r="I1609" t="str">
        <f>IF(AND(B1609&gt;=2018, B1609&lt;=2021), "2018-2021", IF(AND(B1609&gt;=2022, B1609&lt;=2024), "2022-2024", "Other"))</f>
        <v>2018-2021</v>
      </c>
    </row>
    <row r="1610" spans="1:9" x14ac:dyDescent="0.3">
      <c r="A1610" t="s">
        <v>11</v>
      </c>
      <c r="B1610">
        <v>2024</v>
      </c>
      <c r="C1610" t="s">
        <v>8</v>
      </c>
      <c r="D1610">
        <v>1107.72</v>
      </c>
      <c r="E1610">
        <v>1306.42</v>
      </c>
      <c r="F1610">
        <v>120.16</v>
      </c>
      <c r="G1610">
        <v>282.2</v>
      </c>
      <c r="H1610">
        <f>E1610*1000000/D1610</f>
        <v>1179377.4600079441</v>
      </c>
      <c r="I1610" t="str">
        <f>IF(AND(B1610&gt;=2018, B1610&lt;=2021), "2018-2021", IF(AND(B1610&gt;=2022, B1610&lt;=2024), "2022-2024", "Other"))</f>
        <v>2022-2024</v>
      </c>
    </row>
    <row r="1611" spans="1:9" x14ac:dyDescent="0.3">
      <c r="A1611" t="s">
        <v>5</v>
      </c>
      <c r="B1611">
        <v>2021</v>
      </c>
      <c r="C1611" t="s">
        <v>12</v>
      </c>
      <c r="D1611">
        <v>17158.57</v>
      </c>
      <c r="E1611">
        <v>16538.810000000001</v>
      </c>
      <c r="F1611">
        <v>131.46</v>
      </c>
      <c r="G1611">
        <v>1049.23</v>
      </c>
      <c r="H1611">
        <f>E1611*1000000/D1611</f>
        <v>963880.43992011005</v>
      </c>
      <c r="I1611" t="str">
        <f>IF(AND(B1611&gt;=2018, B1611&lt;=2021), "2018-2021", IF(AND(B1611&gt;=2022, B1611&lt;=2024), "2022-2024", "Other"))</f>
        <v>2018-2021</v>
      </c>
    </row>
    <row r="1612" spans="1:9" x14ac:dyDescent="0.3">
      <c r="A1612" t="s">
        <v>22</v>
      </c>
      <c r="B1612">
        <v>2020</v>
      </c>
      <c r="C1612" t="s">
        <v>8</v>
      </c>
      <c r="D1612">
        <v>7644.8</v>
      </c>
      <c r="E1612">
        <v>6541.69</v>
      </c>
      <c r="F1612">
        <v>96.79</v>
      </c>
      <c r="G1612">
        <v>304.37</v>
      </c>
      <c r="H1612">
        <f>E1612*1000000/D1612</f>
        <v>855704.53118459601</v>
      </c>
      <c r="I1612" t="str">
        <f>IF(AND(B1612&gt;=2018, B1612&lt;=2021), "2018-2021", IF(AND(B1612&gt;=2022, B1612&lt;=2024), "2022-2024", "Other"))</f>
        <v>2018-2021</v>
      </c>
    </row>
    <row r="1613" spans="1:9" x14ac:dyDescent="0.3">
      <c r="A1613" t="s">
        <v>23</v>
      </c>
      <c r="B1613">
        <v>2018</v>
      </c>
      <c r="C1613" t="s">
        <v>8</v>
      </c>
      <c r="D1613">
        <v>49939.3</v>
      </c>
      <c r="E1613">
        <v>56589.53</v>
      </c>
      <c r="F1613">
        <v>166.63</v>
      </c>
      <c r="G1613">
        <v>1325.57</v>
      </c>
      <c r="H1613">
        <f>E1613*1000000/D1613</f>
        <v>1133166.2638443068</v>
      </c>
      <c r="I1613" t="str">
        <f>IF(AND(B1613&gt;=2018, B1613&lt;=2021), "2018-2021", IF(AND(B1613&gt;=2022, B1613&lt;=2024), "2022-2024", "Other"))</f>
        <v>2018-2021</v>
      </c>
    </row>
    <row r="1614" spans="1:9" x14ac:dyDescent="0.3">
      <c r="A1614" t="s">
        <v>25</v>
      </c>
      <c r="B1614">
        <v>2024</v>
      </c>
      <c r="C1614" t="s">
        <v>4</v>
      </c>
      <c r="D1614">
        <v>49234.79</v>
      </c>
      <c r="E1614">
        <v>57327.57</v>
      </c>
      <c r="F1614">
        <v>150.79</v>
      </c>
      <c r="G1614">
        <v>90.32</v>
      </c>
      <c r="H1614">
        <f>E1614*1000000/D1614</f>
        <v>1164371.1692484114</v>
      </c>
      <c r="I1614" t="str">
        <f>IF(AND(B1614&gt;=2018, B1614&lt;=2021), "2018-2021", IF(AND(B1614&gt;=2022, B1614&lt;=2024), "2022-2024", "Other"))</f>
        <v>2022-2024</v>
      </c>
    </row>
    <row r="1615" spans="1:9" x14ac:dyDescent="0.3">
      <c r="A1615" t="s">
        <v>22</v>
      </c>
      <c r="B1615">
        <v>2020</v>
      </c>
      <c r="C1615" t="s">
        <v>2</v>
      </c>
      <c r="D1615">
        <v>34646.82</v>
      </c>
      <c r="E1615">
        <v>38811.94</v>
      </c>
      <c r="F1615">
        <v>56.26</v>
      </c>
      <c r="G1615">
        <v>1078.1400000000001</v>
      </c>
      <c r="H1615">
        <f>E1615*1000000/D1615</f>
        <v>1120216.5162632531</v>
      </c>
      <c r="I1615" t="str">
        <f>IF(AND(B1615&gt;=2018, B1615&lt;=2021), "2018-2021", IF(AND(B1615&gt;=2022, B1615&lt;=2024), "2022-2024", "Other"))</f>
        <v>2018-2021</v>
      </c>
    </row>
    <row r="1616" spans="1:9" x14ac:dyDescent="0.3">
      <c r="A1616" t="s">
        <v>22</v>
      </c>
      <c r="B1616">
        <v>2020</v>
      </c>
      <c r="C1616" t="s">
        <v>9</v>
      </c>
      <c r="D1616">
        <v>3120.26</v>
      </c>
      <c r="E1616">
        <v>2798.83</v>
      </c>
      <c r="F1616">
        <v>141.9</v>
      </c>
      <c r="G1616">
        <v>682.44</v>
      </c>
      <c r="H1616">
        <f>E1616*1000000/D1616</f>
        <v>896986.14859018149</v>
      </c>
      <c r="I1616" t="str">
        <f>IF(AND(B1616&gt;=2018, B1616&lt;=2021), "2018-2021", IF(AND(B1616&gt;=2022, B1616&lt;=2024), "2022-2024", "Other"))</f>
        <v>2018-2021</v>
      </c>
    </row>
    <row r="1617" spans="1:9" x14ac:dyDescent="0.3">
      <c r="A1617" t="s">
        <v>11</v>
      </c>
      <c r="B1617">
        <v>2021</v>
      </c>
      <c r="C1617" t="s">
        <v>12</v>
      </c>
      <c r="D1617">
        <v>8621.34</v>
      </c>
      <c r="E1617">
        <v>9973.89</v>
      </c>
      <c r="F1617">
        <v>176.26</v>
      </c>
      <c r="G1617">
        <v>566.1</v>
      </c>
      <c r="H1617">
        <f>E1617*1000000/D1617</f>
        <v>1156883.9646737049</v>
      </c>
      <c r="I1617" t="str">
        <f>IF(AND(B1617&gt;=2018, B1617&lt;=2021), "2018-2021", IF(AND(B1617&gt;=2022, B1617&lt;=2024), "2022-2024", "Other"))</f>
        <v>2018-2021</v>
      </c>
    </row>
    <row r="1618" spans="1:9" x14ac:dyDescent="0.3">
      <c r="A1618" t="s">
        <v>10</v>
      </c>
      <c r="B1618">
        <v>2019</v>
      </c>
      <c r="C1618" t="s">
        <v>8</v>
      </c>
      <c r="D1618">
        <v>35390.44</v>
      </c>
      <c r="E1618">
        <v>30453.31</v>
      </c>
      <c r="F1618">
        <v>25.72</v>
      </c>
      <c r="G1618">
        <v>1103.18</v>
      </c>
      <c r="H1618">
        <f>E1618*1000000/D1618</f>
        <v>860495.37671755417</v>
      </c>
      <c r="I1618" t="str">
        <f>IF(AND(B1618&gt;=2018, B1618&lt;=2021), "2018-2021", IF(AND(B1618&gt;=2022, B1618&lt;=2024), "2022-2024", "Other"))</f>
        <v>2018-2021</v>
      </c>
    </row>
    <row r="1619" spans="1:9" x14ac:dyDescent="0.3">
      <c r="A1619" t="s">
        <v>23</v>
      </c>
      <c r="B1619">
        <v>2023</v>
      </c>
      <c r="C1619" t="s">
        <v>0</v>
      </c>
      <c r="D1619">
        <v>3663.49</v>
      </c>
      <c r="E1619">
        <v>4005.62</v>
      </c>
      <c r="F1619">
        <v>179.17</v>
      </c>
      <c r="G1619">
        <v>799.08</v>
      </c>
      <c r="H1619">
        <f>E1619*1000000/D1619</f>
        <v>1093389.0907304238</v>
      </c>
      <c r="I1619" t="str">
        <f>IF(AND(B1619&gt;=2018, B1619&lt;=2021), "2018-2021", IF(AND(B1619&gt;=2022, B1619&lt;=2024), "2022-2024", "Other"))</f>
        <v>2022-2024</v>
      </c>
    </row>
    <row r="1620" spans="1:9" x14ac:dyDescent="0.3">
      <c r="A1620" t="s">
        <v>23</v>
      </c>
      <c r="B1620">
        <v>2022</v>
      </c>
      <c r="C1620" t="s">
        <v>12</v>
      </c>
      <c r="D1620">
        <v>43162.29</v>
      </c>
      <c r="E1620">
        <v>46159.5</v>
      </c>
      <c r="F1620">
        <v>119.68</v>
      </c>
      <c r="G1620">
        <v>650.34</v>
      </c>
      <c r="H1620">
        <f>E1620*1000000/D1620</f>
        <v>1069440.4768607041</v>
      </c>
      <c r="I1620" t="str">
        <f>IF(AND(B1620&gt;=2018, B1620&lt;=2021), "2018-2021", IF(AND(B1620&gt;=2022, B1620&lt;=2024), "2022-2024", "Other"))</f>
        <v>2022-2024</v>
      </c>
    </row>
    <row r="1621" spans="1:9" x14ac:dyDescent="0.3">
      <c r="A1621" t="s">
        <v>19</v>
      </c>
      <c r="B1621">
        <v>2019</v>
      </c>
      <c r="C1621" t="s">
        <v>8</v>
      </c>
      <c r="D1621">
        <v>45279.09</v>
      </c>
      <c r="E1621">
        <v>46202.71</v>
      </c>
      <c r="F1621">
        <v>112.32</v>
      </c>
      <c r="G1621">
        <v>1045.8599999999999</v>
      </c>
      <c r="H1621">
        <f>E1621*1000000/D1621</f>
        <v>1020398.3781476174</v>
      </c>
      <c r="I1621" t="str">
        <f>IF(AND(B1621&gt;=2018, B1621&lt;=2021), "2018-2021", IF(AND(B1621&gt;=2022, B1621&lt;=2024), "2022-2024", "Other"))</f>
        <v>2018-2021</v>
      </c>
    </row>
    <row r="1622" spans="1:9" x14ac:dyDescent="0.3">
      <c r="A1622" t="s">
        <v>24</v>
      </c>
      <c r="B1622">
        <v>2018</v>
      </c>
      <c r="C1622" t="s">
        <v>12</v>
      </c>
      <c r="D1622">
        <v>19392.75</v>
      </c>
      <c r="E1622">
        <v>19073.59</v>
      </c>
      <c r="F1622">
        <v>177.2</v>
      </c>
      <c r="G1622">
        <v>1360.57</v>
      </c>
      <c r="H1622">
        <f>E1622*1000000/D1622</f>
        <v>983542.30318031227</v>
      </c>
      <c r="I1622" t="str">
        <f>IF(AND(B1622&gt;=2018, B1622&lt;=2021), "2018-2021", IF(AND(B1622&gt;=2022, B1622&lt;=2024), "2022-2024", "Other"))</f>
        <v>2018-2021</v>
      </c>
    </row>
    <row r="1623" spans="1:9" x14ac:dyDescent="0.3">
      <c r="A1623" t="s">
        <v>15</v>
      </c>
      <c r="B1623">
        <v>2019</v>
      </c>
      <c r="C1623" t="s">
        <v>6</v>
      </c>
      <c r="D1623">
        <v>29113.69</v>
      </c>
      <c r="E1623">
        <v>32478.81</v>
      </c>
      <c r="F1623">
        <v>49.46</v>
      </c>
      <c r="G1623">
        <v>1158.83</v>
      </c>
      <c r="H1623">
        <f>E1623*1000000/D1623</f>
        <v>1115585.4857285353</v>
      </c>
      <c r="I1623" t="str">
        <f>IF(AND(B1623&gt;=2018, B1623&lt;=2021), "2018-2021", IF(AND(B1623&gt;=2022, B1623&lt;=2024), "2022-2024", "Other"))</f>
        <v>2018-2021</v>
      </c>
    </row>
    <row r="1624" spans="1:9" x14ac:dyDescent="0.3">
      <c r="A1624" t="s">
        <v>20</v>
      </c>
      <c r="B1624">
        <v>2021</v>
      </c>
      <c r="C1624" t="s">
        <v>8</v>
      </c>
      <c r="D1624">
        <v>17636.509999999998</v>
      </c>
      <c r="E1624">
        <v>19452.05</v>
      </c>
      <c r="F1624">
        <v>179.42</v>
      </c>
      <c r="G1624">
        <v>480.43</v>
      </c>
      <c r="H1624">
        <f>E1624*1000000/D1624</f>
        <v>1102942.135377124</v>
      </c>
      <c r="I1624" t="str">
        <f>IF(AND(B1624&gt;=2018, B1624&lt;=2021), "2018-2021", IF(AND(B1624&gt;=2022, B1624&lt;=2024), "2022-2024", "Other"))</f>
        <v>2018-2021</v>
      </c>
    </row>
    <row r="1625" spans="1:9" x14ac:dyDescent="0.3">
      <c r="A1625" t="s">
        <v>5</v>
      </c>
      <c r="B1625">
        <v>2024</v>
      </c>
      <c r="C1625" t="s">
        <v>8</v>
      </c>
      <c r="D1625">
        <v>8868.1</v>
      </c>
      <c r="E1625">
        <v>9640.64</v>
      </c>
      <c r="F1625">
        <v>107.74</v>
      </c>
      <c r="G1625">
        <v>668.52</v>
      </c>
      <c r="H1625">
        <f>E1625*1000000/D1625</f>
        <v>1087114.4890111748</v>
      </c>
      <c r="I1625" t="str">
        <f>IF(AND(B1625&gt;=2018, B1625&lt;=2021), "2018-2021", IF(AND(B1625&gt;=2022, B1625&lt;=2024), "2022-2024", "Other"))</f>
        <v>2022-2024</v>
      </c>
    </row>
    <row r="1626" spans="1:9" x14ac:dyDescent="0.3">
      <c r="A1626" t="s">
        <v>13</v>
      </c>
      <c r="B1626">
        <v>2021</v>
      </c>
      <c r="C1626" t="s">
        <v>9</v>
      </c>
      <c r="D1626">
        <v>46198.11</v>
      </c>
      <c r="E1626">
        <v>52242.67</v>
      </c>
      <c r="F1626">
        <v>143.51</v>
      </c>
      <c r="G1626">
        <v>281.02999999999997</v>
      </c>
      <c r="H1626">
        <f>E1626*1000000/D1626</f>
        <v>1130839.9845794558</v>
      </c>
      <c r="I1626" t="str">
        <f>IF(AND(B1626&gt;=2018, B1626&lt;=2021), "2018-2021", IF(AND(B1626&gt;=2022, B1626&lt;=2024), "2022-2024", "Other"))</f>
        <v>2018-2021</v>
      </c>
    </row>
    <row r="1627" spans="1:9" x14ac:dyDescent="0.3">
      <c r="A1627" t="s">
        <v>22</v>
      </c>
      <c r="B1627">
        <v>2018</v>
      </c>
      <c r="C1627" t="s">
        <v>2</v>
      </c>
      <c r="D1627">
        <v>48402.2</v>
      </c>
      <c r="E1627">
        <v>51344.81</v>
      </c>
      <c r="F1627">
        <v>118.82</v>
      </c>
      <c r="G1627">
        <v>321</v>
      </c>
      <c r="H1627">
        <f>E1627*1000000/D1627</f>
        <v>1060794.963865279</v>
      </c>
      <c r="I1627" t="str">
        <f>IF(AND(B1627&gt;=2018, B1627&lt;=2021), "2018-2021", IF(AND(B1627&gt;=2022, B1627&lt;=2024), "2022-2024", "Other"))</f>
        <v>2018-2021</v>
      </c>
    </row>
    <row r="1628" spans="1:9" x14ac:dyDescent="0.3">
      <c r="A1628" t="s">
        <v>25</v>
      </c>
      <c r="B1628">
        <v>2019</v>
      </c>
      <c r="C1628" t="s">
        <v>4</v>
      </c>
      <c r="D1628">
        <v>12301.35</v>
      </c>
      <c r="E1628">
        <v>12598.08</v>
      </c>
      <c r="F1628">
        <v>161.37</v>
      </c>
      <c r="G1628">
        <v>1068.31</v>
      </c>
      <c r="H1628">
        <f>E1628*1000000/D1628</f>
        <v>1024121.7427355534</v>
      </c>
      <c r="I1628" t="str">
        <f>IF(AND(B1628&gt;=2018, B1628&lt;=2021), "2018-2021", IF(AND(B1628&gt;=2022, B1628&lt;=2024), "2022-2024", "Other"))</f>
        <v>2018-2021</v>
      </c>
    </row>
    <row r="1629" spans="1:9" x14ac:dyDescent="0.3">
      <c r="A1629" t="s">
        <v>3</v>
      </c>
      <c r="B1629">
        <v>2022</v>
      </c>
      <c r="C1629" t="s">
        <v>2</v>
      </c>
      <c r="D1629">
        <v>4103.34</v>
      </c>
      <c r="E1629">
        <v>3481.24</v>
      </c>
      <c r="F1629">
        <v>162.15</v>
      </c>
      <c r="G1629">
        <v>724.16</v>
      </c>
      <c r="H1629">
        <f>E1629*1000000/D1629</f>
        <v>848391.7979012219</v>
      </c>
      <c r="I1629" t="str">
        <f>IF(AND(B1629&gt;=2018, B1629&lt;=2021), "2018-2021", IF(AND(B1629&gt;=2022, B1629&lt;=2024), "2022-2024", "Other"))</f>
        <v>2022-2024</v>
      </c>
    </row>
    <row r="1630" spans="1:9" x14ac:dyDescent="0.3">
      <c r="A1630" t="s">
        <v>13</v>
      </c>
      <c r="B1630">
        <v>2024</v>
      </c>
      <c r="C1630" t="s">
        <v>9</v>
      </c>
      <c r="D1630">
        <v>33168.18</v>
      </c>
      <c r="E1630">
        <v>39427.5</v>
      </c>
      <c r="F1630">
        <v>160.47999999999999</v>
      </c>
      <c r="G1630">
        <v>749.4</v>
      </c>
      <c r="H1630">
        <f>E1630*1000000/D1630</f>
        <v>1188714.6053838348</v>
      </c>
      <c r="I1630" t="str">
        <f>IF(AND(B1630&gt;=2018, B1630&lt;=2021), "2018-2021", IF(AND(B1630&gt;=2022, B1630&lt;=2024), "2022-2024", "Other"))</f>
        <v>2022-2024</v>
      </c>
    </row>
    <row r="1631" spans="1:9" x14ac:dyDescent="0.3">
      <c r="A1631" t="s">
        <v>5</v>
      </c>
      <c r="B1631">
        <v>2021</v>
      </c>
      <c r="C1631" t="s">
        <v>6</v>
      </c>
      <c r="D1631">
        <v>10357.84</v>
      </c>
      <c r="E1631">
        <v>11322.82</v>
      </c>
      <c r="F1631">
        <v>72.709999999999994</v>
      </c>
      <c r="G1631">
        <v>1229.44</v>
      </c>
      <c r="H1631">
        <f>E1631*1000000/D1631</f>
        <v>1093164.2118433958</v>
      </c>
      <c r="I1631" t="str">
        <f>IF(AND(B1631&gt;=2018, B1631&lt;=2021), "2018-2021", IF(AND(B1631&gt;=2022, B1631&lt;=2024), "2022-2024", "Other"))</f>
        <v>2018-2021</v>
      </c>
    </row>
    <row r="1632" spans="1:9" x14ac:dyDescent="0.3">
      <c r="A1632" t="s">
        <v>17</v>
      </c>
      <c r="B1632">
        <v>2024</v>
      </c>
      <c r="C1632" t="s">
        <v>0</v>
      </c>
      <c r="D1632">
        <v>14150.56</v>
      </c>
      <c r="E1632">
        <v>13191.58</v>
      </c>
      <c r="F1632">
        <v>188.36</v>
      </c>
      <c r="G1632">
        <v>1066.05</v>
      </c>
      <c r="H1632">
        <f>E1632*1000000/D1632</f>
        <v>932230.24389140785</v>
      </c>
      <c r="I1632" t="str">
        <f>IF(AND(B1632&gt;=2018, B1632&lt;=2021), "2018-2021", IF(AND(B1632&gt;=2022, B1632&lt;=2024), "2022-2024", "Other"))</f>
        <v>2022-2024</v>
      </c>
    </row>
    <row r="1633" spans="1:9" x14ac:dyDescent="0.3">
      <c r="A1633" t="s">
        <v>25</v>
      </c>
      <c r="B1633">
        <v>2021</v>
      </c>
      <c r="C1633" t="s">
        <v>8</v>
      </c>
      <c r="D1633">
        <v>12408.78</v>
      </c>
      <c r="E1633">
        <v>12422.19</v>
      </c>
      <c r="F1633">
        <v>124.37</v>
      </c>
      <c r="G1633">
        <v>759.94</v>
      </c>
      <c r="H1633">
        <f>E1633*1000000/D1633</f>
        <v>1001080.686417198</v>
      </c>
      <c r="I1633" t="str">
        <f>IF(AND(B1633&gt;=2018, B1633&lt;=2021), "2018-2021", IF(AND(B1633&gt;=2022, B1633&lt;=2024), "2022-2024", "Other"))</f>
        <v>2018-2021</v>
      </c>
    </row>
    <row r="1634" spans="1:9" x14ac:dyDescent="0.3">
      <c r="A1634" t="s">
        <v>5</v>
      </c>
      <c r="B1634">
        <v>2020</v>
      </c>
      <c r="C1634" t="s">
        <v>14</v>
      </c>
      <c r="D1634">
        <v>12168.64</v>
      </c>
      <c r="E1634">
        <v>10111.49</v>
      </c>
      <c r="F1634">
        <v>143.16</v>
      </c>
      <c r="G1634">
        <v>1011.83</v>
      </c>
      <c r="H1634">
        <f>E1634*1000000/D1634</f>
        <v>830946.59715465328</v>
      </c>
      <c r="I1634" t="str">
        <f>IF(AND(B1634&gt;=2018, B1634&lt;=2021), "2018-2021", IF(AND(B1634&gt;=2022, B1634&lt;=2024), "2022-2024", "Other"))</f>
        <v>2018-2021</v>
      </c>
    </row>
    <row r="1635" spans="1:9" x14ac:dyDescent="0.3">
      <c r="A1635" t="s">
        <v>3</v>
      </c>
      <c r="B1635">
        <v>2022</v>
      </c>
      <c r="C1635" t="s">
        <v>8</v>
      </c>
      <c r="D1635">
        <v>23468.74</v>
      </c>
      <c r="E1635">
        <v>26836.79</v>
      </c>
      <c r="F1635">
        <v>74.17</v>
      </c>
      <c r="G1635">
        <v>1235.3399999999999</v>
      </c>
      <c r="H1635">
        <f>E1635*1000000/D1635</f>
        <v>1143512.1783274261</v>
      </c>
      <c r="I1635" t="str">
        <f>IF(AND(B1635&gt;=2018, B1635&lt;=2021), "2018-2021", IF(AND(B1635&gt;=2022, B1635&lt;=2024), "2022-2024", "Other"))</f>
        <v>2022-2024</v>
      </c>
    </row>
    <row r="1636" spans="1:9" x14ac:dyDescent="0.3">
      <c r="A1636" t="s">
        <v>11</v>
      </c>
      <c r="B1636">
        <v>2021</v>
      </c>
      <c r="C1636" t="s">
        <v>8</v>
      </c>
      <c r="D1636">
        <v>8379.7000000000007</v>
      </c>
      <c r="E1636">
        <v>8101.9</v>
      </c>
      <c r="F1636">
        <v>158.53</v>
      </c>
      <c r="G1636">
        <v>1318.22</v>
      </c>
      <c r="H1636">
        <f>E1636*1000000/D1636</f>
        <v>966848.4551952933</v>
      </c>
      <c r="I1636" t="str">
        <f>IF(AND(B1636&gt;=2018, B1636&lt;=2021), "2018-2021", IF(AND(B1636&gt;=2022, B1636&lt;=2024), "2022-2024", "Other"))</f>
        <v>2018-2021</v>
      </c>
    </row>
    <row r="1637" spans="1:9" x14ac:dyDescent="0.3">
      <c r="A1637" t="s">
        <v>24</v>
      </c>
      <c r="B1637">
        <v>2021</v>
      </c>
      <c r="C1637" t="s">
        <v>4</v>
      </c>
      <c r="D1637">
        <v>42429.8</v>
      </c>
      <c r="E1637">
        <v>43314.09</v>
      </c>
      <c r="F1637">
        <v>94.42</v>
      </c>
      <c r="G1637">
        <v>540.22</v>
      </c>
      <c r="H1637">
        <f>E1637*1000000/D1637</f>
        <v>1020841.2483678923</v>
      </c>
      <c r="I1637" t="str">
        <f>IF(AND(B1637&gt;=2018, B1637&lt;=2021), "2018-2021", IF(AND(B1637&gt;=2022, B1637&lt;=2024), "2022-2024", "Other"))</f>
        <v>2018-2021</v>
      </c>
    </row>
    <row r="1638" spans="1:9" x14ac:dyDescent="0.3">
      <c r="A1638" t="s">
        <v>15</v>
      </c>
      <c r="B1638">
        <v>2018</v>
      </c>
      <c r="C1638" t="s">
        <v>12</v>
      </c>
      <c r="D1638">
        <v>22888.43</v>
      </c>
      <c r="E1638">
        <v>19728.189999999999</v>
      </c>
      <c r="F1638">
        <v>198.41</v>
      </c>
      <c r="G1638">
        <v>286.95</v>
      </c>
      <c r="H1638">
        <f>E1638*1000000/D1638</f>
        <v>861928.49400330207</v>
      </c>
      <c r="I1638" t="str">
        <f>IF(AND(B1638&gt;=2018, B1638&lt;=2021), "2018-2021", IF(AND(B1638&gt;=2022, B1638&lt;=2024), "2022-2024", "Other"))</f>
        <v>2018-2021</v>
      </c>
    </row>
    <row r="1639" spans="1:9" x14ac:dyDescent="0.3">
      <c r="A1639" t="s">
        <v>20</v>
      </c>
      <c r="B1639">
        <v>2021</v>
      </c>
      <c r="C1639" t="s">
        <v>8</v>
      </c>
      <c r="D1639">
        <v>37536.14</v>
      </c>
      <c r="E1639">
        <v>35411.5</v>
      </c>
      <c r="F1639">
        <v>59.89</v>
      </c>
      <c r="G1639">
        <v>91.59</v>
      </c>
      <c r="H1639">
        <f>E1639*1000000/D1639</f>
        <v>943397.48306565359</v>
      </c>
      <c r="I1639" t="str">
        <f>IF(AND(B1639&gt;=2018, B1639&lt;=2021), "2018-2021", IF(AND(B1639&gt;=2022, B1639&lt;=2024), "2022-2024", "Other"))</f>
        <v>2018-2021</v>
      </c>
    </row>
    <row r="1640" spans="1:9" x14ac:dyDescent="0.3">
      <c r="A1640" t="s">
        <v>21</v>
      </c>
      <c r="B1640">
        <v>2024</v>
      </c>
      <c r="C1640" t="s">
        <v>6</v>
      </c>
      <c r="D1640">
        <v>33975.040000000001</v>
      </c>
      <c r="E1640">
        <v>38624.050000000003</v>
      </c>
      <c r="F1640">
        <v>165.13</v>
      </c>
      <c r="G1640">
        <v>124.39</v>
      </c>
      <c r="H1640">
        <f>E1640*1000000/D1640</f>
        <v>1136836.0419884715</v>
      </c>
      <c r="I1640" t="str">
        <f>IF(AND(B1640&gt;=2018, B1640&lt;=2021), "2018-2021", IF(AND(B1640&gt;=2022, B1640&lt;=2024), "2022-2024", "Other"))</f>
        <v>2022-2024</v>
      </c>
    </row>
    <row r="1641" spans="1:9" x14ac:dyDescent="0.3">
      <c r="A1641" t="s">
        <v>27</v>
      </c>
      <c r="B1641">
        <v>2020</v>
      </c>
      <c r="C1641" t="s">
        <v>14</v>
      </c>
      <c r="D1641">
        <v>13374.2</v>
      </c>
      <c r="E1641">
        <v>13501.38</v>
      </c>
      <c r="F1641">
        <v>73.73</v>
      </c>
      <c r="G1641">
        <v>727.93</v>
      </c>
      <c r="H1641">
        <f>E1641*1000000/D1641</f>
        <v>1009509.3538305095</v>
      </c>
      <c r="I1641" t="str">
        <f>IF(AND(B1641&gt;=2018, B1641&lt;=2021), "2018-2021", IF(AND(B1641&gt;=2022, B1641&lt;=2024), "2022-2024", "Other"))</f>
        <v>2018-2021</v>
      </c>
    </row>
    <row r="1642" spans="1:9" x14ac:dyDescent="0.3">
      <c r="A1642" t="s">
        <v>1</v>
      </c>
      <c r="B1642">
        <v>2019</v>
      </c>
      <c r="C1642" t="s">
        <v>14</v>
      </c>
      <c r="D1642">
        <v>47200.95</v>
      </c>
      <c r="E1642">
        <v>46392.34</v>
      </c>
      <c r="F1642">
        <v>21.83</v>
      </c>
      <c r="G1642">
        <v>672.59</v>
      </c>
      <c r="H1642">
        <f>E1642*1000000/D1642</f>
        <v>982868.77700554766</v>
      </c>
      <c r="I1642" t="str">
        <f>IF(AND(B1642&gt;=2018, B1642&lt;=2021), "2018-2021", IF(AND(B1642&gt;=2022, B1642&lt;=2024), "2022-2024", "Other"))</f>
        <v>2018-2021</v>
      </c>
    </row>
    <row r="1643" spans="1:9" x14ac:dyDescent="0.3">
      <c r="A1643" t="s">
        <v>23</v>
      </c>
      <c r="B1643">
        <v>2022</v>
      </c>
      <c r="C1643" t="s">
        <v>6</v>
      </c>
      <c r="D1643">
        <v>27453.18</v>
      </c>
      <c r="E1643">
        <v>32326.41</v>
      </c>
      <c r="F1643">
        <v>59.33</v>
      </c>
      <c r="G1643">
        <v>635.64</v>
      </c>
      <c r="H1643">
        <f>E1643*1000000/D1643</f>
        <v>1177510.58347339</v>
      </c>
      <c r="I1643" t="str">
        <f>IF(AND(B1643&gt;=2018, B1643&lt;=2021), "2018-2021", IF(AND(B1643&gt;=2022, B1643&lt;=2024), "2022-2024", "Other"))</f>
        <v>2022-2024</v>
      </c>
    </row>
    <row r="1644" spans="1:9" x14ac:dyDescent="0.3">
      <c r="A1644" t="s">
        <v>20</v>
      </c>
      <c r="B1644">
        <v>2024</v>
      </c>
      <c r="C1644" t="s">
        <v>0</v>
      </c>
      <c r="D1644">
        <v>35661.32</v>
      </c>
      <c r="E1644">
        <v>31712.14</v>
      </c>
      <c r="F1644">
        <v>168.58</v>
      </c>
      <c r="G1644">
        <v>1097.42</v>
      </c>
      <c r="H1644">
        <f>E1644*1000000/D1644</f>
        <v>889258.72626139468</v>
      </c>
      <c r="I1644" t="str">
        <f>IF(AND(B1644&gt;=2018, B1644&lt;=2021), "2018-2021", IF(AND(B1644&gt;=2022, B1644&lt;=2024), "2022-2024", "Other"))</f>
        <v>2022-2024</v>
      </c>
    </row>
    <row r="1645" spans="1:9" x14ac:dyDescent="0.3">
      <c r="A1645" t="s">
        <v>16</v>
      </c>
      <c r="B1645">
        <v>2018</v>
      </c>
      <c r="C1645" t="s">
        <v>2</v>
      </c>
      <c r="D1645">
        <v>15419.38</v>
      </c>
      <c r="E1645">
        <v>16642.939999999999</v>
      </c>
      <c r="F1645">
        <v>150.30000000000001</v>
      </c>
      <c r="G1645">
        <v>131.97</v>
      </c>
      <c r="H1645">
        <f>E1645*1000000/D1645</f>
        <v>1079352.0880865508</v>
      </c>
      <c r="I1645" t="str">
        <f>IF(AND(B1645&gt;=2018, B1645&lt;=2021), "2018-2021", IF(AND(B1645&gt;=2022, B1645&lt;=2024), "2022-2024", "Other"))</f>
        <v>2018-2021</v>
      </c>
    </row>
    <row r="1646" spans="1:9" x14ac:dyDescent="0.3">
      <c r="A1646" t="s">
        <v>18</v>
      </c>
      <c r="B1646">
        <v>2018</v>
      </c>
      <c r="C1646" t="s">
        <v>9</v>
      </c>
      <c r="D1646">
        <v>48423.87</v>
      </c>
      <c r="E1646">
        <v>55225.94</v>
      </c>
      <c r="F1646">
        <v>38.880000000000003</v>
      </c>
      <c r="G1646">
        <v>473.42</v>
      </c>
      <c r="H1646">
        <f>E1646*1000000/D1646</f>
        <v>1140469.3594295541</v>
      </c>
      <c r="I1646" t="str">
        <f>IF(AND(B1646&gt;=2018, B1646&lt;=2021), "2018-2021", IF(AND(B1646&gt;=2022, B1646&lt;=2024), "2022-2024", "Other"))</f>
        <v>2018-2021</v>
      </c>
    </row>
    <row r="1647" spans="1:9" x14ac:dyDescent="0.3">
      <c r="A1647" t="s">
        <v>5</v>
      </c>
      <c r="B1647">
        <v>2023</v>
      </c>
      <c r="C1647" t="s">
        <v>2</v>
      </c>
      <c r="D1647">
        <v>23310.77</v>
      </c>
      <c r="E1647">
        <v>27804.91</v>
      </c>
      <c r="F1647">
        <v>111.3</v>
      </c>
      <c r="G1647">
        <v>1075.49</v>
      </c>
      <c r="H1647">
        <f>E1647*1000000/D1647</f>
        <v>1192792.4302800808</v>
      </c>
      <c r="I1647" t="str">
        <f>IF(AND(B1647&gt;=2018, B1647&lt;=2021), "2018-2021", IF(AND(B1647&gt;=2022, B1647&lt;=2024), "2022-2024", "Other"))</f>
        <v>2022-2024</v>
      </c>
    </row>
    <row r="1648" spans="1:9" x14ac:dyDescent="0.3">
      <c r="A1648" t="s">
        <v>11</v>
      </c>
      <c r="B1648">
        <v>2021</v>
      </c>
      <c r="C1648" t="s">
        <v>12</v>
      </c>
      <c r="D1648">
        <v>22799.99</v>
      </c>
      <c r="E1648">
        <v>21344.78</v>
      </c>
      <c r="F1648">
        <v>62.3</v>
      </c>
      <c r="G1648">
        <v>67.290000000000006</v>
      </c>
      <c r="H1648">
        <f>E1648*1000000/D1648</f>
        <v>936174.97200656659</v>
      </c>
      <c r="I1648" t="str">
        <f>IF(AND(B1648&gt;=2018, B1648&lt;=2021), "2018-2021", IF(AND(B1648&gt;=2022, B1648&lt;=2024), "2022-2024", "Other"))</f>
        <v>2018-2021</v>
      </c>
    </row>
    <row r="1649" spans="1:9" x14ac:dyDescent="0.3">
      <c r="A1649" t="s">
        <v>27</v>
      </c>
      <c r="B1649">
        <v>2022</v>
      </c>
      <c r="C1649" t="s">
        <v>9</v>
      </c>
      <c r="D1649">
        <v>34892.769999999997</v>
      </c>
      <c r="E1649">
        <v>30087.1</v>
      </c>
      <c r="F1649">
        <v>163.47</v>
      </c>
      <c r="G1649">
        <v>167.87</v>
      </c>
      <c r="H1649">
        <f>E1649*1000000/D1649</f>
        <v>862273.18725340534</v>
      </c>
      <c r="I1649" t="str">
        <f>IF(AND(B1649&gt;=2018, B1649&lt;=2021), "2018-2021", IF(AND(B1649&gt;=2022, B1649&lt;=2024), "2022-2024", "Other"))</f>
        <v>2022-2024</v>
      </c>
    </row>
    <row r="1650" spans="1:9" x14ac:dyDescent="0.3">
      <c r="A1650" t="s">
        <v>22</v>
      </c>
      <c r="B1650">
        <v>2023</v>
      </c>
      <c r="C1650" t="s">
        <v>2</v>
      </c>
      <c r="D1650">
        <v>26154.240000000002</v>
      </c>
      <c r="E1650">
        <v>23605.360000000001</v>
      </c>
      <c r="F1650">
        <v>97.74</v>
      </c>
      <c r="G1650">
        <v>952.86</v>
      </c>
      <c r="H1650">
        <f>E1650*1000000/D1650</f>
        <v>902544.29109773401</v>
      </c>
      <c r="I1650" t="str">
        <f>IF(AND(B1650&gt;=2018, B1650&lt;=2021), "2018-2021", IF(AND(B1650&gt;=2022, B1650&lt;=2024), "2022-2024", "Other"))</f>
        <v>2022-2024</v>
      </c>
    </row>
    <row r="1651" spans="1:9" x14ac:dyDescent="0.3">
      <c r="A1651" t="s">
        <v>25</v>
      </c>
      <c r="B1651">
        <v>2018</v>
      </c>
      <c r="C1651" t="s">
        <v>6</v>
      </c>
      <c r="D1651">
        <v>24709.69</v>
      </c>
      <c r="E1651">
        <v>21907.119999999999</v>
      </c>
      <c r="F1651">
        <v>175.85</v>
      </c>
      <c r="G1651">
        <v>233.03</v>
      </c>
      <c r="H1651">
        <f>E1651*1000000/D1651</f>
        <v>886580.12302056409</v>
      </c>
      <c r="I1651" t="str">
        <f>IF(AND(B1651&gt;=2018, B1651&lt;=2021), "2018-2021", IF(AND(B1651&gt;=2022, B1651&lt;=2024), "2022-2024", "Other"))</f>
        <v>2018-2021</v>
      </c>
    </row>
    <row r="1652" spans="1:9" x14ac:dyDescent="0.3">
      <c r="A1652" t="s">
        <v>13</v>
      </c>
      <c r="B1652">
        <v>2024</v>
      </c>
      <c r="C1652" t="s">
        <v>12</v>
      </c>
      <c r="D1652">
        <v>33000.57</v>
      </c>
      <c r="E1652">
        <v>27199.3</v>
      </c>
      <c r="F1652">
        <v>47.58</v>
      </c>
      <c r="G1652">
        <v>967.79</v>
      </c>
      <c r="H1652">
        <f>E1652*1000000/D1652</f>
        <v>824206.97581890249</v>
      </c>
      <c r="I1652" t="str">
        <f>IF(AND(B1652&gt;=2018, B1652&lt;=2021), "2018-2021", IF(AND(B1652&gt;=2022, B1652&lt;=2024), "2022-2024", "Other"))</f>
        <v>2022-2024</v>
      </c>
    </row>
    <row r="1653" spans="1:9" x14ac:dyDescent="0.3">
      <c r="A1653" t="s">
        <v>3</v>
      </c>
      <c r="B1653">
        <v>2021</v>
      </c>
      <c r="C1653" t="s">
        <v>9</v>
      </c>
      <c r="D1653">
        <v>32609.41</v>
      </c>
      <c r="E1653">
        <v>34514.42</v>
      </c>
      <c r="F1653">
        <v>49.93</v>
      </c>
      <c r="G1653">
        <v>579.9</v>
      </c>
      <c r="H1653">
        <f>E1653*1000000/D1653</f>
        <v>1058419.0269005173</v>
      </c>
      <c r="I1653" t="str">
        <f>IF(AND(B1653&gt;=2018, B1653&lt;=2021), "2018-2021", IF(AND(B1653&gt;=2022, B1653&lt;=2024), "2022-2024", "Other"))</f>
        <v>2018-2021</v>
      </c>
    </row>
    <row r="1654" spans="1:9" x14ac:dyDescent="0.3">
      <c r="A1654" t="s">
        <v>17</v>
      </c>
      <c r="B1654">
        <v>2024</v>
      </c>
      <c r="C1654" t="s">
        <v>0</v>
      </c>
      <c r="D1654">
        <v>28585.83</v>
      </c>
      <c r="E1654">
        <v>31170.26</v>
      </c>
      <c r="F1654">
        <v>82.82</v>
      </c>
      <c r="G1654">
        <v>560.49</v>
      </c>
      <c r="H1654">
        <f>E1654*1000000/D1654</f>
        <v>1090409.4791020586</v>
      </c>
      <c r="I1654" t="str">
        <f>IF(AND(B1654&gt;=2018, B1654&lt;=2021), "2018-2021", IF(AND(B1654&gt;=2022, B1654&lt;=2024), "2022-2024", "Other"))</f>
        <v>2022-2024</v>
      </c>
    </row>
    <row r="1655" spans="1:9" x14ac:dyDescent="0.3">
      <c r="A1655" t="s">
        <v>21</v>
      </c>
      <c r="B1655">
        <v>2023</v>
      </c>
      <c r="C1655" t="s">
        <v>8</v>
      </c>
      <c r="D1655">
        <v>25283.83</v>
      </c>
      <c r="E1655">
        <v>27769.57</v>
      </c>
      <c r="F1655">
        <v>164.1</v>
      </c>
      <c r="G1655">
        <v>174.2</v>
      </c>
      <c r="H1655">
        <f>E1655*1000000/D1655</f>
        <v>1098313.4279893513</v>
      </c>
      <c r="I1655" t="str">
        <f>IF(AND(B1655&gt;=2018, B1655&lt;=2021), "2018-2021", IF(AND(B1655&gt;=2022, B1655&lt;=2024), "2022-2024", "Other"))</f>
        <v>2022-2024</v>
      </c>
    </row>
    <row r="1656" spans="1:9" x14ac:dyDescent="0.3">
      <c r="A1656" t="s">
        <v>3</v>
      </c>
      <c r="B1656">
        <v>2023</v>
      </c>
      <c r="C1656" t="s">
        <v>6</v>
      </c>
      <c r="D1656">
        <v>15560.43</v>
      </c>
      <c r="E1656">
        <v>17229.009999999998</v>
      </c>
      <c r="F1656">
        <v>33.94</v>
      </c>
      <c r="G1656">
        <v>135.85</v>
      </c>
      <c r="H1656">
        <f>E1656*1000000/D1656</f>
        <v>1107232.2551497612</v>
      </c>
      <c r="I1656" t="str">
        <f>IF(AND(B1656&gt;=2018, B1656&lt;=2021), "2018-2021", IF(AND(B1656&gt;=2022, B1656&lt;=2024), "2022-2024", "Other"))</f>
        <v>2022-2024</v>
      </c>
    </row>
    <row r="1657" spans="1:9" x14ac:dyDescent="0.3">
      <c r="A1657" t="s">
        <v>3</v>
      </c>
      <c r="B1657">
        <v>2020</v>
      </c>
      <c r="C1657" t="s">
        <v>4</v>
      </c>
      <c r="D1657">
        <v>26050.19</v>
      </c>
      <c r="E1657">
        <v>30058.53</v>
      </c>
      <c r="F1657">
        <v>100.1</v>
      </c>
      <c r="G1657">
        <v>334.72</v>
      </c>
      <c r="H1657">
        <f>E1657*1000000/D1657</f>
        <v>1153869.8949988466</v>
      </c>
      <c r="I1657" t="str">
        <f>IF(AND(B1657&gt;=2018, B1657&lt;=2021), "2018-2021", IF(AND(B1657&gt;=2022, B1657&lt;=2024), "2022-2024", "Other"))</f>
        <v>2018-2021</v>
      </c>
    </row>
    <row r="1658" spans="1:9" x14ac:dyDescent="0.3">
      <c r="A1658" t="s">
        <v>11</v>
      </c>
      <c r="B1658">
        <v>2022</v>
      </c>
      <c r="C1658" t="s">
        <v>9</v>
      </c>
      <c r="D1658">
        <v>6241.82</v>
      </c>
      <c r="E1658">
        <v>6550.61</v>
      </c>
      <c r="F1658">
        <v>151.63</v>
      </c>
      <c r="G1658">
        <v>155.33000000000001</v>
      </c>
      <c r="H1658">
        <f>E1658*1000000/D1658</f>
        <v>1049471.1478382908</v>
      </c>
      <c r="I1658" t="str">
        <f>IF(AND(B1658&gt;=2018, B1658&lt;=2021), "2018-2021", IF(AND(B1658&gt;=2022, B1658&lt;=2024), "2022-2024", "Other"))</f>
        <v>2022-2024</v>
      </c>
    </row>
    <row r="1659" spans="1:9" x14ac:dyDescent="0.3">
      <c r="A1659" t="s">
        <v>10</v>
      </c>
      <c r="B1659">
        <v>2022</v>
      </c>
      <c r="C1659" t="s">
        <v>6</v>
      </c>
      <c r="D1659">
        <v>14507.24</v>
      </c>
      <c r="E1659">
        <v>15751.93</v>
      </c>
      <c r="F1659">
        <v>103.51</v>
      </c>
      <c r="G1659">
        <v>814.7</v>
      </c>
      <c r="H1659">
        <f>E1659*1000000/D1659</f>
        <v>1085797.8499011528</v>
      </c>
      <c r="I1659" t="str">
        <f>IF(AND(B1659&gt;=2018, B1659&lt;=2021), "2018-2021", IF(AND(B1659&gt;=2022, B1659&lt;=2024), "2022-2024", "Other"))</f>
        <v>2022-2024</v>
      </c>
    </row>
    <row r="1660" spans="1:9" x14ac:dyDescent="0.3">
      <c r="A1660" t="s">
        <v>17</v>
      </c>
      <c r="B1660">
        <v>2020</v>
      </c>
      <c r="C1660" t="s">
        <v>12</v>
      </c>
      <c r="D1660">
        <v>49940.84</v>
      </c>
      <c r="E1660">
        <v>58118.91</v>
      </c>
      <c r="F1660">
        <v>68.650000000000006</v>
      </c>
      <c r="G1660">
        <v>1374.62</v>
      </c>
      <c r="H1660">
        <f>E1660*1000000/D1660</f>
        <v>1163755.1550995139</v>
      </c>
      <c r="I1660" t="str">
        <f>IF(AND(B1660&gt;=2018, B1660&lt;=2021), "2018-2021", IF(AND(B1660&gt;=2022, B1660&lt;=2024), "2022-2024", "Other"))</f>
        <v>2018-2021</v>
      </c>
    </row>
    <row r="1661" spans="1:9" x14ac:dyDescent="0.3">
      <c r="A1661" t="s">
        <v>18</v>
      </c>
      <c r="B1661">
        <v>2018</v>
      </c>
      <c r="C1661" t="s">
        <v>4</v>
      </c>
      <c r="D1661">
        <v>42940.75</v>
      </c>
      <c r="E1661">
        <v>35290.620000000003</v>
      </c>
      <c r="F1661">
        <v>61.88</v>
      </c>
      <c r="G1661">
        <v>173.96</v>
      </c>
      <c r="H1661">
        <f>E1661*1000000/D1661</f>
        <v>821844.51831884636</v>
      </c>
      <c r="I1661" t="str">
        <f>IF(AND(B1661&gt;=2018, B1661&lt;=2021), "2018-2021", IF(AND(B1661&gt;=2022, B1661&lt;=2024), "2022-2024", "Other"))</f>
        <v>2018-2021</v>
      </c>
    </row>
    <row r="1662" spans="1:9" x14ac:dyDescent="0.3">
      <c r="A1662" t="s">
        <v>13</v>
      </c>
      <c r="B1662">
        <v>2024</v>
      </c>
      <c r="C1662" t="s">
        <v>6</v>
      </c>
      <c r="D1662">
        <v>27017.13</v>
      </c>
      <c r="E1662">
        <v>29962.85</v>
      </c>
      <c r="F1662">
        <v>128.51</v>
      </c>
      <c r="G1662">
        <v>444.85</v>
      </c>
      <c r="H1662">
        <f>E1662*1000000/D1662</f>
        <v>1109031.566269252</v>
      </c>
      <c r="I1662" t="str">
        <f>IF(AND(B1662&gt;=2018, B1662&lt;=2021), "2018-2021", IF(AND(B1662&gt;=2022, B1662&lt;=2024), "2022-2024", "Other"))</f>
        <v>2022-2024</v>
      </c>
    </row>
    <row r="1663" spans="1:9" x14ac:dyDescent="0.3">
      <c r="A1663" t="s">
        <v>21</v>
      </c>
      <c r="B1663">
        <v>2019</v>
      </c>
      <c r="C1663" t="s">
        <v>6</v>
      </c>
      <c r="D1663">
        <v>45454.42</v>
      </c>
      <c r="E1663">
        <v>46874.21</v>
      </c>
      <c r="F1663">
        <v>49.67</v>
      </c>
      <c r="G1663">
        <v>945.86</v>
      </c>
      <c r="H1663">
        <f>E1663*1000000/D1663</f>
        <v>1031235.4662098868</v>
      </c>
      <c r="I1663" t="str">
        <f>IF(AND(B1663&gt;=2018, B1663&lt;=2021), "2018-2021", IF(AND(B1663&gt;=2022, B1663&lt;=2024), "2022-2024", "Other"))</f>
        <v>2018-2021</v>
      </c>
    </row>
    <row r="1664" spans="1:9" x14ac:dyDescent="0.3">
      <c r="A1664" t="s">
        <v>15</v>
      </c>
      <c r="B1664">
        <v>2024</v>
      </c>
      <c r="C1664" t="s">
        <v>4</v>
      </c>
      <c r="D1664">
        <v>10328.379999999999</v>
      </c>
      <c r="E1664">
        <v>9680.69</v>
      </c>
      <c r="F1664">
        <v>113.97</v>
      </c>
      <c r="G1664">
        <v>113.64</v>
      </c>
      <c r="H1664">
        <f>E1664*1000000/D1664</f>
        <v>937290.26236447541</v>
      </c>
      <c r="I1664" t="str">
        <f>IF(AND(B1664&gt;=2018, B1664&lt;=2021), "2018-2021", IF(AND(B1664&gt;=2022, B1664&lt;=2024), "2022-2024", "Other"))</f>
        <v>2022-2024</v>
      </c>
    </row>
    <row r="1665" spans="1:9" x14ac:dyDescent="0.3">
      <c r="A1665" t="s">
        <v>25</v>
      </c>
      <c r="B1665">
        <v>2019</v>
      </c>
      <c r="C1665" t="s">
        <v>8</v>
      </c>
      <c r="D1665">
        <v>2767.92</v>
      </c>
      <c r="E1665">
        <v>2468.91</v>
      </c>
      <c r="F1665">
        <v>38.770000000000003</v>
      </c>
      <c r="G1665">
        <v>97.52</v>
      </c>
      <c r="H1665">
        <f>E1665*1000000/D1665</f>
        <v>891973.03390271391</v>
      </c>
      <c r="I1665" t="str">
        <f>IF(AND(B1665&gt;=2018, B1665&lt;=2021), "2018-2021", IF(AND(B1665&gt;=2022, B1665&lt;=2024), "2022-2024", "Other"))</f>
        <v>2018-2021</v>
      </c>
    </row>
    <row r="1666" spans="1:9" x14ac:dyDescent="0.3">
      <c r="A1666" t="s">
        <v>27</v>
      </c>
      <c r="B1666">
        <v>2022</v>
      </c>
      <c r="C1666" t="s">
        <v>12</v>
      </c>
      <c r="D1666">
        <v>37034.74</v>
      </c>
      <c r="E1666">
        <v>31161.26</v>
      </c>
      <c r="F1666">
        <v>111.83</v>
      </c>
      <c r="G1666">
        <v>152.33000000000001</v>
      </c>
      <c r="H1666">
        <f>E1666*1000000/D1666</f>
        <v>841406.20401277288</v>
      </c>
      <c r="I1666" t="str">
        <f>IF(AND(B1666&gt;=2018, B1666&lt;=2021), "2018-2021", IF(AND(B1666&gt;=2022, B1666&lt;=2024), "2022-2024", "Other"))</f>
        <v>2022-2024</v>
      </c>
    </row>
    <row r="1667" spans="1:9" x14ac:dyDescent="0.3">
      <c r="A1667" t="s">
        <v>24</v>
      </c>
      <c r="B1667">
        <v>2018</v>
      </c>
      <c r="C1667" t="s">
        <v>6</v>
      </c>
      <c r="D1667">
        <v>44970.63</v>
      </c>
      <c r="E1667">
        <v>42041.63</v>
      </c>
      <c r="F1667">
        <v>86.21</v>
      </c>
      <c r="G1667">
        <v>456.5</v>
      </c>
      <c r="H1667">
        <f>E1667*1000000/D1667</f>
        <v>934868.60201869532</v>
      </c>
      <c r="I1667" t="str">
        <f>IF(AND(B1667&gt;=2018, B1667&lt;=2021), "2018-2021", IF(AND(B1667&gt;=2022, B1667&lt;=2024), "2022-2024", "Other"))</f>
        <v>2018-2021</v>
      </c>
    </row>
    <row r="1668" spans="1:9" x14ac:dyDescent="0.3">
      <c r="A1668" t="s">
        <v>20</v>
      </c>
      <c r="B1668">
        <v>2020</v>
      </c>
      <c r="C1668" t="s">
        <v>2</v>
      </c>
      <c r="D1668">
        <v>45853.83</v>
      </c>
      <c r="E1668">
        <v>40973.980000000003</v>
      </c>
      <c r="F1668">
        <v>150.07</v>
      </c>
      <c r="G1668">
        <v>52.02</v>
      </c>
      <c r="H1668">
        <f>E1668*1000000/D1668</f>
        <v>893578.13731153973</v>
      </c>
      <c r="I1668" t="str">
        <f>IF(AND(B1668&gt;=2018, B1668&lt;=2021), "2018-2021", IF(AND(B1668&gt;=2022, B1668&lt;=2024), "2022-2024", "Other"))</f>
        <v>2018-2021</v>
      </c>
    </row>
    <row r="1669" spans="1:9" x14ac:dyDescent="0.3">
      <c r="A1669" t="s">
        <v>18</v>
      </c>
      <c r="B1669">
        <v>2019</v>
      </c>
      <c r="C1669" t="s">
        <v>14</v>
      </c>
      <c r="D1669">
        <v>25297.9</v>
      </c>
      <c r="E1669">
        <v>23278.03</v>
      </c>
      <c r="F1669">
        <v>30.4</v>
      </c>
      <c r="G1669">
        <v>1296.0899999999999</v>
      </c>
      <c r="H1669">
        <f>E1669*1000000/D1669</f>
        <v>920156.61379007739</v>
      </c>
      <c r="I1669" t="str">
        <f>IF(AND(B1669&gt;=2018, B1669&lt;=2021), "2018-2021", IF(AND(B1669&gt;=2022, B1669&lt;=2024), "2022-2024", "Other"))</f>
        <v>2018-2021</v>
      </c>
    </row>
    <row r="1670" spans="1:9" x14ac:dyDescent="0.3">
      <c r="A1670" t="s">
        <v>27</v>
      </c>
      <c r="B1670">
        <v>2023</v>
      </c>
      <c r="C1670" t="s">
        <v>4</v>
      </c>
      <c r="D1670">
        <v>1381.98</v>
      </c>
      <c r="E1670">
        <v>1215.77</v>
      </c>
      <c r="F1670">
        <v>183.86</v>
      </c>
      <c r="G1670">
        <v>1064.29</v>
      </c>
      <c r="H1670">
        <f>E1670*1000000/D1670</f>
        <v>879730.53155617299</v>
      </c>
      <c r="I1670" t="str">
        <f>IF(AND(B1670&gt;=2018, B1670&lt;=2021), "2018-2021", IF(AND(B1670&gt;=2022, B1670&lt;=2024), "2022-2024", "Other"))</f>
        <v>2022-2024</v>
      </c>
    </row>
    <row r="1671" spans="1:9" x14ac:dyDescent="0.3">
      <c r="A1671" t="s">
        <v>3</v>
      </c>
      <c r="B1671">
        <v>2021</v>
      </c>
      <c r="C1671" t="s">
        <v>2</v>
      </c>
      <c r="D1671">
        <v>2967.07</v>
      </c>
      <c r="E1671">
        <v>2889.8</v>
      </c>
      <c r="F1671">
        <v>144.41</v>
      </c>
      <c r="G1671">
        <v>109.74</v>
      </c>
      <c r="H1671">
        <f>E1671*1000000/D1671</f>
        <v>973957.47319746413</v>
      </c>
      <c r="I1671" t="str">
        <f>IF(AND(B1671&gt;=2018, B1671&lt;=2021), "2018-2021", IF(AND(B1671&gt;=2022, B1671&lt;=2024), "2022-2024", "Other"))</f>
        <v>2018-2021</v>
      </c>
    </row>
    <row r="1672" spans="1:9" x14ac:dyDescent="0.3">
      <c r="A1672" t="s">
        <v>20</v>
      </c>
      <c r="B1672">
        <v>2023</v>
      </c>
      <c r="C1672" t="s">
        <v>0</v>
      </c>
      <c r="D1672">
        <v>31658.12</v>
      </c>
      <c r="E1672">
        <v>25907.78</v>
      </c>
      <c r="F1672">
        <v>182.21</v>
      </c>
      <c r="G1672">
        <v>466.22</v>
      </c>
      <c r="H1672">
        <f>E1672*1000000/D1672</f>
        <v>818361.29245830141</v>
      </c>
      <c r="I1672" t="str">
        <f>IF(AND(B1672&gt;=2018, B1672&lt;=2021), "2018-2021", IF(AND(B1672&gt;=2022, B1672&lt;=2024), "2022-2024", "Other"))</f>
        <v>2022-2024</v>
      </c>
    </row>
    <row r="1673" spans="1:9" x14ac:dyDescent="0.3">
      <c r="A1673" t="s">
        <v>3</v>
      </c>
      <c r="B1673">
        <v>2021</v>
      </c>
      <c r="C1673" t="s">
        <v>2</v>
      </c>
      <c r="D1673">
        <v>18521</v>
      </c>
      <c r="E1673">
        <v>19976.55</v>
      </c>
      <c r="F1673">
        <v>176.33</v>
      </c>
      <c r="G1673">
        <v>77.97</v>
      </c>
      <c r="H1673">
        <f>E1673*1000000/D1673</f>
        <v>1078589.1690513471</v>
      </c>
      <c r="I1673" t="str">
        <f>IF(AND(B1673&gt;=2018, B1673&lt;=2021), "2018-2021", IF(AND(B1673&gt;=2022, B1673&lt;=2024), "2022-2024", "Other"))</f>
        <v>2018-2021</v>
      </c>
    </row>
    <row r="1674" spans="1:9" x14ac:dyDescent="0.3">
      <c r="A1674" t="s">
        <v>24</v>
      </c>
      <c r="B1674">
        <v>2018</v>
      </c>
      <c r="C1674" t="s">
        <v>9</v>
      </c>
      <c r="D1674">
        <v>44856.7</v>
      </c>
      <c r="E1674">
        <v>39973.440000000002</v>
      </c>
      <c r="F1674">
        <v>83.43</v>
      </c>
      <c r="G1674">
        <v>689.41</v>
      </c>
      <c r="H1674">
        <f>E1674*1000000/D1674</f>
        <v>891136.44115594774</v>
      </c>
      <c r="I1674" t="str">
        <f>IF(AND(B1674&gt;=2018, B1674&lt;=2021), "2018-2021", IF(AND(B1674&gt;=2022, B1674&lt;=2024), "2022-2024", "Other"))</f>
        <v>2018-2021</v>
      </c>
    </row>
    <row r="1675" spans="1:9" x14ac:dyDescent="0.3">
      <c r="A1675" t="s">
        <v>23</v>
      </c>
      <c r="B1675">
        <v>2022</v>
      </c>
      <c r="C1675" t="s">
        <v>0</v>
      </c>
      <c r="D1675">
        <v>12957.08</v>
      </c>
      <c r="E1675">
        <v>13583.24</v>
      </c>
      <c r="F1675">
        <v>26.58</v>
      </c>
      <c r="G1675">
        <v>1015.98</v>
      </c>
      <c r="H1675">
        <f>E1675*1000000/D1675</f>
        <v>1048325.7030133333</v>
      </c>
      <c r="I1675" t="str">
        <f>IF(AND(B1675&gt;=2018, B1675&lt;=2021), "2018-2021", IF(AND(B1675&gt;=2022, B1675&lt;=2024), "2022-2024", "Other"))</f>
        <v>2022-2024</v>
      </c>
    </row>
    <row r="1676" spans="1:9" x14ac:dyDescent="0.3">
      <c r="A1676" t="s">
        <v>25</v>
      </c>
      <c r="B1676">
        <v>2021</v>
      </c>
      <c r="C1676" t="s">
        <v>14</v>
      </c>
      <c r="D1676">
        <v>10419.01</v>
      </c>
      <c r="E1676">
        <v>10759.03</v>
      </c>
      <c r="F1676">
        <v>57.4</v>
      </c>
      <c r="G1676">
        <v>477.07</v>
      </c>
      <c r="H1676">
        <f>E1676*1000000/D1676</f>
        <v>1032634.5785252149</v>
      </c>
      <c r="I1676" t="str">
        <f>IF(AND(B1676&gt;=2018, B1676&lt;=2021), "2018-2021", IF(AND(B1676&gt;=2022, B1676&lt;=2024), "2022-2024", "Other"))</f>
        <v>2018-2021</v>
      </c>
    </row>
    <row r="1677" spans="1:9" x14ac:dyDescent="0.3">
      <c r="A1677" t="s">
        <v>25</v>
      </c>
      <c r="B1677">
        <v>2023</v>
      </c>
      <c r="C1677" t="s">
        <v>0</v>
      </c>
      <c r="D1677">
        <v>32311.01</v>
      </c>
      <c r="E1677">
        <v>26850.99</v>
      </c>
      <c r="F1677">
        <v>22.03</v>
      </c>
      <c r="G1677">
        <v>245.47</v>
      </c>
      <c r="H1677">
        <f>E1677*1000000/D1677</f>
        <v>831016.73392444255</v>
      </c>
      <c r="I1677" t="str">
        <f>IF(AND(B1677&gt;=2018, B1677&lt;=2021), "2018-2021", IF(AND(B1677&gt;=2022, B1677&lt;=2024), "2022-2024", "Other"))</f>
        <v>2022-2024</v>
      </c>
    </row>
    <row r="1678" spans="1:9" x14ac:dyDescent="0.3">
      <c r="A1678" t="s">
        <v>18</v>
      </c>
      <c r="B1678">
        <v>2018</v>
      </c>
      <c r="C1678" t="s">
        <v>2</v>
      </c>
      <c r="D1678">
        <v>17951.7</v>
      </c>
      <c r="E1678">
        <v>14804.88</v>
      </c>
      <c r="F1678">
        <v>143.61000000000001</v>
      </c>
      <c r="G1678">
        <v>1236.3</v>
      </c>
      <c r="H1678">
        <f>E1678*1000000/D1678</f>
        <v>824706.29522552178</v>
      </c>
      <c r="I1678" t="str">
        <f>IF(AND(B1678&gt;=2018, B1678&lt;=2021), "2018-2021", IF(AND(B1678&gt;=2022, B1678&lt;=2024), "2022-2024", "Other"))</f>
        <v>2018-2021</v>
      </c>
    </row>
    <row r="1679" spans="1:9" x14ac:dyDescent="0.3">
      <c r="A1679" t="s">
        <v>22</v>
      </c>
      <c r="B1679">
        <v>2022</v>
      </c>
      <c r="C1679" t="s">
        <v>2</v>
      </c>
      <c r="D1679">
        <v>39228.94</v>
      </c>
      <c r="E1679">
        <v>42712.73</v>
      </c>
      <c r="F1679">
        <v>164.94</v>
      </c>
      <c r="G1679">
        <v>1094.1400000000001</v>
      </c>
      <c r="H1679">
        <f>E1679*1000000/D1679</f>
        <v>1088806.6310229131</v>
      </c>
      <c r="I1679" t="str">
        <f>IF(AND(B1679&gt;=2018, B1679&lt;=2021), "2018-2021", IF(AND(B1679&gt;=2022, B1679&lt;=2024), "2022-2024", "Other"))</f>
        <v>2022-2024</v>
      </c>
    </row>
    <row r="1680" spans="1:9" x14ac:dyDescent="0.3">
      <c r="A1680" t="s">
        <v>3</v>
      </c>
      <c r="B1680">
        <v>2019</v>
      </c>
      <c r="C1680" t="s">
        <v>12</v>
      </c>
      <c r="D1680">
        <v>15842.1</v>
      </c>
      <c r="E1680">
        <v>17709.71</v>
      </c>
      <c r="F1680">
        <v>101.11</v>
      </c>
      <c r="G1680">
        <v>1128.1500000000001</v>
      </c>
      <c r="H1680">
        <f>E1680*1000000/D1680</f>
        <v>1117889.0424880539</v>
      </c>
      <c r="I1680" t="str">
        <f>IF(AND(B1680&gt;=2018, B1680&lt;=2021), "2018-2021", IF(AND(B1680&gt;=2022, B1680&lt;=2024), "2022-2024", "Other"))</f>
        <v>2018-2021</v>
      </c>
    </row>
    <row r="1681" spans="1:9" x14ac:dyDescent="0.3">
      <c r="A1681" t="s">
        <v>17</v>
      </c>
      <c r="B1681">
        <v>2020</v>
      </c>
      <c r="C1681" t="s">
        <v>4</v>
      </c>
      <c r="D1681">
        <v>40534.99</v>
      </c>
      <c r="E1681">
        <v>47743.89</v>
      </c>
      <c r="F1681">
        <v>30.1</v>
      </c>
      <c r="G1681">
        <v>480.95</v>
      </c>
      <c r="H1681">
        <f>E1681*1000000/D1681</f>
        <v>1177843.8825321039</v>
      </c>
      <c r="I1681" t="str">
        <f>IF(AND(B1681&gt;=2018, B1681&lt;=2021), "2018-2021", IF(AND(B1681&gt;=2022, B1681&lt;=2024), "2022-2024", "Other"))</f>
        <v>2018-2021</v>
      </c>
    </row>
    <row r="1682" spans="1:9" x14ac:dyDescent="0.3">
      <c r="A1682" t="s">
        <v>5</v>
      </c>
      <c r="B1682">
        <v>2024</v>
      </c>
      <c r="C1682" t="s">
        <v>9</v>
      </c>
      <c r="D1682">
        <v>36041.71</v>
      </c>
      <c r="E1682">
        <v>41442.239999999998</v>
      </c>
      <c r="F1682">
        <v>172.55</v>
      </c>
      <c r="G1682">
        <v>309.39999999999998</v>
      </c>
      <c r="H1682">
        <f>E1682*1000000/D1682</f>
        <v>1149841.1146418969</v>
      </c>
      <c r="I1682" t="str">
        <f>IF(AND(B1682&gt;=2018, B1682&lt;=2021), "2018-2021", IF(AND(B1682&gt;=2022, B1682&lt;=2024), "2022-2024", "Other"))</f>
        <v>2022-2024</v>
      </c>
    </row>
    <row r="1683" spans="1:9" x14ac:dyDescent="0.3">
      <c r="A1683" t="s">
        <v>16</v>
      </c>
      <c r="B1683">
        <v>2024</v>
      </c>
      <c r="C1683" t="s">
        <v>4</v>
      </c>
      <c r="D1683">
        <v>34178.230000000003</v>
      </c>
      <c r="E1683">
        <v>27478.34</v>
      </c>
      <c r="F1683">
        <v>105.28</v>
      </c>
      <c r="G1683">
        <v>993.67</v>
      </c>
      <c r="H1683">
        <f>E1683*1000000/D1683</f>
        <v>803972.00206096098</v>
      </c>
      <c r="I1683" t="str">
        <f>IF(AND(B1683&gt;=2018, B1683&lt;=2021), "2018-2021", IF(AND(B1683&gt;=2022, B1683&lt;=2024), "2022-2024", "Other"))</f>
        <v>2022-2024</v>
      </c>
    </row>
    <row r="1684" spans="1:9" x14ac:dyDescent="0.3">
      <c r="A1684" t="s">
        <v>3</v>
      </c>
      <c r="B1684">
        <v>2020</v>
      </c>
      <c r="C1684" t="s">
        <v>12</v>
      </c>
      <c r="D1684">
        <v>3721.72</v>
      </c>
      <c r="E1684">
        <v>3310.86</v>
      </c>
      <c r="F1684">
        <v>76.37</v>
      </c>
      <c r="G1684">
        <v>830.16</v>
      </c>
      <c r="H1684">
        <f>E1684*1000000/D1684</f>
        <v>889604.80637984595</v>
      </c>
      <c r="I1684" t="str">
        <f>IF(AND(B1684&gt;=2018, B1684&lt;=2021), "2018-2021", IF(AND(B1684&gt;=2022, B1684&lt;=2024), "2022-2024", "Other"))</f>
        <v>2018-2021</v>
      </c>
    </row>
    <row r="1685" spans="1:9" x14ac:dyDescent="0.3">
      <c r="A1685" t="s">
        <v>17</v>
      </c>
      <c r="B1685">
        <v>2023</v>
      </c>
      <c r="C1685" t="s">
        <v>14</v>
      </c>
      <c r="D1685">
        <v>44920.38</v>
      </c>
      <c r="E1685">
        <v>36015.96</v>
      </c>
      <c r="F1685">
        <v>58.26</v>
      </c>
      <c r="G1685">
        <v>320.81</v>
      </c>
      <c r="H1685">
        <f>E1685*1000000/D1685</f>
        <v>801773.27084054053</v>
      </c>
      <c r="I1685" t="str">
        <f>IF(AND(B1685&gt;=2018, B1685&lt;=2021), "2018-2021", IF(AND(B1685&gt;=2022, B1685&lt;=2024), "2022-2024", "Other"))</f>
        <v>2022-2024</v>
      </c>
    </row>
    <row r="1686" spans="1:9" x14ac:dyDescent="0.3">
      <c r="A1686" t="s">
        <v>17</v>
      </c>
      <c r="B1686">
        <v>2018</v>
      </c>
      <c r="C1686" t="s">
        <v>8</v>
      </c>
      <c r="D1686">
        <v>42505.33</v>
      </c>
      <c r="E1686">
        <v>35453.57</v>
      </c>
      <c r="F1686">
        <v>48.91</v>
      </c>
      <c r="G1686">
        <v>228.91</v>
      </c>
      <c r="H1686">
        <f>E1686*1000000/D1686</f>
        <v>834097.04147691594</v>
      </c>
      <c r="I1686" t="str">
        <f>IF(AND(B1686&gt;=2018, B1686&lt;=2021), "2018-2021", IF(AND(B1686&gt;=2022, B1686&lt;=2024), "2022-2024", "Other"))</f>
        <v>2018-2021</v>
      </c>
    </row>
    <row r="1687" spans="1:9" x14ac:dyDescent="0.3">
      <c r="A1687" t="s">
        <v>17</v>
      </c>
      <c r="B1687">
        <v>2021</v>
      </c>
      <c r="C1687" t="s">
        <v>0</v>
      </c>
      <c r="D1687">
        <v>33519.629999999997</v>
      </c>
      <c r="E1687">
        <v>36564.9</v>
      </c>
      <c r="F1687">
        <v>108.5</v>
      </c>
      <c r="G1687">
        <v>55.54</v>
      </c>
      <c r="H1687">
        <f>E1687*1000000/D1687</f>
        <v>1090850.3464984549</v>
      </c>
      <c r="I1687" t="str">
        <f>IF(AND(B1687&gt;=2018, B1687&lt;=2021), "2018-2021", IF(AND(B1687&gt;=2022, B1687&lt;=2024), "2022-2024", "Other"))</f>
        <v>2018-2021</v>
      </c>
    </row>
    <row r="1688" spans="1:9" x14ac:dyDescent="0.3">
      <c r="A1688" t="s">
        <v>22</v>
      </c>
      <c r="B1688">
        <v>2024</v>
      </c>
      <c r="C1688" t="s">
        <v>6</v>
      </c>
      <c r="D1688">
        <v>34201.89</v>
      </c>
      <c r="E1688">
        <v>39119.800000000003</v>
      </c>
      <c r="F1688">
        <v>24.43</v>
      </c>
      <c r="G1688">
        <v>888.89</v>
      </c>
      <c r="H1688">
        <f>E1688*1000000/D1688</f>
        <v>1143790.5916895235</v>
      </c>
      <c r="I1688" t="str">
        <f>IF(AND(B1688&gt;=2018, B1688&lt;=2021), "2018-2021", IF(AND(B1688&gt;=2022, B1688&lt;=2024), "2022-2024", "Other"))</f>
        <v>2022-2024</v>
      </c>
    </row>
    <row r="1689" spans="1:9" x14ac:dyDescent="0.3">
      <c r="A1689" t="s">
        <v>3</v>
      </c>
      <c r="B1689">
        <v>2019</v>
      </c>
      <c r="C1689" t="s">
        <v>4</v>
      </c>
      <c r="D1689">
        <v>31221.57</v>
      </c>
      <c r="E1689">
        <v>32289.599999999999</v>
      </c>
      <c r="F1689">
        <v>23.32</v>
      </c>
      <c r="G1689">
        <v>1300.9100000000001</v>
      </c>
      <c r="H1689">
        <f>E1689*1000000/D1689</f>
        <v>1034208.0811439015</v>
      </c>
      <c r="I1689" t="str">
        <f>IF(AND(B1689&gt;=2018, B1689&lt;=2021), "2018-2021", IF(AND(B1689&gt;=2022, B1689&lt;=2024), "2022-2024", "Other"))</f>
        <v>2018-2021</v>
      </c>
    </row>
    <row r="1690" spans="1:9" x14ac:dyDescent="0.3">
      <c r="A1690" t="s">
        <v>22</v>
      </c>
      <c r="B1690">
        <v>2018</v>
      </c>
      <c r="C1690" t="s">
        <v>9</v>
      </c>
      <c r="D1690">
        <v>30291.51</v>
      </c>
      <c r="E1690">
        <v>35776.6</v>
      </c>
      <c r="F1690">
        <v>113.2</v>
      </c>
      <c r="G1690">
        <v>1209.8800000000001</v>
      </c>
      <c r="H1690">
        <f>E1690*1000000/D1690</f>
        <v>1181076.8099708466</v>
      </c>
      <c r="I1690" t="str">
        <f>IF(AND(B1690&gt;=2018, B1690&lt;=2021), "2018-2021", IF(AND(B1690&gt;=2022, B1690&lt;=2024), "2022-2024", "Other"))</f>
        <v>2018-2021</v>
      </c>
    </row>
    <row r="1691" spans="1:9" x14ac:dyDescent="0.3">
      <c r="A1691" t="s">
        <v>24</v>
      </c>
      <c r="B1691">
        <v>2018</v>
      </c>
      <c r="C1691" t="s">
        <v>8</v>
      </c>
      <c r="D1691">
        <v>11796.42</v>
      </c>
      <c r="E1691">
        <v>13723.48</v>
      </c>
      <c r="F1691">
        <v>52.99</v>
      </c>
      <c r="G1691">
        <v>1266.3699999999999</v>
      </c>
      <c r="H1691">
        <f>E1691*1000000/D1691</f>
        <v>1163359.7311726778</v>
      </c>
      <c r="I1691" t="str">
        <f>IF(AND(B1691&gt;=2018, B1691&lt;=2021), "2018-2021", IF(AND(B1691&gt;=2022, B1691&lt;=2024), "2022-2024", "Other"))</f>
        <v>2018-2021</v>
      </c>
    </row>
    <row r="1692" spans="1:9" x14ac:dyDescent="0.3">
      <c r="A1692" t="s">
        <v>1</v>
      </c>
      <c r="B1692">
        <v>2020</v>
      </c>
      <c r="C1692" t="s">
        <v>2</v>
      </c>
      <c r="D1692">
        <v>27579.78</v>
      </c>
      <c r="E1692">
        <v>32251.29</v>
      </c>
      <c r="F1692">
        <v>131.22999999999999</v>
      </c>
      <c r="G1692">
        <v>1034.96</v>
      </c>
      <c r="H1692">
        <f>E1692*1000000/D1692</f>
        <v>1169381.6992013715</v>
      </c>
      <c r="I1692" t="str">
        <f>IF(AND(B1692&gt;=2018, B1692&lt;=2021), "2018-2021", IF(AND(B1692&gt;=2022, B1692&lt;=2024), "2022-2024", "Other"))</f>
        <v>2018-2021</v>
      </c>
    </row>
    <row r="1693" spans="1:9" x14ac:dyDescent="0.3">
      <c r="A1693" t="s">
        <v>19</v>
      </c>
      <c r="B1693">
        <v>2020</v>
      </c>
      <c r="C1693" t="s">
        <v>8</v>
      </c>
      <c r="D1693">
        <v>19800.419999999998</v>
      </c>
      <c r="E1693">
        <v>22212.63</v>
      </c>
      <c r="F1693">
        <v>50.24</v>
      </c>
      <c r="G1693">
        <v>41.4</v>
      </c>
      <c r="H1693">
        <f>E1693*1000000/D1693</f>
        <v>1121826.2036865887</v>
      </c>
      <c r="I1693" t="str">
        <f>IF(AND(B1693&gt;=2018, B1693&lt;=2021), "2018-2021", IF(AND(B1693&gt;=2022, B1693&lt;=2024), "2022-2024", "Other"))</f>
        <v>2018-2021</v>
      </c>
    </row>
    <row r="1694" spans="1:9" x14ac:dyDescent="0.3">
      <c r="A1694" t="s">
        <v>25</v>
      </c>
      <c r="B1694">
        <v>2019</v>
      </c>
      <c r="C1694" t="s">
        <v>9</v>
      </c>
      <c r="D1694">
        <v>42079.37</v>
      </c>
      <c r="E1694">
        <v>44757.73</v>
      </c>
      <c r="F1694">
        <v>102.14</v>
      </c>
      <c r="G1694">
        <v>208.11</v>
      </c>
      <c r="H1694">
        <f>E1694*1000000/D1694</f>
        <v>1063650.1924814938</v>
      </c>
      <c r="I1694" t="str">
        <f>IF(AND(B1694&gt;=2018, B1694&lt;=2021), "2018-2021", IF(AND(B1694&gt;=2022, B1694&lt;=2024), "2022-2024", "Other"))</f>
        <v>2018-2021</v>
      </c>
    </row>
    <row r="1695" spans="1:9" x14ac:dyDescent="0.3">
      <c r="A1695" t="s">
        <v>25</v>
      </c>
      <c r="B1695">
        <v>2020</v>
      </c>
      <c r="C1695" t="s">
        <v>14</v>
      </c>
      <c r="D1695">
        <v>15487.71</v>
      </c>
      <c r="E1695">
        <v>16640.68</v>
      </c>
      <c r="F1695">
        <v>182.23</v>
      </c>
      <c r="G1695">
        <v>364.41</v>
      </c>
      <c r="H1695">
        <f>E1695*1000000/D1695</f>
        <v>1074444.18832739</v>
      </c>
      <c r="I1695" t="str">
        <f>IF(AND(B1695&gt;=2018, B1695&lt;=2021), "2018-2021", IF(AND(B1695&gt;=2022, B1695&lt;=2024), "2022-2024", "Other"))</f>
        <v>2018-2021</v>
      </c>
    </row>
    <row r="1696" spans="1:9" x14ac:dyDescent="0.3">
      <c r="A1696" t="s">
        <v>20</v>
      </c>
      <c r="B1696">
        <v>2019</v>
      </c>
      <c r="C1696" t="s">
        <v>6</v>
      </c>
      <c r="D1696">
        <v>1838.52</v>
      </c>
      <c r="E1696">
        <v>2179.56</v>
      </c>
      <c r="F1696">
        <v>87.52</v>
      </c>
      <c r="G1696">
        <v>380.11</v>
      </c>
      <c r="H1696">
        <f>E1696*1000000/D1696</f>
        <v>1185497.0302199596</v>
      </c>
      <c r="I1696" t="str">
        <f>IF(AND(B1696&gt;=2018, B1696&lt;=2021), "2018-2021", IF(AND(B1696&gt;=2022, B1696&lt;=2024), "2022-2024", "Other"))</f>
        <v>2018-2021</v>
      </c>
    </row>
    <row r="1697" spans="1:9" x14ac:dyDescent="0.3">
      <c r="A1697" t="s">
        <v>7</v>
      </c>
      <c r="B1697">
        <v>2023</v>
      </c>
      <c r="C1697" t="s">
        <v>0</v>
      </c>
      <c r="D1697">
        <v>1712.49</v>
      </c>
      <c r="E1697">
        <v>2031.46</v>
      </c>
      <c r="F1697">
        <v>101.2</v>
      </c>
      <c r="G1697">
        <v>878.61</v>
      </c>
      <c r="H1697">
        <f>E1697*1000000/D1697</f>
        <v>1186260.9416697323</v>
      </c>
      <c r="I1697" t="str">
        <f>IF(AND(B1697&gt;=2018, B1697&lt;=2021), "2018-2021", IF(AND(B1697&gt;=2022, B1697&lt;=2024), "2022-2024", "Other"))</f>
        <v>2022-2024</v>
      </c>
    </row>
    <row r="1698" spans="1:9" x14ac:dyDescent="0.3">
      <c r="A1698" t="s">
        <v>22</v>
      </c>
      <c r="B1698">
        <v>2023</v>
      </c>
      <c r="C1698" t="s">
        <v>2</v>
      </c>
      <c r="D1698">
        <v>47671.19</v>
      </c>
      <c r="E1698">
        <v>44285.41</v>
      </c>
      <c r="F1698">
        <v>34.270000000000003</v>
      </c>
      <c r="G1698">
        <v>333.53</v>
      </c>
      <c r="H1698">
        <f>E1698*1000000/D1698</f>
        <v>928976.39014255779</v>
      </c>
      <c r="I1698" t="str">
        <f>IF(AND(B1698&gt;=2018, B1698&lt;=2021), "2018-2021", IF(AND(B1698&gt;=2022, B1698&lt;=2024), "2022-2024", "Other"))</f>
        <v>2022-2024</v>
      </c>
    </row>
    <row r="1699" spans="1:9" x14ac:dyDescent="0.3">
      <c r="A1699" t="s">
        <v>1</v>
      </c>
      <c r="B1699">
        <v>2024</v>
      </c>
      <c r="C1699" t="s">
        <v>2</v>
      </c>
      <c r="D1699">
        <v>7967.52</v>
      </c>
      <c r="E1699">
        <v>9053.5499999999993</v>
      </c>
      <c r="F1699">
        <v>78.260000000000005</v>
      </c>
      <c r="G1699">
        <v>1089.8499999999999</v>
      </c>
      <c r="H1699">
        <f>E1699*1000000/D1699</f>
        <v>1136307.1570576541</v>
      </c>
      <c r="I1699" t="str">
        <f>IF(AND(B1699&gt;=2018, B1699&lt;=2021), "2018-2021", IF(AND(B1699&gt;=2022, B1699&lt;=2024), "2022-2024", "Other"))</f>
        <v>2022-2024</v>
      </c>
    </row>
    <row r="1700" spans="1:9" x14ac:dyDescent="0.3">
      <c r="A1700" t="s">
        <v>5</v>
      </c>
      <c r="B1700">
        <v>2023</v>
      </c>
      <c r="C1700" t="s">
        <v>8</v>
      </c>
      <c r="D1700">
        <v>41850.06</v>
      </c>
      <c r="E1700">
        <v>43474.2</v>
      </c>
      <c r="F1700">
        <v>66.45</v>
      </c>
      <c r="G1700">
        <v>216.97</v>
      </c>
      <c r="H1700">
        <f>E1700*1000000/D1700</f>
        <v>1038808.5465110445</v>
      </c>
      <c r="I1700" t="str">
        <f>IF(AND(B1700&gt;=2018, B1700&lt;=2021), "2018-2021", IF(AND(B1700&gt;=2022, B1700&lt;=2024), "2022-2024", "Other"))</f>
        <v>2022-2024</v>
      </c>
    </row>
    <row r="1701" spans="1:9" x14ac:dyDescent="0.3">
      <c r="A1701" t="s">
        <v>27</v>
      </c>
      <c r="B1701">
        <v>2022</v>
      </c>
      <c r="C1701" t="s">
        <v>14</v>
      </c>
      <c r="D1701">
        <v>19720.77</v>
      </c>
      <c r="E1701">
        <v>22541.93</v>
      </c>
      <c r="F1701">
        <v>161.86000000000001</v>
      </c>
      <c r="G1701">
        <v>327.56</v>
      </c>
      <c r="H1701">
        <f>E1701*1000000/D1701</f>
        <v>1143055.266097622</v>
      </c>
      <c r="I1701" t="str">
        <f>IF(AND(B1701&gt;=2018, B1701&lt;=2021), "2018-2021", IF(AND(B1701&gt;=2022, B1701&lt;=2024), "2022-2024", "Other"))</f>
        <v>2022-2024</v>
      </c>
    </row>
    <row r="1702" spans="1:9" x14ac:dyDescent="0.3">
      <c r="A1702" t="s">
        <v>19</v>
      </c>
      <c r="B1702">
        <v>2022</v>
      </c>
      <c r="C1702" t="s">
        <v>14</v>
      </c>
      <c r="D1702">
        <v>31653.3</v>
      </c>
      <c r="E1702">
        <v>35258.379999999997</v>
      </c>
      <c r="F1702">
        <v>136.29</v>
      </c>
      <c r="G1702">
        <v>98.77</v>
      </c>
      <c r="H1702">
        <f>E1702*1000000/D1702</f>
        <v>1113892.7062897077</v>
      </c>
      <c r="I1702" t="str">
        <f>IF(AND(B1702&gt;=2018, B1702&lt;=2021), "2018-2021", IF(AND(B1702&gt;=2022, B1702&lt;=2024), "2022-2024", "Other"))</f>
        <v>2022-2024</v>
      </c>
    </row>
    <row r="1703" spans="1:9" x14ac:dyDescent="0.3">
      <c r="A1703" t="s">
        <v>3</v>
      </c>
      <c r="B1703">
        <v>2024</v>
      </c>
      <c r="C1703" t="s">
        <v>6</v>
      </c>
      <c r="D1703">
        <v>37434.92</v>
      </c>
      <c r="E1703">
        <v>42099.74</v>
      </c>
      <c r="F1703">
        <v>41.77</v>
      </c>
      <c r="G1703">
        <v>620.77</v>
      </c>
      <c r="H1703">
        <f>E1703*1000000/D1703</f>
        <v>1124611.4590334373</v>
      </c>
      <c r="I1703" t="str">
        <f>IF(AND(B1703&gt;=2018, B1703&lt;=2021), "2018-2021", IF(AND(B1703&gt;=2022, B1703&lt;=2024), "2022-2024", "Other"))</f>
        <v>2022-2024</v>
      </c>
    </row>
    <row r="1704" spans="1:9" x14ac:dyDescent="0.3">
      <c r="A1704" t="s">
        <v>15</v>
      </c>
      <c r="B1704">
        <v>2020</v>
      </c>
      <c r="C1704" t="s">
        <v>12</v>
      </c>
      <c r="D1704">
        <v>15888.42</v>
      </c>
      <c r="E1704">
        <v>15135.89</v>
      </c>
      <c r="F1704">
        <v>162.68</v>
      </c>
      <c r="G1704">
        <v>786.51</v>
      </c>
      <c r="H1704">
        <f>E1704*1000000/D1704</f>
        <v>952636.57431009505</v>
      </c>
      <c r="I1704" t="str">
        <f>IF(AND(B1704&gt;=2018, B1704&lt;=2021), "2018-2021", IF(AND(B1704&gt;=2022, B1704&lt;=2024), "2022-2024", "Other"))</f>
        <v>2018-2021</v>
      </c>
    </row>
    <row r="1705" spans="1:9" x14ac:dyDescent="0.3">
      <c r="A1705" t="s">
        <v>10</v>
      </c>
      <c r="B1705">
        <v>2020</v>
      </c>
      <c r="C1705" t="s">
        <v>9</v>
      </c>
      <c r="D1705">
        <v>19198.98</v>
      </c>
      <c r="E1705">
        <v>19713.53</v>
      </c>
      <c r="F1705">
        <v>78.709999999999994</v>
      </c>
      <c r="G1705">
        <v>1313.9</v>
      </c>
      <c r="H1705">
        <f>E1705*1000000/D1705</f>
        <v>1026800.9029646367</v>
      </c>
      <c r="I1705" t="str">
        <f>IF(AND(B1705&gt;=2018, B1705&lt;=2021), "2018-2021", IF(AND(B1705&gt;=2022, B1705&lt;=2024), "2022-2024", "Other"))</f>
        <v>2018-2021</v>
      </c>
    </row>
    <row r="1706" spans="1:9" x14ac:dyDescent="0.3">
      <c r="A1706" t="s">
        <v>17</v>
      </c>
      <c r="B1706">
        <v>2019</v>
      </c>
      <c r="C1706" t="s">
        <v>6</v>
      </c>
      <c r="D1706">
        <v>31339.63</v>
      </c>
      <c r="E1706">
        <v>25846.28</v>
      </c>
      <c r="F1706">
        <v>92.33</v>
      </c>
      <c r="G1706">
        <v>934.34</v>
      </c>
      <c r="H1706">
        <f>E1706*1000000/D1706</f>
        <v>824715.54386570607</v>
      </c>
      <c r="I1706" t="str">
        <f>IF(AND(B1706&gt;=2018, B1706&lt;=2021), "2018-2021", IF(AND(B1706&gt;=2022, B1706&lt;=2024), "2022-2024", "Other"))</f>
        <v>2018-2021</v>
      </c>
    </row>
    <row r="1707" spans="1:9" x14ac:dyDescent="0.3">
      <c r="A1707" t="s">
        <v>11</v>
      </c>
      <c r="B1707">
        <v>2024</v>
      </c>
      <c r="C1707" t="s">
        <v>4</v>
      </c>
      <c r="D1707">
        <v>13361.44</v>
      </c>
      <c r="E1707">
        <v>12970.16</v>
      </c>
      <c r="F1707">
        <v>27.01</v>
      </c>
      <c r="G1707">
        <v>609.6</v>
      </c>
      <c r="H1707">
        <f>E1707*1000000/D1707</f>
        <v>970715.73123854911</v>
      </c>
      <c r="I1707" t="str">
        <f>IF(AND(B1707&gt;=2018, B1707&lt;=2021), "2018-2021", IF(AND(B1707&gt;=2022, B1707&lt;=2024), "2022-2024", "Other"))</f>
        <v>2022-2024</v>
      </c>
    </row>
    <row r="1708" spans="1:9" x14ac:dyDescent="0.3">
      <c r="A1708" t="s">
        <v>18</v>
      </c>
      <c r="B1708">
        <v>2020</v>
      </c>
      <c r="C1708" t="s">
        <v>4</v>
      </c>
      <c r="D1708">
        <v>26268.6</v>
      </c>
      <c r="E1708">
        <v>29249.71</v>
      </c>
      <c r="F1708">
        <v>23.25</v>
      </c>
      <c r="G1708">
        <v>1047.3699999999999</v>
      </c>
      <c r="H1708">
        <f>E1708*1000000/D1708</f>
        <v>1113485.6825259055</v>
      </c>
      <c r="I1708" t="str">
        <f>IF(AND(B1708&gt;=2018, B1708&lt;=2021), "2018-2021", IF(AND(B1708&gt;=2022, B1708&lt;=2024), "2022-2024", "Other"))</f>
        <v>2018-2021</v>
      </c>
    </row>
    <row r="1709" spans="1:9" x14ac:dyDescent="0.3">
      <c r="A1709" t="s">
        <v>23</v>
      </c>
      <c r="B1709">
        <v>2021</v>
      </c>
      <c r="C1709" t="s">
        <v>0</v>
      </c>
      <c r="D1709">
        <v>19136.84</v>
      </c>
      <c r="E1709">
        <v>19596.66</v>
      </c>
      <c r="F1709">
        <v>99.03</v>
      </c>
      <c r="G1709">
        <v>926.63</v>
      </c>
      <c r="H1709">
        <f>E1709*1000000/D1709</f>
        <v>1024028.0004431243</v>
      </c>
      <c r="I1709" t="str">
        <f>IF(AND(B1709&gt;=2018, B1709&lt;=2021), "2018-2021", IF(AND(B1709&gt;=2022, B1709&lt;=2024), "2022-2024", "Other"))</f>
        <v>2018-2021</v>
      </c>
    </row>
    <row r="1710" spans="1:9" x14ac:dyDescent="0.3">
      <c r="A1710" t="s">
        <v>5</v>
      </c>
      <c r="B1710">
        <v>2023</v>
      </c>
      <c r="C1710" t="s">
        <v>0</v>
      </c>
      <c r="D1710">
        <v>842.5</v>
      </c>
      <c r="E1710">
        <v>947.94</v>
      </c>
      <c r="F1710">
        <v>123.55</v>
      </c>
      <c r="G1710">
        <v>1097</v>
      </c>
      <c r="H1710">
        <f>E1710*1000000/D1710</f>
        <v>1125151.3353115728</v>
      </c>
      <c r="I1710" t="str">
        <f>IF(AND(B1710&gt;=2018, B1710&lt;=2021), "2018-2021", IF(AND(B1710&gt;=2022, B1710&lt;=2024), "2022-2024", "Other"))</f>
        <v>2022-2024</v>
      </c>
    </row>
    <row r="1711" spans="1:9" x14ac:dyDescent="0.3">
      <c r="A1711" t="s">
        <v>16</v>
      </c>
      <c r="B1711">
        <v>2018</v>
      </c>
      <c r="C1711" t="s">
        <v>2</v>
      </c>
      <c r="D1711">
        <v>14796.26</v>
      </c>
      <c r="E1711">
        <v>15199.69</v>
      </c>
      <c r="F1711">
        <v>51.6</v>
      </c>
      <c r="G1711">
        <v>335.12</v>
      </c>
      <c r="H1711">
        <f>E1711*1000000/D1711</f>
        <v>1027265.6738932676</v>
      </c>
      <c r="I1711" t="str">
        <f>IF(AND(B1711&gt;=2018, B1711&lt;=2021), "2018-2021", IF(AND(B1711&gt;=2022, B1711&lt;=2024), "2022-2024", "Other"))</f>
        <v>2018-2021</v>
      </c>
    </row>
    <row r="1712" spans="1:9" x14ac:dyDescent="0.3">
      <c r="A1712" t="s">
        <v>10</v>
      </c>
      <c r="B1712">
        <v>2024</v>
      </c>
      <c r="C1712" t="s">
        <v>14</v>
      </c>
      <c r="D1712">
        <v>38171.54</v>
      </c>
      <c r="E1712">
        <v>38081.43</v>
      </c>
      <c r="F1712">
        <v>140.05000000000001</v>
      </c>
      <c r="G1712">
        <v>340.75</v>
      </c>
      <c r="H1712">
        <f>E1712*1000000/D1712</f>
        <v>997639.34072348138</v>
      </c>
      <c r="I1712" t="str">
        <f>IF(AND(B1712&gt;=2018, B1712&lt;=2021), "2018-2021", IF(AND(B1712&gt;=2022, B1712&lt;=2024), "2022-2024", "Other"))</f>
        <v>2022-2024</v>
      </c>
    </row>
    <row r="1713" spans="1:9" x14ac:dyDescent="0.3">
      <c r="A1713" t="s">
        <v>20</v>
      </c>
      <c r="B1713">
        <v>2018</v>
      </c>
      <c r="C1713" t="s">
        <v>4</v>
      </c>
      <c r="D1713">
        <v>35651.410000000003</v>
      </c>
      <c r="E1713">
        <v>42058.68</v>
      </c>
      <c r="F1713">
        <v>107.05</v>
      </c>
      <c r="G1713">
        <v>1138.1199999999999</v>
      </c>
      <c r="H1713">
        <f>E1713*1000000/D1713</f>
        <v>1179719.9605850091</v>
      </c>
      <c r="I1713" t="str">
        <f>IF(AND(B1713&gt;=2018, B1713&lt;=2021), "2018-2021", IF(AND(B1713&gt;=2022, B1713&lt;=2024), "2022-2024", "Other"))</f>
        <v>2018-2021</v>
      </c>
    </row>
    <row r="1714" spans="1:9" x14ac:dyDescent="0.3">
      <c r="A1714" t="s">
        <v>22</v>
      </c>
      <c r="B1714">
        <v>2021</v>
      </c>
      <c r="C1714" t="s">
        <v>12</v>
      </c>
      <c r="D1714">
        <v>8387.3799999999992</v>
      </c>
      <c r="E1714">
        <v>7124.6</v>
      </c>
      <c r="F1714">
        <v>48.27</v>
      </c>
      <c r="G1714">
        <v>416.51</v>
      </c>
      <c r="H1714">
        <f>E1714*1000000/D1714</f>
        <v>849442.85342979582</v>
      </c>
      <c r="I1714" t="str">
        <f>IF(AND(B1714&gt;=2018, B1714&lt;=2021), "2018-2021", IF(AND(B1714&gt;=2022, B1714&lt;=2024), "2022-2024", "Other"))</f>
        <v>2018-2021</v>
      </c>
    </row>
    <row r="1715" spans="1:9" x14ac:dyDescent="0.3">
      <c r="A1715" t="s">
        <v>16</v>
      </c>
      <c r="B1715">
        <v>2024</v>
      </c>
      <c r="C1715" t="s">
        <v>9</v>
      </c>
      <c r="D1715">
        <v>43166.14</v>
      </c>
      <c r="E1715">
        <v>42762.22</v>
      </c>
      <c r="F1715">
        <v>90.23</v>
      </c>
      <c r="G1715">
        <v>721.96</v>
      </c>
      <c r="H1715">
        <f>E1715*1000000/D1715</f>
        <v>990642.66575607646</v>
      </c>
      <c r="I1715" t="str">
        <f>IF(AND(B1715&gt;=2018, B1715&lt;=2021), "2018-2021", IF(AND(B1715&gt;=2022, B1715&lt;=2024), "2022-2024", "Other"))</f>
        <v>2022-2024</v>
      </c>
    </row>
    <row r="1716" spans="1:9" x14ac:dyDescent="0.3">
      <c r="A1716" t="s">
        <v>3</v>
      </c>
      <c r="B1716">
        <v>2020</v>
      </c>
      <c r="C1716" t="s">
        <v>14</v>
      </c>
      <c r="D1716">
        <v>25602.25</v>
      </c>
      <c r="E1716">
        <v>22353.88</v>
      </c>
      <c r="F1716">
        <v>118.49</v>
      </c>
      <c r="G1716">
        <v>749.89</v>
      </c>
      <c r="H1716">
        <f>E1716*1000000/D1716</f>
        <v>873121.6982882364</v>
      </c>
      <c r="I1716" t="str">
        <f>IF(AND(B1716&gt;=2018, B1716&lt;=2021), "2018-2021", IF(AND(B1716&gt;=2022, B1716&lt;=2024), "2022-2024", "Other"))</f>
        <v>2018-2021</v>
      </c>
    </row>
    <row r="1717" spans="1:9" x14ac:dyDescent="0.3">
      <c r="A1717" t="s">
        <v>24</v>
      </c>
      <c r="B1717">
        <v>2022</v>
      </c>
      <c r="C1717" t="s">
        <v>9</v>
      </c>
      <c r="D1717">
        <v>40757.120000000003</v>
      </c>
      <c r="E1717">
        <v>39501.14</v>
      </c>
      <c r="F1717">
        <v>123.04</v>
      </c>
      <c r="G1717">
        <v>668.61</v>
      </c>
      <c r="H1717">
        <f>E1717*1000000/D1717</f>
        <v>969183.789237316</v>
      </c>
      <c r="I1717" t="str">
        <f>IF(AND(B1717&gt;=2018, B1717&lt;=2021), "2018-2021", IF(AND(B1717&gt;=2022, B1717&lt;=2024), "2022-2024", "Other"))</f>
        <v>2022-2024</v>
      </c>
    </row>
    <row r="1718" spans="1:9" x14ac:dyDescent="0.3">
      <c r="A1718" t="s">
        <v>15</v>
      </c>
      <c r="B1718">
        <v>2023</v>
      </c>
      <c r="C1718" t="s">
        <v>14</v>
      </c>
      <c r="D1718">
        <v>12295.52</v>
      </c>
      <c r="E1718">
        <v>12498.26</v>
      </c>
      <c r="F1718">
        <v>158.68</v>
      </c>
      <c r="G1718">
        <v>1210.98</v>
      </c>
      <c r="H1718">
        <f>E1718*1000000/D1718</f>
        <v>1016488.9325542962</v>
      </c>
      <c r="I1718" t="str">
        <f>IF(AND(B1718&gt;=2018, B1718&lt;=2021), "2018-2021", IF(AND(B1718&gt;=2022, B1718&lt;=2024), "2022-2024", "Other"))</f>
        <v>2022-2024</v>
      </c>
    </row>
    <row r="1719" spans="1:9" x14ac:dyDescent="0.3">
      <c r="A1719" t="s">
        <v>24</v>
      </c>
      <c r="B1719">
        <v>2024</v>
      </c>
      <c r="C1719" t="s">
        <v>8</v>
      </c>
      <c r="D1719">
        <v>32745.8</v>
      </c>
      <c r="E1719">
        <v>29929.73</v>
      </c>
      <c r="F1719">
        <v>113.34</v>
      </c>
      <c r="G1719">
        <v>222.23</v>
      </c>
      <c r="H1719">
        <f>E1719*1000000/D1719</f>
        <v>914002.10103280423</v>
      </c>
      <c r="I1719" t="str">
        <f>IF(AND(B1719&gt;=2018, B1719&lt;=2021), "2018-2021", IF(AND(B1719&gt;=2022, B1719&lt;=2024), "2022-2024", "Other"))</f>
        <v>2022-2024</v>
      </c>
    </row>
    <row r="1720" spans="1:9" x14ac:dyDescent="0.3">
      <c r="A1720" t="s">
        <v>22</v>
      </c>
      <c r="B1720">
        <v>2024</v>
      </c>
      <c r="C1720" t="s">
        <v>4</v>
      </c>
      <c r="D1720">
        <v>45030.47</v>
      </c>
      <c r="E1720">
        <v>41196.589999999997</v>
      </c>
      <c r="F1720">
        <v>92.94</v>
      </c>
      <c r="G1720">
        <v>1119.04</v>
      </c>
      <c r="H1720">
        <f>E1720*1000000/D1720</f>
        <v>914860.31569290743</v>
      </c>
      <c r="I1720" t="str">
        <f>IF(AND(B1720&gt;=2018, B1720&lt;=2021), "2018-2021", IF(AND(B1720&gt;=2022, B1720&lt;=2024), "2022-2024", "Other"))</f>
        <v>2022-2024</v>
      </c>
    </row>
    <row r="1721" spans="1:9" x14ac:dyDescent="0.3">
      <c r="A1721" t="s">
        <v>20</v>
      </c>
      <c r="B1721">
        <v>2022</v>
      </c>
      <c r="C1721" t="s">
        <v>12</v>
      </c>
      <c r="D1721">
        <v>16373.89</v>
      </c>
      <c r="E1721">
        <v>14440.85</v>
      </c>
      <c r="F1721">
        <v>118.1</v>
      </c>
      <c r="G1721">
        <v>1242.49</v>
      </c>
      <c r="H1721">
        <f>E1721*1000000/D1721</f>
        <v>881943.75313380023</v>
      </c>
      <c r="I1721" t="str">
        <f>IF(AND(B1721&gt;=2018, B1721&lt;=2021), "2018-2021", IF(AND(B1721&gt;=2022, B1721&lt;=2024), "2022-2024", "Other"))</f>
        <v>2022-2024</v>
      </c>
    </row>
    <row r="1722" spans="1:9" x14ac:dyDescent="0.3">
      <c r="A1722" t="s">
        <v>20</v>
      </c>
      <c r="B1722">
        <v>2021</v>
      </c>
      <c r="C1722" t="s">
        <v>6</v>
      </c>
      <c r="D1722">
        <v>9209.33</v>
      </c>
      <c r="E1722">
        <v>10673.4</v>
      </c>
      <c r="F1722">
        <v>130.27000000000001</v>
      </c>
      <c r="G1722">
        <v>493.96</v>
      </c>
      <c r="H1722">
        <f>E1722*1000000/D1722</f>
        <v>1158976.8202464241</v>
      </c>
      <c r="I1722" t="str">
        <f>IF(AND(B1722&gt;=2018, B1722&lt;=2021), "2018-2021", IF(AND(B1722&gt;=2022, B1722&lt;=2024), "2022-2024", "Other"))</f>
        <v>2018-2021</v>
      </c>
    </row>
    <row r="1723" spans="1:9" x14ac:dyDescent="0.3">
      <c r="A1723" t="s">
        <v>16</v>
      </c>
      <c r="B1723">
        <v>2023</v>
      </c>
      <c r="C1723" t="s">
        <v>8</v>
      </c>
      <c r="D1723">
        <v>49737.09</v>
      </c>
      <c r="E1723">
        <v>57141.36</v>
      </c>
      <c r="F1723">
        <v>48.65</v>
      </c>
      <c r="G1723">
        <v>291.33</v>
      </c>
      <c r="H1723">
        <f>E1723*1000000/D1723</f>
        <v>1148868.1786570144</v>
      </c>
      <c r="I1723" t="str">
        <f>IF(AND(B1723&gt;=2018, B1723&lt;=2021), "2018-2021", IF(AND(B1723&gt;=2022, B1723&lt;=2024), "2022-2024", "Other"))</f>
        <v>2022-2024</v>
      </c>
    </row>
    <row r="1724" spans="1:9" x14ac:dyDescent="0.3">
      <c r="A1724" t="s">
        <v>10</v>
      </c>
      <c r="B1724">
        <v>2024</v>
      </c>
      <c r="C1724" t="s">
        <v>6</v>
      </c>
      <c r="D1724">
        <v>44233.62</v>
      </c>
      <c r="E1724">
        <v>48960.11</v>
      </c>
      <c r="F1724">
        <v>41.35</v>
      </c>
      <c r="G1724">
        <v>454.89</v>
      </c>
      <c r="H1724">
        <f>E1724*1000000/D1724</f>
        <v>1106852.8870121867</v>
      </c>
      <c r="I1724" t="str">
        <f>IF(AND(B1724&gt;=2018, B1724&lt;=2021), "2018-2021", IF(AND(B1724&gt;=2022, B1724&lt;=2024), "2022-2024", "Other"))</f>
        <v>2022-2024</v>
      </c>
    </row>
    <row r="1725" spans="1:9" x14ac:dyDescent="0.3">
      <c r="A1725" t="s">
        <v>22</v>
      </c>
      <c r="B1725">
        <v>2022</v>
      </c>
      <c r="C1725" t="s">
        <v>0</v>
      </c>
      <c r="D1725">
        <v>6263.58</v>
      </c>
      <c r="E1725">
        <v>7038.29</v>
      </c>
      <c r="F1725">
        <v>183.38</v>
      </c>
      <c r="G1725">
        <v>1030.1400000000001</v>
      </c>
      <c r="H1725">
        <f>E1725*1000000/D1725</f>
        <v>1123684.8575415337</v>
      </c>
      <c r="I1725" t="str">
        <f>IF(AND(B1725&gt;=2018, B1725&lt;=2021), "2018-2021", IF(AND(B1725&gt;=2022, B1725&lt;=2024), "2022-2024", "Other"))</f>
        <v>2022-2024</v>
      </c>
    </row>
    <row r="1726" spans="1:9" x14ac:dyDescent="0.3">
      <c r="A1726" t="s">
        <v>22</v>
      </c>
      <c r="B1726">
        <v>2022</v>
      </c>
      <c r="C1726" t="s">
        <v>6</v>
      </c>
      <c r="D1726">
        <v>46070.81</v>
      </c>
      <c r="E1726">
        <v>46684.82</v>
      </c>
      <c r="F1726">
        <v>58.47</v>
      </c>
      <c r="G1726">
        <v>674.67</v>
      </c>
      <c r="H1726">
        <f>E1726*1000000/D1726</f>
        <v>1013327.5277773497</v>
      </c>
      <c r="I1726" t="str">
        <f>IF(AND(B1726&gt;=2018, B1726&lt;=2021), "2018-2021", IF(AND(B1726&gt;=2022, B1726&lt;=2024), "2022-2024", "Other"))</f>
        <v>2022-2024</v>
      </c>
    </row>
    <row r="1727" spans="1:9" x14ac:dyDescent="0.3">
      <c r="A1727" t="s">
        <v>16</v>
      </c>
      <c r="B1727">
        <v>2019</v>
      </c>
      <c r="C1727" t="s">
        <v>4</v>
      </c>
      <c r="D1727">
        <v>4238.6899999999996</v>
      </c>
      <c r="E1727">
        <v>4890.25</v>
      </c>
      <c r="F1727">
        <v>165.2</v>
      </c>
      <c r="G1727">
        <v>239.82</v>
      </c>
      <c r="H1727">
        <f>E1727*1000000/D1727</f>
        <v>1153717.3041670895</v>
      </c>
      <c r="I1727" t="str">
        <f>IF(AND(B1727&gt;=2018, B1727&lt;=2021), "2018-2021", IF(AND(B1727&gt;=2022, B1727&lt;=2024), "2022-2024", "Other"))</f>
        <v>2018-2021</v>
      </c>
    </row>
    <row r="1728" spans="1:9" x14ac:dyDescent="0.3">
      <c r="A1728" t="s">
        <v>13</v>
      </c>
      <c r="B1728">
        <v>2021</v>
      </c>
      <c r="C1728" t="s">
        <v>14</v>
      </c>
      <c r="D1728">
        <v>27690.42</v>
      </c>
      <c r="E1728">
        <v>32462.18</v>
      </c>
      <c r="F1728">
        <v>94.21</v>
      </c>
      <c r="G1728">
        <v>1210</v>
      </c>
      <c r="H1728">
        <f>E1728*1000000/D1728</f>
        <v>1172325.3023970025</v>
      </c>
      <c r="I1728" t="str">
        <f>IF(AND(B1728&gt;=2018, B1728&lt;=2021), "2018-2021", IF(AND(B1728&gt;=2022, B1728&lt;=2024), "2022-2024", "Other"))</f>
        <v>2018-2021</v>
      </c>
    </row>
    <row r="1729" spans="1:9" x14ac:dyDescent="0.3">
      <c r="A1729" t="s">
        <v>15</v>
      </c>
      <c r="B1729">
        <v>2020</v>
      </c>
      <c r="C1729" t="s">
        <v>0</v>
      </c>
      <c r="D1729">
        <v>43866.239999999998</v>
      </c>
      <c r="E1729">
        <v>38226.46</v>
      </c>
      <c r="F1729">
        <v>86.05</v>
      </c>
      <c r="G1729">
        <v>273.33</v>
      </c>
      <c r="H1729">
        <f>E1729*1000000/D1729</f>
        <v>871432.3361199866</v>
      </c>
      <c r="I1729" t="str">
        <f>IF(AND(B1729&gt;=2018, B1729&lt;=2021), "2018-2021", IF(AND(B1729&gt;=2022, B1729&lt;=2024), "2022-2024", "Other"))</f>
        <v>2018-2021</v>
      </c>
    </row>
    <row r="1730" spans="1:9" x14ac:dyDescent="0.3">
      <c r="A1730" t="s">
        <v>20</v>
      </c>
      <c r="B1730">
        <v>2023</v>
      </c>
      <c r="C1730" t="s">
        <v>6</v>
      </c>
      <c r="D1730">
        <v>29950.37</v>
      </c>
      <c r="E1730">
        <v>29371.74</v>
      </c>
      <c r="F1730">
        <v>80.39</v>
      </c>
      <c r="G1730">
        <v>1337.46</v>
      </c>
      <c r="H1730">
        <f>E1730*1000000/D1730</f>
        <v>980680.37222912442</v>
      </c>
      <c r="I1730" t="str">
        <f>IF(AND(B1730&gt;=2018, B1730&lt;=2021), "2018-2021", IF(AND(B1730&gt;=2022, B1730&lt;=2024), "2022-2024", "Other"))</f>
        <v>2022-2024</v>
      </c>
    </row>
    <row r="1731" spans="1:9" x14ac:dyDescent="0.3">
      <c r="A1731" t="s">
        <v>25</v>
      </c>
      <c r="B1731">
        <v>2018</v>
      </c>
      <c r="C1731" t="s">
        <v>2</v>
      </c>
      <c r="D1731">
        <v>47812.52</v>
      </c>
      <c r="E1731">
        <v>56261.23</v>
      </c>
      <c r="F1731">
        <v>86.12</v>
      </c>
      <c r="G1731">
        <v>719.57</v>
      </c>
      <c r="H1731">
        <f>E1731*1000000/D1731</f>
        <v>1176704.9718358289</v>
      </c>
      <c r="I1731" t="str">
        <f>IF(AND(B1731&gt;=2018, B1731&lt;=2021), "2018-2021", IF(AND(B1731&gt;=2022, B1731&lt;=2024), "2022-2024", "Other"))</f>
        <v>2018-2021</v>
      </c>
    </row>
    <row r="1732" spans="1:9" x14ac:dyDescent="0.3">
      <c r="A1732" t="s">
        <v>19</v>
      </c>
      <c r="B1732">
        <v>2019</v>
      </c>
      <c r="C1732" t="s">
        <v>6</v>
      </c>
      <c r="D1732">
        <v>15618.75</v>
      </c>
      <c r="E1732">
        <v>17114.68</v>
      </c>
      <c r="F1732">
        <v>188.62</v>
      </c>
      <c r="G1732">
        <v>707.74</v>
      </c>
      <c r="H1732">
        <f>E1732*1000000/D1732</f>
        <v>1095777.8311324529</v>
      </c>
      <c r="I1732" t="str">
        <f>IF(AND(B1732&gt;=2018, B1732&lt;=2021), "2018-2021", IF(AND(B1732&gt;=2022, B1732&lt;=2024), "2022-2024", "Other"))</f>
        <v>2018-2021</v>
      </c>
    </row>
    <row r="1733" spans="1:9" x14ac:dyDescent="0.3">
      <c r="A1733" t="s">
        <v>24</v>
      </c>
      <c r="B1733">
        <v>2022</v>
      </c>
      <c r="C1733" t="s">
        <v>0</v>
      </c>
      <c r="D1733">
        <v>6358.72</v>
      </c>
      <c r="E1733">
        <v>6242.26</v>
      </c>
      <c r="F1733">
        <v>85.89</v>
      </c>
      <c r="G1733">
        <v>220.23</v>
      </c>
      <c r="H1733">
        <f>E1733*1000000/D1733</f>
        <v>981684.99320617982</v>
      </c>
      <c r="I1733" t="str">
        <f>IF(AND(B1733&gt;=2018, B1733&lt;=2021), "2018-2021", IF(AND(B1733&gt;=2022, B1733&lt;=2024), "2022-2024", "Other"))</f>
        <v>2022-2024</v>
      </c>
    </row>
    <row r="1734" spans="1:9" x14ac:dyDescent="0.3">
      <c r="A1734" t="s">
        <v>15</v>
      </c>
      <c r="B1734">
        <v>2019</v>
      </c>
      <c r="C1734" t="s">
        <v>12</v>
      </c>
      <c r="D1734">
        <v>45407.23</v>
      </c>
      <c r="E1734">
        <v>41091.54</v>
      </c>
      <c r="F1734">
        <v>121.71</v>
      </c>
      <c r="G1734">
        <v>1285.6300000000001</v>
      </c>
      <c r="H1734">
        <f>E1734*1000000/D1734</f>
        <v>904955.88477870147</v>
      </c>
      <c r="I1734" t="str">
        <f>IF(AND(B1734&gt;=2018, B1734&lt;=2021), "2018-2021", IF(AND(B1734&gt;=2022, B1734&lt;=2024), "2022-2024", "Other"))</f>
        <v>2018-2021</v>
      </c>
    </row>
    <row r="1735" spans="1:9" x14ac:dyDescent="0.3">
      <c r="A1735" t="s">
        <v>1</v>
      </c>
      <c r="B1735">
        <v>2022</v>
      </c>
      <c r="C1735" t="s">
        <v>6</v>
      </c>
      <c r="D1735">
        <v>29885.99</v>
      </c>
      <c r="E1735">
        <v>28704.65</v>
      </c>
      <c r="F1735">
        <v>187.19</v>
      </c>
      <c r="G1735">
        <v>411.09</v>
      </c>
      <c r="H1735">
        <f>E1735*1000000/D1735</f>
        <v>960471.77958635462</v>
      </c>
      <c r="I1735" t="str">
        <f>IF(AND(B1735&gt;=2018, B1735&lt;=2021), "2018-2021", IF(AND(B1735&gt;=2022, B1735&lt;=2024), "2022-2024", "Other"))</f>
        <v>2022-2024</v>
      </c>
    </row>
    <row r="1736" spans="1:9" x14ac:dyDescent="0.3">
      <c r="A1736" t="s">
        <v>20</v>
      </c>
      <c r="B1736">
        <v>2019</v>
      </c>
      <c r="C1736" t="s">
        <v>2</v>
      </c>
      <c r="D1736">
        <v>45475.46</v>
      </c>
      <c r="E1736">
        <v>47403.78</v>
      </c>
      <c r="F1736">
        <v>172.04</v>
      </c>
      <c r="G1736">
        <v>326.18</v>
      </c>
      <c r="H1736">
        <f>E1736*1000000/D1736</f>
        <v>1042403.5292881039</v>
      </c>
      <c r="I1736" t="str">
        <f>IF(AND(B1736&gt;=2018, B1736&lt;=2021), "2018-2021", IF(AND(B1736&gt;=2022, B1736&lt;=2024), "2022-2024", "Other"))</f>
        <v>2018-2021</v>
      </c>
    </row>
    <row r="1737" spans="1:9" x14ac:dyDescent="0.3">
      <c r="A1737" t="s">
        <v>1</v>
      </c>
      <c r="B1737">
        <v>2022</v>
      </c>
      <c r="C1737" t="s">
        <v>0</v>
      </c>
      <c r="D1737">
        <v>31197.91</v>
      </c>
      <c r="E1737">
        <v>28484.77</v>
      </c>
      <c r="F1737">
        <v>174.88</v>
      </c>
      <c r="G1737">
        <v>445.65</v>
      </c>
      <c r="H1737">
        <f>E1737*1000000/D1737</f>
        <v>913034.5590457822</v>
      </c>
      <c r="I1737" t="str">
        <f>IF(AND(B1737&gt;=2018, B1737&lt;=2021), "2018-2021", IF(AND(B1737&gt;=2022, B1737&lt;=2024), "2022-2024", "Other"))</f>
        <v>2022-2024</v>
      </c>
    </row>
    <row r="1738" spans="1:9" x14ac:dyDescent="0.3">
      <c r="A1738" t="s">
        <v>17</v>
      </c>
      <c r="B1738">
        <v>2022</v>
      </c>
      <c r="C1738" t="s">
        <v>0</v>
      </c>
      <c r="D1738">
        <v>48136.959999999999</v>
      </c>
      <c r="E1738">
        <v>43590.5</v>
      </c>
      <c r="F1738">
        <v>199.41</v>
      </c>
      <c r="G1738">
        <v>766.17</v>
      </c>
      <c r="H1738">
        <f>E1738*1000000/D1738</f>
        <v>905551.57616933016</v>
      </c>
      <c r="I1738" t="str">
        <f>IF(AND(B1738&gt;=2018, B1738&lt;=2021), "2018-2021", IF(AND(B1738&gt;=2022, B1738&lt;=2024), "2022-2024", "Other"))</f>
        <v>2022-2024</v>
      </c>
    </row>
    <row r="1739" spans="1:9" x14ac:dyDescent="0.3">
      <c r="A1739" t="s">
        <v>25</v>
      </c>
      <c r="B1739">
        <v>2022</v>
      </c>
      <c r="C1739" t="s">
        <v>12</v>
      </c>
      <c r="D1739">
        <v>42863.19</v>
      </c>
      <c r="E1739">
        <v>45929.85</v>
      </c>
      <c r="F1739">
        <v>115.61</v>
      </c>
      <c r="G1739">
        <v>143.68</v>
      </c>
      <c r="H1739">
        <f>E1739*1000000/D1739</f>
        <v>1071545.3049574704</v>
      </c>
      <c r="I1739" t="str">
        <f>IF(AND(B1739&gt;=2018, B1739&lt;=2021), "2018-2021", IF(AND(B1739&gt;=2022, B1739&lt;=2024), "2022-2024", "Other"))</f>
        <v>2022-2024</v>
      </c>
    </row>
    <row r="1740" spans="1:9" x14ac:dyDescent="0.3">
      <c r="A1740" t="s">
        <v>26</v>
      </c>
      <c r="B1740">
        <v>2021</v>
      </c>
      <c r="C1740" t="s">
        <v>14</v>
      </c>
      <c r="D1740">
        <v>46417.62</v>
      </c>
      <c r="E1740">
        <v>37255.81</v>
      </c>
      <c r="F1740">
        <v>138.6</v>
      </c>
      <c r="G1740">
        <v>380.54</v>
      </c>
      <c r="H1740">
        <f>E1740*1000000/D1740</f>
        <v>802622.15081255778</v>
      </c>
      <c r="I1740" t="str">
        <f>IF(AND(B1740&gt;=2018, B1740&lt;=2021), "2018-2021", IF(AND(B1740&gt;=2022, B1740&lt;=2024), "2022-2024", "Other"))</f>
        <v>2018-2021</v>
      </c>
    </row>
    <row r="1741" spans="1:9" x14ac:dyDescent="0.3">
      <c r="A1741" t="s">
        <v>27</v>
      </c>
      <c r="B1741">
        <v>2019</v>
      </c>
      <c r="C1741" t="s">
        <v>9</v>
      </c>
      <c r="D1741">
        <v>32616.89</v>
      </c>
      <c r="E1741">
        <v>35818.75</v>
      </c>
      <c r="F1741">
        <v>105.35</v>
      </c>
      <c r="G1741">
        <v>39.85</v>
      </c>
      <c r="H1741">
        <f>E1741*1000000/D1741</f>
        <v>1098165.7049461184</v>
      </c>
      <c r="I1741" t="str">
        <f>IF(AND(B1741&gt;=2018, B1741&lt;=2021), "2018-2021", IF(AND(B1741&gt;=2022, B1741&lt;=2024), "2022-2024", "Other"))</f>
        <v>2018-2021</v>
      </c>
    </row>
    <row r="1742" spans="1:9" x14ac:dyDescent="0.3">
      <c r="A1742" t="s">
        <v>3</v>
      </c>
      <c r="B1742">
        <v>2023</v>
      </c>
      <c r="C1742" t="s">
        <v>0</v>
      </c>
      <c r="D1742">
        <v>13151.02</v>
      </c>
      <c r="E1742">
        <v>12029.98</v>
      </c>
      <c r="F1742">
        <v>192.59</v>
      </c>
      <c r="G1742">
        <v>682.76</v>
      </c>
      <c r="H1742">
        <f>E1742*1000000/D1742</f>
        <v>914756.42193533271</v>
      </c>
      <c r="I1742" t="str">
        <f>IF(AND(B1742&gt;=2018, B1742&lt;=2021), "2018-2021", IF(AND(B1742&gt;=2022, B1742&lt;=2024), "2022-2024", "Other"))</f>
        <v>2022-2024</v>
      </c>
    </row>
    <row r="1743" spans="1:9" x14ac:dyDescent="0.3">
      <c r="A1743" t="s">
        <v>7</v>
      </c>
      <c r="B1743">
        <v>2021</v>
      </c>
      <c r="C1743" t="s">
        <v>6</v>
      </c>
      <c r="D1743">
        <v>8407.16</v>
      </c>
      <c r="E1743">
        <v>9735.68</v>
      </c>
      <c r="F1743">
        <v>45.43</v>
      </c>
      <c r="G1743">
        <v>1090.18</v>
      </c>
      <c r="H1743">
        <f>E1743*1000000/D1743</f>
        <v>1158022.4475328173</v>
      </c>
      <c r="I1743" t="str">
        <f>IF(AND(B1743&gt;=2018, B1743&lt;=2021), "2018-2021", IF(AND(B1743&gt;=2022, B1743&lt;=2024), "2022-2024", "Other"))</f>
        <v>2018-2021</v>
      </c>
    </row>
    <row r="1744" spans="1:9" x14ac:dyDescent="0.3">
      <c r="A1744" t="s">
        <v>19</v>
      </c>
      <c r="B1744">
        <v>2023</v>
      </c>
      <c r="C1744" t="s">
        <v>8</v>
      </c>
      <c r="D1744">
        <v>48793.72</v>
      </c>
      <c r="E1744">
        <v>49727.43</v>
      </c>
      <c r="F1744">
        <v>83.06</v>
      </c>
      <c r="G1744">
        <v>557.59</v>
      </c>
      <c r="H1744">
        <f>E1744*1000000/D1744</f>
        <v>1019135.8642054755</v>
      </c>
      <c r="I1744" t="str">
        <f>IF(AND(B1744&gt;=2018, B1744&lt;=2021), "2018-2021", IF(AND(B1744&gt;=2022, B1744&lt;=2024), "2022-2024", "Other"))</f>
        <v>2022-2024</v>
      </c>
    </row>
    <row r="1745" spans="1:9" x14ac:dyDescent="0.3">
      <c r="A1745" t="s">
        <v>16</v>
      </c>
      <c r="B1745">
        <v>2020</v>
      </c>
      <c r="C1745" t="s">
        <v>4</v>
      </c>
      <c r="D1745">
        <v>24587.1</v>
      </c>
      <c r="E1745">
        <v>22971.14</v>
      </c>
      <c r="F1745">
        <v>154.22</v>
      </c>
      <c r="G1745">
        <v>931.39</v>
      </c>
      <c r="H1745">
        <f>E1745*1000000/D1745</f>
        <v>934276.10413590877</v>
      </c>
      <c r="I1745" t="str">
        <f>IF(AND(B1745&gt;=2018, B1745&lt;=2021), "2018-2021", IF(AND(B1745&gt;=2022, B1745&lt;=2024), "2022-2024", "Other"))</f>
        <v>2018-2021</v>
      </c>
    </row>
    <row r="1746" spans="1:9" x14ac:dyDescent="0.3">
      <c r="A1746" t="s">
        <v>23</v>
      </c>
      <c r="B1746">
        <v>2021</v>
      </c>
      <c r="C1746" t="s">
        <v>8</v>
      </c>
      <c r="D1746">
        <v>36997.75</v>
      </c>
      <c r="E1746">
        <v>32085.61</v>
      </c>
      <c r="F1746">
        <v>132.83000000000001</v>
      </c>
      <c r="G1746">
        <v>328.22</v>
      </c>
      <c r="H1746">
        <f>E1746*1000000/D1746</f>
        <v>867231.38569237315</v>
      </c>
      <c r="I1746" t="str">
        <f>IF(AND(B1746&gt;=2018, B1746&lt;=2021), "2018-2021", IF(AND(B1746&gt;=2022, B1746&lt;=2024), "2022-2024", "Other"))</f>
        <v>2018-2021</v>
      </c>
    </row>
    <row r="1747" spans="1:9" x14ac:dyDescent="0.3">
      <c r="A1747" t="s">
        <v>10</v>
      </c>
      <c r="B1747">
        <v>2020</v>
      </c>
      <c r="C1747" t="s">
        <v>2</v>
      </c>
      <c r="D1747">
        <v>32872.5</v>
      </c>
      <c r="E1747">
        <v>33542.22</v>
      </c>
      <c r="F1747">
        <v>68</v>
      </c>
      <c r="G1747">
        <v>577.39</v>
      </c>
      <c r="H1747">
        <f>E1747*1000000/D1747</f>
        <v>1020373.260323979</v>
      </c>
      <c r="I1747" t="str">
        <f>IF(AND(B1747&gt;=2018, B1747&lt;=2021), "2018-2021", IF(AND(B1747&gt;=2022, B1747&lt;=2024), "2022-2024", "Other"))</f>
        <v>2018-2021</v>
      </c>
    </row>
    <row r="1748" spans="1:9" x14ac:dyDescent="0.3">
      <c r="A1748" t="s">
        <v>20</v>
      </c>
      <c r="B1748">
        <v>2018</v>
      </c>
      <c r="C1748" t="s">
        <v>6</v>
      </c>
      <c r="D1748">
        <v>46211.12</v>
      </c>
      <c r="E1748">
        <v>50732.08</v>
      </c>
      <c r="F1748">
        <v>34.520000000000003</v>
      </c>
      <c r="G1748">
        <v>272.31</v>
      </c>
      <c r="H1748">
        <f>E1748*1000000/D1748</f>
        <v>1097832.7294382823</v>
      </c>
      <c r="I1748" t="str">
        <f>IF(AND(B1748&gt;=2018, B1748&lt;=2021), "2018-2021", IF(AND(B1748&gt;=2022, B1748&lt;=2024), "2022-2024", "Other"))</f>
        <v>2018-2021</v>
      </c>
    </row>
    <row r="1749" spans="1:9" x14ac:dyDescent="0.3">
      <c r="A1749" t="s">
        <v>19</v>
      </c>
      <c r="B1749">
        <v>2021</v>
      </c>
      <c r="C1749" t="s">
        <v>2</v>
      </c>
      <c r="D1749">
        <v>32319.53</v>
      </c>
      <c r="E1749">
        <v>26371.64</v>
      </c>
      <c r="F1749">
        <v>150.85</v>
      </c>
      <c r="G1749">
        <v>1200.42</v>
      </c>
      <c r="H1749">
        <f>E1749*1000000/D1749</f>
        <v>815966.07376406773</v>
      </c>
      <c r="I1749" t="str">
        <f>IF(AND(B1749&gt;=2018, B1749&lt;=2021), "2018-2021", IF(AND(B1749&gt;=2022, B1749&lt;=2024), "2022-2024", "Other"))</f>
        <v>2018-2021</v>
      </c>
    </row>
    <row r="1750" spans="1:9" x14ac:dyDescent="0.3">
      <c r="A1750" t="s">
        <v>22</v>
      </c>
      <c r="B1750">
        <v>2019</v>
      </c>
      <c r="C1750" t="s">
        <v>9</v>
      </c>
      <c r="D1750">
        <v>42721.72</v>
      </c>
      <c r="E1750">
        <v>50891.26</v>
      </c>
      <c r="F1750">
        <v>88.01</v>
      </c>
      <c r="G1750">
        <v>1245.72</v>
      </c>
      <c r="H1750">
        <f>E1750*1000000/D1750</f>
        <v>1191226.8513533631</v>
      </c>
      <c r="I1750" t="str">
        <f>IF(AND(B1750&gt;=2018, B1750&lt;=2021), "2018-2021", IF(AND(B1750&gt;=2022, B1750&lt;=2024), "2022-2024", "Other"))</f>
        <v>2018-2021</v>
      </c>
    </row>
    <row r="1751" spans="1:9" x14ac:dyDescent="0.3">
      <c r="A1751" t="s">
        <v>7</v>
      </c>
      <c r="B1751">
        <v>2020</v>
      </c>
      <c r="C1751" t="s">
        <v>14</v>
      </c>
      <c r="D1751">
        <v>29330.49</v>
      </c>
      <c r="E1751">
        <v>33250.36</v>
      </c>
      <c r="F1751">
        <v>66.989999999999995</v>
      </c>
      <c r="G1751">
        <v>1316.42</v>
      </c>
      <c r="H1751">
        <f>E1751*1000000/D1751</f>
        <v>1133644.8862599977</v>
      </c>
      <c r="I1751" t="str">
        <f>IF(AND(B1751&gt;=2018, B1751&lt;=2021), "2018-2021", IF(AND(B1751&gt;=2022, B1751&lt;=2024), "2022-2024", "Other"))</f>
        <v>2018-2021</v>
      </c>
    </row>
    <row r="1752" spans="1:9" x14ac:dyDescent="0.3">
      <c r="A1752" t="s">
        <v>27</v>
      </c>
      <c r="B1752">
        <v>2018</v>
      </c>
      <c r="C1752" t="s">
        <v>9</v>
      </c>
      <c r="D1752">
        <v>1004.76</v>
      </c>
      <c r="E1752">
        <v>1073.82</v>
      </c>
      <c r="F1752">
        <v>114.15</v>
      </c>
      <c r="G1752">
        <v>136.91999999999999</v>
      </c>
      <c r="H1752">
        <f>E1752*1000000/D1752</f>
        <v>1068732.8317210081</v>
      </c>
      <c r="I1752" t="str">
        <f>IF(AND(B1752&gt;=2018, B1752&lt;=2021), "2018-2021", IF(AND(B1752&gt;=2022, B1752&lt;=2024), "2022-2024", "Other"))</f>
        <v>2018-2021</v>
      </c>
    </row>
    <row r="1753" spans="1:9" x14ac:dyDescent="0.3">
      <c r="A1753" t="s">
        <v>26</v>
      </c>
      <c r="B1753">
        <v>2023</v>
      </c>
      <c r="C1753" t="s">
        <v>0</v>
      </c>
      <c r="D1753">
        <v>42578.559999999998</v>
      </c>
      <c r="E1753">
        <v>47128.22</v>
      </c>
      <c r="F1753">
        <v>110.62</v>
      </c>
      <c r="G1753">
        <v>343.53</v>
      </c>
      <c r="H1753">
        <f>E1753*1000000/D1753</f>
        <v>1106853.3083317049</v>
      </c>
      <c r="I1753" t="str">
        <f>IF(AND(B1753&gt;=2018, B1753&lt;=2021), "2018-2021", IF(AND(B1753&gt;=2022, B1753&lt;=2024), "2022-2024", "Other"))</f>
        <v>2022-2024</v>
      </c>
    </row>
    <row r="1754" spans="1:9" x14ac:dyDescent="0.3">
      <c r="A1754" t="s">
        <v>16</v>
      </c>
      <c r="B1754">
        <v>2019</v>
      </c>
      <c r="C1754" t="s">
        <v>14</v>
      </c>
      <c r="D1754">
        <v>2333.9299999999998</v>
      </c>
      <c r="E1754">
        <v>2756.35</v>
      </c>
      <c r="F1754">
        <v>87.33</v>
      </c>
      <c r="G1754">
        <v>487.62</v>
      </c>
      <c r="H1754">
        <f>E1754*1000000/D1754</f>
        <v>1180990.8609084249</v>
      </c>
      <c r="I1754" t="str">
        <f>IF(AND(B1754&gt;=2018, B1754&lt;=2021), "2018-2021", IF(AND(B1754&gt;=2022, B1754&lt;=2024), "2022-2024", "Other"))</f>
        <v>2018-2021</v>
      </c>
    </row>
    <row r="1755" spans="1:9" x14ac:dyDescent="0.3">
      <c r="A1755" t="s">
        <v>18</v>
      </c>
      <c r="B1755">
        <v>2022</v>
      </c>
      <c r="C1755" t="s">
        <v>4</v>
      </c>
      <c r="D1755">
        <v>6583.48</v>
      </c>
      <c r="E1755">
        <v>7133.03</v>
      </c>
      <c r="F1755">
        <v>53.19</v>
      </c>
      <c r="G1755">
        <v>1238.58</v>
      </c>
      <c r="H1755">
        <f>E1755*1000000/D1755</f>
        <v>1083474.0896911665</v>
      </c>
      <c r="I1755" t="str">
        <f>IF(AND(B1755&gt;=2018, B1755&lt;=2021), "2018-2021", IF(AND(B1755&gt;=2022, B1755&lt;=2024), "2022-2024", "Other"))</f>
        <v>2022-2024</v>
      </c>
    </row>
    <row r="1756" spans="1:9" x14ac:dyDescent="0.3">
      <c r="A1756" t="s">
        <v>11</v>
      </c>
      <c r="B1756">
        <v>2023</v>
      </c>
      <c r="C1756" t="s">
        <v>6</v>
      </c>
      <c r="D1756">
        <v>32124.53</v>
      </c>
      <c r="E1756">
        <v>30188.52</v>
      </c>
      <c r="F1756">
        <v>27.19</v>
      </c>
      <c r="G1756">
        <v>1275.71</v>
      </c>
      <c r="H1756">
        <f>E1756*1000000/D1756</f>
        <v>939734.21556673362</v>
      </c>
      <c r="I1756" t="str">
        <f>IF(AND(B1756&gt;=2018, B1756&lt;=2021), "2018-2021", IF(AND(B1756&gt;=2022, B1756&lt;=2024), "2022-2024", "Other"))</f>
        <v>2022-2024</v>
      </c>
    </row>
    <row r="1757" spans="1:9" x14ac:dyDescent="0.3">
      <c r="A1757" t="s">
        <v>20</v>
      </c>
      <c r="B1757">
        <v>2022</v>
      </c>
      <c r="C1757" t="s">
        <v>0</v>
      </c>
      <c r="D1757">
        <v>9672.11</v>
      </c>
      <c r="E1757">
        <v>11579.58</v>
      </c>
      <c r="F1757">
        <v>139.34</v>
      </c>
      <c r="G1757">
        <v>899.64</v>
      </c>
      <c r="H1757">
        <f>E1757*1000000/D1757</f>
        <v>1197213.4311954682</v>
      </c>
      <c r="I1757" t="str">
        <f>IF(AND(B1757&gt;=2018, B1757&lt;=2021), "2018-2021", IF(AND(B1757&gt;=2022, B1757&lt;=2024), "2022-2024", "Other"))</f>
        <v>2022-2024</v>
      </c>
    </row>
    <row r="1758" spans="1:9" x14ac:dyDescent="0.3">
      <c r="A1758" t="s">
        <v>20</v>
      </c>
      <c r="B1758">
        <v>2020</v>
      </c>
      <c r="C1758" t="s">
        <v>9</v>
      </c>
      <c r="D1758">
        <v>3055.17</v>
      </c>
      <c r="E1758">
        <v>2893.18</v>
      </c>
      <c r="F1758">
        <v>171.78</v>
      </c>
      <c r="G1758">
        <v>91.83</v>
      </c>
      <c r="H1758">
        <f>E1758*1000000/D1758</f>
        <v>946978.40054726903</v>
      </c>
      <c r="I1758" t="str">
        <f>IF(AND(B1758&gt;=2018, B1758&lt;=2021), "2018-2021", IF(AND(B1758&gt;=2022, B1758&lt;=2024), "2022-2024", "Other"))</f>
        <v>2018-2021</v>
      </c>
    </row>
    <row r="1759" spans="1:9" x14ac:dyDescent="0.3">
      <c r="A1759" t="s">
        <v>21</v>
      </c>
      <c r="B1759">
        <v>2018</v>
      </c>
      <c r="C1759" t="s">
        <v>4</v>
      </c>
      <c r="D1759">
        <v>37577.43</v>
      </c>
      <c r="E1759">
        <v>40347.57</v>
      </c>
      <c r="F1759">
        <v>198.46</v>
      </c>
      <c r="G1759">
        <v>662.1</v>
      </c>
      <c r="H1759">
        <f>E1759*1000000/D1759</f>
        <v>1073718.1866881263</v>
      </c>
      <c r="I1759" t="str">
        <f>IF(AND(B1759&gt;=2018, B1759&lt;=2021), "2018-2021", IF(AND(B1759&gt;=2022, B1759&lt;=2024), "2022-2024", "Other"))</f>
        <v>2018-2021</v>
      </c>
    </row>
    <row r="1760" spans="1:9" x14ac:dyDescent="0.3">
      <c r="A1760" t="s">
        <v>15</v>
      </c>
      <c r="B1760">
        <v>2023</v>
      </c>
      <c r="C1760" t="s">
        <v>9</v>
      </c>
      <c r="D1760">
        <v>40808.559999999998</v>
      </c>
      <c r="E1760">
        <v>36086.339999999997</v>
      </c>
      <c r="F1760">
        <v>52.59</v>
      </c>
      <c r="G1760">
        <v>833.59</v>
      </c>
      <c r="H1760">
        <f>E1760*1000000/D1760</f>
        <v>884283.59148178715</v>
      </c>
      <c r="I1760" t="str">
        <f>IF(AND(B1760&gt;=2018, B1760&lt;=2021), "2018-2021", IF(AND(B1760&gt;=2022, B1760&lt;=2024), "2022-2024", "Other"))</f>
        <v>2022-2024</v>
      </c>
    </row>
    <row r="1761" spans="1:9" x14ac:dyDescent="0.3">
      <c r="A1761" t="s">
        <v>24</v>
      </c>
      <c r="B1761">
        <v>2024</v>
      </c>
      <c r="C1761" t="s">
        <v>6</v>
      </c>
      <c r="D1761">
        <v>47536.2</v>
      </c>
      <c r="E1761">
        <v>46886.22</v>
      </c>
      <c r="F1761">
        <v>84.49</v>
      </c>
      <c r="G1761">
        <v>376.19</v>
      </c>
      <c r="H1761">
        <f>E1761*1000000/D1761</f>
        <v>986326.63107274042</v>
      </c>
      <c r="I1761" t="str">
        <f>IF(AND(B1761&gt;=2018, B1761&lt;=2021), "2018-2021", IF(AND(B1761&gt;=2022, B1761&lt;=2024), "2022-2024", "Other"))</f>
        <v>2022-2024</v>
      </c>
    </row>
    <row r="1762" spans="1:9" x14ac:dyDescent="0.3">
      <c r="A1762" t="s">
        <v>19</v>
      </c>
      <c r="B1762">
        <v>2021</v>
      </c>
      <c r="C1762" t="s">
        <v>9</v>
      </c>
      <c r="D1762">
        <v>3917.88</v>
      </c>
      <c r="E1762">
        <v>3911.94</v>
      </c>
      <c r="F1762">
        <v>197.97</v>
      </c>
      <c r="G1762">
        <v>1016.55</v>
      </c>
      <c r="H1762">
        <f>E1762*1000000/D1762</f>
        <v>998483.87393182027</v>
      </c>
      <c r="I1762" t="str">
        <f>IF(AND(B1762&gt;=2018, B1762&lt;=2021), "2018-2021", IF(AND(B1762&gt;=2022, B1762&lt;=2024), "2022-2024", "Other"))</f>
        <v>2018-2021</v>
      </c>
    </row>
    <row r="1763" spans="1:9" x14ac:dyDescent="0.3">
      <c r="A1763" t="s">
        <v>19</v>
      </c>
      <c r="B1763">
        <v>2021</v>
      </c>
      <c r="C1763" t="s">
        <v>6</v>
      </c>
      <c r="D1763">
        <v>43527.28</v>
      </c>
      <c r="E1763">
        <v>49663.05</v>
      </c>
      <c r="F1763">
        <v>65.95</v>
      </c>
      <c r="G1763">
        <v>682.47</v>
      </c>
      <c r="H1763">
        <f>E1763*1000000/D1763</f>
        <v>1140963.7817938544</v>
      </c>
      <c r="I1763" t="str">
        <f>IF(AND(B1763&gt;=2018, B1763&lt;=2021), "2018-2021", IF(AND(B1763&gt;=2022, B1763&lt;=2024), "2022-2024", "Other"))</f>
        <v>2018-2021</v>
      </c>
    </row>
    <row r="1764" spans="1:9" x14ac:dyDescent="0.3">
      <c r="A1764" t="s">
        <v>3</v>
      </c>
      <c r="B1764">
        <v>2021</v>
      </c>
      <c r="C1764" t="s">
        <v>9</v>
      </c>
      <c r="D1764">
        <v>7946.8</v>
      </c>
      <c r="E1764">
        <v>8273.06</v>
      </c>
      <c r="F1764">
        <v>163.25</v>
      </c>
      <c r="G1764">
        <v>586.75</v>
      </c>
      <c r="H1764">
        <f>E1764*1000000/D1764</f>
        <v>1041055.5192026978</v>
      </c>
      <c r="I1764" t="str">
        <f>IF(AND(B1764&gt;=2018, B1764&lt;=2021), "2018-2021", IF(AND(B1764&gt;=2022, B1764&lt;=2024), "2022-2024", "Other"))</f>
        <v>2018-2021</v>
      </c>
    </row>
    <row r="1765" spans="1:9" x14ac:dyDescent="0.3">
      <c r="A1765" t="s">
        <v>3</v>
      </c>
      <c r="B1765">
        <v>2022</v>
      </c>
      <c r="C1765" t="s">
        <v>9</v>
      </c>
      <c r="D1765">
        <v>49145.2</v>
      </c>
      <c r="E1765">
        <v>52483.15</v>
      </c>
      <c r="F1765">
        <v>198.37</v>
      </c>
      <c r="G1765">
        <v>430.64</v>
      </c>
      <c r="H1765">
        <f>E1765*1000000/D1765</f>
        <v>1067920.163108503</v>
      </c>
      <c r="I1765" t="str">
        <f>IF(AND(B1765&gt;=2018, B1765&lt;=2021), "2018-2021", IF(AND(B1765&gt;=2022, B1765&lt;=2024), "2022-2024", "Other"))</f>
        <v>2022-2024</v>
      </c>
    </row>
    <row r="1766" spans="1:9" x14ac:dyDescent="0.3">
      <c r="A1766" t="s">
        <v>1</v>
      </c>
      <c r="B1766">
        <v>2019</v>
      </c>
      <c r="C1766" t="s">
        <v>4</v>
      </c>
      <c r="D1766">
        <v>23747.67</v>
      </c>
      <c r="E1766">
        <v>28401.18</v>
      </c>
      <c r="F1766">
        <v>96.21</v>
      </c>
      <c r="G1766">
        <v>1197.29</v>
      </c>
      <c r="H1766">
        <f>E1766*1000000/D1766</f>
        <v>1195956.4875206705</v>
      </c>
      <c r="I1766" t="str">
        <f>IF(AND(B1766&gt;=2018, B1766&lt;=2021), "2018-2021", IF(AND(B1766&gt;=2022, B1766&lt;=2024), "2022-2024", "Other"))</f>
        <v>2018-2021</v>
      </c>
    </row>
    <row r="1767" spans="1:9" x14ac:dyDescent="0.3">
      <c r="A1767" t="s">
        <v>16</v>
      </c>
      <c r="B1767">
        <v>2021</v>
      </c>
      <c r="C1767" t="s">
        <v>12</v>
      </c>
      <c r="D1767">
        <v>34048.36</v>
      </c>
      <c r="E1767">
        <v>32944.379999999997</v>
      </c>
      <c r="F1767">
        <v>124.93</v>
      </c>
      <c r="G1767">
        <v>652.76</v>
      </c>
      <c r="H1767">
        <f>E1767*1000000/D1767</f>
        <v>967576.11820363731</v>
      </c>
      <c r="I1767" t="str">
        <f>IF(AND(B1767&gt;=2018, B1767&lt;=2021), "2018-2021", IF(AND(B1767&gt;=2022, B1767&lt;=2024), "2022-2024", "Other"))</f>
        <v>2018-2021</v>
      </c>
    </row>
    <row r="1768" spans="1:9" x14ac:dyDescent="0.3">
      <c r="A1768" t="s">
        <v>5</v>
      </c>
      <c r="B1768">
        <v>2024</v>
      </c>
      <c r="C1768" t="s">
        <v>4</v>
      </c>
      <c r="D1768">
        <v>12728.31</v>
      </c>
      <c r="E1768">
        <v>12115.94</v>
      </c>
      <c r="F1768">
        <v>55.08</v>
      </c>
      <c r="G1768">
        <v>760.37</v>
      </c>
      <c r="H1768">
        <f>E1768*1000000/D1768</f>
        <v>951889.13532118569</v>
      </c>
      <c r="I1768" t="str">
        <f>IF(AND(B1768&gt;=2018, B1768&lt;=2021), "2018-2021", IF(AND(B1768&gt;=2022, B1768&lt;=2024), "2022-2024", "Other"))</f>
        <v>2022-2024</v>
      </c>
    </row>
    <row r="1769" spans="1:9" x14ac:dyDescent="0.3">
      <c r="A1769" t="s">
        <v>26</v>
      </c>
      <c r="B1769">
        <v>2022</v>
      </c>
      <c r="C1769" t="s">
        <v>12</v>
      </c>
      <c r="D1769">
        <v>15263.75</v>
      </c>
      <c r="E1769">
        <v>14975.08</v>
      </c>
      <c r="F1769">
        <v>87.9</v>
      </c>
      <c r="G1769">
        <v>111.01</v>
      </c>
      <c r="H1769">
        <f>E1769*1000000/D1769</f>
        <v>981087.87159118825</v>
      </c>
      <c r="I1769" t="str">
        <f>IF(AND(B1769&gt;=2018, B1769&lt;=2021), "2018-2021", IF(AND(B1769&gt;=2022, B1769&lt;=2024), "2022-2024", "Other"))</f>
        <v>2022-2024</v>
      </c>
    </row>
    <row r="1770" spans="1:9" x14ac:dyDescent="0.3">
      <c r="A1770" t="s">
        <v>5</v>
      </c>
      <c r="B1770">
        <v>2019</v>
      </c>
      <c r="C1770" t="s">
        <v>12</v>
      </c>
      <c r="D1770">
        <v>25980.61</v>
      </c>
      <c r="E1770">
        <v>26860.13</v>
      </c>
      <c r="F1770">
        <v>96.51</v>
      </c>
      <c r="G1770">
        <v>1285.32</v>
      </c>
      <c r="H1770">
        <f>E1770*1000000/D1770</f>
        <v>1033852.9387878113</v>
      </c>
      <c r="I1770" t="str">
        <f>IF(AND(B1770&gt;=2018, B1770&lt;=2021), "2018-2021", IF(AND(B1770&gt;=2022, B1770&lt;=2024), "2022-2024", "Other"))</f>
        <v>2018-2021</v>
      </c>
    </row>
    <row r="1771" spans="1:9" x14ac:dyDescent="0.3">
      <c r="A1771" t="s">
        <v>22</v>
      </c>
      <c r="B1771">
        <v>2023</v>
      </c>
      <c r="C1771" t="s">
        <v>12</v>
      </c>
      <c r="D1771">
        <v>23351.45</v>
      </c>
      <c r="E1771">
        <v>19223.95</v>
      </c>
      <c r="F1771">
        <v>94.34</v>
      </c>
      <c r="G1771">
        <v>771.32</v>
      </c>
      <c r="H1771">
        <f>E1771*1000000/D1771</f>
        <v>823244.38096991833</v>
      </c>
      <c r="I1771" t="str">
        <f>IF(AND(B1771&gt;=2018, B1771&lt;=2021), "2018-2021", IF(AND(B1771&gt;=2022, B1771&lt;=2024), "2022-2024", "Other"))</f>
        <v>2022-2024</v>
      </c>
    </row>
    <row r="1772" spans="1:9" x14ac:dyDescent="0.3">
      <c r="A1772" t="s">
        <v>15</v>
      </c>
      <c r="B1772">
        <v>2019</v>
      </c>
      <c r="C1772" t="s">
        <v>9</v>
      </c>
      <c r="D1772">
        <v>25607.91</v>
      </c>
      <c r="E1772">
        <v>29545.06</v>
      </c>
      <c r="F1772">
        <v>198.37</v>
      </c>
      <c r="G1772">
        <v>1391.05</v>
      </c>
      <c r="H1772">
        <f>E1772*1000000/D1772</f>
        <v>1153747.4163256588</v>
      </c>
      <c r="I1772" t="str">
        <f>IF(AND(B1772&gt;=2018, B1772&lt;=2021), "2018-2021", IF(AND(B1772&gt;=2022, B1772&lt;=2024), "2022-2024", "Other"))</f>
        <v>2018-2021</v>
      </c>
    </row>
    <row r="1773" spans="1:9" x14ac:dyDescent="0.3">
      <c r="A1773" t="s">
        <v>21</v>
      </c>
      <c r="B1773">
        <v>2024</v>
      </c>
      <c r="C1773" t="s">
        <v>14</v>
      </c>
      <c r="D1773">
        <v>31029.16</v>
      </c>
      <c r="E1773">
        <v>29166.87</v>
      </c>
      <c r="F1773">
        <v>146.09</v>
      </c>
      <c r="G1773">
        <v>184.15</v>
      </c>
      <c r="H1773">
        <f>E1773*1000000/D1773</f>
        <v>939982.58412409492</v>
      </c>
      <c r="I1773" t="str">
        <f>IF(AND(B1773&gt;=2018, B1773&lt;=2021), "2018-2021", IF(AND(B1773&gt;=2022, B1773&lt;=2024), "2022-2024", "Other"))</f>
        <v>2022-2024</v>
      </c>
    </row>
    <row r="1774" spans="1:9" x14ac:dyDescent="0.3">
      <c r="A1774" t="s">
        <v>15</v>
      </c>
      <c r="B1774">
        <v>2019</v>
      </c>
      <c r="C1774" t="s">
        <v>4</v>
      </c>
      <c r="D1774">
        <v>35661.980000000003</v>
      </c>
      <c r="E1774">
        <v>39208.050000000003</v>
      </c>
      <c r="F1774">
        <v>146.85</v>
      </c>
      <c r="G1774">
        <v>789.28</v>
      </c>
      <c r="H1774">
        <f>E1774*1000000/D1774</f>
        <v>1099435.5893867922</v>
      </c>
      <c r="I1774" t="str">
        <f>IF(AND(B1774&gt;=2018, B1774&lt;=2021), "2018-2021", IF(AND(B1774&gt;=2022, B1774&lt;=2024), "2022-2024", "Other"))</f>
        <v>2018-2021</v>
      </c>
    </row>
    <row r="1775" spans="1:9" x14ac:dyDescent="0.3">
      <c r="A1775" t="s">
        <v>5</v>
      </c>
      <c r="B1775">
        <v>2024</v>
      </c>
      <c r="C1775" t="s">
        <v>2</v>
      </c>
      <c r="D1775">
        <v>43886.44</v>
      </c>
      <c r="E1775">
        <v>39205.980000000003</v>
      </c>
      <c r="F1775">
        <v>51.59</v>
      </c>
      <c r="G1775">
        <v>1135.3</v>
      </c>
      <c r="H1775">
        <f>E1775*1000000/D1775</f>
        <v>893350.65683158615</v>
      </c>
      <c r="I1775" t="str">
        <f>IF(AND(B1775&gt;=2018, B1775&lt;=2021), "2018-2021", IF(AND(B1775&gt;=2022, B1775&lt;=2024), "2022-2024", "Other"))</f>
        <v>2022-2024</v>
      </c>
    </row>
    <row r="1776" spans="1:9" x14ac:dyDescent="0.3">
      <c r="A1776" t="s">
        <v>10</v>
      </c>
      <c r="B1776">
        <v>2019</v>
      </c>
      <c r="C1776" t="s">
        <v>8</v>
      </c>
      <c r="D1776">
        <v>3525.68</v>
      </c>
      <c r="E1776">
        <v>2933.31</v>
      </c>
      <c r="F1776">
        <v>34.54</v>
      </c>
      <c r="G1776">
        <v>1208.58</v>
      </c>
      <c r="H1776">
        <f>E1776*1000000/D1776</f>
        <v>831984.18461119558</v>
      </c>
      <c r="I1776" t="str">
        <f>IF(AND(B1776&gt;=2018, B1776&lt;=2021), "2018-2021", IF(AND(B1776&gt;=2022, B1776&lt;=2024), "2022-2024", "Other"))</f>
        <v>2018-2021</v>
      </c>
    </row>
    <row r="1777" spans="1:9" x14ac:dyDescent="0.3">
      <c r="A1777" t="s">
        <v>23</v>
      </c>
      <c r="B1777">
        <v>2021</v>
      </c>
      <c r="C1777" t="s">
        <v>8</v>
      </c>
      <c r="D1777">
        <v>31664.31</v>
      </c>
      <c r="E1777">
        <v>37376.19</v>
      </c>
      <c r="F1777">
        <v>133.71</v>
      </c>
      <c r="G1777">
        <v>112.87</v>
      </c>
      <c r="H1777">
        <f>E1777*1000000/D1777</f>
        <v>1180388.5826029368</v>
      </c>
      <c r="I1777" t="str">
        <f>IF(AND(B1777&gt;=2018, B1777&lt;=2021), "2018-2021", IF(AND(B1777&gt;=2022, B1777&lt;=2024), "2022-2024", "Other"))</f>
        <v>2018-2021</v>
      </c>
    </row>
    <row r="1778" spans="1:9" x14ac:dyDescent="0.3">
      <c r="A1778" t="s">
        <v>13</v>
      </c>
      <c r="B1778">
        <v>2023</v>
      </c>
      <c r="C1778" t="s">
        <v>9</v>
      </c>
      <c r="D1778">
        <v>13448.93</v>
      </c>
      <c r="E1778">
        <v>11774.96</v>
      </c>
      <c r="F1778">
        <v>99.43</v>
      </c>
      <c r="G1778">
        <v>250.36</v>
      </c>
      <c r="H1778">
        <f>E1778*1000000/D1778</f>
        <v>875531.36197452142</v>
      </c>
      <c r="I1778" t="str">
        <f>IF(AND(B1778&gt;=2018, B1778&lt;=2021), "2018-2021", IF(AND(B1778&gt;=2022, B1778&lt;=2024), "2022-2024", "Other"))</f>
        <v>2022-2024</v>
      </c>
    </row>
    <row r="1779" spans="1:9" x14ac:dyDescent="0.3">
      <c r="A1779" t="s">
        <v>3</v>
      </c>
      <c r="B1779">
        <v>2019</v>
      </c>
      <c r="C1779" t="s">
        <v>14</v>
      </c>
      <c r="D1779">
        <v>43769.49</v>
      </c>
      <c r="E1779">
        <v>41760.1</v>
      </c>
      <c r="F1779">
        <v>84.39</v>
      </c>
      <c r="G1779">
        <v>608.12</v>
      </c>
      <c r="H1779">
        <f>E1779*1000000/D1779</f>
        <v>954091.53727859294</v>
      </c>
      <c r="I1779" t="str">
        <f>IF(AND(B1779&gt;=2018, B1779&lt;=2021), "2018-2021", IF(AND(B1779&gt;=2022, B1779&lt;=2024), "2022-2024", "Other"))</f>
        <v>2018-2021</v>
      </c>
    </row>
    <row r="1780" spans="1:9" x14ac:dyDescent="0.3">
      <c r="A1780" t="s">
        <v>16</v>
      </c>
      <c r="B1780">
        <v>2022</v>
      </c>
      <c r="C1780" t="s">
        <v>6</v>
      </c>
      <c r="D1780">
        <v>46237.24</v>
      </c>
      <c r="E1780">
        <v>45419.13</v>
      </c>
      <c r="F1780">
        <v>117.46</v>
      </c>
      <c r="G1780">
        <v>303.70999999999998</v>
      </c>
      <c r="H1780">
        <f>E1780*1000000/D1780</f>
        <v>982306.25357395899</v>
      </c>
      <c r="I1780" t="str">
        <f>IF(AND(B1780&gt;=2018, B1780&lt;=2021), "2018-2021", IF(AND(B1780&gt;=2022, B1780&lt;=2024), "2022-2024", "Other"))</f>
        <v>2022-2024</v>
      </c>
    </row>
    <row r="1781" spans="1:9" x14ac:dyDescent="0.3">
      <c r="A1781" t="s">
        <v>10</v>
      </c>
      <c r="B1781">
        <v>2023</v>
      </c>
      <c r="C1781" t="s">
        <v>6</v>
      </c>
      <c r="D1781">
        <v>40338.019999999997</v>
      </c>
      <c r="E1781">
        <v>32405.22</v>
      </c>
      <c r="F1781">
        <v>42.45</v>
      </c>
      <c r="G1781">
        <v>153.05000000000001</v>
      </c>
      <c r="H1781">
        <f>E1781*1000000/D1781</f>
        <v>803341.85961532081</v>
      </c>
      <c r="I1781" t="str">
        <f>IF(AND(B1781&gt;=2018, B1781&lt;=2021), "2018-2021", IF(AND(B1781&gt;=2022, B1781&lt;=2024), "2022-2024", "Other"))</f>
        <v>2022-2024</v>
      </c>
    </row>
    <row r="1782" spans="1:9" x14ac:dyDescent="0.3">
      <c r="A1782" t="s">
        <v>15</v>
      </c>
      <c r="B1782">
        <v>2023</v>
      </c>
      <c r="C1782" t="s">
        <v>2</v>
      </c>
      <c r="D1782">
        <v>10440.31</v>
      </c>
      <c r="E1782">
        <v>9644.16</v>
      </c>
      <c r="F1782">
        <v>84.2</v>
      </c>
      <c r="G1782">
        <v>1143.5899999999999</v>
      </c>
      <c r="H1782">
        <f>E1782*1000000/D1782</f>
        <v>923742.68580147531</v>
      </c>
      <c r="I1782" t="str">
        <f>IF(AND(B1782&gt;=2018, B1782&lt;=2021), "2018-2021", IF(AND(B1782&gt;=2022, B1782&lt;=2024), "2022-2024", "Other"))</f>
        <v>2022-2024</v>
      </c>
    </row>
    <row r="1783" spans="1:9" x14ac:dyDescent="0.3">
      <c r="A1783" t="s">
        <v>19</v>
      </c>
      <c r="B1783">
        <v>2024</v>
      </c>
      <c r="C1783" t="s">
        <v>8</v>
      </c>
      <c r="D1783">
        <v>39155.040000000001</v>
      </c>
      <c r="E1783">
        <v>32634.58</v>
      </c>
      <c r="F1783">
        <v>151.69</v>
      </c>
      <c r="G1783">
        <v>610.65</v>
      </c>
      <c r="H1783">
        <f>E1783*1000000/D1783</f>
        <v>833470.73582353641</v>
      </c>
      <c r="I1783" t="str">
        <f>IF(AND(B1783&gt;=2018, B1783&lt;=2021), "2018-2021", IF(AND(B1783&gt;=2022, B1783&lt;=2024), "2022-2024", "Other"))</f>
        <v>2022-2024</v>
      </c>
    </row>
    <row r="1784" spans="1:9" x14ac:dyDescent="0.3">
      <c r="A1784" t="s">
        <v>22</v>
      </c>
      <c r="B1784">
        <v>2021</v>
      </c>
      <c r="C1784" t="s">
        <v>2</v>
      </c>
      <c r="D1784">
        <v>30834.13</v>
      </c>
      <c r="E1784">
        <v>26750.37</v>
      </c>
      <c r="F1784">
        <v>86.68</v>
      </c>
      <c r="G1784">
        <v>160.97</v>
      </c>
      <c r="H1784">
        <f>E1784*1000000/D1784</f>
        <v>867557.15176656516</v>
      </c>
      <c r="I1784" t="str">
        <f>IF(AND(B1784&gt;=2018, B1784&lt;=2021), "2018-2021", IF(AND(B1784&gt;=2022, B1784&lt;=2024), "2022-2024", "Other"))</f>
        <v>2018-2021</v>
      </c>
    </row>
    <row r="1785" spans="1:9" x14ac:dyDescent="0.3">
      <c r="A1785" t="s">
        <v>21</v>
      </c>
      <c r="B1785">
        <v>2021</v>
      </c>
      <c r="C1785" t="s">
        <v>9</v>
      </c>
      <c r="D1785">
        <v>6285.01</v>
      </c>
      <c r="E1785">
        <v>6861.76</v>
      </c>
      <c r="F1785">
        <v>175.93</v>
      </c>
      <c r="G1785">
        <v>862.5</v>
      </c>
      <c r="H1785">
        <f>E1785*1000000/D1785</f>
        <v>1091765.9637773051</v>
      </c>
      <c r="I1785" t="str">
        <f>IF(AND(B1785&gt;=2018, B1785&lt;=2021), "2018-2021", IF(AND(B1785&gt;=2022, B1785&lt;=2024), "2022-2024", "Other"))</f>
        <v>2018-2021</v>
      </c>
    </row>
    <row r="1786" spans="1:9" x14ac:dyDescent="0.3">
      <c r="A1786" t="s">
        <v>25</v>
      </c>
      <c r="B1786">
        <v>2018</v>
      </c>
      <c r="C1786" t="s">
        <v>4</v>
      </c>
      <c r="D1786">
        <v>1573.89</v>
      </c>
      <c r="E1786">
        <v>1575.94</v>
      </c>
      <c r="F1786">
        <v>33.53</v>
      </c>
      <c r="G1786">
        <v>11.46</v>
      </c>
      <c r="H1786">
        <f>E1786*1000000/D1786</f>
        <v>1001302.5052576736</v>
      </c>
      <c r="I1786" t="str">
        <f>IF(AND(B1786&gt;=2018, B1786&lt;=2021), "2018-2021", IF(AND(B1786&gt;=2022, B1786&lt;=2024), "2022-2024", "Other"))</f>
        <v>2018-2021</v>
      </c>
    </row>
    <row r="1787" spans="1:9" x14ac:dyDescent="0.3">
      <c r="A1787" t="s">
        <v>5</v>
      </c>
      <c r="B1787">
        <v>2018</v>
      </c>
      <c r="C1787" t="s">
        <v>8</v>
      </c>
      <c r="D1787">
        <v>47358.45</v>
      </c>
      <c r="E1787">
        <v>55900.26</v>
      </c>
      <c r="F1787">
        <v>39.08</v>
      </c>
      <c r="G1787">
        <v>847.2</v>
      </c>
      <c r="H1787">
        <f>E1787*1000000/D1787</f>
        <v>1180365.0668465712</v>
      </c>
      <c r="I1787" t="str">
        <f>IF(AND(B1787&gt;=2018, B1787&lt;=2021), "2018-2021", IF(AND(B1787&gt;=2022, B1787&lt;=2024), "2022-2024", "Other"))</f>
        <v>2018-2021</v>
      </c>
    </row>
    <row r="1788" spans="1:9" x14ac:dyDescent="0.3">
      <c r="A1788" t="s">
        <v>11</v>
      </c>
      <c r="B1788">
        <v>2018</v>
      </c>
      <c r="C1788" t="s">
        <v>4</v>
      </c>
      <c r="D1788">
        <v>32406.6</v>
      </c>
      <c r="E1788">
        <v>32328.11</v>
      </c>
      <c r="F1788">
        <v>91.75</v>
      </c>
      <c r="G1788">
        <v>177.99</v>
      </c>
      <c r="H1788">
        <f>E1788*1000000/D1788</f>
        <v>997577.96251380898</v>
      </c>
      <c r="I1788" t="str">
        <f>IF(AND(B1788&gt;=2018, B1788&lt;=2021), "2018-2021", IF(AND(B1788&gt;=2022, B1788&lt;=2024), "2022-2024", "Other"))</f>
        <v>2018-2021</v>
      </c>
    </row>
    <row r="1789" spans="1:9" x14ac:dyDescent="0.3">
      <c r="A1789" t="s">
        <v>20</v>
      </c>
      <c r="B1789">
        <v>2020</v>
      </c>
      <c r="C1789" t="s">
        <v>14</v>
      </c>
      <c r="D1789">
        <v>9051.5499999999993</v>
      </c>
      <c r="E1789">
        <v>7530.28</v>
      </c>
      <c r="F1789">
        <v>122.73</v>
      </c>
      <c r="G1789">
        <v>228.58</v>
      </c>
      <c r="H1789">
        <f>E1789*1000000/D1789</f>
        <v>831932.65241864661</v>
      </c>
      <c r="I1789" t="str">
        <f>IF(AND(B1789&gt;=2018, B1789&lt;=2021), "2018-2021", IF(AND(B1789&gt;=2022, B1789&lt;=2024), "2022-2024", "Other"))</f>
        <v>2018-2021</v>
      </c>
    </row>
    <row r="1790" spans="1:9" x14ac:dyDescent="0.3">
      <c r="A1790" t="s">
        <v>1</v>
      </c>
      <c r="B1790">
        <v>2024</v>
      </c>
      <c r="C1790" t="s">
        <v>14</v>
      </c>
      <c r="D1790">
        <v>45066.06</v>
      </c>
      <c r="E1790">
        <v>49348.46</v>
      </c>
      <c r="F1790">
        <v>145.63</v>
      </c>
      <c r="G1790">
        <v>1298.8399999999999</v>
      </c>
      <c r="H1790">
        <f>E1790*1000000/D1790</f>
        <v>1095024.9478210432</v>
      </c>
      <c r="I1790" t="str">
        <f>IF(AND(B1790&gt;=2018, B1790&lt;=2021), "2018-2021", IF(AND(B1790&gt;=2022, B1790&lt;=2024), "2022-2024", "Other"))</f>
        <v>2022-2024</v>
      </c>
    </row>
    <row r="1791" spans="1:9" x14ac:dyDescent="0.3">
      <c r="A1791" t="s">
        <v>17</v>
      </c>
      <c r="B1791">
        <v>2020</v>
      </c>
      <c r="C1791" t="s">
        <v>14</v>
      </c>
      <c r="D1791">
        <v>47081.61</v>
      </c>
      <c r="E1791">
        <v>45557.24</v>
      </c>
      <c r="F1791">
        <v>136.57</v>
      </c>
      <c r="G1791">
        <v>288.76</v>
      </c>
      <c r="H1791">
        <f>E1791*1000000/D1791</f>
        <v>967622.81493772194</v>
      </c>
      <c r="I1791" t="str">
        <f>IF(AND(B1791&gt;=2018, B1791&lt;=2021), "2018-2021", IF(AND(B1791&gt;=2022, B1791&lt;=2024), "2022-2024", "Other"))</f>
        <v>2018-2021</v>
      </c>
    </row>
    <row r="1792" spans="1:9" x14ac:dyDescent="0.3">
      <c r="A1792" t="s">
        <v>27</v>
      </c>
      <c r="B1792">
        <v>2023</v>
      </c>
      <c r="C1792" t="s">
        <v>0</v>
      </c>
      <c r="D1792">
        <v>7353.5</v>
      </c>
      <c r="E1792">
        <v>6107.4</v>
      </c>
      <c r="F1792">
        <v>166.22</v>
      </c>
      <c r="G1792">
        <v>123.76</v>
      </c>
      <c r="H1792">
        <f>E1792*1000000/D1792</f>
        <v>830543.27871081803</v>
      </c>
      <c r="I1792" t="str">
        <f>IF(AND(B1792&gt;=2018, B1792&lt;=2021), "2018-2021", IF(AND(B1792&gt;=2022, B1792&lt;=2024), "2022-2024", "Other"))</f>
        <v>2022-2024</v>
      </c>
    </row>
    <row r="1793" spans="1:9" x14ac:dyDescent="0.3">
      <c r="A1793" t="s">
        <v>13</v>
      </c>
      <c r="B1793">
        <v>2021</v>
      </c>
      <c r="C1793" t="s">
        <v>0</v>
      </c>
      <c r="D1793">
        <v>45408.01</v>
      </c>
      <c r="E1793">
        <v>51287.28</v>
      </c>
      <c r="F1793">
        <v>94.93</v>
      </c>
      <c r="G1793">
        <v>436.99</v>
      </c>
      <c r="H1793">
        <f>E1793*1000000/D1793</f>
        <v>1129476.4954465083</v>
      </c>
      <c r="I1793" t="str">
        <f>IF(AND(B1793&gt;=2018, B1793&lt;=2021), "2018-2021", IF(AND(B1793&gt;=2022, B1793&lt;=2024), "2022-2024", "Other"))</f>
        <v>2018-2021</v>
      </c>
    </row>
    <row r="1794" spans="1:9" x14ac:dyDescent="0.3">
      <c r="A1794" t="s">
        <v>10</v>
      </c>
      <c r="B1794">
        <v>2018</v>
      </c>
      <c r="C1794" t="s">
        <v>8</v>
      </c>
      <c r="D1794">
        <v>39429.65</v>
      </c>
      <c r="E1794">
        <v>37256.49</v>
      </c>
      <c r="F1794">
        <v>26.06</v>
      </c>
      <c r="G1794">
        <v>584.29999999999995</v>
      </c>
      <c r="H1794">
        <f>E1794*1000000/D1794</f>
        <v>944885.13085964497</v>
      </c>
      <c r="I1794" t="str">
        <f>IF(AND(B1794&gt;=2018, B1794&lt;=2021), "2018-2021", IF(AND(B1794&gt;=2022, B1794&lt;=2024), "2022-2024", "Other"))</f>
        <v>2018-2021</v>
      </c>
    </row>
    <row r="1795" spans="1:9" x14ac:dyDescent="0.3">
      <c r="A1795" t="s">
        <v>15</v>
      </c>
      <c r="B1795">
        <v>2020</v>
      </c>
      <c r="C1795" t="s">
        <v>14</v>
      </c>
      <c r="D1795">
        <v>32712.11</v>
      </c>
      <c r="E1795">
        <v>30451.14</v>
      </c>
      <c r="F1795">
        <v>140.59</v>
      </c>
      <c r="G1795">
        <v>359.67</v>
      </c>
      <c r="H1795">
        <f>E1795*1000000/D1795</f>
        <v>930882.78316501132</v>
      </c>
      <c r="I1795" t="str">
        <f>IF(AND(B1795&gt;=2018, B1795&lt;=2021), "2018-2021", IF(AND(B1795&gt;=2022, B1795&lt;=2024), "2022-2024", "Other"))</f>
        <v>2018-2021</v>
      </c>
    </row>
    <row r="1796" spans="1:9" x14ac:dyDescent="0.3">
      <c r="A1796" t="s">
        <v>5</v>
      </c>
      <c r="B1796">
        <v>2023</v>
      </c>
      <c r="C1796" t="s">
        <v>9</v>
      </c>
      <c r="D1796">
        <v>31398.560000000001</v>
      </c>
      <c r="E1796">
        <v>35945.1</v>
      </c>
      <c r="F1796">
        <v>29.25</v>
      </c>
      <c r="G1796">
        <v>627.03</v>
      </c>
      <c r="H1796">
        <f>E1796*1000000/D1796</f>
        <v>1144800.9080671214</v>
      </c>
      <c r="I1796" t="str">
        <f>IF(AND(B1796&gt;=2018, B1796&lt;=2021), "2018-2021", IF(AND(B1796&gt;=2022, B1796&lt;=2024), "2022-2024", "Other"))</f>
        <v>2022-2024</v>
      </c>
    </row>
    <row r="1797" spans="1:9" x14ac:dyDescent="0.3">
      <c r="A1797" t="s">
        <v>5</v>
      </c>
      <c r="B1797">
        <v>2020</v>
      </c>
      <c r="C1797" t="s">
        <v>2</v>
      </c>
      <c r="D1797">
        <v>8367.92</v>
      </c>
      <c r="E1797">
        <v>8949.16</v>
      </c>
      <c r="F1797">
        <v>168.54</v>
      </c>
      <c r="G1797">
        <v>1387.92</v>
      </c>
      <c r="H1797">
        <f>E1797*1000000/D1797</f>
        <v>1069460.5110947522</v>
      </c>
      <c r="I1797" t="str">
        <f>IF(AND(B1797&gt;=2018, B1797&lt;=2021), "2018-2021", IF(AND(B1797&gt;=2022, B1797&lt;=2024), "2022-2024", "Other"))</f>
        <v>2018-2021</v>
      </c>
    </row>
    <row r="1798" spans="1:9" x14ac:dyDescent="0.3">
      <c r="A1798" t="s">
        <v>23</v>
      </c>
      <c r="B1798">
        <v>2022</v>
      </c>
      <c r="C1798" t="s">
        <v>12</v>
      </c>
      <c r="D1798">
        <v>15003.92</v>
      </c>
      <c r="E1798">
        <v>13428.76</v>
      </c>
      <c r="F1798">
        <v>70.34</v>
      </c>
      <c r="G1798">
        <v>1150.31</v>
      </c>
      <c r="H1798">
        <f>E1798*1000000/D1798</f>
        <v>895016.76895104744</v>
      </c>
      <c r="I1798" t="str">
        <f>IF(AND(B1798&gt;=2018, B1798&lt;=2021), "2018-2021", IF(AND(B1798&gt;=2022, B1798&lt;=2024), "2022-2024", "Other"))</f>
        <v>2022-2024</v>
      </c>
    </row>
    <row r="1799" spans="1:9" x14ac:dyDescent="0.3">
      <c r="A1799" t="s">
        <v>13</v>
      </c>
      <c r="B1799">
        <v>2019</v>
      </c>
      <c r="C1799" t="s">
        <v>14</v>
      </c>
      <c r="D1799">
        <v>49131.040000000001</v>
      </c>
      <c r="E1799">
        <v>49173.08</v>
      </c>
      <c r="F1799">
        <v>150.52000000000001</v>
      </c>
      <c r="G1799">
        <v>148.4</v>
      </c>
      <c r="H1799">
        <f>E1799*1000000/D1799</f>
        <v>1000855.6708752756</v>
      </c>
      <c r="I1799" t="str">
        <f>IF(AND(B1799&gt;=2018, B1799&lt;=2021), "2018-2021", IF(AND(B1799&gt;=2022, B1799&lt;=2024), "2022-2024", "Other"))</f>
        <v>2018-2021</v>
      </c>
    </row>
    <row r="1800" spans="1:9" x14ac:dyDescent="0.3">
      <c r="A1800" t="s">
        <v>7</v>
      </c>
      <c r="B1800">
        <v>2022</v>
      </c>
      <c r="C1800" t="s">
        <v>12</v>
      </c>
      <c r="D1800">
        <v>4892.76</v>
      </c>
      <c r="E1800">
        <v>5052.8599999999997</v>
      </c>
      <c r="F1800">
        <v>28.46</v>
      </c>
      <c r="G1800">
        <v>981.08</v>
      </c>
      <c r="H1800">
        <f>E1800*1000000/D1800</f>
        <v>1032721.8175426548</v>
      </c>
      <c r="I1800" t="str">
        <f>IF(AND(B1800&gt;=2018, B1800&lt;=2021), "2018-2021", IF(AND(B1800&gt;=2022, B1800&lt;=2024), "2022-2024", "Other"))</f>
        <v>2022-2024</v>
      </c>
    </row>
    <row r="1801" spans="1:9" x14ac:dyDescent="0.3">
      <c r="A1801" t="s">
        <v>27</v>
      </c>
      <c r="B1801">
        <v>2021</v>
      </c>
      <c r="C1801" t="s">
        <v>12</v>
      </c>
      <c r="D1801">
        <v>30764.52</v>
      </c>
      <c r="E1801">
        <v>28671.75</v>
      </c>
      <c r="F1801">
        <v>47.98</v>
      </c>
      <c r="G1801">
        <v>1127.76</v>
      </c>
      <c r="H1801">
        <f>E1801*1000000/D1801</f>
        <v>931974.56030518271</v>
      </c>
      <c r="I1801" t="str">
        <f>IF(AND(B1801&gt;=2018, B1801&lt;=2021), "2018-2021", IF(AND(B1801&gt;=2022, B1801&lt;=2024), "2022-2024", "Other"))</f>
        <v>2018-2021</v>
      </c>
    </row>
    <row r="1802" spans="1:9" x14ac:dyDescent="0.3">
      <c r="A1802" t="s">
        <v>16</v>
      </c>
      <c r="B1802">
        <v>2022</v>
      </c>
      <c r="C1802" t="s">
        <v>8</v>
      </c>
      <c r="D1802">
        <v>517.61</v>
      </c>
      <c r="E1802">
        <v>576.78</v>
      </c>
      <c r="F1802">
        <v>60.93</v>
      </c>
      <c r="G1802">
        <v>245.82</v>
      </c>
      <c r="H1802">
        <f>E1802*1000000/D1802</f>
        <v>1114313.8656517456</v>
      </c>
      <c r="I1802" t="str">
        <f>IF(AND(B1802&gt;=2018, B1802&lt;=2021), "2018-2021", IF(AND(B1802&gt;=2022, B1802&lt;=2024), "2022-2024", "Other"))</f>
        <v>2022-2024</v>
      </c>
    </row>
    <row r="1803" spans="1:9" x14ac:dyDescent="0.3">
      <c r="A1803" t="s">
        <v>23</v>
      </c>
      <c r="B1803">
        <v>2018</v>
      </c>
      <c r="C1803" t="s">
        <v>4</v>
      </c>
      <c r="D1803">
        <v>19970.490000000002</v>
      </c>
      <c r="E1803">
        <v>22580.080000000002</v>
      </c>
      <c r="F1803">
        <v>65.239999999999995</v>
      </c>
      <c r="G1803">
        <v>1239.8900000000001</v>
      </c>
      <c r="H1803">
        <f>E1803*1000000/D1803</f>
        <v>1130672.3069889622</v>
      </c>
      <c r="I1803" t="str">
        <f>IF(AND(B1803&gt;=2018, B1803&lt;=2021), "2018-2021", IF(AND(B1803&gt;=2022, B1803&lt;=2024), "2022-2024", "Other"))</f>
        <v>2018-2021</v>
      </c>
    </row>
    <row r="1804" spans="1:9" x14ac:dyDescent="0.3">
      <c r="A1804" t="s">
        <v>11</v>
      </c>
      <c r="B1804">
        <v>2024</v>
      </c>
      <c r="C1804" t="s">
        <v>0</v>
      </c>
      <c r="D1804">
        <v>33519.800000000003</v>
      </c>
      <c r="E1804">
        <v>36757.81</v>
      </c>
      <c r="F1804">
        <v>161.69</v>
      </c>
      <c r="G1804">
        <v>276.08</v>
      </c>
      <c r="H1804">
        <f>E1804*1000000/D1804</f>
        <v>1096599.9200472555</v>
      </c>
      <c r="I1804" t="str">
        <f>IF(AND(B1804&gt;=2018, B1804&lt;=2021), "2018-2021", IF(AND(B1804&gt;=2022, B1804&lt;=2024), "2022-2024", "Other"))</f>
        <v>2022-2024</v>
      </c>
    </row>
    <row r="1805" spans="1:9" x14ac:dyDescent="0.3">
      <c r="A1805" t="s">
        <v>1</v>
      </c>
      <c r="B1805">
        <v>2020</v>
      </c>
      <c r="C1805" t="s">
        <v>2</v>
      </c>
      <c r="D1805">
        <v>46643.08</v>
      </c>
      <c r="E1805">
        <v>49785.97</v>
      </c>
      <c r="F1805">
        <v>34.1</v>
      </c>
      <c r="G1805">
        <v>1310.7</v>
      </c>
      <c r="H1805">
        <f>E1805*1000000/D1805</f>
        <v>1067381.699493258</v>
      </c>
      <c r="I1805" t="str">
        <f>IF(AND(B1805&gt;=2018, B1805&lt;=2021), "2018-2021", IF(AND(B1805&gt;=2022, B1805&lt;=2024), "2022-2024", "Other"))</f>
        <v>2018-2021</v>
      </c>
    </row>
    <row r="1806" spans="1:9" x14ac:dyDescent="0.3">
      <c r="A1806" t="s">
        <v>7</v>
      </c>
      <c r="B1806">
        <v>2024</v>
      </c>
      <c r="C1806" t="s">
        <v>14</v>
      </c>
      <c r="D1806">
        <v>26014.74</v>
      </c>
      <c r="E1806">
        <v>22046.11</v>
      </c>
      <c r="F1806">
        <v>139.72</v>
      </c>
      <c r="G1806">
        <v>30.95</v>
      </c>
      <c r="H1806">
        <f>E1806*1000000/D1806</f>
        <v>847446.87050495215</v>
      </c>
      <c r="I1806" t="str">
        <f>IF(AND(B1806&gt;=2018, B1806&lt;=2021), "2018-2021", IF(AND(B1806&gt;=2022, B1806&lt;=2024), "2022-2024", "Other"))</f>
        <v>2022-2024</v>
      </c>
    </row>
    <row r="1807" spans="1:9" x14ac:dyDescent="0.3">
      <c r="A1807" t="s">
        <v>11</v>
      </c>
      <c r="B1807">
        <v>2021</v>
      </c>
      <c r="C1807" t="s">
        <v>0</v>
      </c>
      <c r="D1807">
        <v>3799.48</v>
      </c>
      <c r="E1807">
        <v>3099.82</v>
      </c>
      <c r="F1807">
        <v>156.94</v>
      </c>
      <c r="G1807">
        <v>1337.82</v>
      </c>
      <c r="H1807">
        <f>E1807*1000000/D1807</f>
        <v>815853.74840767682</v>
      </c>
      <c r="I1807" t="str">
        <f>IF(AND(B1807&gt;=2018, B1807&lt;=2021), "2018-2021", IF(AND(B1807&gt;=2022, B1807&lt;=2024), "2022-2024", "Other"))</f>
        <v>2018-2021</v>
      </c>
    </row>
    <row r="1808" spans="1:9" x14ac:dyDescent="0.3">
      <c r="A1808" t="s">
        <v>23</v>
      </c>
      <c r="B1808">
        <v>2018</v>
      </c>
      <c r="C1808" t="s">
        <v>12</v>
      </c>
      <c r="D1808">
        <v>14126.29</v>
      </c>
      <c r="E1808">
        <v>16893.560000000001</v>
      </c>
      <c r="F1808">
        <v>175.41</v>
      </c>
      <c r="G1808">
        <v>875.65</v>
      </c>
      <c r="H1808">
        <f>E1808*1000000/D1808</f>
        <v>1195895.0297636534</v>
      </c>
      <c r="I1808" t="str">
        <f>IF(AND(B1808&gt;=2018, B1808&lt;=2021), "2018-2021", IF(AND(B1808&gt;=2022, B1808&lt;=2024), "2022-2024", "Other"))</f>
        <v>2018-2021</v>
      </c>
    </row>
    <row r="1809" spans="1:9" x14ac:dyDescent="0.3">
      <c r="A1809" t="s">
        <v>27</v>
      </c>
      <c r="B1809">
        <v>2018</v>
      </c>
      <c r="C1809" t="s">
        <v>4</v>
      </c>
      <c r="D1809">
        <v>45602.44</v>
      </c>
      <c r="E1809">
        <v>40879.26</v>
      </c>
      <c r="F1809">
        <v>149.76</v>
      </c>
      <c r="G1809">
        <v>951.58</v>
      </c>
      <c r="H1809">
        <f>E1809*1000000/D1809</f>
        <v>896427.03329032392</v>
      </c>
      <c r="I1809" t="str">
        <f>IF(AND(B1809&gt;=2018, B1809&lt;=2021), "2018-2021", IF(AND(B1809&gt;=2022, B1809&lt;=2024), "2022-2024", "Other"))</f>
        <v>2018-2021</v>
      </c>
    </row>
    <row r="1810" spans="1:9" x14ac:dyDescent="0.3">
      <c r="A1810" t="s">
        <v>20</v>
      </c>
      <c r="B1810">
        <v>2021</v>
      </c>
      <c r="C1810" t="s">
        <v>0</v>
      </c>
      <c r="D1810">
        <v>41470.400000000001</v>
      </c>
      <c r="E1810">
        <v>45018.64</v>
      </c>
      <c r="F1810">
        <v>105.89</v>
      </c>
      <c r="G1810">
        <v>873</v>
      </c>
      <c r="H1810">
        <f>E1810*1000000/D1810</f>
        <v>1085560.7855241329</v>
      </c>
      <c r="I1810" t="str">
        <f>IF(AND(B1810&gt;=2018, B1810&lt;=2021), "2018-2021", IF(AND(B1810&gt;=2022, B1810&lt;=2024), "2022-2024", "Other"))</f>
        <v>2018-2021</v>
      </c>
    </row>
    <row r="1811" spans="1:9" x14ac:dyDescent="0.3">
      <c r="A1811" t="s">
        <v>3</v>
      </c>
      <c r="B1811">
        <v>2022</v>
      </c>
      <c r="C1811" t="s">
        <v>9</v>
      </c>
      <c r="D1811">
        <v>27743.51</v>
      </c>
      <c r="E1811">
        <v>25956.39</v>
      </c>
      <c r="F1811">
        <v>91.64</v>
      </c>
      <c r="G1811">
        <v>163.76</v>
      </c>
      <c r="H1811">
        <f>E1811*1000000/D1811</f>
        <v>935584.21410989459</v>
      </c>
      <c r="I1811" t="str">
        <f>IF(AND(B1811&gt;=2018, B1811&lt;=2021), "2018-2021", IF(AND(B1811&gt;=2022, B1811&lt;=2024), "2022-2024", "Other"))</f>
        <v>2022-2024</v>
      </c>
    </row>
    <row r="1812" spans="1:9" x14ac:dyDescent="0.3">
      <c r="A1812" t="s">
        <v>17</v>
      </c>
      <c r="B1812">
        <v>2023</v>
      </c>
      <c r="C1812" t="s">
        <v>14</v>
      </c>
      <c r="D1812">
        <v>38649.18</v>
      </c>
      <c r="E1812">
        <v>31579.18</v>
      </c>
      <c r="F1812">
        <v>56.11</v>
      </c>
      <c r="G1812">
        <v>814.16</v>
      </c>
      <c r="H1812">
        <f>E1812*1000000/D1812</f>
        <v>817072.4450040079</v>
      </c>
      <c r="I1812" t="str">
        <f>IF(AND(B1812&gt;=2018, B1812&lt;=2021), "2018-2021", IF(AND(B1812&gt;=2022, B1812&lt;=2024), "2022-2024", "Other"))</f>
        <v>2022-2024</v>
      </c>
    </row>
    <row r="1813" spans="1:9" x14ac:dyDescent="0.3">
      <c r="A1813" t="s">
        <v>3</v>
      </c>
      <c r="B1813">
        <v>2021</v>
      </c>
      <c r="C1813" t="s">
        <v>8</v>
      </c>
      <c r="D1813">
        <v>36479.51</v>
      </c>
      <c r="E1813">
        <v>40488.370000000003</v>
      </c>
      <c r="F1813">
        <v>167.63</v>
      </c>
      <c r="G1813">
        <v>146.37</v>
      </c>
      <c r="H1813">
        <f>E1813*1000000/D1813</f>
        <v>1109893.4717050749</v>
      </c>
      <c r="I1813" t="str">
        <f>IF(AND(B1813&gt;=2018, B1813&lt;=2021), "2018-2021", IF(AND(B1813&gt;=2022, B1813&lt;=2024), "2022-2024", "Other"))</f>
        <v>2018-2021</v>
      </c>
    </row>
    <row r="1814" spans="1:9" x14ac:dyDescent="0.3">
      <c r="A1814" t="s">
        <v>15</v>
      </c>
      <c r="B1814">
        <v>2018</v>
      </c>
      <c r="C1814" t="s">
        <v>2</v>
      </c>
      <c r="D1814">
        <v>17394.53</v>
      </c>
      <c r="E1814">
        <v>18757.29</v>
      </c>
      <c r="F1814">
        <v>154.52000000000001</v>
      </c>
      <c r="G1814">
        <v>359.36</v>
      </c>
      <c r="H1814">
        <f>E1814*1000000/D1814</f>
        <v>1078344.1691152335</v>
      </c>
      <c r="I1814" t="str">
        <f>IF(AND(B1814&gt;=2018, B1814&lt;=2021), "2018-2021", IF(AND(B1814&gt;=2022, B1814&lt;=2024), "2022-2024", "Other"))</f>
        <v>2018-2021</v>
      </c>
    </row>
    <row r="1815" spans="1:9" x14ac:dyDescent="0.3">
      <c r="A1815" t="s">
        <v>25</v>
      </c>
      <c r="B1815">
        <v>2019</v>
      </c>
      <c r="C1815" t="s">
        <v>6</v>
      </c>
      <c r="D1815">
        <v>30287.13</v>
      </c>
      <c r="E1815">
        <v>28878.12</v>
      </c>
      <c r="F1815">
        <v>54.33</v>
      </c>
      <c r="G1815">
        <v>596.44000000000005</v>
      </c>
      <c r="H1815">
        <f>E1815*1000000/D1815</f>
        <v>953478.25957758294</v>
      </c>
      <c r="I1815" t="str">
        <f>IF(AND(B1815&gt;=2018, B1815&lt;=2021), "2018-2021", IF(AND(B1815&gt;=2022, B1815&lt;=2024), "2022-2024", "Other"))</f>
        <v>2018-2021</v>
      </c>
    </row>
    <row r="1816" spans="1:9" x14ac:dyDescent="0.3">
      <c r="A1816" t="s">
        <v>23</v>
      </c>
      <c r="B1816">
        <v>2022</v>
      </c>
      <c r="C1816" t="s">
        <v>12</v>
      </c>
      <c r="D1816">
        <v>26025.35</v>
      </c>
      <c r="E1816">
        <v>26034.02</v>
      </c>
      <c r="F1816">
        <v>75.12</v>
      </c>
      <c r="G1816">
        <v>256.32</v>
      </c>
      <c r="H1816">
        <f>E1816*1000000/D1816</f>
        <v>1000333.1367301497</v>
      </c>
      <c r="I1816" t="str">
        <f>IF(AND(B1816&gt;=2018, B1816&lt;=2021), "2018-2021", IF(AND(B1816&gt;=2022, B1816&lt;=2024), "2022-2024", "Other"))</f>
        <v>2022-2024</v>
      </c>
    </row>
    <row r="1817" spans="1:9" x14ac:dyDescent="0.3">
      <c r="A1817" t="s">
        <v>10</v>
      </c>
      <c r="B1817">
        <v>2018</v>
      </c>
      <c r="C1817" t="s">
        <v>9</v>
      </c>
      <c r="D1817">
        <v>23048.799999999999</v>
      </c>
      <c r="E1817">
        <v>27491.11</v>
      </c>
      <c r="F1817">
        <v>142.76</v>
      </c>
      <c r="G1817">
        <v>1006.54</v>
      </c>
      <c r="H1817">
        <f>E1817*1000000/D1817</f>
        <v>1192734.9796952554</v>
      </c>
      <c r="I1817" t="str">
        <f>IF(AND(B1817&gt;=2018, B1817&lt;=2021), "2018-2021", IF(AND(B1817&gt;=2022, B1817&lt;=2024), "2022-2024", "Other"))</f>
        <v>2018-2021</v>
      </c>
    </row>
    <row r="1818" spans="1:9" x14ac:dyDescent="0.3">
      <c r="A1818" t="s">
        <v>26</v>
      </c>
      <c r="B1818">
        <v>2023</v>
      </c>
      <c r="C1818" t="s">
        <v>6</v>
      </c>
      <c r="D1818">
        <v>19438.29</v>
      </c>
      <c r="E1818">
        <v>22652.07</v>
      </c>
      <c r="F1818">
        <v>86.85</v>
      </c>
      <c r="G1818">
        <v>865.23</v>
      </c>
      <c r="H1818">
        <f>E1818*1000000/D1818</f>
        <v>1165332.4443662483</v>
      </c>
      <c r="I1818" t="str">
        <f>IF(AND(B1818&gt;=2018, B1818&lt;=2021), "2018-2021", IF(AND(B1818&gt;=2022, B1818&lt;=2024), "2022-2024", "Other"))</f>
        <v>2022-2024</v>
      </c>
    </row>
    <row r="1819" spans="1:9" x14ac:dyDescent="0.3">
      <c r="A1819" t="s">
        <v>27</v>
      </c>
      <c r="B1819">
        <v>2019</v>
      </c>
      <c r="C1819" t="s">
        <v>6</v>
      </c>
      <c r="D1819">
        <v>40107.69</v>
      </c>
      <c r="E1819">
        <v>32976.720000000001</v>
      </c>
      <c r="F1819">
        <v>95.88</v>
      </c>
      <c r="G1819">
        <v>40.19</v>
      </c>
      <c r="H1819">
        <f>E1819*1000000/D1819</f>
        <v>822204.42014985147</v>
      </c>
      <c r="I1819" t="str">
        <f>IF(AND(B1819&gt;=2018, B1819&lt;=2021), "2018-2021", IF(AND(B1819&gt;=2022, B1819&lt;=2024), "2022-2024", "Other"))</f>
        <v>2018-2021</v>
      </c>
    </row>
    <row r="1820" spans="1:9" x14ac:dyDescent="0.3">
      <c r="A1820" t="s">
        <v>22</v>
      </c>
      <c r="B1820">
        <v>2022</v>
      </c>
      <c r="C1820" t="s">
        <v>9</v>
      </c>
      <c r="D1820">
        <v>19155.88</v>
      </c>
      <c r="E1820">
        <v>17069.740000000002</v>
      </c>
      <c r="F1820">
        <v>33.68</v>
      </c>
      <c r="G1820">
        <v>12.54</v>
      </c>
      <c r="H1820">
        <f>E1820*1000000/D1820</f>
        <v>891096.62411750341</v>
      </c>
      <c r="I1820" t="str">
        <f>IF(AND(B1820&gt;=2018, B1820&lt;=2021), "2018-2021", IF(AND(B1820&gt;=2022, B1820&lt;=2024), "2022-2024", "Other"))</f>
        <v>2022-2024</v>
      </c>
    </row>
    <row r="1821" spans="1:9" x14ac:dyDescent="0.3">
      <c r="A1821" t="s">
        <v>19</v>
      </c>
      <c r="B1821">
        <v>2024</v>
      </c>
      <c r="C1821" t="s">
        <v>8</v>
      </c>
      <c r="D1821">
        <v>21004.82</v>
      </c>
      <c r="E1821">
        <v>16927.09</v>
      </c>
      <c r="F1821">
        <v>109.2</v>
      </c>
      <c r="G1821">
        <v>840.09</v>
      </c>
      <c r="H1821">
        <f>E1821*1000000/D1821</f>
        <v>805866.93911207048</v>
      </c>
      <c r="I1821" t="str">
        <f>IF(AND(B1821&gt;=2018, B1821&lt;=2021), "2018-2021", IF(AND(B1821&gt;=2022, B1821&lt;=2024), "2022-2024", "Other"))</f>
        <v>2022-2024</v>
      </c>
    </row>
    <row r="1822" spans="1:9" x14ac:dyDescent="0.3">
      <c r="A1822" t="s">
        <v>25</v>
      </c>
      <c r="B1822">
        <v>2023</v>
      </c>
      <c r="C1822" t="s">
        <v>14</v>
      </c>
      <c r="D1822">
        <v>47035.68</v>
      </c>
      <c r="E1822">
        <v>52552.41</v>
      </c>
      <c r="F1822">
        <v>43.53</v>
      </c>
      <c r="G1822">
        <v>187.69</v>
      </c>
      <c r="H1822">
        <f>E1822*1000000/D1822</f>
        <v>1117288.1948342195</v>
      </c>
      <c r="I1822" t="str">
        <f>IF(AND(B1822&gt;=2018, B1822&lt;=2021), "2018-2021", IF(AND(B1822&gt;=2022, B1822&lt;=2024), "2022-2024", "Other"))</f>
        <v>2022-2024</v>
      </c>
    </row>
    <row r="1823" spans="1:9" x14ac:dyDescent="0.3">
      <c r="A1823" t="s">
        <v>11</v>
      </c>
      <c r="B1823">
        <v>2019</v>
      </c>
      <c r="C1823" t="s">
        <v>2</v>
      </c>
      <c r="D1823">
        <v>17002.3</v>
      </c>
      <c r="E1823">
        <v>18242.84</v>
      </c>
      <c r="F1823">
        <v>150.77000000000001</v>
      </c>
      <c r="G1823">
        <v>112.79</v>
      </c>
      <c r="H1823">
        <f>E1823*1000000/D1823</f>
        <v>1072963.0697023345</v>
      </c>
      <c r="I1823" t="str">
        <f>IF(AND(B1823&gt;=2018, B1823&lt;=2021), "2018-2021", IF(AND(B1823&gt;=2022, B1823&lt;=2024), "2022-2024", "Other"))</f>
        <v>2018-2021</v>
      </c>
    </row>
    <row r="1824" spans="1:9" x14ac:dyDescent="0.3">
      <c r="A1824" t="s">
        <v>3</v>
      </c>
      <c r="B1824">
        <v>2024</v>
      </c>
      <c r="C1824" t="s">
        <v>8</v>
      </c>
      <c r="D1824">
        <v>30731.56</v>
      </c>
      <c r="E1824">
        <v>35981.040000000001</v>
      </c>
      <c r="F1824">
        <v>185.96</v>
      </c>
      <c r="G1824">
        <v>986.66</v>
      </c>
      <c r="H1824">
        <f>E1824*1000000/D1824</f>
        <v>1170817.2315365702</v>
      </c>
      <c r="I1824" t="str">
        <f>IF(AND(B1824&gt;=2018, B1824&lt;=2021), "2018-2021", IF(AND(B1824&gt;=2022, B1824&lt;=2024), "2022-2024", "Other"))</f>
        <v>2022-2024</v>
      </c>
    </row>
    <row r="1825" spans="1:9" x14ac:dyDescent="0.3">
      <c r="A1825" t="s">
        <v>27</v>
      </c>
      <c r="B1825">
        <v>2020</v>
      </c>
      <c r="C1825" t="s">
        <v>0</v>
      </c>
      <c r="D1825">
        <v>13499.98</v>
      </c>
      <c r="E1825">
        <v>13593.82</v>
      </c>
      <c r="F1825">
        <v>136.44999999999999</v>
      </c>
      <c r="G1825">
        <v>778.31</v>
      </c>
      <c r="H1825">
        <f>E1825*1000000/D1825</f>
        <v>1006951.1214090688</v>
      </c>
      <c r="I1825" t="str">
        <f>IF(AND(B1825&gt;=2018, B1825&lt;=2021), "2018-2021", IF(AND(B1825&gt;=2022, B1825&lt;=2024), "2022-2024", "Other"))</f>
        <v>2018-2021</v>
      </c>
    </row>
    <row r="1826" spans="1:9" x14ac:dyDescent="0.3">
      <c r="A1826" t="s">
        <v>23</v>
      </c>
      <c r="B1826">
        <v>2024</v>
      </c>
      <c r="C1826" t="s">
        <v>14</v>
      </c>
      <c r="D1826">
        <v>14592.73</v>
      </c>
      <c r="E1826">
        <v>14443.07</v>
      </c>
      <c r="F1826">
        <v>76.33</v>
      </c>
      <c r="G1826">
        <v>752.73</v>
      </c>
      <c r="H1826">
        <f>E1826*1000000/D1826</f>
        <v>989744.208246161</v>
      </c>
      <c r="I1826" t="str">
        <f>IF(AND(B1826&gt;=2018, B1826&lt;=2021), "2018-2021", IF(AND(B1826&gt;=2022, B1826&lt;=2024), "2022-2024", "Other"))</f>
        <v>2022-2024</v>
      </c>
    </row>
    <row r="1827" spans="1:9" x14ac:dyDescent="0.3">
      <c r="A1827" t="s">
        <v>18</v>
      </c>
      <c r="B1827">
        <v>2024</v>
      </c>
      <c r="C1827" t="s">
        <v>14</v>
      </c>
      <c r="D1827">
        <v>28942.01</v>
      </c>
      <c r="E1827">
        <v>26738.86</v>
      </c>
      <c r="F1827">
        <v>47.05</v>
      </c>
      <c r="G1827">
        <v>879.48</v>
      </c>
      <c r="H1827">
        <f>E1827*1000000/D1827</f>
        <v>923877.09077565803</v>
      </c>
      <c r="I1827" t="str">
        <f>IF(AND(B1827&gt;=2018, B1827&lt;=2021), "2018-2021", IF(AND(B1827&gt;=2022, B1827&lt;=2024), "2022-2024", "Other"))</f>
        <v>2022-2024</v>
      </c>
    </row>
    <row r="1828" spans="1:9" x14ac:dyDescent="0.3">
      <c r="A1828" t="s">
        <v>17</v>
      </c>
      <c r="B1828">
        <v>2023</v>
      </c>
      <c r="C1828" t="s">
        <v>9</v>
      </c>
      <c r="D1828">
        <v>8312.01</v>
      </c>
      <c r="E1828">
        <v>7442.82</v>
      </c>
      <c r="F1828">
        <v>106.56</v>
      </c>
      <c r="G1828">
        <v>929.78</v>
      </c>
      <c r="H1828">
        <f>E1828*1000000/D1828</f>
        <v>895429.62532528234</v>
      </c>
      <c r="I1828" t="str">
        <f>IF(AND(B1828&gt;=2018, B1828&lt;=2021), "2018-2021", IF(AND(B1828&gt;=2022, B1828&lt;=2024), "2022-2024", "Other"))</f>
        <v>2022-2024</v>
      </c>
    </row>
    <row r="1829" spans="1:9" x14ac:dyDescent="0.3">
      <c r="A1829" t="s">
        <v>23</v>
      </c>
      <c r="B1829">
        <v>2020</v>
      </c>
      <c r="C1829" t="s">
        <v>6</v>
      </c>
      <c r="D1829">
        <v>16770.54</v>
      </c>
      <c r="E1829">
        <v>14492.63</v>
      </c>
      <c r="F1829">
        <v>131.47999999999999</v>
      </c>
      <c r="G1829">
        <v>380.8</v>
      </c>
      <c r="H1829">
        <f>E1829*1000000/D1829</f>
        <v>864171.93483334465</v>
      </c>
      <c r="I1829" t="str">
        <f>IF(AND(B1829&gt;=2018, B1829&lt;=2021), "2018-2021", IF(AND(B1829&gt;=2022, B1829&lt;=2024), "2022-2024", "Other"))</f>
        <v>2018-2021</v>
      </c>
    </row>
    <row r="1830" spans="1:9" x14ac:dyDescent="0.3">
      <c r="A1830" t="s">
        <v>13</v>
      </c>
      <c r="B1830">
        <v>2018</v>
      </c>
      <c r="C1830" t="s">
        <v>6</v>
      </c>
      <c r="D1830">
        <v>46680.480000000003</v>
      </c>
      <c r="E1830">
        <v>40190.28</v>
      </c>
      <c r="F1830">
        <v>28.28</v>
      </c>
      <c r="G1830">
        <v>24.19</v>
      </c>
      <c r="H1830">
        <f>E1830*1000000/D1830</f>
        <v>860965.43994406227</v>
      </c>
      <c r="I1830" t="str">
        <f>IF(AND(B1830&gt;=2018, B1830&lt;=2021), "2018-2021", IF(AND(B1830&gt;=2022, B1830&lt;=2024), "2022-2024", "Other"))</f>
        <v>2018-2021</v>
      </c>
    </row>
    <row r="1831" spans="1:9" x14ac:dyDescent="0.3">
      <c r="A1831" t="s">
        <v>18</v>
      </c>
      <c r="B1831">
        <v>2018</v>
      </c>
      <c r="C1831" t="s">
        <v>6</v>
      </c>
      <c r="D1831">
        <v>18248.77</v>
      </c>
      <c r="E1831">
        <v>16599.39</v>
      </c>
      <c r="F1831">
        <v>152.43</v>
      </c>
      <c r="G1831">
        <v>417.82</v>
      </c>
      <c r="H1831">
        <f>E1831*1000000/D1831</f>
        <v>909616.92212680634</v>
      </c>
      <c r="I1831" t="str">
        <f>IF(AND(B1831&gt;=2018, B1831&lt;=2021), "2018-2021", IF(AND(B1831&gt;=2022, B1831&lt;=2024), "2022-2024", "Other"))</f>
        <v>2018-2021</v>
      </c>
    </row>
    <row r="1832" spans="1:9" x14ac:dyDescent="0.3">
      <c r="A1832" t="s">
        <v>25</v>
      </c>
      <c r="B1832">
        <v>2024</v>
      </c>
      <c r="C1832" t="s">
        <v>12</v>
      </c>
      <c r="D1832">
        <v>12090.15</v>
      </c>
      <c r="E1832">
        <v>10281.780000000001</v>
      </c>
      <c r="F1832">
        <v>193.08</v>
      </c>
      <c r="G1832">
        <v>1288.6500000000001</v>
      </c>
      <c r="H1832">
        <f>E1832*1000000/D1832</f>
        <v>850426.17337253888</v>
      </c>
      <c r="I1832" t="str">
        <f>IF(AND(B1832&gt;=2018, B1832&lt;=2021), "2018-2021", IF(AND(B1832&gt;=2022, B1832&lt;=2024), "2022-2024", "Other"))</f>
        <v>2022-2024</v>
      </c>
    </row>
    <row r="1833" spans="1:9" x14ac:dyDescent="0.3">
      <c r="A1833" t="s">
        <v>22</v>
      </c>
      <c r="B1833">
        <v>2021</v>
      </c>
      <c r="C1833" t="s">
        <v>4</v>
      </c>
      <c r="D1833">
        <v>47227.73</v>
      </c>
      <c r="E1833">
        <v>40158.85</v>
      </c>
      <c r="F1833">
        <v>28.15</v>
      </c>
      <c r="G1833">
        <v>909.21</v>
      </c>
      <c r="H1833">
        <f>E1833*1000000/D1833</f>
        <v>850323.52814755228</v>
      </c>
      <c r="I1833" t="str">
        <f>IF(AND(B1833&gt;=2018, B1833&lt;=2021), "2018-2021", IF(AND(B1833&gt;=2022, B1833&lt;=2024), "2022-2024", "Other"))</f>
        <v>2018-2021</v>
      </c>
    </row>
    <row r="1834" spans="1:9" x14ac:dyDescent="0.3">
      <c r="A1834" t="s">
        <v>24</v>
      </c>
      <c r="B1834">
        <v>2021</v>
      </c>
      <c r="C1834" t="s">
        <v>2</v>
      </c>
      <c r="D1834">
        <v>21466.799999999999</v>
      </c>
      <c r="E1834">
        <v>20122.080000000002</v>
      </c>
      <c r="F1834">
        <v>128.44</v>
      </c>
      <c r="G1834">
        <v>1146.07</v>
      </c>
      <c r="H1834">
        <f>E1834*1000000/D1834</f>
        <v>937358.15305494994</v>
      </c>
      <c r="I1834" t="str">
        <f>IF(AND(B1834&gt;=2018, B1834&lt;=2021), "2018-2021", IF(AND(B1834&gt;=2022, B1834&lt;=2024), "2022-2024", "Other"))</f>
        <v>2018-2021</v>
      </c>
    </row>
    <row r="1835" spans="1:9" x14ac:dyDescent="0.3">
      <c r="A1835" t="s">
        <v>21</v>
      </c>
      <c r="B1835">
        <v>2018</v>
      </c>
      <c r="C1835" t="s">
        <v>4</v>
      </c>
      <c r="D1835">
        <v>26569.77</v>
      </c>
      <c r="E1835">
        <v>27208.17</v>
      </c>
      <c r="F1835">
        <v>102.15</v>
      </c>
      <c r="G1835">
        <v>291.69</v>
      </c>
      <c r="H1835">
        <f>E1835*1000000/D1835</f>
        <v>1024027.3062205657</v>
      </c>
      <c r="I1835" t="str">
        <f>IF(AND(B1835&gt;=2018, B1835&lt;=2021), "2018-2021", IF(AND(B1835&gt;=2022, B1835&lt;=2024), "2022-2024", "Other"))</f>
        <v>2018-2021</v>
      </c>
    </row>
    <row r="1836" spans="1:9" x14ac:dyDescent="0.3">
      <c r="A1836" t="s">
        <v>1</v>
      </c>
      <c r="B1836">
        <v>2021</v>
      </c>
      <c r="C1836" t="s">
        <v>0</v>
      </c>
      <c r="D1836">
        <v>37429.54</v>
      </c>
      <c r="E1836">
        <v>39656.050000000003</v>
      </c>
      <c r="F1836">
        <v>55.44</v>
      </c>
      <c r="G1836">
        <v>384.5</v>
      </c>
      <c r="H1836">
        <f>E1836*1000000/D1836</f>
        <v>1059485.36904274</v>
      </c>
      <c r="I1836" t="str">
        <f>IF(AND(B1836&gt;=2018, B1836&lt;=2021), "2018-2021", IF(AND(B1836&gt;=2022, B1836&lt;=2024), "2022-2024", "Other"))</f>
        <v>2018-2021</v>
      </c>
    </row>
    <row r="1837" spans="1:9" x14ac:dyDescent="0.3">
      <c r="A1837" t="s">
        <v>7</v>
      </c>
      <c r="B1837">
        <v>2024</v>
      </c>
      <c r="C1837" t="s">
        <v>2</v>
      </c>
      <c r="D1837">
        <v>41578.83</v>
      </c>
      <c r="E1837">
        <v>37298.89</v>
      </c>
      <c r="F1837">
        <v>136.07</v>
      </c>
      <c r="G1837">
        <v>901.48</v>
      </c>
      <c r="H1837">
        <f>E1837*1000000/D1837</f>
        <v>897064.4436122902</v>
      </c>
      <c r="I1837" t="str">
        <f>IF(AND(B1837&gt;=2018, B1837&lt;=2021), "2018-2021", IF(AND(B1837&gt;=2022, B1837&lt;=2024), "2022-2024", "Other"))</f>
        <v>2022-2024</v>
      </c>
    </row>
    <row r="1838" spans="1:9" x14ac:dyDescent="0.3">
      <c r="A1838" t="s">
        <v>27</v>
      </c>
      <c r="B1838">
        <v>2020</v>
      </c>
      <c r="C1838" t="s">
        <v>8</v>
      </c>
      <c r="D1838">
        <v>45191.43</v>
      </c>
      <c r="E1838">
        <v>45956.79</v>
      </c>
      <c r="F1838">
        <v>57.02</v>
      </c>
      <c r="G1838">
        <v>1271.31</v>
      </c>
      <c r="H1838">
        <f>E1838*1000000/D1838</f>
        <v>1016935.9544497706</v>
      </c>
      <c r="I1838" t="str">
        <f>IF(AND(B1838&gt;=2018, B1838&lt;=2021), "2018-2021", IF(AND(B1838&gt;=2022, B1838&lt;=2024), "2022-2024", "Other"))</f>
        <v>2018-2021</v>
      </c>
    </row>
    <row r="1839" spans="1:9" x14ac:dyDescent="0.3">
      <c r="A1839" t="s">
        <v>22</v>
      </c>
      <c r="B1839">
        <v>2022</v>
      </c>
      <c r="C1839" t="s">
        <v>8</v>
      </c>
      <c r="D1839">
        <v>34891.839999999997</v>
      </c>
      <c r="E1839">
        <v>31559.15</v>
      </c>
      <c r="F1839">
        <v>141.44999999999999</v>
      </c>
      <c r="G1839">
        <v>434.77</v>
      </c>
      <c r="H1839">
        <f>E1839*1000000/D1839</f>
        <v>904485.11743720027</v>
      </c>
      <c r="I1839" t="str">
        <f>IF(AND(B1839&gt;=2018, B1839&lt;=2021), "2018-2021", IF(AND(B1839&gt;=2022, B1839&lt;=2024), "2022-2024", "Other"))</f>
        <v>2022-2024</v>
      </c>
    </row>
    <row r="1840" spans="1:9" x14ac:dyDescent="0.3">
      <c r="A1840" t="s">
        <v>19</v>
      </c>
      <c r="B1840">
        <v>2018</v>
      </c>
      <c r="C1840" t="s">
        <v>9</v>
      </c>
      <c r="D1840">
        <v>26035.57</v>
      </c>
      <c r="E1840">
        <v>24115.43</v>
      </c>
      <c r="F1840">
        <v>39.01</v>
      </c>
      <c r="G1840">
        <v>1082.3399999999999</v>
      </c>
      <c r="H1840">
        <f>E1840*1000000/D1840</f>
        <v>926249.35808972106</v>
      </c>
      <c r="I1840" t="str">
        <f>IF(AND(B1840&gt;=2018, B1840&lt;=2021), "2018-2021", IF(AND(B1840&gt;=2022, B1840&lt;=2024), "2022-2024", "Other"))</f>
        <v>2018-2021</v>
      </c>
    </row>
    <row r="1841" spans="1:9" x14ac:dyDescent="0.3">
      <c r="A1841" t="s">
        <v>23</v>
      </c>
      <c r="B1841">
        <v>2019</v>
      </c>
      <c r="C1841" t="s">
        <v>8</v>
      </c>
      <c r="D1841">
        <v>12016.56</v>
      </c>
      <c r="E1841">
        <v>10628.92</v>
      </c>
      <c r="F1841">
        <v>110.62</v>
      </c>
      <c r="G1841">
        <v>331.49</v>
      </c>
      <c r="H1841">
        <f>E1841*1000000/D1841</f>
        <v>884522.69201834803</v>
      </c>
      <c r="I1841" t="str">
        <f>IF(AND(B1841&gt;=2018, B1841&lt;=2021), "2018-2021", IF(AND(B1841&gt;=2022, B1841&lt;=2024), "2022-2024", "Other"))</f>
        <v>2018-2021</v>
      </c>
    </row>
    <row r="1842" spans="1:9" x14ac:dyDescent="0.3">
      <c r="A1842" t="s">
        <v>17</v>
      </c>
      <c r="B1842">
        <v>2022</v>
      </c>
      <c r="C1842" t="s">
        <v>8</v>
      </c>
      <c r="D1842">
        <v>5391.43</v>
      </c>
      <c r="E1842">
        <v>6068.79</v>
      </c>
      <c r="F1842">
        <v>138.09</v>
      </c>
      <c r="G1842">
        <v>122.74</v>
      </c>
      <c r="H1842">
        <f>E1842*1000000/D1842</f>
        <v>1125636.42669941</v>
      </c>
      <c r="I1842" t="str">
        <f>IF(AND(B1842&gt;=2018, B1842&lt;=2021), "2018-2021", IF(AND(B1842&gt;=2022, B1842&lt;=2024), "2022-2024", "Other"))</f>
        <v>2022-2024</v>
      </c>
    </row>
    <row r="1843" spans="1:9" x14ac:dyDescent="0.3">
      <c r="A1843" t="s">
        <v>13</v>
      </c>
      <c r="B1843">
        <v>2018</v>
      </c>
      <c r="C1843" t="s">
        <v>14</v>
      </c>
      <c r="D1843">
        <v>27923.07</v>
      </c>
      <c r="E1843">
        <v>29009.89</v>
      </c>
      <c r="F1843">
        <v>111.9</v>
      </c>
      <c r="G1843">
        <v>1185.6500000000001</v>
      </c>
      <c r="H1843">
        <f>E1843*1000000/D1843</f>
        <v>1038921.938024723</v>
      </c>
      <c r="I1843" t="str">
        <f>IF(AND(B1843&gt;=2018, B1843&lt;=2021), "2018-2021", IF(AND(B1843&gt;=2022, B1843&lt;=2024), "2022-2024", "Other"))</f>
        <v>2018-2021</v>
      </c>
    </row>
    <row r="1844" spans="1:9" x14ac:dyDescent="0.3">
      <c r="A1844" t="s">
        <v>18</v>
      </c>
      <c r="B1844">
        <v>2020</v>
      </c>
      <c r="C1844" t="s">
        <v>2</v>
      </c>
      <c r="D1844">
        <v>38838.74</v>
      </c>
      <c r="E1844">
        <v>32123.22</v>
      </c>
      <c r="F1844">
        <v>136.85</v>
      </c>
      <c r="G1844">
        <v>1160.6500000000001</v>
      </c>
      <c r="H1844">
        <f>E1844*1000000/D1844</f>
        <v>827092.22801769583</v>
      </c>
      <c r="I1844" t="str">
        <f>IF(AND(B1844&gt;=2018, B1844&lt;=2021), "2018-2021", IF(AND(B1844&gt;=2022, B1844&lt;=2024), "2022-2024", "Other"))</f>
        <v>2018-2021</v>
      </c>
    </row>
    <row r="1845" spans="1:9" x14ac:dyDescent="0.3">
      <c r="A1845" t="s">
        <v>26</v>
      </c>
      <c r="B1845">
        <v>2018</v>
      </c>
      <c r="C1845" t="s">
        <v>9</v>
      </c>
      <c r="D1845">
        <v>21937.45</v>
      </c>
      <c r="E1845">
        <v>23241.1</v>
      </c>
      <c r="F1845">
        <v>87.89</v>
      </c>
      <c r="G1845">
        <v>831.96</v>
      </c>
      <c r="H1845">
        <f>E1845*1000000/D1845</f>
        <v>1059425.7764690062</v>
      </c>
      <c r="I1845" t="str">
        <f>IF(AND(B1845&gt;=2018, B1845&lt;=2021), "2018-2021", IF(AND(B1845&gt;=2022, B1845&lt;=2024), "2022-2024", "Other"))</f>
        <v>2018-2021</v>
      </c>
    </row>
    <row r="1846" spans="1:9" x14ac:dyDescent="0.3">
      <c r="A1846" t="s">
        <v>21</v>
      </c>
      <c r="B1846">
        <v>2019</v>
      </c>
      <c r="C1846" t="s">
        <v>9</v>
      </c>
      <c r="D1846">
        <v>4023.38</v>
      </c>
      <c r="E1846">
        <v>3768.31</v>
      </c>
      <c r="F1846">
        <v>110.69</v>
      </c>
      <c r="G1846">
        <v>1141.3</v>
      </c>
      <c r="H1846">
        <f>E1846*1000000/D1846</f>
        <v>936603.05514269089</v>
      </c>
      <c r="I1846" t="str">
        <f>IF(AND(B1846&gt;=2018, B1846&lt;=2021), "2018-2021", IF(AND(B1846&gt;=2022, B1846&lt;=2024), "2022-2024", "Other"))</f>
        <v>2018-2021</v>
      </c>
    </row>
    <row r="1847" spans="1:9" x14ac:dyDescent="0.3">
      <c r="A1847" t="s">
        <v>18</v>
      </c>
      <c r="B1847">
        <v>2019</v>
      </c>
      <c r="C1847" t="s">
        <v>8</v>
      </c>
      <c r="D1847">
        <v>39724.75</v>
      </c>
      <c r="E1847">
        <v>34944.07</v>
      </c>
      <c r="F1847">
        <v>83.38</v>
      </c>
      <c r="G1847">
        <v>77.92</v>
      </c>
      <c r="H1847">
        <f>E1847*1000000/D1847</f>
        <v>879654.87510934623</v>
      </c>
      <c r="I1847" t="str">
        <f>IF(AND(B1847&gt;=2018, B1847&lt;=2021), "2018-2021", IF(AND(B1847&gt;=2022, B1847&lt;=2024), "2022-2024", "Other"))</f>
        <v>2018-2021</v>
      </c>
    </row>
    <row r="1848" spans="1:9" x14ac:dyDescent="0.3">
      <c r="A1848" t="s">
        <v>19</v>
      </c>
      <c r="B1848">
        <v>2018</v>
      </c>
      <c r="C1848" t="s">
        <v>6</v>
      </c>
      <c r="D1848">
        <v>26122.94</v>
      </c>
      <c r="E1848">
        <v>29785.58</v>
      </c>
      <c r="F1848">
        <v>95.83</v>
      </c>
      <c r="G1848">
        <v>1076.6300000000001</v>
      </c>
      <c r="H1848">
        <f>E1848*1000000/D1848</f>
        <v>1140207.8020314712</v>
      </c>
      <c r="I1848" t="str">
        <f>IF(AND(B1848&gt;=2018, B1848&lt;=2021), "2018-2021", IF(AND(B1848&gt;=2022, B1848&lt;=2024), "2022-2024", "Other"))</f>
        <v>2018-2021</v>
      </c>
    </row>
    <row r="1849" spans="1:9" x14ac:dyDescent="0.3">
      <c r="A1849" t="s">
        <v>15</v>
      </c>
      <c r="B1849">
        <v>2020</v>
      </c>
      <c r="C1849" t="s">
        <v>8</v>
      </c>
      <c r="D1849">
        <v>48970.79</v>
      </c>
      <c r="E1849">
        <v>41489.980000000003</v>
      </c>
      <c r="F1849">
        <v>73.84</v>
      </c>
      <c r="G1849">
        <v>27.3</v>
      </c>
      <c r="H1849">
        <f>E1849*1000000/D1849</f>
        <v>847239.34410696663</v>
      </c>
      <c r="I1849" t="str">
        <f>IF(AND(B1849&gt;=2018, B1849&lt;=2021), "2018-2021", IF(AND(B1849&gt;=2022, B1849&lt;=2024), "2022-2024", "Other"))</f>
        <v>2018-2021</v>
      </c>
    </row>
    <row r="1850" spans="1:9" x14ac:dyDescent="0.3">
      <c r="A1850" t="s">
        <v>22</v>
      </c>
      <c r="B1850">
        <v>2024</v>
      </c>
      <c r="C1850" t="s">
        <v>12</v>
      </c>
      <c r="D1850">
        <v>36283.83</v>
      </c>
      <c r="E1850">
        <v>41217.279999999999</v>
      </c>
      <c r="F1850">
        <v>56.31</v>
      </c>
      <c r="G1850">
        <v>729</v>
      </c>
      <c r="H1850">
        <f>E1850*1000000/D1850</f>
        <v>1135968.2811875152</v>
      </c>
      <c r="I1850" t="str">
        <f>IF(AND(B1850&gt;=2018, B1850&lt;=2021), "2018-2021", IF(AND(B1850&gt;=2022, B1850&lt;=2024), "2022-2024", "Other"))</f>
        <v>2022-2024</v>
      </c>
    </row>
    <row r="1851" spans="1:9" x14ac:dyDescent="0.3">
      <c r="A1851" t="s">
        <v>17</v>
      </c>
      <c r="B1851">
        <v>2024</v>
      </c>
      <c r="C1851" t="s">
        <v>4</v>
      </c>
      <c r="D1851">
        <v>15071.26</v>
      </c>
      <c r="E1851">
        <v>16957.71</v>
      </c>
      <c r="F1851">
        <v>146.47</v>
      </c>
      <c r="G1851">
        <v>254.85</v>
      </c>
      <c r="H1851">
        <f>E1851*1000000/D1851</f>
        <v>1125168.6985693299</v>
      </c>
      <c r="I1851" t="str">
        <f>IF(AND(B1851&gt;=2018, B1851&lt;=2021), "2018-2021", IF(AND(B1851&gt;=2022, B1851&lt;=2024), "2022-2024", "Other"))</f>
        <v>2022-2024</v>
      </c>
    </row>
    <row r="1852" spans="1:9" x14ac:dyDescent="0.3">
      <c r="A1852" t="s">
        <v>18</v>
      </c>
      <c r="B1852">
        <v>2019</v>
      </c>
      <c r="C1852" t="s">
        <v>14</v>
      </c>
      <c r="D1852">
        <v>38345.980000000003</v>
      </c>
      <c r="E1852">
        <v>44353.29</v>
      </c>
      <c r="F1852">
        <v>101.99</v>
      </c>
      <c r="G1852">
        <v>1019.78</v>
      </c>
      <c r="H1852">
        <f>E1852*1000000/D1852</f>
        <v>1156660.7503576644</v>
      </c>
      <c r="I1852" t="str">
        <f>IF(AND(B1852&gt;=2018, B1852&lt;=2021), "2018-2021", IF(AND(B1852&gt;=2022, B1852&lt;=2024), "2022-2024", "Other"))</f>
        <v>2018-2021</v>
      </c>
    </row>
    <row r="1853" spans="1:9" x14ac:dyDescent="0.3">
      <c r="A1853" t="s">
        <v>26</v>
      </c>
      <c r="B1853">
        <v>2023</v>
      </c>
      <c r="C1853" t="s">
        <v>0</v>
      </c>
      <c r="D1853">
        <v>28659.64</v>
      </c>
      <c r="E1853">
        <v>33469.89</v>
      </c>
      <c r="F1853">
        <v>43.48</v>
      </c>
      <c r="G1853">
        <v>448.9</v>
      </c>
      <c r="H1853">
        <f>E1853*1000000/D1853</f>
        <v>1167840.5590579645</v>
      </c>
      <c r="I1853" t="str">
        <f>IF(AND(B1853&gt;=2018, B1853&lt;=2021), "2018-2021", IF(AND(B1853&gt;=2022, B1853&lt;=2024), "2022-2024", "Other"))</f>
        <v>2022-2024</v>
      </c>
    </row>
    <row r="1854" spans="1:9" x14ac:dyDescent="0.3">
      <c r="A1854" t="s">
        <v>22</v>
      </c>
      <c r="B1854">
        <v>2023</v>
      </c>
      <c r="C1854" t="s">
        <v>9</v>
      </c>
      <c r="D1854">
        <v>22853.53</v>
      </c>
      <c r="E1854">
        <v>19743.52</v>
      </c>
      <c r="F1854">
        <v>118.02</v>
      </c>
      <c r="G1854">
        <v>1219.8399999999999</v>
      </c>
      <c r="H1854">
        <f>E1854*1000000/D1854</f>
        <v>863915.55265204108</v>
      </c>
      <c r="I1854" t="str">
        <f>IF(AND(B1854&gt;=2018, B1854&lt;=2021), "2018-2021", IF(AND(B1854&gt;=2022, B1854&lt;=2024), "2022-2024", "Other"))</f>
        <v>2022-2024</v>
      </c>
    </row>
    <row r="1855" spans="1:9" x14ac:dyDescent="0.3">
      <c r="A1855" t="s">
        <v>26</v>
      </c>
      <c r="B1855">
        <v>2024</v>
      </c>
      <c r="C1855" t="s">
        <v>4</v>
      </c>
      <c r="D1855">
        <v>42576.12</v>
      </c>
      <c r="E1855">
        <v>36608.89</v>
      </c>
      <c r="F1855">
        <v>122.1</v>
      </c>
      <c r="G1855">
        <v>232.32</v>
      </c>
      <c r="H1855">
        <f>E1855*1000000/D1855</f>
        <v>859845.61298681039</v>
      </c>
      <c r="I1855" t="str">
        <f>IF(AND(B1855&gt;=2018, B1855&lt;=2021), "2018-2021", IF(AND(B1855&gt;=2022, B1855&lt;=2024), "2022-2024", "Other"))</f>
        <v>2022-2024</v>
      </c>
    </row>
    <row r="1856" spans="1:9" x14ac:dyDescent="0.3">
      <c r="A1856" t="s">
        <v>15</v>
      </c>
      <c r="B1856">
        <v>2020</v>
      </c>
      <c r="C1856" t="s">
        <v>6</v>
      </c>
      <c r="D1856">
        <v>8655.9699999999993</v>
      </c>
      <c r="E1856">
        <v>8339.86</v>
      </c>
      <c r="F1856">
        <v>63.27</v>
      </c>
      <c r="G1856">
        <v>844.44</v>
      </c>
      <c r="H1856">
        <f>E1856*1000000/D1856</f>
        <v>963480.6959820796</v>
      </c>
      <c r="I1856" t="str">
        <f>IF(AND(B1856&gt;=2018, B1856&lt;=2021), "2018-2021", IF(AND(B1856&gt;=2022, B1856&lt;=2024), "2022-2024", "Other"))</f>
        <v>2018-2021</v>
      </c>
    </row>
    <row r="1857" spans="1:9" x14ac:dyDescent="0.3">
      <c r="A1857" t="s">
        <v>5</v>
      </c>
      <c r="B1857">
        <v>2020</v>
      </c>
      <c r="C1857" t="s">
        <v>0</v>
      </c>
      <c r="D1857">
        <v>37735.89</v>
      </c>
      <c r="E1857">
        <v>40260.269999999997</v>
      </c>
      <c r="F1857">
        <v>196.73</v>
      </c>
      <c r="G1857">
        <v>810.25</v>
      </c>
      <c r="H1857">
        <f>E1857*1000000/D1857</f>
        <v>1066895.9974178427</v>
      </c>
      <c r="I1857" t="str">
        <f>IF(AND(B1857&gt;=2018, B1857&lt;=2021), "2018-2021", IF(AND(B1857&gt;=2022, B1857&lt;=2024), "2022-2024", "Other"))</f>
        <v>2018-2021</v>
      </c>
    </row>
    <row r="1858" spans="1:9" x14ac:dyDescent="0.3">
      <c r="A1858" t="s">
        <v>15</v>
      </c>
      <c r="B1858">
        <v>2024</v>
      </c>
      <c r="C1858" t="s">
        <v>8</v>
      </c>
      <c r="D1858">
        <v>9932.43</v>
      </c>
      <c r="E1858">
        <v>8383.34</v>
      </c>
      <c r="F1858">
        <v>120.27</v>
      </c>
      <c r="G1858">
        <v>908.01</v>
      </c>
      <c r="H1858">
        <f>E1858*1000000/D1858</f>
        <v>844037.15908393008</v>
      </c>
      <c r="I1858" t="str">
        <f>IF(AND(B1858&gt;=2018, B1858&lt;=2021), "2018-2021", IF(AND(B1858&gt;=2022, B1858&lt;=2024), "2022-2024", "Other"))</f>
        <v>2022-2024</v>
      </c>
    </row>
    <row r="1859" spans="1:9" x14ac:dyDescent="0.3">
      <c r="A1859" t="s">
        <v>13</v>
      </c>
      <c r="B1859">
        <v>2024</v>
      </c>
      <c r="C1859" t="s">
        <v>12</v>
      </c>
      <c r="D1859">
        <v>6032.18</v>
      </c>
      <c r="E1859">
        <v>6151.26</v>
      </c>
      <c r="F1859">
        <v>112.3</v>
      </c>
      <c r="G1859">
        <v>1332.45</v>
      </c>
      <c r="H1859">
        <f>E1859*1000000/D1859</f>
        <v>1019740.7902284083</v>
      </c>
      <c r="I1859" t="str">
        <f>IF(AND(B1859&gt;=2018, B1859&lt;=2021), "2018-2021", IF(AND(B1859&gt;=2022, B1859&lt;=2024), "2022-2024", "Other"))</f>
        <v>2022-2024</v>
      </c>
    </row>
    <row r="1860" spans="1:9" x14ac:dyDescent="0.3">
      <c r="A1860" t="s">
        <v>16</v>
      </c>
      <c r="B1860">
        <v>2018</v>
      </c>
      <c r="C1860" t="s">
        <v>2</v>
      </c>
      <c r="D1860">
        <v>26056.17</v>
      </c>
      <c r="E1860">
        <v>24413.84</v>
      </c>
      <c r="F1860">
        <v>117.2</v>
      </c>
      <c r="G1860">
        <v>57.76</v>
      </c>
      <c r="H1860">
        <f>E1860*1000000/D1860</f>
        <v>936969.63137713645</v>
      </c>
      <c r="I1860" t="str">
        <f>IF(AND(B1860&gt;=2018, B1860&lt;=2021), "2018-2021", IF(AND(B1860&gt;=2022, B1860&lt;=2024), "2022-2024", "Other"))</f>
        <v>2018-2021</v>
      </c>
    </row>
    <row r="1861" spans="1:9" x14ac:dyDescent="0.3">
      <c r="A1861" t="s">
        <v>17</v>
      </c>
      <c r="B1861">
        <v>2018</v>
      </c>
      <c r="C1861" t="s">
        <v>0</v>
      </c>
      <c r="D1861">
        <v>14604.16</v>
      </c>
      <c r="E1861">
        <v>15194.73</v>
      </c>
      <c r="F1861">
        <v>36.29</v>
      </c>
      <c r="G1861">
        <v>339.27</v>
      </c>
      <c r="H1861">
        <f>E1861*1000000/D1861</f>
        <v>1040438.4778035848</v>
      </c>
      <c r="I1861" t="str">
        <f>IF(AND(B1861&gt;=2018, B1861&lt;=2021), "2018-2021", IF(AND(B1861&gt;=2022, B1861&lt;=2024), "2022-2024", "Other"))</f>
        <v>2018-2021</v>
      </c>
    </row>
    <row r="1862" spans="1:9" x14ac:dyDescent="0.3">
      <c r="A1862" t="s">
        <v>17</v>
      </c>
      <c r="B1862">
        <v>2019</v>
      </c>
      <c r="C1862" t="s">
        <v>4</v>
      </c>
      <c r="D1862">
        <v>16844.8</v>
      </c>
      <c r="E1862">
        <v>17224.3</v>
      </c>
      <c r="F1862">
        <v>75.56</v>
      </c>
      <c r="G1862">
        <v>775.03</v>
      </c>
      <c r="H1862">
        <f>E1862*1000000/D1862</f>
        <v>1022529.2078267478</v>
      </c>
      <c r="I1862" t="str">
        <f>IF(AND(B1862&gt;=2018, B1862&lt;=2021), "2018-2021", IF(AND(B1862&gt;=2022, B1862&lt;=2024), "2022-2024", "Other"))</f>
        <v>2018-2021</v>
      </c>
    </row>
    <row r="1863" spans="1:9" x14ac:dyDescent="0.3">
      <c r="A1863" t="s">
        <v>27</v>
      </c>
      <c r="B1863">
        <v>2023</v>
      </c>
      <c r="C1863" t="s">
        <v>9</v>
      </c>
      <c r="D1863">
        <v>39730.81</v>
      </c>
      <c r="E1863">
        <v>44325.47</v>
      </c>
      <c r="F1863">
        <v>163.16</v>
      </c>
      <c r="G1863">
        <v>61.71</v>
      </c>
      <c r="H1863">
        <f>E1863*1000000/D1863</f>
        <v>1115644.7603258027</v>
      </c>
      <c r="I1863" t="str">
        <f>IF(AND(B1863&gt;=2018, B1863&lt;=2021), "2018-2021", IF(AND(B1863&gt;=2022, B1863&lt;=2024), "2022-2024", "Other"))</f>
        <v>2022-2024</v>
      </c>
    </row>
    <row r="1864" spans="1:9" x14ac:dyDescent="0.3">
      <c r="A1864" t="s">
        <v>15</v>
      </c>
      <c r="B1864">
        <v>2018</v>
      </c>
      <c r="C1864" t="s">
        <v>6</v>
      </c>
      <c r="D1864">
        <v>20966.82</v>
      </c>
      <c r="E1864">
        <v>19596.060000000001</v>
      </c>
      <c r="F1864">
        <v>193.47</v>
      </c>
      <c r="G1864">
        <v>415.21</v>
      </c>
      <c r="H1864">
        <f>E1864*1000000/D1864</f>
        <v>934622.41770568932</v>
      </c>
      <c r="I1864" t="str">
        <f>IF(AND(B1864&gt;=2018, B1864&lt;=2021), "2018-2021", IF(AND(B1864&gt;=2022, B1864&lt;=2024), "2022-2024", "Other"))</f>
        <v>2018-2021</v>
      </c>
    </row>
    <row r="1865" spans="1:9" x14ac:dyDescent="0.3">
      <c r="A1865" t="s">
        <v>23</v>
      </c>
      <c r="B1865">
        <v>2019</v>
      </c>
      <c r="C1865" t="s">
        <v>2</v>
      </c>
      <c r="D1865">
        <v>29516.12</v>
      </c>
      <c r="E1865">
        <v>35036.839999999997</v>
      </c>
      <c r="F1865">
        <v>56.48</v>
      </c>
      <c r="G1865">
        <v>155.84</v>
      </c>
      <c r="H1865">
        <f>E1865*1000000/D1865</f>
        <v>1187040.8441217884</v>
      </c>
      <c r="I1865" t="str">
        <f>IF(AND(B1865&gt;=2018, B1865&lt;=2021), "2018-2021", IF(AND(B1865&gt;=2022, B1865&lt;=2024), "2022-2024", "Other"))</f>
        <v>2018-2021</v>
      </c>
    </row>
    <row r="1866" spans="1:9" x14ac:dyDescent="0.3">
      <c r="A1866" t="s">
        <v>25</v>
      </c>
      <c r="B1866">
        <v>2023</v>
      </c>
      <c r="C1866" t="s">
        <v>12</v>
      </c>
      <c r="D1866">
        <v>20208.419999999998</v>
      </c>
      <c r="E1866">
        <v>19286.57</v>
      </c>
      <c r="F1866">
        <v>182.45</v>
      </c>
      <c r="G1866">
        <v>1016.39</v>
      </c>
      <c r="H1866">
        <f>E1866*1000000/D1866</f>
        <v>954382.87604869658</v>
      </c>
      <c r="I1866" t="str">
        <f>IF(AND(B1866&gt;=2018, B1866&lt;=2021), "2018-2021", IF(AND(B1866&gt;=2022, B1866&lt;=2024), "2022-2024", "Other"))</f>
        <v>2022-2024</v>
      </c>
    </row>
    <row r="1867" spans="1:9" x14ac:dyDescent="0.3">
      <c r="A1867" t="s">
        <v>20</v>
      </c>
      <c r="B1867">
        <v>2020</v>
      </c>
      <c r="C1867" t="s">
        <v>0</v>
      </c>
      <c r="D1867">
        <v>26406.09</v>
      </c>
      <c r="E1867">
        <v>23352.92</v>
      </c>
      <c r="F1867">
        <v>101.98</v>
      </c>
      <c r="G1867">
        <v>386.6</v>
      </c>
      <c r="H1867">
        <f>E1867*1000000/D1867</f>
        <v>884376.29349896184</v>
      </c>
      <c r="I1867" t="str">
        <f>IF(AND(B1867&gt;=2018, B1867&lt;=2021), "2018-2021", IF(AND(B1867&gt;=2022, B1867&lt;=2024), "2022-2024", "Other"))</f>
        <v>2018-2021</v>
      </c>
    </row>
    <row r="1868" spans="1:9" x14ac:dyDescent="0.3">
      <c r="A1868" t="s">
        <v>3</v>
      </c>
      <c r="B1868">
        <v>2020</v>
      </c>
      <c r="C1868" t="s">
        <v>9</v>
      </c>
      <c r="D1868">
        <v>21547.95</v>
      </c>
      <c r="E1868">
        <v>21574.32</v>
      </c>
      <c r="F1868">
        <v>167.36</v>
      </c>
      <c r="G1868">
        <v>362.97</v>
      </c>
      <c r="H1868">
        <f>E1868*1000000/D1868</f>
        <v>1001223.7823087579</v>
      </c>
      <c r="I1868" t="str">
        <f>IF(AND(B1868&gt;=2018, B1868&lt;=2021), "2018-2021", IF(AND(B1868&gt;=2022, B1868&lt;=2024), "2022-2024", "Other"))</f>
        <v>2018-2021</v>
      </c>
    </row>
    <row r="1869" spans="1:9" x14ac:dyDescent="0.3">
      <c r="A1869" t="s">
        <v>23</v>
      </c>
      <c r="B1869">
        <v>2022</v>
      </c>
      <c r="C1869" t="s">
        <v>14</v>
      </c>
      <c r="D1869">
        <v>25959.21</v>
      </c>
      <c r="E1869">
        <v>25386.49</v>
      </c>
      <c r="F1869">
        <v>92.56</v>
      </c>
      <c r="G1869">
        <v>304.05</v>
      </c>
      <c r="H1869">
        <f>E1869*1000000/D1869</f>
        <v>977937.69533048198</v>
      </c>
      <c r="I1869" t="str">
        <f>IF(AND(B1869&gt;=2018, B1869&lt;=2021), "2018-2021", IF(AND(B1869&gt;=2022, B1869&lt;=2024), "2022-2024", "Other"))</f>
        <v>2022-2024</v>
      </c>
    </row>
    <row r="1870" spans="1:9" x14ac:dyDescent="0.3">
      <c r="A1870" t="s">
        <v>21</v>
      </c>
      <c r="B1870">
        <v>2019</v>
      </c>
      <c r="C1870" t="s">
        <v>2</v>
      </c>
      <c r="D1870">
        <v>31050.98</v>
      </c>
      <c r="E1870">
        <v>24975.82</v>
      </c>
      <c r="F1870">
        <v>132.83000000000001</v>
      </c>
      <c r="G1870">
        <v>906.59</v>
      </c>
      <c r="H1870">
        <f>E1870*1000000/D1870</f>
        <v>804348.84824891191</v>
      </c>
      <c r="I1870" t="str">
        <f>IF(AND(B1870&gt;=2018, B1870&lt;=2021), "2018-2021", IF(AND(B1870&gt;=2022, B1870&lt;=2024), "2022-2024", "Other"))</f>
        <v>2018-2021</v>
      </c>
    </row>
    <row r="1871" spans="1:9" x14ac:dyDescent="0.3">
      <c r="A1871" t="s">
        <v>11</v>
      </c>
      <c r="B1871">
        <v>2023</v>
      </c>
      <c r="C1871" t="s">
        <v>9</v>
      </c>
      <c r="D1871">
        <v>22382.54</v>
      </c>
      <c r="E1871">
        <v>23012.5</v>
      </c>
      <c r="F1871">
        <v>57.26</v>
      </c>
      <c r="G1871">
        <v>1333.93</v>
      </c>
      <c r="H1871">
        <f>E1871*1000000/D1871</f>
        <v>1028145.1524268469</v>
      </c>
      <c r="I1871" t="str">
        <f>IF(AND(B1871&gt;=2018, B1871&lt;=2021), "2018-2021", IF(AND(B1871&gt;=2022, B1871&lt;=2024), "2022-2024", "Other"))</f>
        <v>2022-2024</v>
      </c>
    </row>
    <row r="1872" spans="1:9" x14ac:dyDescent="0.3">
      <c r="A1872" t="s">
        <v>22</v>
      </c>
      <c r="B1872">
        <v>2023</v>
      </c>
      <c r="C1872" t="s">
        <v>4</v>
      </c>
      <c r="D1872">
        <v>23202.62</v>
      </c>
      <c r="E1872">
        <v>25711.18</v>
      </c>
      <c r="F1872">
        <v>108.2</v>
      </c>
      <c r="G1872">
        <v>58.44</v>
      </c>
      <c r="H1872">
        <f>E1872*1000000/D1872</f>
        <v>1108115.3766255707</v>
      </c>
      <c r="I1872" t="str">
        <f>IF(AND(B1872&gt;=2018, B1872&lt;=2021), "2018-2021", IF(AND(B1872&gt;=2022, B1872&lt;=2024), "2022-2024", "Other"))</f>
        <v>2022-2024</v>
      </c>
    </row>
    <row r="1873" spans="1:9" x14ac:dyDescent="0.3">
      <c r="A1873" t="s">
        <v>3</v>
      </c>
      <c r="B1873">
        <v>2022</v>
      </c>
      <c r="C1873" t="s">
        <v>8</v>
      </c>
      <c r="D1873">
        <v>46452.95</v>
      </c>
      <c r="E1873">
        <v>49081.57</v>
      </c>
      <c r="F1873">
        <v>176.89</v>
      </c>
      <c r="G1873">
        <v>476.77</v>
      </c>
      <c r="H1873">
        <f>E1873*1000000/D1873</f>
        <v>1056586.718389252</v>
      </c>
      <c r="I1873" t="str">
        <f>IF(AND(B1873&gt;=2018, B1873&lt;=2021), "2018-2021", IF(AND(B1873&gt;=2022, B1873&lt;=2024), "2022-2024", "Other"))</f>
        <v>2022-2024</v>
      </c>
    </row>
    <row r="1874" spans="1:9" x14ac:dyDescent="0.3">
      <c r="A1874" t="s">
        <v>25</v>
      </c>
      <c r="B1874">
        <v>2022</v>
      </c>
      <c r="C1874" t="s">
        <v>9</v>
      </c>
      <c r="D1874">
        <v>16327.38</v>
      </c>
      <c r="E1874">
        <v>18419.43</v>
      </c>
      <c r="F1874">
        <v>133.81</v>
      </c>
      <c r="G1874">
        <v>823.27</v>
      </c>
      <c r="H1874">
        <f>E1874*1000000/D1874</f>
        <v>1128131.3964640989</v>
      </c>
      <c r="I1874" t="str">
        <f>IF(AND(B1874&gt;=2018, B1874&lt;=2021), "2018-2021", IF(AND(B1874&gt;=2022, B1874&lt;=2024), "2022-2024", "Other"))</f>
        <v>2022-2024</v>
      </c>
    </row>
    <row r="1875" spans="1:9" x14ac:dyDescent="0.3">
      <c r="A1875" t="s">
        <v>25</v>
      </c>
      <c r="B1875">
        <v>2018</v>
      </c>
      <c r="C1875" t="s">
        <v>0</v>
      </c>
      <c r="D1875">
        <v>37938.86</v>
      </c>
      <c r="E1875">
        <v>34421.72</v>
      </c>
      <c r="F1875">
        <v>141.38999999999999</v>
      </c>
      <c r="G1875">
        <v>1149.53</v>
      </c>
      <c r="H1875">
        <f>E1875*1000000/D1875</f>
        <v>907294.52598206687</v>
      </c>
      <c r="I1875" t="str">
        <f>IF(AND(B1875&gt;=2018, B1875&lt;=2021), "2018-2021", IF(AND(B1875&gt;=2022, B1875&lt;=2024), "2022-2024", "Other"))</f>
        <v>2018-2021</v>
      </c>
    </row>
    <row r="1876" spans="1:9" x14ac:dyDescent="0.3">
      <c r="A1876" t="s">
        <v>13</v>
      </c>
      <c r="B1876">
        <v>2024</v>
      </c>
      <c r="C1876" t="s">
        <v>9</v>
      </c>
      <c r="D1876">
        <v>41603.870000000003</v>
      </c>
      <c r="E1876">
        <v>33990.35</v>
      </c>
      <c r="F1876">
        <v>192.64</v>
      </c>
      <c r="G1876">
        <v>744.29</v>
      </c>
      <c r="H1876">
        <f>E1876*1000000/D1876</f>
        <v>816999.71661290154</v>
      </c>
      <c r="I1876" t="str">
        <f>IF(AND(B1876&gt;=2018, B1876&lt;=2021), "2018-2021", IF(AND(B1876&gt;=2022, B1876&lt;=2024), "2022-2024", "Other"))</f>
        <v>2022-2024</v>
      </c>
    </row>
    <row r="1877" spans="1:9" x14ac:dyDescent="0.3">
      <c r="A1877" t="s">
        <v>27</v>
      </c>
      <c r="B1877">
        <v>2021</v>
      </c>
      <c r="C1877" t="s">
        <v>12</v>
      </c>
      <c r="D1877">
        <v>24857.97</v>
      </c>
      <c r="E1877">
        <v>22075.919999999998</v>
      </c>
      <c r="F1877">
        <v>130.26</v>
      </c>
      <c r="G1877">
        <v>261.89</v>
      </c>
      <c r="H1877">
        <f>E1877*1000000/D1877</f>
        <v>888082.17243805504</v>
      </c>
      <c r="I1877" t="str">
        <f>IF(AND(B1877&gt;=2018, B1877&lt;=2021), "2018-2021", IF(AND(B1877&gt;=2022, B1877&lt;=2024), "2022-2024", "Other"))</f>
        <v>2018-2021</v>
      </c>
    </row>
    <row r="1878" spans="1:9" x14ac:dyDescent="0.3">
      <c r="A1878" t="s">
        <v>20</v>
      </c>
      <c r="B1878">
        <v>2018</v>
      </c>
      <c r="C1878" t="s">
        <v>8</v>
      </c>
      <c r="D1878">
        <v>4550.45</v>
      </c>
      <c r="E1878">
        <v>4515.6000000000004</v>
      </c>
      <c r="F1878">
        <v>93.54</v>
      </c>
      <c r="G1878">
        <v>116.32</v>
      </c>
      <c r="H1878">
        <f>E1878*1000000/D1878</f>
        <v>992341.41678295552</v>
      </c>
      <c r="I1878" t="str">
        <f>IF(AND(B1878&gt;=2018, B1878&lt;=2021), "2018-2021", IF(AND(B1878&gt;=2022, B1878&lt;=2024), "2022-2024", "Other"))</f>
        <v>2018-2021</v>
      </c>
    </row>
    <row r="1879" spans="1:9" x14ac:dyDescent="0.3">
      <c r="A1879" t="s">
        <v>17</v>
      </c>
      <c r="B1879">
        <v>2020</v>
      </c>
      <c r="C1879" t="s">
        <v>6</v>
      </c>
      <c r="D1879">
        <v>48750.62</v>
      </c>
      <c r="E1879">
        <v>50109.79</v>
      </c>
      <c r="F1879">
        <v>179.28</v>
      </c>
      <c r="G1879">
        <v>1174.82</v>
      </c>
      <c r="H1879">
        <f>E1879*1000000/D1879</f>
        <v>1027880.0556792918</v>
      </c>
      <c r="I1879" t="str">
        <f>IF(AND(B1879&gt;=2018, B1879&lt;=2021), "2018-2021", IF(AND(B1879&gt;=2022, B1879&lt;=2024), "2022-2024", "Other"))</f>
        <v>2018-2021</v>
      </c>
    </row>
    <row r="1880" spans="1:9" x14ac:dyDescent="0.3">
      <c r="A1880" t="s">
        <v>19</v>
      </c>
      <c r="B1880">
        <v>2022</v>
      </c>
      <c r="C1880" t="s">
        <v>12</v>
      </c>
      <c r="D1880">
        <v>26416.84</v>
      </c>
      <c r="E1880">
        <v>28843.62</v>
      </c>
      <c r="F1880">
        <v>54.22</v>
      </c>
      <c r="G1880">
        <v>1122.68</v>
      </c>
      <c r="H1880">
        <f>E1880*1000000/D1880</f>
        <v>1091864.8861862358</v>
      </c>
      <c r="I1880" t="str">
        <f>IF(AND(B1880&gt;=2018, B1880&lt;=2021), "2018-2021", IF(AND(B1880&gt;=2022, B1880&lt;=2024), "2022-2024", "Other"))</f>
        <v>2022-2024</v>
      </c>
    </row>
    <row r="1881" spans="1:9" x14ac:dyDescent="0.3">
      <c r="A1881" t="s">
        <v>16</v>
      </c>
      <c r="B1881">
        <v>2021</v>
      </c>
      <c r="C1881" t="s">
        <v>2</v>
      </c>
      <c r="D1881">
        <v>43059.88</v>
      </c>
      <c r="E1881">
        <v>46226.9</v>
      </c>
      <c r="F1881">
        <v>172.24</v>
      </c>
      <c r="G1881">
        <v>512.01</v>
      </c>
      <c r="H1881">
        <f>E1881*1000000/D1881</f>
        <v>1073549.2063610025</v>
      </c>
      <c r="I1881" t="str">
        <f>IF(AND(B1881&gt;=2018, B1881&lt;=2021), "2018-2021", IF(AND(B1881&gt;=2022, B1881&lt;=2024), "2022-2024", "Other"))</f>
        <v>2018-2021</v>
      </c>
    </row>
    <row r="1882" spans="1:9" x14ac:dyDescent="0.3">
      <c r="A1882" t="s">
        <v>19</v>
      </c>
      <c r="B1882">
        <v>2020</v>
      </c>
      <c r="C1882" t="s">
        <v>4</v>
      </c>
      <c r="D1882">
        <v>18079.560000000001</v>
      </c>
      <c r="E1882">
        <v>18341.080000000002</v>
      </c>
      <c r="F1882">
        <v>170.68</v>
      </c>
      <c r="G1882">
        <v>137.21</v>
      </c>
      <c r="H1882">
        <f>E1882*1000000/D1882</f>
        <v>1014464.9537931232</v>
      </c>
      <c r="I1882" t="str">
        <f>IF(AND(B1882&gt;=2018, B1882&lt;=2021), "2018-2021", IF(AND(B1882&gt;=2022, B1882&lt;=2024), "2022-2024", "Other"))</f>
        <v>2018-2021</v>
      </c>
    </row>
    <row r="1883" spans="1:9" x14ac:dyDescent="0.3">
      <c r="A1883" t="s">
        <v>17</v>
      </c>
      <c r="B1883">
        <v>2024</v>
      </c>
      <c r="C1883" t="s">
        <v>14</v>
      </c>
      <c r="D1883">
        <v>32272.29</v>
      </c>
      <c r="E1883">
        <v>26747.69</v>
      </c>
      <c r="F1883">
        <v>159.76</v>
      </c>
      <c r="G1883">
        <v>1197.26</v>
      </c>
      <c r="H1883">
        <f>E1883*1000000/D1883</f>
        <v>828812.89180284389</v>
      </c>
      <c r="I1883" t="str">
        <f>IF(AND(B1883&gt;=2018, B1883&lt;=2021), "2018-2021", IF(AND(B1883&gt;=2022, B1883&lt;=2024), "2022-2024", "Other"))</f>
        <v>2022-2024</v>
      </c>
    </row>
    <row r="1884" spans="1:9" x14ac:dyDescent="0.3">
      <c r="A1884" t="s">
        <v>15</v>
      </c>
      <c r="B1884">
        <v>2024</v>
      </c>
      <c r="C1884" t="s">
        <v>0</v>
      </c>
      <c r="D1884">
        <v>34146.15</v>
      </c>
      <c r="E1884">
        <v>38664.019999999997</v>
      </c>
      <c r="F1884">
        <v>72.19</v>
      </c>
      <c r="G1884">
        <v>504.22</v>
      </c>
      <c r="H1884">
        <f>E1884*1000000/D1884</f>
        <v>1132309.7918799045</v>
      </c>
      <c r="I1884" t="str">
        <f>IF(AND(B1884&gt;=2018, B1884&lt;=2021), "2018-2021", IF(AND(B1884&gt;=2022, B1884&lt;=2024), "2022-2024", "Other"))</f>
        <v>2022-2024</v>
      </c>
    </row>
    <row r="1885" spans="1:9" x14ac:dyDescent="0.3">
      <c r="A1885" t="s">
        <v>16</v>
      </c>
      <c r="B1885">
        <v>2021</v>
      </c>
      <c r="C1885" t="s">
        <v>4</v>
      </c>
      <c r="D1885">
        <v>13201.57</v>
      </c>
      <c r="E1885">
        <v>15333.62</v>
      </c>
      <c r="F1885">
        <v>52.68</v>
      </c>
      <c r="G1885">
        <v>115.08</v>
      </c>
      <c r="H1885">
        <f>E1885*1000000/D1885</f>
        <v>1161499.7307138469</v>
      </c>
      <c r="I1885" t="str">
        <f>IF(AND(B1885&gt;=2018, B1885&lt;=2021), "2018-2021", IF(AND(B1885&gt;=2022, B1885&lt;=2024), "2022-2024", "Other"))</f>
        <v>2018-2021</v>
      </c>
    </row>
    <row r="1886" spans="1:9" x14ac:dyDescent="0.3">
      <c r="A1886" t="s">
        <v>18</v>
      </c>
      <c r="B1886">
        <v>2021</v>
      </c>
      <c r="C1886" t="s">
        <v>9</v>
      </c>
      <c r="D1886">
        <v>14150.18</v>
      </c>
      <c r="E1886">
        <v>14226.65</v>
      </c>
      <c r="F1886">
        <v>178.93</v>
      </c>
      <c r="G1886">
        <v>61.29</v>
      </c>
      <c r="H1886">
        <f>E1886*1000000/D1886</f>
        <v>1005404.1715370405</v>
      </c>
      <c r="I1886" t="str">
        <f>IF(AND(B1886&gt;=2018, B1886&lt;=2021), "2018-2021", IF(AND(B1886&gt;=2022, B1886&lt;=2024), "2022-2024", "Other"))</f>
        <v>2018-2021</v>
      </c>
    </row>
    <row r="1887" spans="1:9" x14ac:dyDescent="0.3">
      <c r="A1887" t="s">
        <v>10</v>
      </c>
      <c r="B1887">
        <v>2023</v>
      </c>
      <c r="C1887" t="s">
        <v>6</v>
      </c>
      <c r="D1887">
        <v>6901.13</v>
      </c>
      <c r="E1887">
        <v>7359.68</v>
      </c>
      <c r="F1887">
        <v>135.47999999999999</v>
      </c>
      <c r="G1887">
        <v>229.89</v>
      </c>
      <c r="H1887">
        <f>E1887*1000000/D1887</f>
        <v>1066445.6400618448</v>
      </c>
      <c r="I1887" t="str">
        <f>IF(AND(B1887&gt;=2018, B1887&lt;=2021), "2018-2021", IF(AND(B1887&gt;=2022, B1887&lt;=2024), "2022-2024", "Other"))</f>
        <v>2022-2024</v>
      </c>
    </row>
    <row r="1888" spans="1:9" x14ac:dyDescent="0.3">
      <c r="A1888" t="s">
        <v>17</v>
      </c>
      <c r="B1888">
        <v>2019</v>
      </c>
      <c r="C1888" t="s">
        <v>0</v>
      </c>
      <c r="D1888">
        <v>5611.35</v>
      </c>
      <c r="E1888">
        <v>5955.37</v>
      </c>
      <c r="F1888">
        <v>83.59</v>
      </c>
      <c r="G1888">
        <v>599.73</v>
      </c>
      <c r="H1888">
        <f>E1888*1000000/D1888</f>
        <v>1061307.8849118303</v>
      </c>
      <c r="I1888" t="str">
        <f>IF(AND(B1888&gt;=2018, B1888&lt;=2021), "2018-2021", IF(AND(B1888&gt;=2022, B1888&lt;=2024), "2022-2024", "Other"))</f>
        <v>2018-2021</v>
      </c>
    </row>
    <row r="1889" spans="1:9" x14ac:dyDescent="0.3">
      <c r="A1889" t="s">
        <v>19</v>
      </c>
      <c r="B1889">
        <v>2023</v>
      </c>
      <c r="C1889" t="s">
        <v>0</v>
      </c>
      <c r="D1889">
        <v>37560.080000000002</v>
      </c>
      <c r="E1889">
        <v>30645.7</v>
      </c>
      <c r="F1889">
        <v>120.84</v>
      </c>
      <c r="G1889">
        <v>516.13</v>
      </c>
      <c r="H1889">
        <f>E1889*1000000/D1889</f>
        <v>815911.46770720405</v>
      </c>
      <c r="I1889" t="str">
        <f>IF(AND(B1889&gt;=2018, B1889&lt;=2021), "2018-2021", IF(AND(B1889&gt;=2022, B1889&lt;=2024), "2022-2024", "Other"))</f>
        <v>2022-2024</v>
      </c>
    </row>
    <row r="1890" spans="1:9" x14ac:dyDescent="0.3">
      <c r="A1890" t="s">
        <v>1</v>
      </c>
      <c r="B1890">
        <v>2022</v>
      </c>
      <c r="C1890" t="s">
        <v>9</v>
      </c>
      <c r="D1890">
        <v>10751.44</v>
      </c>
      <c r="E1890">
        <v>8987.4</v>
      </c>
      <c r="F1890">
        <v>131.56</v>
      </c>
      <c r="G1890">
        <v>1296.98</v>
      </c>
      <c r="H1890">
        <f>E1890*1000000/D1890</f>
        <v>835925.23420118599</v>
      </c>
      <c r="I1890" t="str">
        <f>IF(AND(B1890&gt;=2018, B1890&lt;=2021), "2018-2021", IF(AND(B1890&gt;=2022, B1890&lt;=2024), "2022-2024", "Other"))</f>
        <v>2022-2024</v>
      </c>
    </row>
    <row r="1891" spans="1:9" x14ac:dyDescent="0.3">
      <c r="A1891" t="s">
        <v>20</v>
      </c>
      <c r="B1891">
        <v>2018</v>
      </c>
      <c r="C1891" t="s">
        <v>2</v>
      </c>
      <c r="D1891">
        <v>29385.94</v>
      </c>
      <c r="E1891">
        <v>27250.31</v>
      </c>
      <c r="F1891">
        <v>61.36</v>
      </c>
      <c r="G1891">
        <v>535.20000000000005</v>
      </c>
      <c r="H1891">
        <f>E1891*1000000/D1891</f>
        <v>927324.76823950501</v>
      </c>
      <c r="I1891" t="str">
        <f>IF(AND(B1891&gt;=2018, B1891&lt;=2021), "2018-2021", IF(AND(B1891&gt;=2022, B1891&lt;=2024), "2022-2024", "Other"))</f>
        <v>2018-2021</v>
      </c>
    </row>
    <row r="1892" spans="1:9" x14ac:dyDescent="0.3">
      <c r="A1892" t="s">
        <v>13</v>
      </c>
      <c r="B1892">
        <v>2023</v>
      </c>
      <c r="C1892" t="s">
        <v>14</v>
      </c>
      <c r="D1892">
        <v>2544.13</v>
      </c>
      <c r="E1892">
        <v>2929.07</v>
      </c>
      <c r="F1892">
        <v>117.33</v>
      </c>
      <c r="G1892">
        <v>302.85000000000002</v>
      </c>
      <c r="H1892">
        <f>E1892*1000000/D1892</f>
        <v>1151305.1612928584</v>
      </c>
      <c r="I1892" t="str">
        <f>IF(AND(B1892&gt;=2018, B1892&lt;=2021), "2018-2021", IF(AND(B1892&gt;=2022, B1892&lt;=2024), "2022-2024", "Other"))</f>
        <v>2022-2024</v>
      </c>
    </row>
    <row r="1893" spans="1:9" x14ac:dyDescent="0.3">
      <c r="A1893" t="s">
        <v>15</v>
      </c>
      <c r="B1893">
        <v>2023</v>
      </c>
      <c r="C1893" t="s">
        <v>4</v>
      </c>
      <c r="D1893">
        <v>5914.08</v>
      </c>
      <c r="E1893">
        <v>5072.79</v>
      </c>
      <c r="F1893">
        <v>113.07</v>
      </c>
      <c r="G1893">
        <v>899.36</v>
      </c>
      <c r="H1893">
        <f>E1893*1000000/D1893</f>
        <v>857747.95065335603</v>
      </c>
      <c r="I1893" t="str">
        <f>IF(AND(B1893&gt;=2018, B1893&lt;=2021), "2018-2021", IF(AND(B1893&gt;=2022, B1893&lt;=2024), "2022-2024", "Other"))</f>
        <v>2022-2024</v>
      </c>
    </row>
    <row r="1894" spans="1:9" x14ac:dyDescent="0.3">
      <c r="A1894" t="s">
        <v>21</v>
      </c>
      <c r="B1894">
        <v>2019</v>
      </c>
      <c r="C1894" t="s">
        <v>2</v>
      </c>
      <c r="D1894">
        <v>11573.09</v>
      </c>
      <c r="E1894">
        <v>11212.17</v>
      </c>
      <c r="F1894">
        <v>52.81</v>
      </c>
      <c r="G1894">
        <v>190.27</v>
      </c>
      <c r="H1894">
        <f>E1894*1000000/D1894</f>
        <v>968813.86042966915</v>
      </c>
      <c r="I1894" t="str">
        <f>IF(AND(B1894&gt;=2018, B1894&lt;=2021), "2018-2021", IF(AND(B1894&gt;=2022, B1894&lt;=2024), "2022-2024", "Other"))</f>
        <v>2018-2021</v>
      </c>
    </row>
    <row r="1895" spans="1:9" x14ac:dyDescent="0.3">
      <c r="A1895" t="s">
        <v>13</v>
      </c>
      <c r="B1895">
        <v>2023</v>
      </c>
      <c r="C1895" t="s">
        <v>2</v>
      </c>
      <c r="D1895">
        <v>4282.13</v>
      </c>
      <c r="E1895">
        <v>4826.13</v>
      </c>
      <c r="F1895">
        <v>35.54</v>
      </c>
      <c r="G1895">
        <v>749.21</v>
      </c>
      <c r="H1895">
        <f>E1895*1000000/D1895</f>
        <v>1127039.5807693833</v>
      </c>
      <c r="I1895" t="str">
        <f>IF(AND(B1895&gt;=2018, B1895&lt;=2021), "2018-2021", IF(AND(B1895&gt;=2022, B1895&lt;=2024), "2022-2024", "Other"))</f>
        <v>2022-2024</v>
      </c>
    </row>
    <row r="1896" spans="1:9" x14ac:dyDescent="0.3">
      <c r="A1896" t="s">
        <v>22</v>
      </c>
      <c r="B1896">
        <v>2023</v>
      </c>
      <c r="C1896" t="s">
        <v>14</v>
      </c>
      <c r="D1896">
        <v>45027.58</v>
      </c>
      <c r="E1896">
        <v>46548.39</v>
      </c>
      <c r="F1896">
        <v>174.97</v>
      </c>
      <c r="G1896">
        <v>383.44</v>
      </c>
      <c r="H1896">
        <f>E1896*1000000/D1896</f>
        <v>1033775.0774081129</v>
      </c>
      <c r="I1896" t="str">
        <f>IF(AND(B1896&gt;=2018, B1896&lt;=2021), "2018-2021", IF(AND(B1896&gt;=2022, B1896&lt;=2024), "2022-2024", "Other"))</f>
        <v>2022-2024</v>
      </c>
    </row>
    <row r="1897" spans="1:9" x14ac:dyDescent="0.3">
      <c r="A1897" t="s">
        <v>18</v>
      </c>
      <c r="B1897">
        <v>2023</v>
      </c>
      <c r="C1897" t="s">
        <v>14</v>
      </c>
      <c r="D1897">
        <v>9633.2800000000007</v>
      </c>
      <c r="E1897">
        <v>8830.2199999999993</v>
      </c>
      <c r="F1897">
        <v>68.34</v>
      </c>
      <c r="G1897">
        <v>834.84</v>
      </c>
      <c r="H1897">
        <f>E1897*1000000/D1897</f>
        <v>916636.90871644963</v>
      </c>
      <c r="I1897" t="str">
        <f>IF(AND(B1897&gt;=2018, B1897&lt;=2021), "2018-2021", IF(AND(B1897&gt;=2022, B1897&lt;=2024), "2022-2024", "Other"))</f>
        <v>2022-2024</v>
      </c>
    </row>
    <row r="1898" spans="1:9" x14ac:dyDescent="0.3">
      <c r="A1898" t="s">
        <v>24</v>
      </c>
      <c r="B1898">
        <v>2021</v>
      </c>
      <c r="C1898" t="s">
        <v>8</v>
      </c>
      <c r="D1898">
        <v>45162.51</v>
      </c>
      <c r="E1898">
        <v>44880.05</v>
      </c>
      <c r="F1898">
        <v>41.79</v>
      </c>
      <c r="G1898">
        <v>954.89</v>
      </c>
      <c r="H1898">
        <f>E1898*1000000/D1898</f>
        <v>993745.69748227007</v>
      </c>
      <c r="I1898" t="str">
        <f>IF(AND(B1898&gt;=2018, B1898&lt;=2021), "2018-2021", IF(AND(B1898&gt;=2022, B1898&lt;=2024), "2022-2024", "Other"))</f>
        <v>2018-2021</v>
      </c>
    </row>
    <row r="1899" spans="1:9" x14ac:dyDescent="0.3">
      <c r="A1899" t="s">
        <v>18</v>
      </c>
      <c r="B1899">
        <v>2024</v>
      </c>
      <c r="C1899" t="s">
        <v>2</v>
      </c>
      <c r="D1899">
        <v>46556.75</v>
      </c>
      <c r="E1899">
        <v>42942.59</v>
      </c>
      <c r="F1899">
        <v>135.63</v>
      </c>
      <c r="G1899">
        <v>263.77</v>
      </c>
      <c r="H1899">
        <f>E1899*1000000/D1899</f>
        <v>922370.86995978025</v>
      </c>
      <c r="I1899" t="str">
        <f>IF(AND(B1899&gt;=2018, B1899&lt;=2021), "2018-2021", IF(AND(B1899&gt;=2022, B1899&lt;=2024), "2022-2024", "Other"))</f>
        <v>2022-2024</v>
      </c>
    </row>
    <row r="1900" spans="1:9" x14ac:dyDescent="0.3">
      <c r="A1900" t="s">
        <v>22</v>
      </c>
      <c r="B1900">
        <v>2023</v>
      </c>
      <c r="C1900" t="s">
        <v>4</v>
      </c>
      <c r="D1900">
        <v>46136</v>
      </c>
      <c r="E1900">
        <v>45904.35</v>
      </c>
      <c r="F1900">
        <v>160.68</v>
      </c>
      <c r="G1900">
        <v>974.32</v>
      </c>
      <c r="H1900">
        <f>E1900*1000000/D1900</f>
        <v>994978.97520374542</v>
      </c>
      <c r="I1900" t="str">
        <f>IF(AND(B1900&gt;=2018, B1900&lt;=2021), "2018-2021", IF(AND(B1900&gt;=2022, B1900&lt;=2024), "2022-2024", "Other"))</f>
        <v>2022-2024</v>
      </c>
    </row>
    <row r="1901" spans="1:9" x14ac:dyDescent="0.3">
      <c r="A1901" t="s">
        <v>23</v>
      </c>
      <c r="B1901">
        <v>2020</v>
      </c>
      <c r="C1901" t="s">
        <v>8</v>
      </c>
      <c r="D1901">
        <v>4893.99</v>
      </c>
      <c r="E1901">
        <v>4034.88</v>
      </c>
      <c r="F1901">
        <v>105.19</v>
      </c>
      <c r="G1901">
        <v>510.24</v>
      </c>
      <c r="H1901">
        <f>E1901*1000000/D1901</f>
        <v>824456.1186271325</v>
      </c>
      <c r="I1901" t="str">
        <f>IF(AND(B1901&gt;=2018, B1901&lt;=2021), "2018-2021", IF(AND(B1901&gt;=2022, B1901&lt;=2024), "2022-2024", "Other"))</f>
        <v>2018-2021</v>
      </c>
    </row>
    <row r="1902" spans="1:9" x14ac:dyDescent="0.3">
      <c r="A1902" t="s">
        <v>20</v>
      </c>
      <c r="B1902">
        <v>2019</v>
      </c>
      <c r="C1902" t="s">
        <v>2</v>
      </c>
      <c r="D1902">
        <v>30598.5</v>
      </c>
      <c r="E1902">
        <v>34392.32</v>
      </c>
      <c r="F1902">
        <v>159.09</v>
      </c>
      <c r="G1902">
        <v>738.91</v>
      </c>
      <c r="H1902">
        <f>E1902*1000000/D1902</f>
        <v>1123987.1235518081</v>
      </c>
      <c r="I1902" t="str">
        <f>IF(AND(B1902&gt;=2018, B1902&lt;=2021), "2018-2021", IF(AND(B1902&gt;=2022, B1902&lt;=2024), "2022-2024", "Other"))</f>
        <v>2018-2021</v>
      </c>
    </row>
    <row r="1903" spans="1:9" x14ac:dyDescent="0.3">
      <c r="A1903" t="s">
        <v>5</v>
      </c>
      <c r="B1903">
        <v>2024</v>
      </c>
      <c r="C1903" t="s">
        <v>12</v>
      </c>
      <c r="D1903">
        <v>10124.299999999999</v>
      </c>
      <c r="E1903">
        <v>8979.4699999999993</v>
      </c>
      <c r="F1903">
        <v>181.05</v>
      </c>
      <c r="G1903">
        <v>613.92999999999995</v>
      </c>
      <c r="H1903">
        <f>E1903*1000000/D1903</f>
        <v>886922.55267030816</v>
      </c>
      <c r="I1903" t="str">
        <f>IF(AND(B1903&gt;=2018, B1903&lt;=2021), "2018-2021", IF(AND(B1903&gt;=2022, B1903&lt;=2024), "2022-2024", "Other"))</f>
        <v>2022-2024</v>
      </c>
    </row>
    <row r="1904" spans="1:9" x14ac:dyDescent="0.3">
      <c r="A1904" t="s">
        <v>3</v>
      </c>
      <c r="B1904">
        <v>2022</v>
      </c>
      <c r="C1904" t="s">
        <v>2</v>
      </c>
      <c r="D1904">
        <v>38371.75</v>
      </c>
      <c r="E1904">
        <v>37851.620000000003</v>
      </c>
      <c r="F1904">
        <v>67</v>
      </c>
      <c r="G1904">
        <v>1198</v>
      </c>
      <c r="H1904">
        <f>E1904*1000000/D1904</f>
        <v>986444.97579599579</v>
      </c>
      <c r="I1904" t="str">
        <f>IF(AND(B1904&gt;=2018, B1904&lt;=2021), "2018-2021", IF(AND(B1904&gt;=2022, B1904&lt;=2024), "2022-2024", "Other"))</f>
        <v>2022-2024</v>
      </c>
    </row>
    <row r="1905" spans="1:9" x14ac:dyDescent="0.3">
      <c r="A1905" t="s">
        <v>19</v>
      </c>
      <c r="B1905">
        <v>2024</v>
      </c>
      <c r="C1905" t="s">
        <v>0</v>
      </c>
      <c r="D1905">
        <v>10290.86</v>
      </c>
      <c r="E1905">
        <v>11048.84</v>
      </c>
      <c r="F1905">
        <v>81.459999999999994</v>
      </c>
      <c r="G1905">
        <v>1276.02</v>
      </c>
      <c r="H1905">
        <f>E1905*1000000/D1905</f>
        <v>1073655.6517142395</v>
      </c>
      <c r="I1905" t="str">
        <f>IF(AND(B1905&gt;=2018, B1905&lt;=2021), "2018-2021", IF(AND(B1905&gt;=2022, B1905&lt;=2024), "2022-2024", "Other"))</f>
        <v>2022-2024</v>
      </c>
    </row>
    <row r="1906" spans="1:9" x14ac:dyDescent="0.3">
      <c r="A1906" t="s">
        <v>18</v>
      </c>
      <c r="B1906">
        <v>2024</v>
      </c>
      <c r="C1906" t="s">
        <v>4</v>
      </c>
      <c r="D1906">
        <v>15462.15</v>
      </c>
      <c r="E1906">
        <v>15203.97</v>
      </c>
      <c r="F1906">
        <v>79.319999999999993</v>
      </c>
      <c r="G1906">
        <v>349.84</v>
      </c>
      <c r="H1906">
        <f>E1906*1000000/D1906</f>
        <v>983302.45147020312</v>
      </c>
      <c r="I1906" t="str">
        <f>IF(AND(B1906&gt;=2018, B1906&lt;=2021), "2018-2021", IF(AND(B1906&gt;=2022, B1906&lt;=2024), "2022-2024", "Other"))</f>
        <v>2022-2024</v>
      </c>
    </row>
    <row r="1907" spans="1:9" x14ac:dyDescent="0.3">
      <c r="A1907" t="s">
        <v>23</v>
      </c>
      <c r="B1907">
        <v>2023</v>
      </c>
      <c r="C1907" t="s">
        <v>9</v>
      </c>
      <c r="D1907">
        <v>5575.76</v>
      </c>
      <c r="E1907">
        <v>5997.71</v>
      </c>
      <c r="F1907">
        <v>168.26</v>
      </c>
      <c r="G1907">
        <v>920.7</v>
      </c>
      <c r="H1907">
        <f>E1907*1000000/D1907</f>
        <v>1075675.7823148773</v>
      </c>
      <c r="I1907" t="str">
        <f>IF(AND(B1907&gt;=2018, B1907&lt;=2021), "2018-2021", IF(AND(B1907&gt;=2022, B1907&lt;=2024), "2022-2024", "Other"))</f>
        <v>2022-2024</v>
      </c>
    </row>
    <row r="1908" spans="1:9" x14ac:dyDescent="0.3">
      <c r="A1908" t="s">
        <v>10</v>
      </c>
      <c r="B1908">
        <v>2021</v>
      </c>
      <c r="C1908" t="s">
        <v>14</v>
      </c>
      <c r="D1908">
        <v>24766.12</v>
      </c>
      <c r="E1908">
        <v>29199.89</v>
      </c>
      <c r="F1908">
        <v>39.840000000000003</v>
      </c>
      <c r="G1908">
        <v>1060.44</v>
      </c>
      <c r="H1908">
        <f>E1908*1000000/D1908</f>
        <v>1179025.6204847591</v>
      </c>
      <c r="I1908" t="str">
        <f>IF(AND(B1908&gt;=2018, B1908&lt;=2021), "2018-2021", IF(AND(B1908&gt;=2022, B1908&lt;=2024), "2022-2024", "Other"))</f>
        <v>2018-2021</v>
      </c>
    </row>
    <row r="1909" spans="1:9" x14ac:dyDescent="0.3">
      <c r="A1909" t="s">
        <v>16</v>
      </c>
      <c r="B1909">
        <v>2022</v>
      </c>
      <c r="C1909" t="s">
        <v>6</v>
      </c>
      <c r="D1909">
        <v>44346.35</v>
      </c>
      <c r="E1909">
        <v>45835.32</v>
      </c>
      <c r="F1909">
        <v>68.84</v>
      </c>
      <c r="G1909">
        <v>246.61</v>
      </c>
      <c r="H1909">
        <f>E1909*1000000/D1909</f>
        <v>1033575.9312773205</v>
      </c>
      <c r="I1909" t="str">
        <f>IF(AND(B1909&gt;=2018, B1909&lt;=2021), "2018-2021", IF(AND(B1909&gt;=2022, B1909&lt;=2024), "2022-2024", "Other"))</f>
        <v>2022-2024</v>
      </c>
    </row>
    <row r="1910" spans="1:9" x14ac:dyDescent="0.3">
      <c r="A1910" t="s">
        <v>22</v>
      </c>
      <c r="B1910">
        <v>2019</v>
      </c>
      <c r="C1910" t="s">
        <v>2</v>
      </c>
      <c r="D1910">
        <v>43867.53</v>
      </c>
      <c r="E1910">
        <v>43424.76</v>
      </c>
      <c r="F1910">
        <v>125.38</v>
      </c>
      <c r="G1910">
        <v>506.33</v>
      </c>
      <c r="H1910">
        <f>E1910*1000000/D1910</f>
        <v>989906.65761213365</v>
      </c>
      <c r="I1910" t="str">
        <f>IF(AND(B1910&gt;=2018, B1910&lt;=2021), "2018-2021", IF(AND(B1910&gt;=2022, B1910&lt;=2024), "2022-2024", "Other"))</f>
        <v>2018-2021</v>
      </c>
    </row>
    <row r="1911" spans="1:9" x14ac:dyDescent="0.3">
      <c r="A1911" t="s">
        <v>15</v>
      </c>
      <c r="B1911">
        <v>2024</v>
      </c>
      <c r="C1911" t="s">
        <v>12</v>
      </c>
      <c r="D1911">
        <v>16313.98</v>
      </c>
      <c r="E1911">
        <v>13151.48</v>
      </c>
      <c r="F1911">
        <v>117.37</v>
      </c>
      <c r="G1911">
        <v>857.42</v>
      </c>
      <c r="H1911">
        <f>E1911*1000000/D1911</f>
        <v>806147.85601061175</v>
      </c>
      <c r="I1911" t="str">
        <f>IF(AND(B1911&gt;=2018, B1911&lt;=2021), "2018-2021", IF(AND(B1911&gt;=2022, B1911&lt;=2024), "2022-2024", "Other"))</f>
        <v>2022-2024</v>
      </c>
    </row>
    <row r="1912" spans="1:9" x14ac:dyDescent="0.3">
      <c r="A1912" t="s">
        <v>19</v>
      </c>
      <c r="B1912">
        <v>2019</v>
      </c>
      <c r="C1912" t="s">
        <v>9</v>
      </c>
      <c r="D1912">
        <v>27947.56</v>
      </c>
      <c r="E1912">
        <v>23836.43</v>
      </c>
      <c r="F1912">
        <v>47.48</v>
      </c>
      <c r="G1912">
        <v>600.14</v>
      </c>
      <c r="H1912">
        <f>E1912*1000000/D1912</f>
        <v>852898.42834222375</v>
      </c>
      <c r="I1912" t="str">
        <f>IF(AND(B1912&gt;=2018, B1912&lt;=2021), "2018-2021", IF(AND(B1912&gt;=2022, B1912&lt;=2024), "2022-2024", "Other"))</f>
        <v>2018-2021</v>
      </c>
    </row>
    <row r="1913" spans="1:9" x14ac:dyDescent="0.3">
      <c r="A1913" t="s">
        <v>16</v>
      </c>
      <c r="B1913">
        <v>2021</v>
      </c>
      <c r="C1913" t="s">
        <v>14</v>
      </c>
      <c r="D1913">
        <v>10675.42</v>
      </c>
      <c r="E1913">
        <v>10732.23</v>
      </c>
      <c r="F1913">
        <v>88</v>
      </c>
      <c r="G1913">
        <v>20.34</v>
      </c>
      <c r="H1913">
        <f>E1913*1000000/D1913</f>
        <v>1005321.5704862197</v>
      </c>
      <c r="I1913" t="str">
        <f>IF(AND(B1913&gt;=2018, B1913&lt;=2021), "2018-2021", IF(AND(B1913&gt;=2022, B1913&lt;=2024), "2022-2024", "Other"))</f>
        <v>2018-2021</v>
      </c>
    </row>
    <row r="1914" spans="1:9" x14ac:dyDescent="0.3">
      <c r="A1914" t="s">
        <v>5</v>
      </c>
      <c r="B1914">
        <v>2023</v>
      </c>
      <c r="C1914" t="s">
        <v>2</v>
      </c>
      <c r="D1914">
        <v>6962.05</v>
      </c>
      <c r="E1914">
        <v>7390.53</v>
      </c>
      <c r="F1914">
        <v>113.45</v>
      </c>
      <c r="G1914">
        <v>453.29</v>
      </c>
      <c r="H1914">
        <f>E1914*1000000/D1914</f>
        <v>1061545.0908855868</v>
      </c>
      <c r="I1914" t="str">
        <f>IF(AND(B1914&gt;=2018, B1914&lt;=2021), "2018-2021", IF(AND(B1914&gt;=2022, B1914&lt;=2024), "2022-2024", "Other"))</f>
        <v>2022-2024</v>
      </c>
    </row>
    <row r="1915" spans="1:9" x14ac:dyDescent="0.3">
      <c r="A1915" t="s">
        <v>7</v>
      </c>
      <c r="B1915">
        <v>2019</v>
      </c>
      <c r="C1915" t="s">
        <v>4</v>
      </c>
      <c r="D1915">
        <v>4668.8900000000003</v>
      </c>
      <c r="E1915">
        <v>4069.92</v>
      </c>
      <c r="F1915">
        <v>156.86000000000001</v>
      </c>
      <c r="G1915">
        <v>409.87</v>
      </c>
      <c r="H1915">
        <f>E1915*1000000/D1915</f>
        <v>871710.40654202597</v>
      </c>
      <c r="I1915" t="str">
        <f>IF(AND(B1915&gt;=2018, B1915&lt;=2021), "2018-2021", IF(AND(B1915&gt;=2022, B1915&lt;=2024), "2022-2024", "Other"))</f>
        <v>2018-2021</v>
      </c>
    </row>
    <row r="1916" spans="1:9" x14ac:dyDescent="0.3">
      <c r="A1916" t="s">
        <v>11</v>
      </c>
      <c r="B1916">
        <v>2024</v>
      </c>
      <c r="C1916" t="s">
        <v>6</v>
      </c>
      <c r="D1916">
        <v>34323.78</v>
      </c>
      <c r="E1916">
        <v>29914.05</v>
      </c>
      <c r="F1916">
        <v>90.8</v>
      </c>
      <c r="G1916">
        <v>802.77</v>
      </c>
      <c r="H1916">
        <f>E1916*1000000/D1916</f>
        <v>871525.51379830542</v>
      </c>
      <c r="I1916" t="str">
        <f>IF(AND(B1916&gt;=2018, B1916&lt;=2021), "2018-2021", IF(AND(B1916&gt;=2022, B1916&lt;=2024), "2022-2024", "Other"))</f>
        <v>2022-2024</v>
      </c>
    </row>
    <row r="1917" spans="1:9" x14ac:dyDescent="0.3">
      <c r="A1917" t="s">
        <v>13</v>
      </c>
      <c r="B1917">
        <v>2019</v>
      </c>
      <c r="C1917" t="s">
        <v>4</v>
      </c>
      <c r="D1917">
        <v>46425.97</v>
      </c>
      <c r="E1917">
        <v>42039.23</v>
      </c>
      <c r="F1917">
        <v>97.38</v>
      </c>
      <c r="G1917">
        <v>604.79999999999995</v>
      </c>
      <c r="H1917">
        <f>E1917*1000000/D1917</f>
        <v>905511.07494361454</v>
      </c>
      <c r="I1917" t="str">
        <f>IF(AND(B1917&gt;=2018, B1917&lt;=2021), "2018-2021", IF(AND(B1917&gt;=2022, B1917&lt;=2024), "2022-2024", "Other"))</f>
        <v>2018-2021</v>
      </c>
    </row>
    <row r="1918" spans="1:9" x14ac:dyDescent="0.3">
      <c r="A1918" t="s">
        <v>5</v>
      </c>
      <c r="B1918">
        <v>2020</v>
      </c>
      <c r="C1918" t="s">
        <v>2</v>
      </c>
      <c r="D1918">
        <v>33869.08</v>
      </c>
      <c r="E1918">
        <v>39393.64</v>
      </c>
      <c r="F1918">
        <v>47.94</v>
      </c>
      <c r="G1918">
        <v>478.88</v>
      </c>
      <c r="H1918">
        <f>E1918*1000000/D1918</f>
        <v>1163115.1480937775</v>
      </c>
      <c r="I1918" t="str">
        <f>IF(AND(B1918&gt;=2018, B1918&lt;=2021), "2018-2021", IF(AND(B1918&gt;=2022, B1918&lt;=2024), "2022-2024", "Other"))</f>
        <v>2018-2021</v>
      </c>
    </row>
    <row r="1919" spans="1:9" x14ac:dyDescent="0.3">
      <c r="A1919" t="s">
        <v>18</v>
      </c>
      <c r="B1919">
        <v>2021</v>
      </c>
      <c r="C1919" t="s">
        <v>6</v>
      </c>
      <c r="D1919">
        <v>15792.82</v>
      </c>
      <c r="E1919">
        <v>13928.46</v>
      </c>
      <c r="F1919">
        <v>190.83</v>
      </c>
      <c r="G1919">
        <v>777.44</v>
      </c>
      <c r="H1919">
        <f>E1919*1000000/D1919</f>
        <v>881948.88563283824</v>
      </c>
      <c r="I1919" t="str">
        <f>IF(AND(B1919&gt;=2018, B1919&lt;=2021), "2018-2021", IF(AND(B1919&gt;=2022, B1919&lt;=2024), "2022-2024", "Other"))</f>
        <v>2018-2021</v>
      </c>
    </row>
    <row r="1920" spans="1:9" x14ac:dyDescent="0.3">
      <c r="A1920" t="s">
        <v>5</v>
      </c>
      <c r="B1920">
        <v>2020</v>
      </c>
      <c r="C1920" t="s">
        <v>6</v>
      </c>
      <c r="D1920">
        <v>24702.5</v>
      </c>
      <c r="E1920">
        <v>24507.47</v>
      </c>
      <c r="F1920">
        <v>29.51</v>
      </c>
      <c r="G1920">
        <v>509.75</v>
      </c>
      <c r="H1920">
        <f>E1920*1000000/D1920</f>
        <v>992104.84768748097</v>
      </c>
      <c r="I1920" t="str">
        <f>IF(AND(B1920&gt;=2018, B1920&lt;=2021), "2018-2021", IF(AND(B1920&gt;=2022, B1920&lt;=2024), "2022-2024", "Other"))</f>
        <v>2018-2021</v>
      </c>
    </row>
    <row r="1921" spans="1:9" x14ac:dyDescent="0.3">
      <c r="A1921" t="s">
        <v>27</v>
      </c>
      <c r="B1921">
        <v>2023</v>
      </c>
      <c r="C1921" t="s">
        <v>2</v>
      </c>
      <c r="D1921">
        <v>7317</v>
      </c>
      <c r="E1921">
        <v>6147.99</v>
      </c>
      <c r="F1921">
        <v>37.85</v>
      </c>
      <c r="G1921">
        <v>285.31</v>
      </c>
      <c r="H1921">
        <f>E1921*1000000/D1921</f>
        <v>840233.70233702334</v>
      </c>
      <c r="I1921" t="str">
        <f>IF(AND(B1921&gt;=2018, B1921&lt;=2021), "2018-2021", IF(AND(B1921&gt;=2022, B1921&lt;=2024), "2022-2024", "Other"))</f>
        <v>2022-2024</v>
      </c>
    </row>
    <row r="1922" spans="1:9" x14ac:dyDescent="0.3">
      <c r="A1922" t="s">
        <v>17</v>
      </c>
      <c r="B1922">
        <v>2022</v>
      </c>
      <c r="C1922" t="s">
        <v>2</v>
      </c>
      <c r="D1922">
        <v>22160.77</v>
      </c>
      <c r="E1922">
        <v>18453.23</v>
      </c>
      <c r="F1922">
        <v>144.19</v>
      </c>
      <c r="G1922">
        <v>814.77</v>
      </c>
      <c r="H1922">
        <f>E1922*1000000/D1922</f>
        <v>832698.05155687279</v>
      </c>
      <c r="I1922" t="str">
        <f>IF(AND(B1922&gt;=2018, B1922&lt;=2021), "2018-2021", IF(AND(B1922&gt;=2022, B1922&lt;=2024), "2022-2024", "Other"))</f>
        <v>2022-2024</v>
      </c>
    </row>
    <row r="1923" spans="1:9" x14ac:dyDescent="0.3">
      <c r="A1923" t="s">
        <v>27</v>
      </c>
      <c r="B1923">
        <v>2023</v>
      </c>
      <c r="C1923" t="s">
        <v>0</v>
      </c>
      <c r="D1923">
        <v>36457.699999999997</v>
      </c>
      <c r="E1923">
        <v>35507.75</v>
      </c>
      <c r="F1923">
        <v>156.06</v>
      </c>
      <c r="G1923">
        <v>822.5</v>
      </c>
      <c r="H1923">
        <f>E1923*1000000/D1923</f>
        <v>973943.77593759354</v>
      </c>
      <c r="I1923" t="str">
        <f>IF(AND(B1923&gt;=2018, B1923&lt;=2021), "2018-2021", IF(AND(B1923&gt;=2022, B1923&lt;=2024), "2022-2024", "Other"))</f>
        <v>2022-2024</v>
      </c>
    </row>
    <row r="1924" spans="1:9" x14ac:dyDescent="0.3">
      <c r="A1924" t="s">
        <v>21</v>
      </c>
      <c r="B1924">
        <v>2021</v>
      </c>
      <c r="C1924" t="s">
        <v>0</v>
      </c>
      <c r="D1924">
        <v>13177.03</v>
      </c>
      <c r="E1924">
        <v>11186.44</v>
      </c>
      <c r="F1924">
        <v>96.41</v>
      </c>
      <c r="G1924">
        <v>866.97</v>
      </c>
      <c r="H1924">
        <f>E1924*1000000/D1924</f>
        <v>848934.85102485155</v>
      </c>
      <c r="I1924" t="str">
        <f>IF(AND(B1924&gt;=2018, B1924&lt;=2021), "2018-2021", IF(AND(B1924&gt;=2022, B1924&lt;=2024), "2022-2024", "Other"))</f>
        <v>2018-2021</v>
      </c>
    </row>
    <row r="1925" spans="1:9" x14ac:dyDescent="0.3">
      <c r="A1925" t="s">
        <v>18</v>
      </c>
      <c r="B1925">
        <v>2020</v>
      </c>
      <c r="C1925" t="s">
        <v>2</v>
      </c>
      <c r="D1925">
        <v>16549.13</v>
      </c>
      <c r="E1925">
        <v>18798.009999999998</v>
      </c>
      <c r="F1925">
        <v>176.06</v>
      </c>
      <c r="G1925">
        <v>1330.66</v>
      </c>
      <c r="H1925">
        <f>E1925*1000000/D1925</f>
        <v>1135891.1314371207</v>
      </c>
      <c r="I1925" t="str">
        <f>IF(AND(B1925&gt;=2018, B1925&lt;=2021), "2018-2021", IF(AND(B1925&gt;=2022, B1925&lt;=2024), "2022-2024", "Other"))</f>
        <v>2018-2021</v>
      </c>
    </row>
    <row r="1926" spans="1:9" x14ac:dyDescent="0.3">
      <c r="A1926" t="s">
        <v>15</v>
      </c>
      <c r="B1926">
        <v>2018</v>
      </c>
      <c r="C1926" t="s">
        <v>4</v>
      </c>
      <c r="D1926">
        <v>27457.99</v>
      </c>
      <c r="E1926">
        <v>26842.11</v>
      </c>
      <c r="F1926">
        <v>44.11</v>
      </c>
      <c r="G1926">
        <v>323.12</v>
      </c>
      <c r="H1926">
        <f>E1926*1000000/D1926</f>
        <v>977570.09890381631</v>
      </c>
      <c r="I1926" t="str">
        <f>IF(AND(B1926&gt;=2018, B1926&lt;=2021), "2018-2021", IF(AND(B1926&gt;=2022, B1926&lt;=2024), "2022-2024", "Other"))</f>
        <v>2018-2021</v>
      </c>
    </row>
    <row r="1927" spans="1:9" x14ac:dyDescent="0.3">
      <c r="A1927" t="s">
        <v>3</v>
      </c>
      <c r="B1927">
        <v>2021</v>
      </c>
      <c r="C1927" t="s">
        <v>6</v>
      </c>
      <c r="D1927">
        <v>37483.599999999999</v>
      </c>
      <c r="E1927">
        <v>30340.62</v>
      </c>
      <c r="F1927">
        <v>35.06</v>
      </c>
      <c r="G1927">
        <v>43.3</v>
      </c>
      <c r="H1927">
        <f>E1927*1000000/D1927</f>
        <v>809437.19386611751</v>
      </c>
      <c r="I1927" t="str">
        <f>IF(AND(B1927&gt;=2018, B1927&lt;=2021), "2018-2021", IF(AND(B1927&gt;=2022, B1927&lt;=2024), "2022-2024", "Other"))</f>
        <v>2018-2021</v>
      </c>
    </row>
    <row r="1928" spans="1:9" x14ac:dyDescent="0.3">
      <c r="A1928" t="s">
        <v>21</v>
      </c>
      <c r="B1928">
        <v>2023</v>
      </c>
      <c r="C1928" t="s">
        <v>9</v>
      </c>
      <c r="D1928">
        <v>1401.65</v>
      </c>
      <c r="E1928">
        <v>1589.87</v>
      </c>
      <c r="F1928">
        <v>100.81</v>
      </c>
      <c r="G1928">
        <v>715.88</v>
      </c>
      <c r="H1928">
        <f>E1928*1000000/D1928</f>
        <v>1134284.5931580637</v>
      </c>
      <c r="I1928" t="str">
        <f>IF(AND(B1928&gt;=2018, B1928&lt;=2021), "2018-2021", IF(AND(B1928&gt;=2022, B1928&lt;=2024), "2022-2024", "Other"))</f>
        <v>2022-2024</v>
      </c>
    </row>
    <row r="1929" spans="1:9" x14ac:dyDescent="0.3">
      <c r="A1929" t="s">
        <v>27</v>
      </c>
      <c r="B1929">
        <v>2019</v>
      </c>
      <c r="C1929" t="s">
        <v>6</v>
      </c>
      <c r="D1929">
        <v>19155.37</v>
      </c>
      <c r="E1929">
        <v>18836.419999999998</v>
      </c>
      <c r="F1929">
        <v>76.63</v>
      </c>
      <c r="G1929">
        <v>920.98</v>
      </c>
      <c r="H1929">
        <f>E1929*1000000/D1929</f>
        <v>983349.31666681462</v>
      </c>
      <c r="I1929" t="str">
        <f>IF(AND(B1929&gt;=2018, B1929&lt;=2021), "2018-2021", IF(AND(B1929&gt;=2022, B1929&lt;=2024), "2022-2024", "Other"))</f>
        <v>2018-2021</v>
      </c>
    </row>
    <row r="1930" spans="1:9" x14ac:dyDescent="0.3">
      <c r="A1930" t="s">
        <v>11</v>
      </c>
      <c r="B1930">
        <v>2019</v>
      </c>
      <c r="C1930" t="s">
        <v>0</v>
      </c>
      <c r="D1930">
        <v>29637</v>
      </c>
      <c r="E1930">
        <v>29402.46</v>
      </c>
      <c r="F1930">
        <v>88.7</v>
      </c>
      <c r="G1930">
        <v>676.5</v>
      </c>
      <c r="H1930">
        <f>E1930*1000000/D1930</f>
        <v>992086.24354691769</v>
      </c>
      <c r="I1930" t="str">
        <f>IF(AND(B1930&gt;=2018, B1930&lt;=2021), "2018-2021", IF(AND(B1930&gt;=2022, B1930&lt;=2024), "2022-2024", "Other"))</f>
        <v>2018-2021</v>
      </c>
    </row>
    <row r="1931" spans="1:9" x14ac:dyDescent="0.3">
      <c r="A1931" t="s">
        <v>25</v>
      </c>
      <c r="B1931">
        <v>2018</v>
      </c>
      <c r="C1931" t="s">
        <v>14</v>
      </c>
      <c r="D1931">
        <v>15230.15</v>
      </c>
      <c r="E1931">
        <v>17122.259999999998</v>
      </c>
      <c r="F1931">
        <v>50.72</v>
      </c>
      <c r="G1931">
        <v>1105.7</v>
      </c>
      <c r="H1931">
        <f>E1931*1000000/D1931</f>
        <v>1124234.4953923631</v>
      </c>
      <c r="I1931" t="str">
        <f>IF(AND(B1931&gt;=2018, B1931&lt;=2021), "2018-2021", IF(AND(B1931&gt;=2022, B1931&lt;=2024), "2022-2024", "Other"))</f>
        <v>2018-2021</v>
      </c>
    </row>
    <row r="1932" spans="1:9" x14ac:dyDescent="0.3">
      <c r="A1932" t="s">
        <v>15</v>
      </c>
      <c r="B1932">
        <v>2023</v>
      </c>
      <c r="C1932" t="s">
        <v>14</v>
      </c>
      <c r="D1932">
        <v>9224.5499999999993</v>
      </c>
      <c r="E1932">
        <v>10662.32</v>
      </c>
      <c r="F1932">
        <v>194.63</v>
      </c>
      <c r="G1932">
        <v>1325.1</v>
      </c>
      <c r="H1932">
        <f>E1932*1000000/D1932</f>
        <v>1155863.429652395</v>
      </c>
      <c r="I1932" t="str">
        <f>IF(AND(B1932&gt;=2018, B1932&lt;=2021), "2018-2021", IF(AND(B1932&gt;=2022, B1932&lt;=2024), "2022-2024", "Other"))</f>
        <v>2022-2024</v>
      </c>
    </row>
    <row r="1933" spans="1:9" x14ac:dyDescent="0.3">
      <c r="A1933" t="s">
        <v>17</v>
      </c>
      <c r="B1933">
        <v>2022</v>
      </c>
      <c r="C1933" t="s">
        <v>9</v>
      </c>
      <c r="D1933">
        <v>31304.33</v>
      </c>
      <c r="E1933">
        <v>28928.51</v>
      </c>
      <c r="F1933">
        <v>176.79</v>
      </c>
      <c r="G1933">
        <v>1013.41</v>
      </c>
      <c r="H1933">
        <f>E1933*1000000/D1933</f>
        <v>924105.70678241632</v>
      </c>
      <c r="I1933" t="str">
        <f>IF(AND(B1933&gt;=2018, B1933&lt;=2021), "2018-2021", IF(AND(B1933&gt;=2022, B1933&lt;=2024), "2022-2024", "Other"))</f>
        <v>2022-2024</v>
      </c>
    </row>
    <row r="1934" spans="1:9" x14ac:dyDescent="0.3">
      <c r="A1934" t="s">
        <v>11</v>
      </c>
      <c r="B1934">
        <v>2019</v>
      </c>
      <c r="C1934" t="s">
        <v>4</v>
      </c>
      <c r="D1934">
        <v>8507.36</v>
      </c>
      <c r="E1934">
        <v>8265.5300000000007</v>
      </c>
      <c r="F1934">
        <v>105.52</v>
      </c>
      <c r="G1934">
        <v>1268.68</v>
      </c>
      <c r="H1934">
        <f>E1934*1000000/D1934</f>
        <v>971574.0253145512</v>
      </c>
      <c r="I1934" t="str">
        <f>IF(AND(B1934&gt;=2018, B1934&lt;=2021), "2018-2021", IF(AND(B1934&gt;=2022, B1934&lt;=2024), "2022-2024", "Other"))</f>
        <v>2018-2021</v>
      </c>
    </row>
    <row r="1935" spans="1:9" x14ac:dyDescent="0.3">
      <c r="A1935" t="s">
        <v>13</v>
      </c>
      <c r="B1935">
        <v>2023</v>
      </c>
      <c r="C1935" t="s">
        <v>9</v>
      </c>
      <c r="D1935">
        <v>28636.48</v>
      </c>
      <c r="E1935">
        <v>28091.86</v>
      </c>
      <c r="F1935">
        <v>46.01</v>
      </c>
      <c r="G1935">
        <v>287.33999999999997</v>
      </c>
      <c r="H1935">
        <f>E1935*1000000/D1935</f>
        <v>980981.6010906368</v>
      </c>
      <c r="I1935" t="str">
        <f>IF(AND(B1935&gt;=2018, B1935&lt;=2021), "2018-2021", IF(AND(B1935&gt;=2022, B1935&lt;=2024), "2022-2024", "Other"))</f>
        <v>2022-2024</v>
      </c>
    </row>
    <row r="1936" spans="1:9" x14ac:dyDescent="0.3">
      <c r="A1936" t="s">
        <v>24</v>
      </c>
      <c r="B1936">
        <v>2020</v>
      </c>
      <c r="C1936" t="s">
        <v>12</v>
      </c>
      <c r="D1936">
        <v>49739.79</v>
      </c>
      <c r="E1936">
        <v>50312.88</v>
      </c>
      <c r="F1936">
        <v>153.38999999999999</v>
      </c>
      <c r="G1936">
        <v>1312.21</v>
      </c>
      <c r="H1936">
        <f>E1936*1000000/D1936</f>
        <v>1011521.7615514661</v>
      </c>
      <c r="I1936" t="str">
        <f>IF(AND(B1936&gt;=2018, B1936&lt;=2021), "2018-2021", IF(AND(B1936&gt;=2022, B1936&lt;=2024), "2022-2024", "Other"))</f>
        <v>2018-2021</v>
      </c>
    </row>
    <row r="1937" spans="1:9" x14ac:dyDescent="0.3">
      <c r="A1937" t="s">
        <v>10</v>
      </c>
      <c r="B1937">
        <v>2024</v>
      </c>
      <c r="C1937" t="s">
        <v>9</v>
      </c>
      <c r="D1937">
        <v>30576.71</v>
      </c>
      <c r="E1937">
        <v>28635.98</v>
      </c>
      <c r="F1937">
        <v>130.77000000000001</v>
      </c>
      <c r="G1937">
        <v>606.20000000000005</v>
      </c>
      <c r="H1937">
        <f>E1937*1000000/D1937</f>
        <v>936529.1426055975</v>
      </c>
      <c r="I1937" t="str">
        <f>IF(AND(B1937&gt;=2018, B1937&lt;=2021), "2018-2021", IF(AND(B1937&gt;=2022, B1937&lt;=2024), "2022-2024", "Other"))</f>
        <v>2022-2024</v>
      </c>
    </row>
    <row r="1938" spans="1:9" x14ac:dyDescent="0.3">
      <c r="A1938" t="s">
        <v>5</v>
      </c>
      <c r="B1938">
        <v>2019</v>
      </c>
      <c r="C1938" t="s">
        <v>8</v>
      </c>
      <c r="D1938">
        <v>34065.160000000003</v>
      </c>
      <c r="E1938">
        <v>36053.300000000003</v>
      </c>
      <c r="F1938">
        <v>171.25</v>
      </c>
      <c r="G1938">
        <v>786.38</v>
      </c>
      <c r="H1938">
        <f>E1938*1000000/D1938</f>
        <v>1058362.8551869416</v>
      </c>
      <c r="I1938" t="str">
        <f>IF(AND(B1938&gt;=2018, B1938&lt;=2021), "2018-2021", IF(AND(B1938&gt;=2022, B1938&lt;=2024), "2022-2024", "Other"))</f>
        <v>2018-2021</v>
      </c>
    </row>
    <row r="1939" spans="1:9" x14ac:dyDescent="0.3">
      <c r="A1939" t="s">
        <v>23</v>
      </c>
      <c r="B1939">
        <v>2023</v>
      </c>
      <c r="C1939" t="s">
        <v>12</v>
      </c>
      <c r="D1939">
        <v>9824.6299999999992</v>
      </c>
      <c r="E1939">
        <v>10166.379999999999</v>
      </c>
      <c r="F1939">
        <v>170.95</v>
      </c>
      <c r="G1939">
        <v>95.48</v>
      </c>
      <c r="H1939">
        <f>E1939*1000000/D1939</f>
        <v>1034785.0249831292</v>
      </c>
      <c r="I1939" t="str">
        <f>IF(AND(B1939&gt;=2018, B1939&lt;=2021), "2018-2021", IF(AND(B1939&gt;=2022, B1939&lt;=2024), "2022-2024", "Other"))</f>
        <v>2022-2024</v>
      </c>
    </row>
    <row r="1940" spans="1:9" x14ac:dyDescent="0.3">
      <c r="A1940" t="s">
        <v>20</v>
      </c>
      <c r="B1940">
        <v>2022</v>
      </c>
      <c r="C1940" t="s">
        <v>9</v>
      </c>
      <c r="D1940">
        <v>9697.91</v>
      </c>
      <c r="E1940">
        <v>9427.6200000000008</v>
      </c>
      <c r="F1940">
        <v>44.7</v>
      </c>
      <c r="G1940">
        <v>56.85</v>
      </c>
      <c r="H1940">
        <f>E1940*1000000/D1940</f>
        <v>972129.04636153567</v>
      </c>
      <c r="I1940" t="str">
        <f>IF(AND(B1940&gt;=2018, B1940&lt;=2021), "2018-2021", IF(AND(B1940&gt;=2022, B1940&lt;=2024), "2022-2024", "Other"))</f>
        <v>2022-2024</v>
      </c>
    </row>
    <row r="1941" spans="1:9" x14ac:dyDescent="0.3">
      <c r="A1941" t="s">
        <v>11</v>
      </c>
      <c r="B1941">
        <v>2023</v>
      </c>
      <c r="C1941" t="s">
        <v>0</v>
      </c>
      <c r="D1941">
        <v>37209.839999999997</v>
      </c>
      <c r="E1941">
        <v>40772.120000000003</v>
      </c>
      <c r="F1941">
        <v>113.06</v>
      </c>
      <c r="G1941">
        <v>270.27</v>
      </c>
      <c r="H1941">
        <f>E1941*1000000/D1941</f>
        <v>1095734.891630816</v>
      </c>
      <c r="I1941" t="str">
        <f>IF(AND(B1941&gt;=2018, B1941&lt;=2021), "2018-2021", IF(AND(B1941&gt;=2022, B1941&lt;=2024), "2022-2024", "Other"))</f>
        <v>2022-2024</v>
      </c>
    </row>
    <row r="1942" spans="1:9" x14ac:dyDescent="0.3">
      <c r="A1942" t="s">
        <v>18</v>
      </c>
      <c r="B1942">
        <v>2021</v>
      </c>
      <c r="C1942" t="s">
        <v>2</v>
      </c>
      <c r="D1942">
        <v>21101.21</v>
      </c>
      <c r="E1942">
        <v>23285.83</v>
      </c>
      <c r="F1942">
        <v>108.62</v>
      </c>
      <c r="G1942">
        <v>670.49</v>
      </c>
      <c r="H1942">
        <f>E1942*1000000/D1942</f>
        <v>1103530.5558306847</v>
      </c>
      <c r="I1942" t="str">
        <f>IF(AND(B1942&gt;=2018, B1942&lt;=2021), "2018-2021", IF(AND(B1942&gt;=2022, B1942&lt;=2024), "2022-2024", "Other"))</f>
        <v>2018-2021</v>
      </c>
    </row>
    <row r="1943" spans="1:9" x14ac:dyDescent="0.3">
      <c r="A1943" t="s">
        <v>11</v>
      </c>
      <c r="B1943">
        <v>2021</v>
      </c>
      <c r="C1943" t="s">
        <v>14</v>
      </c>
      <c r="D1943">
        <v>1979.87</v>
      </c>
      <c r="E1943">
        <v>1973.37</v>
      </c>
      <c r="F1943">
        <v>26.58</v>
      </c>
      <c r="G1943">
        <v>128.16</v>
      </c>
      <c r="H1943">
        <f>E1943*1000000/D1943</f>
        <v>996716.95616378856</v>
      </c>
      <c r="I1943" t="str">
        <f>IF(AND(B1943&gt;=2018, B1943&lt;=2021), "2018-2021", IF(AND(B1943&gt;=2022, B1943&lt;=2024), "2022-2024", "Other"))</f>
        <v>2018-2021</v>
      </c>
    </row>
    <row r="1944" spans="1:9" x14ac:dyDescent="0.3">
      <c r="A1944" t="s">
        <v>27</v>
      </c>
      <c r="B1944">
        <v>2018</v>
      </c>
      <c r="C1944" t="s">
        <v>12</v>
      </c>
      <c r="D1944">
        <v>30550.86</v>
      </c>
      <c r="E1944">
        <v>35584.199999999997</v>
      </c>
      <c r="F1944">
        <v>154.75</v>
      </c>
      <c r="G1944">
        <v>269.19</v>
      </c>
      <c r="H1944">
        <f>E1944*1000000/D1944</f>
        <v>1164752.8089225639</v>
      </c>
      <c r="I1944" t="str">
        <f>IF(AND(B1944&gt;=2018, B1944&lt;=2021), "2018-2021", IF(AND(B1944&gt;=2022, B1944&lt;=2024), "2022-2024", "Other"))</f>
        <v>2018-2021</v>
      </c>
    </row>
    <row r="1945" spans="1:9" x14ac:dyDescent="0.3">
      <c r="A1945" t="s">
        <v>11</v>
      </c>
      <c r="B1945">
        <v>2022</v>
      </c>
      <c r="C1945" t="s">
        <v>6</v>
      </c>
      <c r="D1945">
        <v>11836.21</v>
      </c>
      <c r="E1945">
        <v>10700.73</v>
      </c>
      <c r="F1945">
        <v>78.14</v>
      </c>
      <c r="G1945">
        <v>520.91</v>
      </c>
      <c r="H1945">
        <f>E1945*1000000/D1945</f>
        <v>904067.26477478864</v>
      </c>
      <c r="I1945" t="str">
        <f>IF(AND(B1945&gt;=2018, B1945&lt;=2021), "2018-2021", IF(AND(B1945&gt;=2022, B1945&lt;=2024), "2022-2024", "Other"))</f>
        <v>2022-2024</v>
      </c>
    </row>
    <row r="1946" spans="1:9" x14ac:dyDescent="0.3">
      <c r="A1946" t="s">
        <v>20</v>
      </c>
      <c r="B1946">
        <v>2020</v>
      </c>
      <c r="C1946" t="s">
        <v>6</v>
      </c>
      <c r="D1946">
        <v>8331.83</v>
      </c>
      <c r="E1946">
        <v>9535.8799999999992</v>
      </c>
      <c r="F1946">
        <v>130.53</v>
      </c>
      <c r="G1946">
        <v>89.66</v>
      </c>
      <c r="H1946">
        <f>E1946*1000000/D1946</f>
        <v>1144512.0699774239</v>
      </c>
      <c r="I1946" t="str">
        <f>IF(AND(B1946&gt;=2018, B1946&lt;=2021), "2018-2021", IF(AND(B1946&gt;=2022, B1946&lt;=2024), "2022-2024", "Other"))</f>
        <v>2018-2021</v>
      </c>
    </row>
    <row r="1947" spans="1:9" x14ac:dyDescent="0.3">
      <c r="A1947" t="s">
        <v>24</v>
      </c>
      <c r="B1947">
        <v>2020</v>
      </c>
      <c r="C1947" t="s">
        <v>9</v>
      </c>
      <c r="D1947">
        <v>45143.4</v>
      </c>
      <c r="E1947">
        <v>37351.730000000003</v>
      </c>
      <c r="F1947">
        <v>86.96</v>
      </c>
      <c r="G1947">
        <v>1345.9</v>
      </c>
      <c r="H1947">
        <f>E1947*1000000/D1947</f>
        <v>827401.79073795944</v>
      </c>
      <c r="I1947" t="str">
        <f>IF(AND(B1947&gt;=2018, B1947&lt;=2021), "2018-2021", IF(AND(B1947&gt;=2022, B1947&lt;=2024), "2022-2024", "Other"))</f>
        <v>2018-2021</v>
      </c>
    </row>
    <row r="1948" spans="1:9" x14ac:dyDescent="0.3">
      <c r="A1948" t="s">
        <v>22</v>
      </c>
      <c r="B1948">
        <v>2022</v>
      </c>
      <c r="C1948" t="s">
        <v>9</v>
      </c>
      <c r="D1948">
        <v>49364.51</v>
      </c>
      <c r="E1948">
        <v>49360.9</v>
      </c>
      <c r="F1948">
        <v>128.31</v>
      </c>
      <c r="G1948">
        <v>114.22</v>
      </c>
      <c r="H1948">
        <f>E1948*1000000/D1948</f>
        <v>999926.87053917884</v>
      </c>
      <c r="I1948" t="str">
        <f>IF(AND(B1948&gt;=2018, B1948&lt;=2021), "2018-2021", IF(AND(B1948&gt;=2022, B1948&lt;=2024), "2022-2024", "Other"))</f>
        <v>2022-2024</v>
      </c>
    </row>
    <row r="1949" spans="1:9" x14ac:dyDescent="0.3">
      <c r="A1949" t="s">
        <v>13</v>
      </c>
      <c r="B1949">
        <v>2022</v>
      </c>
      <c r="C1949" t="s">
        <v>9</v>
      </c>
      <c r="D1949">
        <v>3940.06</v>
      </c>
      <c r="E1949">
        <v>4568.88</v>
      </c>
      <c r="F1949">
        <v>164.76</v>
      </c>
      <c r="G1949">
        <v>268.85000000000002</v>
      </c>
      <c r="H1949">
        <f>E1949*1000000/D1949</f>
        <v>1159596.5543671923</v>
      </c>
      <c r="I1949" t="str">
        <f>IF(AND(B1949&gt;=2018, B1949&lt;=2021), "2018-2021", IF(AND(B1949&gt;=2022, B1949&lt;=2024), "2022-2024", "Other"))</f>
        <v>2022-2024</v>
      </c>
    </row>
    <row r="1950" spans="1:9" x14ac:dyDescent="0.3">
      <c r="A1950" t="s">
        <v>20</v>
      </c>
      <c r="B1950">
        <v>2023</v>
      </c>
      <c r="C1950" t="s">
        <v>12</v>
      </c>
      <c r="D1950">
        <v>44872.35</v>
      </c>
      <c r="E1950">
        <v>47160.34</v>
      </c>
      <c r="F1950">
        <v>181.13</v>
      </c>
      <c r="G1950">
        <v>472.4</v>
      </c>
      <c r="H1950">
        <f>E1950*1000000/D1950</f>
        <v>1050988.8606235243</v>
      </c>
      <c r="I1950" t="str">
        <f>IF(AND(B1950&gt;=2018, B1950&lt;=2021), "2018-2021", IF(AND(B1950&gt;=2022, B1950&lt;=2024), "2022-2024", "Other"))</f>
        <v>2022-2024</v>
      </c>
    </row>
    <row r="1951" spans="1:9" x14ac:dyDescent="0.3">
      <c r="A1951" t="s">
        <v>16</v>
      </c>
      <c r="B1951">
        <v>2023</v>
      </c>
      <c r="C1951" t="s">
        <v>14</v>
      </c>
      <c r="D1951">
        <v>33351.71</v>
      </c>
      <c r="E1951">
        <v>31582.14</v>
      </c>
      <c r="F1951">
        <v>115.37</v>
      </c>
      <c r="G1951">
        <v>1235.1600000000001</v>
      </c>
      <c r="H1951">
        <f>E1951*1000000/D1951</f>
        <v>946942.15079226822</v>
      </c>
      <c r="I1951" t="str">
        <f>IF(AND(B1951&gt;=2018, B1951&lt;=2021), "2018-2021", IF(AND(B1951&gt;=2022, B1951&lt;=2024), "2022-2024", "Other"))</f>
        <v>2022-2024</v>
      </c>
    </row>
    <row r="1952" spans="1:9" x14ac:dyDescent="0.3">
      <c r="A1952" t="s">
        <v>10</v>
      </c>
      <c r="B1952">
        <v>2020</v>
      </c>
      <c r="C1952" t="s">
        <v>12</v>
      </c>
      <c r="D1952">
        <v>33917.589999999997</v>
      </c>
      <c r="E1952">
        <v>28289.62</v>
      </c>
      <c r="F1952">
        <v>192.53</v>
      </c>
      <c r="G1952">
        <v>132.80000000000001</v>
      </c>
      <c r="H1952">
        <f>E1952*1000000/D1952</f>
        <v>834069.28381409182</v>
      </c>
      <c r="I1952" t="str">
        <f>IF(AND(B1952&gt;=2018, B1952&lt;=2021), "2018-2021", IF(AND(B1952&gt;=2022, B1952&lt;=2024), "2022-2024", "Other"))</f>
        <v>2018-2021</v>
      </c>
    </row>
    <row r="1953" spans="1:9" x14ac:dyDescent="0.3">
      <c r="A1953" t="s">
        <v>5</v>
      </c>
      <c r="B1953">
        <v>2019</v>
      </c>
      <c r="C1953" t="s">
        <v>9</v>
      </c>
      <c r="D1953">
        <v>14409.27</v>
      </c>
      <c r="E1953">
        <v>16560.3</v>
      </c>
      <c r="F1953">
        <v>173.99</v>
      </c>
      <c r="G1953">
        <v>627.6</v>
      </c>
      <c r="H1953">
        <f>E1953*1000000/D1953</f>
        <v>1149280.9837000764</v>
      </c>
      <c r="I1953" t="str">
        <f>IF(AND(B1953&gt;=2018, B1953&lt;=2021), "2018-2021", IF(AND(B1953&gt;=2022, B1953&lt;=2024), "2022-2024", "Other"))</f>
        <v>2018-2021</v>
      </c>
    </row>
    <row r="1954" spans="1:9" x14ac:dyDescent="0.3">
      <c r="A1954" t="s">
        <v>25</v>
      </c>
      <c r="B1954">
        <v>2022</v>
      </c>
      <c r="C1954" t="s">
        <v>12</v>
      </c>
      <c r="D1954">
        <v>49620.52</v>
      </c>
      <c r="E1954">
        <v>59228.93</v>
      </c>
      <c r="F1954">
        <v>65.58</v>
      </c>
      <c r="G1954">
        <v>1269.49</v>
      </c>
      <c r="H1954">
        <f>E1954*1000000/D1954</f>
        <v>1193637.8337026699</v>
      </c>
      <c r="I1954" t="str">
        <f>IF(AND(B1954&gt;=2018, B1954&lt;=2021), "2018-2021", IF(AND(B1954&gt;=2022, B1954&lt;=2024), "2022-2024", "Other"))</f>
        <v>2022-2024</v>
      </c>
    </row>
    <row r="1955" spans="1:9" x14ac:dyDescent="0.3">
      <c r="A1955" t="s">
        <v>21</v>
      </c>
      <c r="B1955">
        <v>2019</v>
      </c>
      <c r="C1955" t="s">
        <v>9</v>
      </c>
      <c r="D1955">
        <v>27266.55</v>
      </c>
      <c r="E1955">
        <v>22977.41</v>
      </c>
      <c r="F1955">
        <v>127.52</v>
      </c>
      <c r="G1955">
        <v>1024.1500000000001</v>
      </c>
      <c r="H1955">
        <f>E1955*1000000/D1955</f>
        <v>842695.90395557927</v>
      </c>
      <c r="I1955" t="str">
        <f>IF(AND(B1955&gt;=2018, B1955&lt;=2021), "2018-2021", IF(AND(B1955&gt;=2022, B1955&lt;=2024), "2022-2024", "Other"))</f>
        <v>2018-2021</v>
      </c>
    </row>
    <row r="1956" spans="1:9" x14ac:dyDescent="0.3">
      <c r="A1956" t="s">
        <v>13</v>
      </c>
      <c r="B1956">
        <v>2020</v>
      </c>
      <c r="C1956" t="s">
        <v>8</v>
      </c>
      <c r="D1956">
        <v>44350.27</v>
      </c>
      <c r="E1956">
        <v>39802.94</v>
      </c>
      <c r="F1956">
        <v>44.29</v>
      </c>
      <c r="G1956">
        <v>18.61</v>
      </c>
      <c r="H1956">
        <f>E1956*1000000/D1956</f>
        <v>897467.81699412432</v>
      </c>
      <c r="I1956" t="str">
        <f>IF(AND(B1956&gt;=2018, B1956&lt;=2021), "2018-2021", IF(AND(B1956&gt;=2022, B1956&lt;=2024), "2022-2024", "Other"))</f>
        <v>2018-2021</v>
      </c>
    </row>
    <row r="1957" spans="1:9" x14ac:dyDescent="0.3">
      <c r="A1957" t="s">
        <v>10</v>
      </c>
      <c r="B1957">
        <v>2019</v>
      </c>
      <c r="C1957" t="s">
        <v>12</v>
      </c>
      <c r="D1957">
        <v>38940.44</v>
      </c>
      <c r="E1957">
        <v>42229.31</v>
      </c>
      <c r="F1957">
        <v>112.46</v>
      </c>
      <c r="G1957">
        <v>542.13</v>
      </c>
      <c r="H1957">
        <f>E1957*1000000/D1957</f>
        <v>1084458.9840279154</v>
      </c>
      <c r="I1957" t="str">
        <f>IF(AND(B1957&gt;=2018, B1957&lt;=2021), "2018-2021", IF(AND(B1957&gt;=2022, B1957&lt;=2024), "2022-2024", "Other"))</f>
        <v>2018-2021</v>
      </c>
    </row>
    <row r="1958" spans="1:9" x14ac:dyDescent="0.3">
      <c r="A1958" t="s">
        <v>19</v>
      </c>
      <c r="B1958">
        <v>2018</v>
      </c>
      <c r="C1958" t="s">
        <v>6</v>
      </c>
      <c r="D1958">
        <v>13833.83</v>
      </c>
      <c r="E1958">
        <v>14582.37</v>
      </c>
      <c r="F1958">
        <v>159.59</v>
      </c>
      <c r="G1958">
        <v>550.71</v>
      </c>
      <c r="H1958">
        <f>E1958*1000000/D1958</f>
        <v>1054109.3825787941</v>
      </c>
      <c r="I1958" t="str">
        <f>IF(AND(B1958&gt;=2018, B1958&lt;=2021), "2018-2021", IF(AND(B1958&gt;=2022, B1958&lt;=2024), "2022-2024", "Other"))</f>
        <v>2018-2021</v>
      </c>
    </row>
    <row r="1959" spans="1:9" x14ac:dyDescent="0.3">
      <c r="A1959" t="s">
        <v>11</v>
      </c>
      <c r="B1959">
        <v>2018</v>
      </c>
      <c r="C1959" t="s">
        <v>2</v>
      </c>
      <c r="D1959">
        <v>17944.439999999999</v>
      </c>
      <c r="E1959">
        <v>17048.14</v>
      </c>
      <c r="F1959">
        <v>86.5</v>
      </c>
      <c r="G1959">
        <v>1326.59</v>
      </c>
      <c r="H1959">
        <f>E1959*1000000/D1959</f>
        <v>950051.38081767957</v>
      </c>
      <c r="I1959" t="str">
        <f>IF(AND(B1959&gt;=2018, B1959&lt;=2021), "2018-2021", IF(AND(B1959&gt;=2022, B1959&lt;=2024), "2022-2024", "Other"))</f>
        <v>2018-2021</v>
      </c>
    </row>
    <row r="1960" spans="1:9" x14ac:dyDescent="0.3">
      <c r="A1960" t="s">
        <v>10</v>
      </c>
      <c r="B1960">
        <v>2023</v>
      </c>
      <c r="C1960" t="s">
        <v>8</v>
      </c>
      <c r="D1960">
        <v>1265.5999999999999</v>
      </c>
      <c r="E1960">
        <v>1137.4100000000001</v>
      </c>
      <c r="F1960">
        <v>153.28</v>
      </c>
      <c r="G1960">
        <v>1143.3399999999999</v>
      </c>
      <c r="H1960">
        <f>E1960*1000000/D1960</f>
        <v>898712.07332490524</v>
      </c>
      <c r="I1960" t="str">
        <f>IF(AND(B1960&gt;=2018, B1960&lt;=2021), "2018-2021", IF(AND(B1960&gt;=2022, B1960&lt;=2024), "2022-2024", "Other"))</f>
        <v>2022-2024</v>
      </c>
    </row>
    <row r="1961" spans="1:9" x14ac:dyDescent="0.3">
      <c r="A1961" t="s">
        <v>17</v>
      </c>
      <c r="B1961">
        <v>2020</v>
      </c>
      <c r="C1961" t="s">
        <v>9</v>
      </c>
      <c r="D1961">
        <v>9642.5300000000007</v>
      </c>
      <c r="E1961">
        <v>10482.68</v>
      </c>
      <c r="F1961">
        <v>129.63999999999999</v>
      </c>
      <c r="G1961">
        <v>993.27</v>
      </c>
      <c r="H1961">
        <f>E1961*1000000/D1961</f>
        <v>1087129.6226197896</v>
      </c>
      <c r="I1961" t="str">
        <f>IF(AND(B1961&gt;=2018, B1961&lt;=2021), "2018-2021", IF(AND(B1961&gt;=2022, B1961&lt;=2024), "2022-2024", "Other"))</f>
        <v>2018-2021</v>
      </c>
    </row>
    <row r="1962" spans="1:9" x14ac:dyDescent="0.3">
      <c r="A1962" t="s">
        <v>16</v>
      </c>
      <c r="B1962">
        <v>2023</v>
      </c>
      <c r="C1962" t="s">
        <v>8</v>
      </c>
      <c r="D1962">
        <v>42611.76</v>
      </c>
      <c r="E1962">
        <v>38701.72</v>
      </c>
      <c r="F1962">
        <v>125.01</v>
      </c>
      <c r="G1962">
        <v>215.56</v>
      </c>
      <c r="H1962">
        <f>E1962*1000000/D1962</f>
        <v>908240.35430594743</v>
      </c>
      <c r="I1962" t="str">
        <f>IF(AND(B1962&gt;=2018, B1962&lt;=2021), "2018-2021", IF(AND(B1962&gt;=2022, B1962&lt;=2024), "2022-2024", "Other"))</f>
        <v>2022-2024</v>
      </c>
    </row>
    <row r="1963" spans="1:9" x14ac:dyDescent="0.3">
      <c r="A1963" t="s">
        <v>20</v>
      </c>
      <c r="B1963">
        <v>2024</v>
      </c>
      <c r="C1963" t="s">
        <v>9</v>
      </c>
      <c r="D1963">
        <v>12384.55</v>
      </c>
      <c r="E1963">
        <v>14688.14</v>
      </c>
      <c r="F1963">
        <v>89.78</v>
      </c>
      <c r="G1963">
        <v>1211.3699999999999</v>
      </c>
      <c r="H1963">
        <f>E1963*1000000/D1963</f>
        <v>1186005.1435054161</v>
      </c>
      <c r="I1963" t="str">
        <f>IF(AND(B1963&gt;=2018, B1963&lt;=2021), "2018-2021", IF(AND(B1963&gt;=2022, B1963&lt;=2024), "2022-2024", "Other"))</f>
        <v>2022-2024</v>
      </c>
    </row>
    <row r="1964" spans="1:9" x14ac:dyDescent="0.3">
      <c r="A1964" t="s">
        <v>18</v>
      </c>
      <c r="B1964">
        <v>2023</v>
      </c>
      <c r="C1964" t="s">
        <v>4</v>
      </c>
      <c r="D1964">
        <v>37229.300000000003</v>
      </c>
      <c r="E1964">
        <v>40593.279999999999</v>
      </c>
      <c r="F1964">
        <v>99.41</v>
      </c>
      <c r="G1964">
        <v>720.92</v>
      </c>
      <c r="H1964">
        <f>E1964*1000000/D1964</f>
        <v>1090358.4005071274</v>
      </c>
      <c r="I1964" t="str">
        <f>IF(AND(B1964&gt;=2018, B1964&lt;=2021), "2018-2021", IF(AND(B1964&gt;=2022, B1964&lt;=2024), "2022-2024", "Other"))</f>
        <v>2022-2024</v>
      </c>
    </row>
    <row r="1965" spans="1:9" x14ac:dyDescent="0.3">
      <c r="A1965" t="s">
        <v>10</v>
      </c>
      <c r="B1965">
        <v>2023</v>
      </c>
      <c r="C1965" t="s">
        <v>6</v>
      </c>
      <c r="D1965">
        <v>49712.54</v>
      </c>
      <c r="E1965">
        <v>56999.64</v>
      </c>
      <c r="F1965">
        <v>96.74</v>
      </c>
      <c r="G1965">
        <v>257.64999999999998</v>
      </c>
      <c r="H1965">
        <f>E1965*1000000/D1965</f>
        <v>1146584.7450160463</v>
      </c>
      <c r="I1965" t="str">
        <f>IF(AND(B1965&gt;=2018, B1965&lt;=2021), "2018-2021", IF(AND(B1965&gt;=2022, B1965&lt;=2024), "2022-2024", "Other"))</f>
        <v>2022-2024</v>
      </c>
    </row>
    <row r="1966" spans="1:9" x14ac:dyDescent="0.3">
      <c r="A1966" t="s">
        <v>3</v>
      </c>
      <c r="B1966">
        <v>2024</v>
      </c>
      <c r="C1966" t="s">
        <v>6</v>
      </c>
      <c r="D1966">
        <v>25740.38</v>
      </c>
      <c r="E1966">
        <v>23155.14</v>
      </c>
      <c r="F1966">
        <v>20.8</v>
      </c>
      <c r="G1966">
        <v>563.67999999999995</v>
      </c>
      <c r="H1966">
        <f>E1966*1000000/D1966</f>
        <v>899564.80828954349</v>
      </c>
      <c r="I1966" t="str">
        <f>IF(AND(B1966&gt;=2018, B1966&lt;=2021), "2018-2021", IF(AND(B1966&gt;=2022, B1966&lt;=2024), "2022-2024", "Other"))</f>
        <v>2022-2024</v>
      </c>
    </row>
    <row r="1967" spans="1:9" x14ac:dyDescent="0.3">
      <c r="A1967" t="s">
        <v>15</v>
      </c>
      <c r="B1967">
        <v>2023</v>
      </c>
      <c r="C1967" t="s">
        <v>12</v>
      </c>
      <c r="D1967">
        <v>24960.18</v>
      </c>
      <c r="E1967">
        <v>29567.69</v>
      </c>
      <c r="F1967">
        <v>63.59</v>
      </c>
      <c r="G1967">
        <v>113.95</v>
      </c>
      <c r="H1967">
        <f>E1967*1000000/D1967</f>
        <v>1184594.4219953541</v>
      </c>
      <c r="I1967" t="str">
        <f>IF(AND(B1967&gt;=2018, B1967&lt;=2021), "2018-2021", IF(AND(B1967&gt;=2022, B1967&lt;=2024), "2022-2024", "Other"))</f>
        <v>2022-2024</v>
      </c>
    </row>
    <row r="1968" spans="1:9" x14ac:dyDescent="0.3">
      <c r="A1968" t="s">
        <v>7</v>
      </c>
      <c r="B1968">
        <v>2024</v>
      </c>
      <c r="C1968" t="s">
        <v>14</v>
      </c>
      <c r="D1968">
        <v>25986.240000000002</v>
      </c>
      <c r="E1968">
        <v>26731.26</v>
      </c>
      <c r="F1968">
        <v>88.34</v>
      </c>
      <c r="G1968">
        <v>893.18</v>
      </c>
      <c r="H1968">
        <f>E1968*1000000/D1968</f>
        <v>1028669.7883187409</v>
      </c>
      <c r="I1968" t="str">
        <f>IF(AND(B1968&gt;=2018, B1968&lt;=2021), "2018-2021", IF(AND(B1968&gt;=2022, B1968&lt;=2024), "2022-2024", "Other"))</f>
        <v>2022-2024</v>
      </c>
    </row>
    <row r="1969" spans="1:9" x14ac:dyDescent="0.3">
      <c r="A1969" t="s">
        <v>5</v>
      </c>
      <c r="B1969">
        <v>2022</v>
      </c>
      <c r="C1969" t="s">
        <v>14</v>
      </c>
      <c r="D1969">
        <v>12292.07</v>
      </c>
      <c r="E1969">
        <v>12281.97</v>
      </c>
      <c r="F1969">
        <v>86.92</v>
      </c>
      <c r="G1969">
        <v>692.13</v>
      </c>
      <c r="H1969">
        <f>E1969*1000000/D1969</f>
        <v>999178.33204659587</v>
      </c>
      <c r="I1969" t="str">
        <f>IF(AND(B1969&gt;=2018, B1969&lt;=2021), "2018-2021", IF(AND(B1969&gt;=2022, B1969&lt;=2024), "2022-2024", "Other"))</f>
        <v>2022-2024</v>
      </c>
    </row>
    <row r="1970" spans="1:9" x14ac:dyDescent="0.3">
      <c r="A1970" t="s">
        <v>3</v>
      </c>
      <c r="B1970">
        <v>2023</v>
      </c>
      <c r="C1970" t="s">
        <v>14</v>
      </c>
      <c r="D1970">
        <v>26547.08</v>
      </c>
      <c r="E1970">
        <v>23261.13</v>
      </c>
      <c r="F1970">
        <v>174.71</v>
      </c>
      <c r="G1970">
        <v>1142.0999999999999</v>
      </c>
      <c r="H1970">
        <f>E1970*1000000/D1970</f>
        <v>876221.79162454023</v>
      </c>
      <c r="I1970" t="str">
        <f>IF(AND(B1970&gt;=2018, B1970&lt;=2021), "2018-2021", IF(AND(B1970&gt;=2022, B1970&lt;=2024), "2022-2024", "Other"))</f>
        <v>2022-2024</v>
      </c>
    </row>
    <row r="1971" spans="1:9" x14ac:dyDescent="0.3">
      <c r="A1971" t="s">
        <v>10</v>
      </c>
      <c r="B1971">
        <v>2018</v>
      </c>
      <c r="C1971" t="s">
        <v>0</v>
      </c>
      <c r="D1971">
        <v>3229.45</v>
      </c>
      <c r="E1971">
        <v>3030.27</v>
      </c>
      <c r="F1971">
        <v>132.4</v>
      </c>
      <c r="G1971">
        <v>449.91</v>
      </c>
      <c r="H1971">
        <f>E1971*1000000/D1971</f>
        <v>938323.86319651955</v>
      </c>
      <c r="I1971" t="str">
        <f>IF(AND(B1971&gt;=2018, B1971&lt;=2021), "2018-2021", IF(AND(B1971&gt;=2022, B1971&lt;=2024), "2022-2024", "Other"))</f>
        <v>2018-2021</v>
      </c>
    </row>
    <row r="1972" spans="1:9" x14ac:dyDescent="0.3">
      <c r="A1972" t="s">
        <v>13</v>
      </c>
      <c r="B1972">
        <v>2018</v>
      </c>
      <c r="C1972" t="s">
        <v>0</v>
      </c>
      <c r="D1972">
        <v>46564.14</v>
      </c>
      <c r="E1972">
        <v>48471.76</v>
      </c>
      <c r="F1972">
        <v>176.4</v>
      </c>
      <c r="G1972">
        <v>545.07000000000005</v>
      </c>
      <c r="H1972">
        <f>E1972*1000000/D1972</f>
        <v>1040967.5771956703</v>
      </c>
      <c r="I1972" t="str">
        <f>IF(AND(B1972&gt;=2018, B1972&lt;=2021), "2018-2021", IF(AND(B1972&gt;=2022, B1972&lt;=2024), "2022-2024", "Other"))</f>
        <v>2018-2021</v>
      </c>
    </row>
    <row r="1973" spans="1:9" x14ac:dyDescent="0.3">
      <c r="A1973" t="s">
        <v>25</v>
      </c>
      <c r="B1973">
        <v>2020</v>
      </c>
      <c r="C1973" t="s">
        <v>4</v>
      </c>
      <c r="D1973">
        <v>18825.349999999999</v>
      </c>
      <c r="E1973">
        <v>20577.13</v>
      </c>
      <c r="F1973">
        <v>139.74</v>
      </c>
      <c r="G1973">
        <v>250.95</v>
      </c>
      <c r="H1973">
        <f>E1973*1000000/D1973</f>
        <v>1093054.3124032223</v>
      </c>
      <c r="I1973" t="str">
        <f>IF(AND(B1973&gt;=2018, B1973&lt;=2021), "2018-2021", IF(AND(B1973&gt;=2022, B1973&lt;=2024), "2022-2024", "Other"))</f>
        <v>2018-2021</v>
      </c>
    </row>
    <row r="1974" spans="1:9" x14ac:dyDescent="0.3">
      <c r="A1974" t="s">
        <v>27</v>
      </c>
      <c r="B1974">
        <v>2021</v>
      </c>
      <c r="C1974" t="s">
        <v>2</v>
      </c>
      <c r="D1974">
        <v>39582.230000000003</v>
      </c>
      <c r="E1974">
        <v>38818.839999999997</v>
      </c>
      <c r="F1974">
        <v>171.17</v>
      </c>
      <c r="G1974">
        <v>442.23</v>
      </c>
      <c r="H1974">
        <f>E1974*1000000/D1974</f>
        <v>980713.82031785464</v>
      </c>
      <c r="I1974" t="str">
        <f>IF(AND(B1974&gt;=2018, B1974&lt;=2021), "2018-2021", IF(AND(B1974&gt;=2022, B1974&lt;=2024), "2022-2024", "Other"))</f>
        <v>2018-2021</v>
      </c>
    </row>
    <row r="1975" spans="1:9" x14ac:dyDescent="0.3">
      <c r="A1975" t="s">
        <v>18</v>
      </c>
      <c r="B1975">
        <v>2020</v>
      </c>
      <c r="C1975" t="s">
        <v>4</v>
      </c>
      <c r="D1975">
        <v>11425.17</v>
      </c>
      <c r="E1975">
        <v>9578.34</v>
      </c>
      <c r="F1975">
        <v>174.44</v>
      </c>
      <c r="G1975">
        <v>1116.21</v>
      </c>
      <c r="H1975">
        <f>E1975*1000000/D1975</f>
        <v>838354.26518817665</v>
      </c>
      <c r="I1975" t="str">
        <f>IF(AND(B1975&gt;=2018, B1975&lt;=2021), "2018-2021", IF(AND(B1975&gt;=2022, B1975&lt;=2024), "2022-2024", "Other"))</f>
        <v>2018-2021</v>
      </c>
    </row>
    <row r="1976" spans="1:9" x14ac:dyDescent="0.3">
      <c r="A1976" t="s">
        <v>13</v>
      </c>
      <c r="B1976">
        <v>2021</v>
      </c>
      <c r="C1976" t="s">
        <v>4</v>
      </c>
      <c r="D1976">
        <v>20214.240000000002</v>
      </c>
      <c r="E1976">
        <v>18360.72</v>
      </c>
      <c r="F1976">
        <v>184.36</v>
      </c>
      <c r="G1976">
        <v>462.66</v>
      </c>
      <c r="H1976">
        <f>E1976*1000000/D1976</f>
        <v>908306.22373138927</v>
      </c>
      <c r="I1976" t="str">
        <f>IF(AND(B1976&gt;=2018, B1976&lt;=2021), "2018-2021", IF(AND(B1976&gt;=2022, B1976&lt;=2024), "2022-2024", "Other"))</f>
        <v>2018-2021</v>
      </c>
    </row>
    <row r="1977" spans="1:9" x14ac:dyDescent="0.3">
      <c r="A1977" t="s">
        <v>7</v>
      </c>
      <c r="B1977">
        <v>2022</v>
      </c>
      <c r="C1977" t="s">
        <v>8</v>
      </c>
      <c r="D1977">
        <v>30749.52</v>
      </c>
      <c r="E1977">
        <v>35421.32</v>
      </c>
      <c r="F1977">
        <v>188.62</v>
      </c>
      <c r="G1977">
        <v>1048.7</v>
      </c>
      <c r="H1977">
        <f>E1977*1000000/D1977</f>
        <v>1151930.8268877042</v>
      </c>
      <c r="I1977" t="str">
        <f>IF(AND(B1977&gt;=2018, B1977&lt;=2021), "2018-2021", IF(AND(B1977&gt;=2022, B1977&lt;=2024), "2022-2024", "Other"))</f>
        <v>2022-2024</v>
      </c>
    </row>
    <row r="1978" spans="1:9" x14ac:dyDescent="0.3">
      <c r="A1978" t="s">
        <v>20</v>
      </c>
      <c r="B1978">
        <v>2018</v>
      </c>
      <c r="C1978" t="s">
        <v>4</v>
      </c>
      <c r="D1978">
        <v>43133.23</v>
      </c>
      <c r="E1978">
        <v>46717.87</v>
      </c>
      <c r="F1978">
        <v>156.77000000000001</v>
      </c>
      <c r="G1978">
        <v>423.67</v>
      </c>
      <c r="H1978">
        <f>E1978*1000000/D1978</f>
        <v>1083106.2269159995</v>
      </c>
      <c r="I1978" t="str">
        <f>IF(AND(B1978&gt;=2018, B1978&lt;=2021), "2018-2021", IF(AND(B1978&gt;=2022, B1978&lt;=2024), "2022-2024", "Other"))</f>
        <v>2018-2021</v>
      </c>
    </row>
    <row r="1979" spans="1:9" x14ac:dyDescent="0.3">
      <c r="A1979" t="s">
        <v>13</v>
      </c>
      <c r="B1979">
        <v>2018</v>
      </c>
      <c r="C1979" t="s">
        <v>14</v>
      </c>
      <c r="D1979">
        <v>34765.86</v>
      </c>
      <c r="E1979">
        <v>29694.46</v>
      </c>
      <c r="F1979">
        <v>39</v>
      </c>
      <c r="G1979">
        <v>187.97</v>
      </c>
      <c r="H1979">
        <f>E1979*1000000/D1979</f>
        <v>854127.00850777165</v>
      </c>
      <c r="I1979" t="str">
        <f>IF(AND(B1979&gt;=2018, B1979&lt;=2021), "2018-2021", IF(AND(B1979&gt;=2022, B1979&lt;=2024), "2022-2024", "Other"))</f>
        <v>2018-2021</v>
      </c>
    </row>
    <row r="1980" spans="1:9" x14ac:dyDescent="0.3">
      <c r="A1980" t="s">
        <v>27</v>
      </c>
      <c r="B1980">
        <v>2021</v>
      </c>
      <c r="C1980" t="s">
        <v>12</v>
      </c>
      <c r="D1980">
        <v>10012.17</v>
      </c>
      <c r="E1980">
        <v>10943.56</v>
      </c>
      <c r="F1980">
        <v>96.01</v>
      </c>
      <c r="G1980">
        <v>12.12</v>
      </c>
      <c r="H1980">
        <f>E1980*1000000/D1980</f>
        <v>1093025.7876164708</v>
      </c>
      <c r="I1980" t="str">
        <f>IF(AND(B1980&gt;=2018, B1980&lt;=2021), "2018-2021", IF(AND(B1980&gt;=2022, B1980&lt;=2024), "2022-2024", "Other"))</f>
        <v>2018-2021</v>
      </c>
    </row>
    <row r="1981" spans="1:9" x14ac:dyDescent="0.3">
      <c r="A1981" t="s">
        <v>23</v>
      </c>
      <c r="B1981">
        <v>2021</v>
      </c>
      <c r="C1981" t="s">
        <v>6</v>
      </c>
      <c r="D1981">
        <v>26761.1</v>
      </c>
      <c r="E1981">
        <v>29114.639999999999</v>
      </c>
      <c r="F1981">
        <v>75.180000000000007</v>
      </c>
      <c r="G1981">
        <v>670.5</v>
      </c>
      <c r="H1981">
        <f>E1981*1000000/D1981</f>
        <v>1087946.3101292548</v>
      </c>
      <c r="I1981" t="str">
        <f>IF(AND(B1981&gt;=2018, B1981&lt;=2021), "2018-2021", IF(AND(B1981&gt;=2022, B1981&lt;=2024), "2022-2024", "Other"))</f>
        <v>2018-2021</v>
      </c>
    </row>
    <row r="1982" spans="1:9" x14ac:dyDescent="0.3">
      <c r="A1982" t="s">
        <v>25</v>
      </c>
      <c r="B1982">
        <v>2021</v>
      </c>
      <c r="C1982" t="s">
        <v>9</v>
      </c>
      <c r="D1982">
        <v>17069.29</v>
      </c>
      <c r="E1982">
        <v>14686.11</v>
      </c>
      <c r="F1982">
        <v>32.4</v>
      </c>
      <c r="G1982">
        <v>713.98</v>
      </c>
      <c r="H1982">
        <f>E1982*1000000/D1982</f>
        <v>860382.0076874902</v>
      </c>
      <c r="I1982" t="str">
        <f>IF(AND(B1982&gt;=2018, B1982&lt;=2021), "2018-2021", IF(AND(B1982&gt;=2022, B1982&lt;=2024), "2022-2024", "Other"))</f>
        <v>2018-2021</v>
      </c>
    </row>
    <row r="1983" spans="1:9" x14ac:dyDescent="0.3">
      <c r="A1983" t="s">
        <v>3</v>
      </c>
      <c r="B1983">
        <v>2021</v>
      </c>
      <c r="C1983" t="s">
        <v>9</v>
      </c>
      <c r="D1983">
        <v>26880.38</v>
      </c>
      <c r="E1983">
        <v>32218.3</v>
      </c>
      <c r="F1983">
        <v>61.32</v>
      </c>
      <c r="G1983">
        <v>775</v>
      </c>
      <c r="H1983">
        <f>E1983*1000000/D1983</f>
        <v>1198580.5260193495</v>
      </c>
      <c r="I1983" t="str">
        <f>IF(AND(B1983&gt;=2018, B1983&lt;=2021), "2018-2021", IF(AND(B1983&gt;=2022, B1983&lt;=2024), "2022-2024", "Other"))</f>
        <v>2018-2021</v>
      </c>
    </row>
    <row r="1984" spans="1:9" x14ac:dyDescent="0.3">
      <c r="A1984" t="s">
        <v>16</v>
      </c>
      <c r="B1984">
        <v>2023</v>
      </c>
      <c r="C1984" t="s">
        <v>4</v>
      </c>
      <c r="D1984">
        <v>43906.35</v>
      </c>
      <c r="E1984">
        <v>45589.86</v>
      </c>
      <c r="F1984">
        <v>43.27</v>
      </c>
      <c r="G1984">
        <v>339.69</v>
      </c>
      <c r="H1984">
        <f>E1984*1000000/D1984</f>
        <v>1038343.2009265175</v>
      </c>
      <c r="I1984" t="str">
        <f>IF(AND(B1984&gt;=2018, B1984&lt;=2021), "2018-2021", IF(AND(B1984&gt;=2022, B1984&lt;=2024), "2022-2024", "Other"))</f>
        <v>2022-2024</v>
      </c>
    </row>
    <row r="1985" spans="1:9" x14ac:dyDescent="0.3">
      <c r="A1985" t="s">
        <v>11</v>
      </c>
      <c r="B1985">
        <v>2019</v>
      </c>
      <c r="C1985" t="s">
        <v>14</v>
      </c>
      <c r="D1985">
        <v>20134.939999999999</v>
      </c>
      <c r="E1985">
        <v>23506.68</v>
      </c>
      <c r="F1985">
        <v>188.66</v>
      </c>
      <c r="G1985">
        <v>928.77</v>
      </c>
      <c r="H1985">
        <f>E1985*1000000/D1985</f>
        <v>1167457.1664976405</v>
      </c>
      <c r="I1985" t="str">
        <f>IF(AND(B1985&gt;=2018, B1985&lt;=2021), "2018-2021", IF(AND(B1985&gt;=2022, B1985&lt;=2024), "2022-2024", "Other"))</f>
        <v>2018-2021</v>
      </c>
    </row>
    <row r="1986" spans="1:9" x14ac:dyDescent="0.3">
      <c r="A1986" t="s">
        <v>24</v>
      </c>
      <c r="B1986">
        <v>2022</v>
      </c>
      <c r="C1986" t="s">
        <v>2</v>
      </c>
      <c r="D1986">
        <v>28203.03</v>
      </c>
      <c r="E1986">
        <v>33832.699999999997</v>
      </c>
      <c r="F1986">
        <v>154.59</v>
      </c>
      <c r="G1986">
        <v>789.8</v>
      </c>
      <c r="H1986">
        <f>E1986*1000000/D1986</f>
        <v>1199612.2402451083</v>
      </c>
      <c r="I1986" t="str">
        <f>IF(AND(B1986&gt;=2018, B1986&lt;=2021), "2018-2021", IF(AND(B1986&gt;=2022, B1986&lt;=2024), "2022-2024", "Other"))</f>
        <v>2022-2024</v>
      </c>
    </row>
    <row r="1987" spans="1:9" x14ac:dyDescent="0.3">
      <c r="A1987" t="s">
        <v>16</v>
      </c>
      <c r="B1987">
        <v>2022</v>
      </c>
      <c r="C1987" t="s">
        <v>0</v>
      </c>
      <c r="D1987">
        <v>41651.4</v>
      </c>
      <c r="E1987">
        <v>46007.13</v>
      </c>
      <c r="F1987">
        <v>59.15</v>
      </c>
      <c r="G1987">
        <v>18.29</v>
      </c>
      <c r="H1987">
        <f>E1987*1000000/D1987</f>
        <v>1104575.8365865252</v>
      </c>
      <c r="I1987" t="str">
        <f>IF(AND(B1987&gt;=2018, B1987&lt;=2021), "2018-2021", IF(AND(B1987&gt;=2022, B1987&lt;=2024), "2022-2024", "Other"))</f>
        <v>2022-2024</v>
      </c>
    </row>
    <row r="1988" spans="1:9" x14ac:dyDescent="0.3">
      <c r="A1988" t="s">
        <v>5</v>
      </c>
      <c r="B1988">
        <v>2018</v>
      </c>
      <c r="C1988" t="s">
        <v>14</v>
      </c>
      <c r="D1988">
        <v>39389.65</v>
      </c>
      <c r="E1988">
        <v>33323.449999999997</v>
      </c>
      <c r="F1988">
        <v>44.41</v>
      </c>
      <c r="G1988">
        <v>1047.6300000000001</v>
      </c>
      <c r="H1988">
        <f>E1988*1000000/D1988</f>
        <v>845995.07738707995</v>
      </c>
      <c r="I1988" t="str">
        <f>IF(AND(B1988&gt;=2018, B1988&lt;=2021), "2018-2021", IF(AND(B1988&gt;=2022, B1988&lt;=2024), "2022-2024", "Other"))</f>
        <v>2018-2021</v>
      </c>
    </row>
    <row r="1989" spans="1:9" x14ac:dyDescent="0.3">
      <c r="A1989" t="s">
        <v>11</v>
      </c>
      <c r="B1989">
        <v>2024</v>
      </c>
      <c r="C1989" t="s">
        <v>4</v>
      </c>
      <c r="D1989">
        <v>515.22</v>
      </c>
      <c r="E1989">
        <v>585.58000000000004</v>
      </c>
      <c r="F1989">
        <v>57.61</v>
      </c>
      <c r="G1989">
        <v>217.64</v>
      </c>
      <c r="H1989">
        <f>E1989*1000000/D1989</f>
        <v>1136563.0216218315</v>
      </c>
      <c r="I1989" t="str">
        <f>IF(AND(B1989&gt;=2018, B1989&lt;=2021), "2018-2021", IF(AND(B1989&gt;=2022, B1989&lt;=2024), "2022-2024", "Other"))</f>
        <v>2022-2024</v>
      </c>
    </row>
    <row r="1990" spans="1:9" x14ac:dyDescent="0.3">
      <c r="A1990" t="s">
        <v>26</v>
      </c>
      <c r="B1990">
        <v>2022</v>
      </c>
      <c r="C1990" t="s">
        <v>4</v>
      </c>
      <c r="D1990">
        <v>42794.25</v>
      </c>
      <c r="E1990">
        <v>44156.2</v>
      </c>
      <c r="F1990">
        <v>48.79</v>
      </c>
      <c r="G1990">
        <v>844.28</v>
      </c>
      <c r="H1990">
        <f>E1990*1000000/D1990</f>
        <v>1031825.5373093347</v>
      </c>
      <c r="I1990" t="str">
        <f>IF(AND(B1990&gt;=2018, B1990&lt;=2021), "2018-2021", IF(AND(B1990&gt;=2022, B1990&lt;=2024), "2022-2024", "Other"))</f>
        <v>2022-2024</v>
      </c>
    </row>
    <row r="1991" spans="1:9" x14ac:dyDescent="0.3">
      <c r="A1991" t="s">
        <v>24</v>
      </c>
      <c r="B1991">
        <v>2021</v>
      </c>
      <c r="C1991" t="s">
        <v>4</v>
      </c>
      <c r="D1991">
        <v>20202.849999999999</v>
      </c>
      <c r="E1991">
        <v>21210.76</v>
      </c>
      <c r="F1991">
        <v>129.07</v>
      </c>
      <c r="G1991">
        <v>1218.27</v>
      </c>
      <c r="H1991">
        <f>E1991*1000000/D1991</f>
        <v>1049889.4957889605</v>
      </c>
      <c r="I1991" t="str">
        <f>IF(AND(B1991&gt;=2018, B1991&lt;=2021), "2018-2021", IF(AND(B1991&gt;=2022, B1991&lt;=2024), "2022-2024", "Other"))</f>
        <v>2018-2021</v>
      </c>
    </row>
    <row r="1992" spans="1:9" x14ac:dyDescent="0.3">
      <c r="A1992" t="s">
        <v>7</v>
      </c>
      <c r="B1992">
        <v>2023</v>
      </c>
      <c r="C1992" t="s">
        <v>6</v>
      </c>
      <c r="D1992">
        <v>44160.14</v>
      </c>
      <c r="E1992">
        <v>36660.14</v>
      </c>
      <c r="F1992">
        <v>66.5</v>
      </c>
      <c r="G1992">
        <v>455.52</v>
      </c>
      <c r="H1992">
        <f>E1992*1000000/D1992</f>
        <v>830163.58190893417</v>
      </c>
      <c r="I1992" t="str">
        <f>IF(AND(B1992&gt;=2018, B1992&lt;=2021), "2018-2021", IF(AND(B1992&gt;=2022, B1992&lt;=2024), "2022-2024", "Other"))</f>
        <v>2022-2024</v>
      </c>
    </row>
    <row r="1993" spans="1:9" x14ac:dyDescent="0.3">
      <c r="A1993" t="s">
        <v>25</v>
      </c>
      <c r="B1993">
        <v>2019</v>
      </c>
      <c r="C1993" t="s">
        <v>9</v>
      </c>
      <c r="D1993">
        <v>22399.22</v>
      </c>
      <c r="E1993">
        <v>18780.12</v>
      </c>
      <c r="F1993">
        <v>114.47</v>
      </c>
      <c r="G1993">
        <v>481.57</v>
      </c>
      <c r="H1993">
        <f>E1993*1000000/D1993</f>
        <v>838427.40952586732</v>
      </c>
      <c r="I1993" t="str">
        <f>IF(AND(B1993&gt;=2018, B1993&lt;=2021), "2018-2021", IF(AND(B1993&gt;=2022, B1993&lt;=2024), "2022-2024", "Other"))</f>
        <v>2018-2021</v>
      </c>
    </row>
    <row r="1994" spans="1:9" x14ac:dyDescent="0.3">
      <c r="A1994" t="s">
        <v>13</v>
      </c>
      <c r="B1994">
        <v>2018</v>
      </c>
      <c r="C1994" t="s">
        <v>14</v>
      </c>
      <c r="D1994">
        <v>536.73</v>
      </c>
      <c r="E1994">
        <v>640</v>
      </c>
      <c r="F1994">
        <v>92.23</v>
      </c>
      <c r="G1994">
        <v>771.38</v>
      </c>
      <c r="H1994">
        <f>E1994*1000000/D1994</f>
        <v>1192405.8651463492</v>
      </c>
      <c r="I1994" t="str">
        <f>IF(AND(B1994&gt;=2018, B1994&lt;=2021), "2018-2021", IF(AND(B1994&gt;=2022, B1994&lt;=2024), "2022-2024", "Other"))</f>
        <v>2018-2021</v>
      </c>
    </row>
    <row r="1995" spans="1:9" x14ac:dyDescent="0.3">
      <c r="A1995" t="s">
        <v>25</v>
      </c>
      <c r="B1995">
        <v>2022</v>
      </c>
      <c r="C1995" t="s">
        <v>12</v>
      </c>
      <c r="D1995">
        <v>39155.97</v>
      </c>
      <c r="E1995">
        <v>44076.29</v>
      </c>
      <c r="F1995">
        <v>135.54</v>
      </c>
      <c r="G1995">
        <v>434.9</v>
      </c>
      <c r="H1995">
        <f>E1995*1000000/D1995</f>
        <v>1125659.5099035983</v>
      </c>
      <c r="I1995" t="str">
        <f>IF(AND(B1995&gt;=2018, B1995&lt;=2021), "2018-2021", IF(AND(B1995&gt;=2022, B1995&lt;=2024), "2022-2024", "Other"))</f>
        <v>2022-2024</v>
      </c>
    </row>
    <row r="1996" spans="1:9" x14ac:dyDescent="0.3">
      <c r="A1996" t="s">
        <v>1</v>
      </c>
      <c r="B1996">
        <v>2023</v>
      </c>
      <c r="C1996" t="s">
        <v>9</v>
      </c>
      <c r="D1996">
        <v>44567.040000000001</v>
      </c>
      <c r="E1996">
        <v>40658.54</v>
      </c>
      <c r="F1996">
        <v>79.75</v>
      </c>
      <c r="G1996">
        <v>1131.8599999999999</v>
      </c>
      <c r="H1996">
        <f>E1996*1000000/D1996</f>
        <v>912300.65985984262</v>
      </c>
      <c r="I1996" t="str">
        <f>IF(AND(B1996&gt;=2018, B1996&lt;=2021), "2018-2021", IF(AND(B1996&gt;=2022, B1996&lt;=2024), "2022-2024", "Other"))</f>
        <v>2022-2024</v>
      </c>
    </row>
    <row r="1997" spans="1:9" x14ac:dyDescent="0.3">
      <c r="A1997" t="s">
        <v>23</v>
      </c>
      <c r="B1997">
        <v>2024</v>
      </c>
      <c r="C1997" t="s">
        <v>0</v>
      </c>
      <c r="D1997">
        <v>21022.29</v>
      </c>
      <c r="E1997">
        <v>23137.14</v>
      </c>
      <c r="F1997">
        <v>97.09</v>
      </c>
      <c r="G1997">
        <v>374.62</v>
      </c>
      <c r="H1997">
        <f>E1997*1000000/D1997</f>
        <v>1100600.3627578155</v>
      </c>
      <c r="I1997" t="str">
        <f>IF(AND(B1997&gt;=2018, B1997&lt;=2021), "2018-2021", IF(AND(B1997&gt;=2022, B1997&lt;=2024), "2022-2024", "Other"))</f>
        <v>2022-2024</v>
      </c>
    </row>
    <row r="1998" spans="1:9" x14ac:dyDescent="0.3">
      <c r="A1998" t="s">
        <v>25</v>
      </c>
      <c r="B1998">
        <v>2023</v>
      </c>
      <c r="C1998" t="s">
        <v>12</v>
      </c>
      <c r="D1998">
        <v>39158.17</v>
      </c>
      <c r="E1998">
        <v>31840.85</v>
      </c>
      <c r="F1998">
        <v>31.95</v>
      </c>
      <c r="G1998">
        <v>457.26</v>
      </c>
      <c r="H1998">
        <f>E1998*1000000/D1998</f>
        <v>813134.27057495282</v>
      </c>
      <c r="I1998" t="str">
        <f>IF(AND(B1998&gt;=2018, B1998&lt;=2021), "2018-2021", IF(AND(B1998&gt;=2022, B1998&lt;=2024), "2022-2024", "Other"))</f>
        <v>2022-2024</v>
      </c>
    </row>
    <row r="1999" spans="1:9" x14ac:dyDescent="0.3">
      <c r="A1999" t="s">
        <v>17</v>
      </c>
      <c r="B1999">
        <v>2018</v>
      </c>
      <c r="C1999" t="s">
        <v>12</v>
      </c>
      <c r="D1999">
        <v>49808.78</v>
      </c>
      <c r="E1999">
        <v>45858.94</v>
      </c>
      <c r="F1999">
        <v>167.38</v>
      </c>
      <c r="G1999">
        <v>545.79</v>
      </c>
      <c r="H1999">
        <f>E1999*1000000/D1999</f>
        <v>920699.924792376</v>
      </c>
      <c r="I1999" t="str">
        <f>IF(AND(B1999&gt;=2018, B1999&lt;=2021), "2018-2021", IF(AND(B1999&gt;=2022, B1999&lt;=2024), "2022-2024", "Other"))</f>
        <v>2018-2021</v>
      </c>
    </row>
    <row r="2000" spans="1:9" x14ac:dyDescent="0.3">
      <c r="A2000" t="s">
        <v>21</v>
      </c>
      <c r="B2000">
        <v>2022</v>
      </c>
      <c r="C2000" t="s">
        <v>12</v>
      </c>
      <c r="D2000">
        <v>33269.480000000003</v>
      </c>
      <c r="E2000">
        <v>32891.5</v>
      </c>
      <c r="F2000">
        <v>75.599999999999994</v>
      </c>
      <c r="G2000">
        <v>936.04</v>
      </c>
      <c r="H2000">
        <f>E2000*1000000/D2000</f>
        <v>988638.83655530529</v>
      </c>
      <c r="I2000" t="str">
        <f>IF(AND(B2000&gt;=2018, B2000&lt;=2021), "2018-2021", IF(AND(B2000&gt;=2022, B2000&lt;=2024), "2022-2024", "Other"))</f>
        <v>2022-2024</v>
      </c>
    </row>
    <row r="2001" spans="1:9" x14ac:dyDescent="0.3">
      <c r="A2001" t="s">
        <v>22</v>
      </c>
      <c r="B2001">
        <v>2020</v>
      </c>
      <c r="C2001" t="s">
        <v>8</v>
      </c>
      <c r="D2001">
        <v>34493.019999999997</v>
      </c>
      <c r="E2001">
        <v>28190.42</v>
      </c>
      <c r="F2001">
        <v>179.95</v>
      </c>
      <c r="G2001">
        <v>192.09</v>
      </c>
      <c r="H2001">
        <f>E2001*1000000/D2001</f>
        <v>817278.97412288061</v>
      </c>
      <c r="I2001" t="str">
        <f>IF(AND(B2001&gt;=2018, B2001&lt;=2021), "2018-2021", IF(AND(B2001&gt;=2022, B2001&lt;=2024), "2022-2024", "Other"))</f>
        <v>2018-2021</v>
      </c>
    </row>
    <row r="2002" spans="1:9" x14ac:dyDescent="0.3">
      <c r="A2002" t="s">
        <v>23</v>
      </c>
      <c r="B2002">
        <v>2023</v>
      </c>
      <c r="C2002" t="s">
        <v>8</v>
      </c>
      <c r="D2002">
        <v>10239.450000000001</v>
      </c>
      <c r="E2002">
        <v>9673.7800000000007</v>
      </c>
      <c r="F2002">
        <v>176.18</v>
      </c>
      <c r="G2002">
        <v>1042.8800000000001</v>
      </c>
      <c r="H2002">
        <f>E2002*1000000/D2002</f>
        <v>944755.8218458998</v>
      </c>
      <c r="I2002" t="str">
        <f>IF(AND(B2002&gt;=2018, B2002&lt;=2021), "2018-2021", IF(AND(B2002&gt;=2022, B2002&lt;=2024), "2022-2024", "Other"))</f>
        <v>2022-2024</v>
      </c>
    </row>
    <row r="2003" spans="1:9" x14ac:dyDescent="0.3">
      <c r="A2003" t="s">
        <v>24</v>
      </c>
      <c r="B2003">
        <v>2023</v>
      </c>
      <c r="C2003" t="s">
        <v>12</v>
      </c>
      <c r="D2003">
        <v>38729.379999999997</v>
      </c>
      <c r="E2003">
        <v>35954.47</v>
      </c>
      <c r="F2003">
        <v>174.94</v>
      </c>
      <c r="G2003">
        <v>565.14</v>
      </c>
      <c r="H2003">
        <f>E2003*1000000/D2003</f>
        <v>928351.29299771914</v>
      </c>
      <c r="I2003" t="str">
        <f>IF(AND(B2003&gt;=2018, B2003&lt;=2021), "2018-2021", IF(AND(B2003&gt;=2022, B2003&lt;=2024), "2022-2024", "Other"))</f>
        <v>2022-2024</v>
      </c>
    </row>
    <row r="2004" spans="1:9" x14ac:dyDescent="0.3">
      <c r="A2004" t="s">
        <v>3</v>
      </c>
      <c r="B2004">
        <v>2023</v>
      </c>
      <c r="C2004" t="s">
        <v>0</v>
      </c>
      <c r="D2004">
        <v>47579.06</v>
      </c>
      <c r="E2004">
        <v>45990.76</v>
      </c>
      <c r="F2004">
        <v>140.13999999999999</v>
      </c>
      <c r="G2004">
        <v>892.05</v>
      </c>
      <c r="H2004">
        <f>E2004*1000000/D2004</f>
        <v>966617.66752012342</v>
      </c>
      <c r="I2004" t="str">
        <f>IF(AND(B2004&gt;=2018, B2004&lt;=2021), "2018-2021", IF(AND(B2004&gt;=2022, B2004&lt;=2024), "2022-2024", "Other"))</f>
        <v>2022-2024</v>
      </c>
    </row>
    <row r="2005" spans="1:9" x14ac:dyDescent="0.3">
      <c r="A2005" t="s">
        <v>13</v>
      </c>
      <c r="B2005">
        <v>2020</v>
      </c>
      <c r="C2005" t="s">
        <v>4</v>
      </c>
      <c r="D2005">
        <v>2758.33</v>
      </c>
      <c r="E2005">
        <v>2791.66</v>
      </c>
      <c r="F2005">
        <v>21.95</v>
      </c>
      <c r="G2005">
        <v>56.71</v>
      </c>
      <c r="H2005">
        <f>E2005*1000000/D2005</f>
        <v>1012083.3982880947</v>
      </c>
      <c r="I2005" t="str">
        <f>IF(AND(B2005&gt;=2018, B2005&lt;=2021), "2018-2021", IF(AND(B2005&gt;=2022, B2005&lt;=2024), "2022-2024", "Other"))</f>
        <v>2018-2021</v>
      </c>
    </row>
    <row r="2006" spans="1:9" x14ac:dyDescent="0.3">
      <c r="A2006" t="s">
        <v>16</v>
      </c>
      <c r="B2006">
        <v>2022</v>
      </c>
      <c r="C2006" t="s">
        <v>0</v>
      </c>
      <c r="D2006">
        <v>2961.25</v>
      </c>
      <c r="E2006">
        <v>2885.45</v>
      </c>
      <c r="F2006">
        <v>118.25</v>
      </c>
      <c r="G2006">
        <v>1338.62</v>
      </c>
      <c r="H2006">
        <f>E2006*1000000/D2006</f>
        <v>974402.70156184048</v>
      </c>
      <c r="I2006" t="str">
        <f>IF(AND(B2006&gt;=2018, B2006&lt;=2021), "2018-2021", IF(AND(B2006&gt;=2022, B2006&lt;=2024), "2022-2024", "Other"))</f>
        <v>2022-2024</v>
      </c>
    </row>
    <row r="2007" spans="1:9" x14ac:dyDescent="0.3">
      <c r="A2007" t="s">
        <v>18</v>
      </c>
      <c r="B2007">
        <v>2021</v>
      </c>
      <c r="C2007" t="s">
        <v>4</v>
      </c>
      <c r="D2007">
        <v>25925.67</v>
      </c>
      <c r="E2007">
        <v>26485.25</v>
      </c>
      <c r="F2007">
        <v>161.72</v>
      </c>
      <c r="G2007">
        <v>390.86</v>
      </c>
      <c r="H2007">
        <f>E2007*1000000/D2007</f>
        <v>1021584.0130650434</v>
      </c>
      <c r="I2007" t="str">
        <f>IF(AND(B2007&gt;=2018, B2007&lt;=2021), "2018-2021", IF(AND(B2007&gt;=2022, B2007&lt;=2024), "2022-2024", "Other"))</f>
        <v>2018-2021</v>
      </c>
    </row>
    <row r="2008" spans="1:9" x14ac:dyDescent="0.3">
      <c r="A2008" t="s">
        <v>5</v>
      </c>
      <c r="B2008">
        <v>2018</v>
      </c>
      <c r="C2008" t="s">
        <v>0</v>
      </c>
      <c r="D2008">
        <v>42039.58</v>
      </c>
      <c r="E2008">
        <v>40819.21</v>
      </c>
      <c r="F2008">
        <v>165.37</v>
      </c>
      <c r="G2008">
        <v>1285.93</v>
      </c>
      <c r="H2008">
        <f>E2008*1000000/D2008</f>
        <v>970970.927873209</v>
      </c>
      <c r="I2008" t="str">
        <f>IF(AND(B2008&gt;=2018, B2008&lt;=2021), "2018-2021", IF(AND(B2008&gt;=2022, B2008&lt;=2024), "2022-2024", "Other"))</f>
        <v>2018-2021</v>
      </c>
    </row>
    <row r="2009" spans="1:9" x14ac:dyDescent="0.3">
      <c r="A2009" t="s">
        <v>7</v>
      </c>
      <c r="B2009">
        <v>2022</v>
      </c>
      <c r="C2009" t="s">
        <v>14</v>
      </c>
      <c r="D2009">
        <v>1484.47</v>
      </c>
      <c r="E2009">
        <v>1234.04</v>
      </c>
      <c r="F2009">
        <v>48.37</v>
      </c>
      <c r="G2009">
        <v>477.14</v>
      </c>
      <c r="H2009">
        <f>E2009*1000000/D2009</f>
        <v>831300.05995405768</v>
      </c>
      <c r="I2009" t="str">
        <f>IF(AND(B2009&gt;=2018, B2009&lt;=2021), "2018-2021", IF(AND(B2009&gt;=2022, B2009&lt;=2024), "2022-2024", "Other"))</f>
        <v>2022-2024</v>
      </c>
    </row>
    <row r="2010" spans="1:9" x14ac:dyDescent="0.3">
      <c r="A2010" t="s">
        <v>17</v>
      </c>
      <c r="B2010">
        <v>2019</v>
      </c>
      <c r="C2010" t="s">
        <v>6</v>
      </c>
      <c r="D2010">
        <v>4317.3599999999997</v>
      </c>
      <c r="E2010">
        <v>4668.72</v>
      </c>
      <c r="F2010">
        <v>33.33</v>
      </c>
      <c r="G2010">
        <v>978.97</v>
      </c>
      <c r="H2010">
        <f>E2010*1000000/D2010</f>
        <v>1081383.0674300962</v>
      </c>
      <c r="I2010" t="str">
        <f>IF(AND(B2010&gt;=2018, B2010&lt;=2021), "2018-2021", IF(AND(B2010&gt;=2022, B2010&lt;=2024), "2022-2024", "Other"))</f>
        <v>2018-2021</v>
      </c>
    </row>
    <row r="2011" spans="1:9" x14ac:dyDescent="0.3">
      <c r="A2011" t="s">
        <v>20</v>
      </c>
      <c r="B2011">
        <v>2018</v>
      </c>
      <c r="C2011" t="s">
        <v>4</v>
      </c>
      <c r="D2011">
        <v>26928.02</v>
      </c>
      <c r="E2011">
        <v>22625.18</v>
      </c>
      <c r="F2011">
        <v>171.49</v>
      </c>
      <c r="G2011">
        <v>235.4</v>
      </c>
      <c r="H2011">
        <f>E2011*1000000/D2011</f>
        <v>840209.5660950935</v>
      </c>
      <c r="I2011" t="str">
        <f>IF(AND(B2011&gt;=2018, B2011&lt;=2021), "2018-2021", IF(AND(B2011&gt;=2022, B2011&lt;=2024), "2022-2024", "Other"))</f>
        <v>2018-2021</v>
      </c>
    </row>
    <row r="2012" spans="1:9" x14ac:dyDescent="0.3">
      <c r="A2012" t="s">
        <v>7</v>
      </c>
      <c r="B2012">
        <v>2020</v>
      </c>
      <c r="C2012" t="s">
        <v>14</v>
      </c>
      <c r="D2012">
        <v>42112.4</v>
      </c>
      <c r="E2012">
        <v>49050.1</v>
      </c>
      <c r="F2012">
        <v>103.84</v>
      </c>
      <c r="G2012">
        <v>1240.3900000000001</v>
      </c>
      <c r="H2012">
        <f>E2012*1000000/D2012</f>
        <v>1164742.4511545293</v>
      </c>
      <c r="I2012" t="str">
        <f>IF(AND(B2012&gt;=2018, B2012&lt;=2021), "2018-2021", IF(AND(B2012&gt;=2022, B2012&lt;=2024), "2022-2024", "Other"))</f>
        <v>2018-2021</v>
      </c>
    </row>
    <row r="2013" spans="1:9" x14ac:dyDescent="0.3">
      <c r="A2013" t="s">
        <v>18</v>
      </c>
      <c r="B2013">
        <v>2019</v>
      </c>
      <c r="C2013" t="s">
        <v>2</v>
      </c>
      <c r="D2013">
        <v>22043.4</v>
      </c>
      <c r="E2013">
        <v>20428.03</v>
      </c>
      <c r="F2013">
        <v>138.38999999999999</v>
      </c>
      <c r="G2013">
        <v>1246.3499999999999</v>
      </c>
      <c r="H2013">
        <f>E2013*1000000/D2013</f>
        <v>926718.65501692111</v>
      </c>
      <c r="I2013" t="str">
        <f>IF(AND(B2013&gt;=2018, B2013&lt;=2021), "2018-2021", IF(AND(B2013&gt;=2022, B2013&lt;=2024), "2022-2024", "Other"))</f>
        <v>2018-2021</v>
      </c>
    </row>
    <row r="2014" spans="1:9" x14ac:dyDescent="0.3">
      <c r="A2014" t="s">
        <v>5</v>
      </c>
      <c r="B2014">
        <v>2018</v>
      </c>
      <c r="C2014" t="s">
        <v>12</v>
      </c>
      <c r="D2014">
        <v>8591.3700000000008</v>
      </c>
      <c r="E2014">
        <v>8898.91</v>
      </c>
      <c r="F2014">
        <v>115.26</v>
      </c>
      <c r="G2014">
        <v>1362.76</v>
      </c>
      <c r="H2014">
        <f>E2014*1000000/D2014</f>
        <v>1035796.386373768</v>
      </c>
      <c r="I2014" t="str">
        <f>IF(AND(B2014&gt;=2018, B2014&lt;=2021), "2018-2021", IF(AND(B2014&gt;=2022, B2014&lt;=2024), "2022-2024", "Other"))</f>
        <v>2018-2021</v>
      </c>
    </row>
    <row r="2015" spans="1:9" x14ac:dyDescent="0.3">
      <c r="A2015" t="s">
        <v>22</v>
      </c>
      <c r="B2015">
        <v>2024</v>
      </c>
      <c r="C2015" t="s">
        <v>8</v>
      </c>
      <c r="D2015">
        <v>19593.47</v>
      </c>
      <c r="E2015">
        <v>18976.55</v>
      </c>
      <c r="F2015">
        <v>89.08</v>
      </c>
      <c r="G2015">
        <v>334.55</v>
      </c>
      <c r="H2015">
        <f>E2015*1000000/D2015</f>
        <v>968513.99981728604</v>
      </c>
      <c r="I2015" t="str">
        <f>IF(AND(B2015&gt;=2018, B2015&lt;=2021), "2018-2021", IF(AND(B2015&gt;=2022, B2015&lt;=2024), "2022-2024", "Other"))</f>
        <v>2022-2024</v>
      </c>
    </row>
    <row r="2016" spans="1:9" x14ac:dyDescent="0.3">
      <c r="A2016" t="s">
        <v>1</v>
      </c>
      <c r="B2016">
        <v>2023</v>
      </c>
      <c r="C2016" t="s">
        <v>14</v>
      </c>
      <c r="D2016">
        <v>46175.25</v>
      </c>
      <c r="E2016">
        <v>44497.24</v>
      </c>
      <c r="F2016">
        <v>106.95</v>
      </c>
      <c r="G2016">
        <v>1298.51</v>
      </c>
      <c r="H2016">
        <f>E2016*1000000/D2016</f>
        <v>963659.96935587784</v>
      </c>
      <c r="I2016" t="str">
        <f>IF(AND(B2016&gt;=2018, B2016&lt;=2021), "2018-2021", IF(AND(B2016&gt;=2022, B2016&lt;=2024), "2022-2024", "Other"))</f>
        <v>2022-2024</v>
      </c>
    </row>
    <row r="2017" spans="1:9" x14ac:dyDescent="0.3">
      <c r="A2017" t="s">
        <v>20</v>
      </c>
      <c r="B2017">
        <v>2018</v>
      </c>
      <c r="C2017" t="s">
        <v>2</v>
      </c>
      <c r="D2017">
        <v>2785.42</v>
      </c>
      <c r="E2017">
        <v>3045.34</v>
      </c>
      <c r="F2017">
        <v>93.69</v>
      </c>
      <c r="G2017">
        <v>782.44</v>
      </c>
      <c r="H2017">
        <f>E2017*1000000/D2017</f>
        <v>1093314.4732212736</v>
      </c>
      <c r="I2017" t="str">
        <f>IF(AND(B2017&gt;=2018, B2017&lt;=2021), "2018-2021", IF(AND(B2017&gt;=2022, B2017&lt;=2024), "2022-2024", "Other"))</f>
        <v>2018-2021</v>
      </c>
    </row>
    <row r="2018" spans="1:9" x14ac:dyDescent="0.3">
      <c r="A2018" t="s">
        <v>24</v>
      </c>
      <c r="B2018">
        <v>2023</v>
      </c>
      <c r="C2018" t="s">
        <v>6</v>
      </c>
      <c r="D2018">
        <v>42915.38</v>
      </c>
      <c r="E2018">
        <v>37429.730000000003</v>
      </c>
      <c r="F2018">
        <v>26.55</v>
      </c>
      <c r="G2018">
        <v>1202.98</v>
      </c>
      <c r="H2018">
        <f>E2018*1000000/D2018</f>
        <v>872175.19686415454</v>
      </c>
      <c r="I2018" t="str">
        <f>IF(AND(B2018&gt;=2018, B2018&lt;=2021), "2018-2021", IF(AND(B2018&gt;=2022, B2018&lt;=2024), "2022-2024", "Other"))</f>
        <v>2022-2024</v>
      </c>
    </row>
    <row r="2019" spans="1:9" x14ac:dyDescent="0.3">
      <c r="A2019" t="s">
        <v>20</v>
      </c>
      <c r="B2019">
        <v>2022</v>
      </c>
      <c r="C2019" t="s">
        <v>4</v>
      </c>
      <c r="D2019">
        <v>45348.53</v>
      </c>
      <c r="E2019">
        <v>40814.97</v>
      </c>
      <c r="F2019">
        <v>79.58</v>
      </c>
      <c r="G2019">
        <v>405.35</v>
      </c>
      <c r="H2019">
        <f>E2019*1000000/D2019</f>
        <v>900028.51250084629</v>
      </c>
      <c r="I2019" t="str">
        <f>IF(AND(B2019&gt;=2018, B2019&lt;=2021), "2018-2021", IF(AND(B2019&gt;=2022, B2019&lt;=2024), "2022-2024", "Other"))</f>
        <v>2022-2024</v>
      </c>
    </row>
    <row r="2020" spans="1:9" x14ac:dyDescent="0.3">
      <c r="A2020" t="s">
        <v>16</v>
      </c>
      <c r="B2020">
        <v>2024</v>
      </c>
      <c r="C2020" t="s">
        <v>4</v>
      </c>
      <c r="D2020">
        <v>47405.16</v>
      </c>
      <c r="E2020">
        <v>51124.55</v>
      </c>
      <c r="F2020">
        <v>107.4</v>
      </c>
      <c r="G2020">
        <v>882.89</v>
      </c>
      <c r="H2020">
        <f>E2020*1000000/D2020</f>
        <v>1078459.6022880208</v>
      </c>
      <c r="I2020" t="str">
        <f>IF(AND(B2020&gt;=2018, B2020&lt;=2021), "2018-2021", IF(AND(B2020&gt;=2022, B2020&lt;=2024), "2022-2024", "Other"))</f>
        <v>2022-2024</v>
      </c>
    </row>
    <row r="2021" spans="1:9" x14ac:dyDescent="0.3">
      <c r="A2021" t="s">
        <v>1</v>
      </c>
      <c r="B2021">
        <v>2018</v>
      </c>
      <c r="C2021" t="s">
        <v>9</v>
      </c>
      <c r="D2021">
        <v>20204.47</v>
      </c>
      <c r="E2021">
        <v>20851.21</v>
      </c>
      <c r="F2021">
        <v>76.319999999999993</v>
      </c>
      <c r="G2021">
        <v>466.49</v>
      </c>
      <c r="H2021">
        <f>E2021*1000000/D2021</f>
        <v>1032009.7483378678</v>
      </c>
      <c r="I2021" t="str">
        <f>IF(AND(B2021&gt;=2018, B2021&lt;=2021), "2018-2021", IF(AND(B2021&gt;=2022, B2021&lt;=2024), "2022-2024", "Other"))</f>
        <v>2018-2021</v>
      </c>
    </row>
    <row r="2022" spans="1:9" x14ac:dyDescent="0.3">
      <c r="A2022" t="s">
        <v>22</v>
      </c>
      <c r="B2022">
        <v>2024</v>
      </c>
      <c r="C2022" t="s">
        <v>8</v>
      </c>
      <c r="D2022">
        <v>30900.63</v>
      </c>
      <c r="E2022">
        <v>28588.22</v>
      </c>
      <c r="F2022">
        <v>136.07</v>
      </c>
      <c r="G2022">
        <v>1387.48</v>
      </c>
      <c r="H2022">
        <f>E2022*1000000/D2022</f>
        <v>925166.25065573095</v>
      </c>
      <c r="I2022" t="str">
        <f>IF(AND(B2022&gt;=2018, B2022&lt;=2021), "2018-2021", IF(AND(B2022&gt;=2022, B2022&lt;=2024), "2022-2024", "Other"))</f>
        <v>2022-2024</v>
      </c>
    </row>
    <row r="2023" spans="1:9" x14ac:dyDescent="0.3">
      <c r="A2023" t="s">
        <v>21</v>
      </c>
      <c r="B2023">
        <v>2018</v>
      </c>
      <c r="C2023" t="s">
        <v>9</v>
      </c>
      <c r="D2023">
        <v>7039.96</v>
      </c>
      <c r="E2023">
        <v>6390.6</v>
      </c>
      <c r="F2023">
        <v>69.37</v>
      </c>
      <c r="G2023">
        <v>1302.58</v>
      </c>
      <c r="H2023">
        <f>E2023*1000000/D2023</f>
        <v>907760.83955022471</v>
      </c>
      <c r="I2023" t="str">
        <f>IF(AND(B2023&gt;=2018, B2023&lt;=2021), "2018-2021", IF(AND(B2023&gt;=2022, B2023&lt;=2024), "2022-2024", "Other"))</f>
        <v>2018-2021</v>
      </c>
    </row>
    <row r="2024" spans="1:9" x14ac:dyDescent="0.3">
      <c r="A2024" t="s">
        <v>15</v>
      </c>
      <c r="B2024">
        <v>2022</v>
      </c>
      <c r="C2024" t="s">
        <v>9</v>
      </c>
      <c r="D2024">
        <v>5817.52</v>
      </c>
      <c r="E2024">
        <v>6103.72</v>
      </c>
      <c r="F2024">
        <v>31.06</v>
      </c>
      <c r="G2024">
        <v>1102.26</v>
      </c>
      <c r="H2024">
        <f>E2024*1000000/D2024</f>
        <v>1049196.2210701467</v>
      </c>
      <c r="I2024" t="str">
        <f>IF(AND(B2024&gt;=2018, B2024&lt;=2021), "2018-2021", IF(AND(B2024&gt;=2022, B2024&lt;=2024), "2022-2024", "Other"))</f>
        <v>2022-2024</v>
      </c>
    </row>
    <row r="2025" spans="1:9" x14ac:dyDescent="0.3">
      <c r="A2025" t="s">
        <v>1</v>
      </c>
      <c r="B2025">
        <v>2022</v>
      </c>
      <c r="C2025" t="s">
        <v>4</v>
      </c>
      <c r="D2025">
        <v>45264.66</v>
      </c>
      <c r="E2025">
        <v>39253.919999999998</v>
      </c>
      <c r="F2025">
        <v>62.04</v>
      </c>
      <c r="G2025">
        <v>1094.28</v>
      </c>
      <c r="H2025">
        <f>E2025*1000000/D2025</f>
        <v>867208.98820404254</v>
      </c>
      <c r="I2025" t="str">
        <f>IF(AND(B2025&gt;=2018, B2025&lt;=2021), "2018-2021", IF(AND(B2025&gt;=2022, B2025&lt;=2024), "2022-2024", "Other"))</f>
        <v>2022-2024</v>
      </c>
    </row>
    <row r="2026" spans="1:9" x14ac:dyDescent="0.3">
      <c r="A2026" t="s">
        <v>5</v>
      </c>
      <c r="B2026">
        <v>2021</v>
      </c>
      <c r="C2026" t="s">
        <v>12</v>
      </c>
      <c r="D2026">
        <v>44295.09</v>
      </c>
      <c r="E2026">
        <v>52658.25</v>
      </c>
      <c r="F2026">
        <v>140.78</v>
      </c>
      <c r="G2026">
        <v>448.34</v>
      </c>
      <c r="H2026">
        <f>E2026*1000000/D2026</f>
        <v>1188805.5764194182</v>
      </c>
      <c r="I2026" t="str">
        <f>IF(AND(B2026&gt;=2018, B2026&lt;=2021), "2018-2021", IF(AND(B2026&gt;=2022, B2026&lt;=2024), "2022-2024", "Other"))</f>
        <v>2018-2021</v>
      </c>
    </row>
    <row r="2027" spans="1:9" x14ac:dyDescent="0.3">
      <c r="A2027" t="s">
        <v>19</v>
      </c>
      <c r="B2027">
        <v>2024</v>
      </c>
      <c r="C2027" t="s">
        <v>12</v>
      </c>
      <c r="D2027">
        <v>20440.62</v>
      </c>
      <c r="E2027">
        <v>20123.5</v>
      </c>
      <c r="F2027">
        <v>195.15</v>
      </c>
      <c r="G2027">
        <v>139.24</v>
      </c>
      <c r="H2027">
        <f>E2027*1000000/D2027</f>
        <v>984485.79348375939</v>
      </c>
      <c r="I2027" t="str">
        <f>IF(AND(B2027&gt;=2018, B2027&lt;=2021), "2018-2021", IF(AND(B2027&gt;=2022, B2027&lt;=2024), "2022-2024", "Other"))</f>
        <v>2022-2024</v>
      </c>
    </row>
    <row r="2028" spans="1:9" x14ac:dyDescent="0.3">
      <c r="A2028" t="s">
        <v>7</v>
      </c>
      <c r="B2028">
        <v>2020</v>
      </c>
      <c r="C2028" t="s">
        <v>2</v>
      </c>
      <c r="D2028">
        <v>44315.15</v>
      </c>
      <c r="E2028">
        <v>46367.85</v>
      </c>
      <c r="F2028">
        <v>25.98</v>
      </c>
      <c r="G2028">
        <v>1213.6199999999999</v>
      </c>
      <c r="H2028">
        <f>E2028*1000000/D2028</f>
        <v>1046320.5021307612</v>
      </c>
      <c r="I2028" t="str">
        <f>IF(AND(B2028&gt;=2018, B2028&lt;=2021), "2018-2021", IF(AND(B2028&gt;=2022, B2028&lt;=2024), "2022-2024", "Other"))</f>
        <v>2018-2021</v>
      </c>
    </row>
    <row r="2029" spans="1:9" x14ac:dyDescent="0.3">
      <c r="A2029" t="s">
        <v>24</v>
      </c>
      <c r="B2029">
        <v>2018</v>
      </c>
      <c r="C2029" t="s">
        <v>8</v>
      </c>
      <c r="D2029">
        <v>46470.45</v>
      </c>
      <c r="E2029">
        <v>38334.959999999999</v>
      </c>
      <c r="F2029">
        <v>179.68</v>
      </c>
      <c r="G2029">
        <v>852.93</v>
      </c>
      <c r="H2029">
        <f>E2029*1000000/D2029</f>
        <v>824931.9728989068</v>
      </c>
      <c r="I2029" t="str">
        <f>IF(AND(B2029&gt;=2018, B2029&lt;=2021), "2018-2021", IF(AND(B2029&gt;=2022, B2029&lt;=2024), "2022-2024", "Other"))</f>
        <v>2018-2021</v>
      </c>
    </row>
    <row r="2030" spans="1:9" x14ac:dyDescent="0.3">
      <c r="A2030" t="s">
        <v>7</v>
      </c>
      <c r="B2030">
        <v>2023</v>
      </c>
      <c r="C2030" t="s">
        <v>14</v>
      </c>
      <c r="D2030">
        <v>31465.08</v>
      </c>
      <c r="E2030">
        <v>36586.910000000003</v>
      </c>
      <c r="F2030">
        <v>124.43</v>
      </c>
      <c r="G2030">
        <v>295.86</v>
      </c>
      <c r="H2030">
        <f>E2030*1000000/D2030</f>
        <v>1162778.22907172</v>
      </c>
      <c r="I2030" t="str">
        <f>IF(AND(B2030&gt;=2018, B2030&lt;=2021), "2018-2021", IF(AND(B2030&gt;=2022, B2030&lt;=2024), "2022-2024", "Other"))</f>
        <v>2022-2024</v>
      </c>
    </row>
    <row r="2031" spans="1:9" x14ac:dyDescent="0.3">
      <c r="A2031" t="s">
        <v>18</v>
      </c>
      <c r="B2031">
        <v>2022</v>
      </c>
      <c r="C2031" t="s">
        <v>4</v>
      </c>
      <c r="D2031">
        <v>43415.16</v>
      </c>
      <c r="E2031">
        <v>35330.620000000003</v>
      </c>
      <c r="F2031">
        <v>123.32</v>
      </c>
      <c r="G2031">
        <v>366.42</v>
      </c>
      <c r="H2031">
        <f>E2031*1000000/D2031</f>
        <v>813785.32291485276</v>
      </c>
      <c r="I2031" t="str">
        <f>IF(AND(B2031&gt;=2018, B2031&lt;=2021), "2018-2021", IF(AND(B2031&gt;=2022, B2031&lt;=2024), "2022-2024", "Other"))</f>
        <v>2022-2024</v>
      </c>
    </row>
    <row r="2032" spans="1:9" x14ac:dyDescent="0.3">
      <c r="A2032" t="s">
        <v>23</v>
      </c>
      <c r="B2032">
        <v>2018</v>
      </c>
      <c r="C2032" t="s">
        <v>14</v>
      </c>
      <c r="D2032">
        <v>11181.13</v>
      </c>
      <c r="E2032">
        <v>11697.69</v>
      </c>
      <c r="F2032">
        <v>77.5</v>
      </c>
      <c r="G2032">
        <v>434.53</v>
      </c>
      <c r="H2032">
        <f>E2032*1000000/D2032</f>
        <v>1046199.2660849128</v>
      </c>
      <c r="I2032" t="str">
        <f>IF(AND(B2032&gt;=2018, B2032&lt;=2021), "2018-2021", IF(AND(B2032&gt;=2022, B2032&lt;=2024), "2022-2024", "Other"))</f>
        <v>2018-2021</v>
      </c>
    </row>
    <row r="2033" spans="1:9" x14ac:dyDescent="0.3">
      <c r="A2033" t="s">
        <v>3</v>
      </c>
      <c r="B2033">
        <v>2023</v>
      </c>
      <c r="C2033" t="s">
        <v>14</v>
      </c>
      <c r="D2033">
        <v>22957.97</v>
      </c>
      <c r="E2033">
        <v>22260.35</v>
      </c>
      <c r="F2033">
        <v>151.78</v>
      </c>
      <c r="G2033">
        <v>1177.05</v>
      </c>
      <c r="H2033">
        <f>E2033*1000000/D2033</f>
        <v>969613.16701781552</v>
      </c>
      <c r="I2033" t="str">
        <f>IF(AND(B2033&gt;=2018, B2033&lt;=2021), "2018-2021", IF(AND(B2033&gt;=2022, B2033&lt;=2024), "2022-2024", "Other"))</f>
        <v>2022-2024</v>
      </c>
    </row>
    <row r="2034" spans="1:9" x14ac:dyDescent="0.3">
      <c r="A2034" t="s">
        <v>13</v>
      </c>
      <c r="B2034">
        <v>2023</v>
      </c>
      <c r="C2034" t="s">
        <v>0</v>
      </c>
      <c r="D2034">
        <v>19071.25</v>
      </c>
      <c r="E2034">
        <v>16117.06</v>
      </c>
      <c r="F2034">
        <v>101.98</v>
      </c>
      <c r="G2034">
        <v>627.98</v>
      </c>
      <c r="H2034">
        <f>E2034*1000000/D2034</f>
        <v>845097.20128465618</v>
      </c>
      <c r="I2034" t="str">
        <f>IF(AND(B2034&gt;=2018, B2034&lt;=2021), "2018-2021", IF(AND(B2034&gt;=2022, B2034&lt;=2024), "2022-2024", "Other"))</f>
        <v>2022-2024</v>
      </c>
    </row>
    <row r="2035" spans="1:9" x14ac:dyDescent="0.3">
      <c r="A2035" t="s">
        <v>25</v>
      </c>
      <c r="B2035">
        <v>2023</v>
      </c>
      <c r="C2035" t="s">
        <v>14</v>
      </c>
      <c r="D2035">
        <v>19935.2</v>
      </c>
      <c r="E2035">
        <v>16517.490000000002</v>
      </c>
      <c r="F2035">
        <v>65.709999999999994</v>
      </c>
      <c r="G2035">
        <v>422.08</v>
      </c>
      <c r="H2035">
        <f>E2035*1000000/D2035</f>
        <v>828559.03126128658</v>
      </c>
      <c r="I2035" t="str">
        <f>IF(AND(B2035&gt;=2018, B2035&lt;=2021), "2018-2021", IF(AND(B2035&gt;=2022, B2035&lt;=2024), "2022-2024", "Other"))</f>
        <v>2022-2024</v>
      </c>
    </row>
    <row r="2036" spans="1:9" x14ac:dyDescent="0.3">
      <c r="A2036" t="s">
        <v>23</v>
      </c>
      <c r="B2036">
        <v>2021</v>
      </c>
      <c r="C2036" t="s">
        <v>12</v>
      </c>
      <c r="D2036">
        <v>9506.7999999999993</v>
      </c>
      <c r="E2036">
        <v>9257.8700000000008</v>
      </c>
      <c r="F2036">
        <v>54.59</v>
      </c>
      <c r="G2036">
        <v>630.70000000000005</v>
      </c>
      <c r="H2036">
        <f>E2036*1000000/D2036</f>
        <v>973815.58463415666</v>
      </c>
      <c r="I2036" t="str">
        <f>IF(AND(B2036&gt;=2018, B2036&lt;=2021), "2018-2021", IF(AND(B2036&gt;=2022, B2036&lt;=2024), "2022-2024", "Other"))</f>
        <v>2018-2021</v>
      </c>
    </row>
    <row r="2037" spans="1:9" x14ac:dyDescent="0.3">
      <c r="A2037" t="s">
        <v>15</v>
      </c>
      <c r="B2037">
        <v>2021</v>
      </c>
      <c r="C2037" t="s">
        <v>6</v>
      </c>
      <c r="D2037">
        <v>23242.97</v>
      </c>
      <c r="E2037">
        <v>18838.27</v>
      </c>
      <c r="F2037">
        <v>194.98</v>
      </c>
      <c r="G2037">
        <v>659.49</v>
      </c>
      <c r="H2037">
        <f>E2037*1000000/D2037</f>
        <v>810493.23731003387</v>
      </c>
      <c r="I2037" t="str">
        <f>IF(AND(B2037&gt;=2018, B2037&lt;=2021), "2018-2021", IF(AND(B2037&gt;=2022, B2037&lt;=2024), "2022-2024", "Other"))</f>
        <v>2018-2021</v>
      </c>
    </row>
    <row r="2038" spans="1:9" x14ac:dyDescent="0.3">
      <c r="A2038" t="s">
        <v>17</v>
      </c>
      <c r="B2038">
        <v>2024</v>
      </c>
      <c r="C2038" t="s">
        <v>6</v>
      </c>
      <c r="D2038">
        <v>9805.6200000000008</v>
      </c>
      <c r="E2038">
        <v>10171.56</v>
      </c>
      <c r="F2038">
        <v>28.74</v>
      </c>
      <c r="G2038">
        <v>204.11</v>
      </c>
      <c r="H2038">
        <f>E2038*1000000/D2038</f>
        <v>1037319.4147845827</v>
      </c>
      <c r="I2038" t="str">
        <f>IF(AND(B2038&gt;=2018, B2038&lt;=2021), "2018-2021", IF(AND(B2038&gt;=2022, B2038&lt;=2024), "2022-2024", "Other"))</f>
        <v>2022-2024</v>
      </c>
    </row>
    <row r="2039" spans="1:9" x14ac:dyDescent="0.3">
      <c r="A2039" t="s">
        <v>20</v>
      </c>
      <c r="B2039">
        <v>2024</v>
      </c>
      <c r="C2039" t="s">
        <v>2</v>
      </c>
      <c r="D2039">
        <v>28349.59</v>
      </c>
      <c r="E2039">
        <v>30062.85</v>
      </c>
      <c r="F2039">
        <v>38.75</v>
      </c>
      <c r="G2039">
        <v>498.19</v>
      </c>
      <c r="H2039">
        <f>E2039*1000000/D2039</f>
        <v>1060433.3254907744</v>
      </c>
      <c r="I2039" t="str">
        <f>IF(AND(B2039&gt;=2018, B2039&lt;=2021), "2018-2021", IF(AND(B2039&gt;=2022, B2039&lt;=2024), "2022-2024", "Other"))</f>
        <v>2022-2024</v>
      </c>
    </row>
    <row r="2040" spans="1:9" x14ac:dyDescent="0.3">
      <c r="A2040" t="s">
        <v>27</v>
      </c>
      <c r="B2040">
        <v>2021</v>
      </c>
      <c r="C2040" t="s">
        <v>12</v>
      </c>
      <c r="D2040">
        <v>39033.050000000003</v>
      </c>
      <c r="E2040">
        <v>36466.14</v>
      </c>
      <c r="F2040">
        <v>116.51</v>
      </c>
      <c r="G2040">
        <v>443.58</v>
      </c>
      <c r="H2040">
        <f>E2040*1000000/D2040</f>
        <v>934237.52435436111</v>
      </c>
      <c r="I2040" t="str">
        <f>IF(AND(B2040&gt;=2018, B2040&lt;=2021), "2018-2021", IF(AND(B2040&gt;=2022, B2040&lt;=2024), "2022-2024", "Other"))</f>
        <v>2018-2021</v>
      </c>
    </row>
    <row r="2041" spans="1:9" x14ac:dyDescent="0.3">
      <c r="A2041" t="s">
        <v>13</v>
      </c>
      <c r="B2041">
        <v>2023</v>
      </c>
      <c r="C2041" t="s">
        <v>2</v>
      </c>
      <c r="D2041">
        <v>20022.07</v>
      </c>
      <c r="E2041">
        <v>18355.89</v>
      </c>
      <c r="F2041">
        <v>174.56</v>
      </c>
      <c r="G2041">
        <v>607.70000000000005</v>
      </c>
      <c r="H2041">
        <f>E2041*1000000/D2041</f>
        <v>916782.83014693286</v>
      </c>
      <c r="I2041" t="str">
        <f>IF(AND(B2041&gt;=2018, B2041&lt;=2021), "2018-2021", IF(AND(B2041&gt;=2022, B2041&lt;=2024), "2022-2024", "Other"))</f>
        <v>2022-2024</v>
      </c>
    </row>
    <row r="2042" spans="1:9" x14ac:dyDescent="0.3">
      <c r="A2042" t="s">
        <v>13</v>
      </c>
      <c r="B2042">
        <v>2023</v>
      </c>
      <c r="C2042" t="s">
        <v>9</v>
      </c>
      <c r="D2042">
        <v>1410.3</v>
      </c>
      <c r="E2042">
        <v>1386.31</v>
      </c>
      <c r="F2042">
        <v>129.18</v>
      </c>
      <c r="G2042">
        <v>1199.8800000000001</v>
      </c>
      <c r="H2042">
        <f>E2042*1000000/D2042</f>
        <v>982989.43487201305</v>
      </c>
      <c r="I2042" t="str">
        <f>IF(AND(B2042&gt;=2018, B2042&lt;=2021), "2018-2021", IF(AND(B2042&gt;=2022, B2042&lt;=2024), "2022-2024", "Other"))</f>
        <v>2022-2024</v>
      </c>
    </row>
    <row r="2043" spans="1:9" x14ac:dyDescent="0.3">
      <c r="A2043" t="s">
        <v>10</v>
      </c>
      <c r="B2043">
        <v>2019</v>
      </c>
      <c r="C2043" t="s">
        <v>14</v>
      </c>
      <c r="D2043">
        <v>11236.21</v>
      </c>
      <c r="E2043">
        <v>9736.7999999999993</v>
      </c>
      <c r="F2043">
        <v>32.81</v>
      </c>
      <c r="G2043">
        <v>588.89</v>
      </c>
      <c r="H2043">
        <f>E2043*1000000/D2043</f>
        <v>866555.5378548461</v>
      </c>
      <c r="I2043" t="str">
        <f>IF(AND(B2043&gt;=2018, B2043&lt;=2021), "2018-2021", IF(AND(B2043&gt;=2022, B2043&lt;=2024), "2022-2024", "Other"))</f>
        <v>2018-2021</v>
      </c>
    </row>
    <row r="2044" spans="1:9" x14ac:dyDescent="0.3">
      <c r="A2044" t="s">
        <v>18</v>
      </c>
      <c r="B2044">
        <v>2021</v>
      </c>
      <c r="C2044" t="s">
        <v>6</v>
      </c>
      <c r="D2044">
        <v>22052.67</v>
      </c>
      <c r="E2044">
        <v>20047.21</v>
      </c>
      <c r="F2044">
        <v>36.17</v>
      </c>
      <c r="G2044">
        <v>817.37</v>
      </c>
      <c r="H2044">
        <f>E2044*1000000/D2044</f>
        <v>909060.44483502454</v>
      </c>
      <c r="I2044" t="str">
        <f>IF(AND(B2044&gt;=2018, B2044&lt;=2021), "2018-2021", IF(AND(B2044&gt;=2022, B2044&lt;=2024), "2022-2024", "Other"))</f>
        <v>2018-2021</v>
      </c>
    </row>
    <row r="2045" spans="1:9" x14ac:dyDescent="0.3">
      <c r="A2045" t="s">
        <v>21</v>
      </c>
      <c r="B2045">
        <v>2021</v>
      </c>
      <c r="C2045" t="s">
        <v>0</v>
      </c>
      <c r="D2045">
        <v>39718.36</v>
      </c>
      <c r="E2045">
        <v>31941.599999999999</v>
      </c>
      <c r="F2045">
        <v>164.78</v>
      </c>
      <c r="G2045">
        <v>1031.8499999999999</v>
      </c>
      <c r="H2045">
        <f>E2045*1000000/D2045</f>
        <v>804202.38902109757</v>
      </c>
      <c r="I2045" t="str">
        <f>IF(AND(B2045&gt;=2018, B2045&lt;=2021), "2018-2021", IF(AND(B2045&gt;=2022, B2045&lt;=2024), "2022-2024", "Other"))</f>
        <v>2018-2021</v>
      </c>
    </row>
    <row r="2046" spans="1:9" x14ac:dyDescent="0.3">
      <c r="A2046" t="s">
        <v>19</v>
      </c>
      <c r="B2046">
        <v>2021</v>
      </c>
      <c r="C2046" t="s">
        <v>14</v>
      </c>
      <c r="D2046">
        <v>33514.85</v>
      </c>
      <c r="E2046">
        <v>33542.050000000003</v>
      </c>
      <c r="F2046">
        <v>44.2</v>
      </c>
      <c r="G2046">
        <v>1363.09</v>
      </c>
      <c r="H2046">
        <f>E2046*1000000/D2046</f>
        <v>1000811.5805381795</v>
      </c>
      <c r="I2046" t="str">
        <f>IF(AND(B2046&gt;=2018, B2046&lt;=2021), "2018-2021", IF(AND(B2046&gt;=2022, B2046&lt;=2024), "2022-2024", "Other"))</f>
        <v>2018-2021</v>
      </c>
    </row>
    <row r="2047" spans="1:9" x14ac:dyDescent="0.3">
      <c r="A2047" t="s">
        <v>20</v>
      </c>
      <c r="B2047">
        <v>2020</v>
      </c>
      <c r="C2047" t="s">
        <v>0</v>
      </c>
      <c r="D2047">
        <v>15083.81</v>
      </c>
      <c r="E2047">
        <v>12505.53</v>
      </c>
      <c r="F2047">
        <v>105.61</v>
      </c>
      <c r="G2047">
        <v>350.85</v>
      </c>
      <c r="H2047">
        <f>E2047*1000000/D2047</f>
        <v>829069.71116713888</v>
      </c>
      <c r="I2047" t="str">
        <f>IF(AND(B2047&gt;=2018, B2047&lt;=2021), "2018-2021", IF(AND(B2047&gt;=2022, B2047&lt;=2024), "2022-2024", "Other"))</f>
        <v>2018-2021</v>
      </c>
    </row>
    <row r="2048" spans="1:9" x14ac:dyDescent="0.3">
      <c r="A2048" t="s">
        <v>7</v>
      </c>
      <c r="B2048">
        <v>2020</v>
      </c>
      <c r="C2048" t="s">
        <v>8</v>
      </c>
      <c r="D2048">
        <v>46093.77</v>
      </c>
      <c r="E2048">
        <v>41803</v>
      </c>
      <c r="F2048">
        <v>152.16999999999999</v>
      </c>
      <c r="G2048">
        <v>924.65</v>
      </c>
      <c r="H2048">
        <f>E2048*1000000/D2048</f>
        <v>906912.14886523713</v>
      </c>
      <c r="I2048" t="str">
        <f>IF(AND(B2048&gt;=2018, B2048&lt;=2021), "2018-2021", IF(AND(B2048&gt;=2022, B2048&lt;=2024), "2022-2024", "Other"))</f>
        <v>2018-2021</v>
      </c>
    </row>
    <row r="2049" spans="1:9" x14ac:dyDescent="0.3">
      <c r="A2049" t="s">
        <v>7</v>
      </c>
      <c r="B2049">
        <v>2024</v>
      </c>
      <c r="C2049" t="s">
        <v>2</v>
      </c>
      <c r="D2049">
        <v>34860.29</v>
      </c>
      <c r="E2049">
        <v>30988.400000000001</v>
      </c>
      <c r="F2049">
        <v>32.18</v>
      </c>
      <c r="G2049">
        <v>935.91</v>
      </c>
      <c r="H2049">
        <f>E2049*1000000/D2049</f>
        <v>888931.21657909325</v>
      </c>
      <c r="I2049" t="str">
        <f>IF(AND(B2049&gt;=2018, B2049&lt;=2021), "2018-2021", IF(AND(B2049&gt;=2022, B2049&lt;=2024), "2022-2024", "Other"))</f>
        <v>2022-2024</v>
      </c>
    </row>
    <row r="2050" spans="1:9" x14ac:dyDescent="0.3">
      <c r="A2050" t="s">
        <v>17</v>
      </c>
      <c r="B2050">
        <v>2019</v>
      </c>
      <c r="C2050" t="s">
        <v>12</v>
      </c>
      <c r="D2050">
        <v>42001.01</v>
      </c>
      <c r="E2050">
        <v>46107.26</v>
      </c>
      <c r="F2050">
        <v>120.5</v>
      </c>
      <c r="G2050">
        <v>1294.8399999999999</v>
      </c>
      <c r="H2050">
        <f>E2050*1000000/D2050</f>
        <v>1097765.50611521</v>
      </c>
      <c r="I2050" t="str">
        <f>IF(AND(B2050&gt;=2018, B2050&lt;=2021), "2018-2021", IF(AND(B2050&gt;=2022, B2050&lt;=2024), "2022-2024", "Other"))</f>
        <v>2018-2021</v>
      </c>
    </row>
    <row r="2051" spans="1:9" x14ac:dyDescent="0.3">
      <c r="A2051" t="s">
        <v>11</v>
      </c>
      <c r="B2051">
        <v>2020</v>
      </c>
      <c r="C2051" t="s">
        <v>8</v>
      </c>
      <c r="D2051">
        <v>32640.66</v>
      </c>
      <c r="E2051">
        <v>38875.42</v>
      </c>
      <c r="F2051">
        <v>77.17</v>
      </c>
      <c r="G2051">
        <v>1151.29</v>
      </c>
      <c r="H2051">
        <f>E2051*1000000/D2051</f>
        <v>1191012.0689961538</v>
      </c>
      <c r="I2051" t="str">
        <f>IF(AND(B2051&gt;=2018, B2051&lt;=2021), "2018-2021", IF(AND(B2051&gt;=2022, B2051&lt;=2024), "2022-2024", "Other"))</f>
        <v>2018-2021</v>
      </c>
    </row>
    <row r="2052" spans="1:9" x14ac:dyDescent="0.3">
      <c r="A2052" t="s">
        <v>23</v>
      </c>
      <c r="B2052">
        <v>2023</v>
      </c>
      <c r="C2052" t="s">
        <v>6</v>
      </c>
      <c r="D2052">
        <v>23587.98</v>
      </c>
      <c r="E2052">
        <v>23027.08</v>
      </c>
      <c r="F2052">
        <v>53.12</v>
      </c>
      <c r="G2052">
        <v>562.52</v>
      </c>
      <c r="H2052">
        <f>E2052*1000000/D2052</f>
        <v>976220.93964807503</v>
      </c>
      <c r="I2052" t="str">
        <f>IF(AND(B2052&gt;=2018, B2052&lt;=2021), "2018-2021", IF(AND(B2052&gt;=2022, B2052&lt;=2024), "2022-2024", "Other"))</f>
        <v>2022-2024</v>
      </c>
    </row>
    <row r="2053" spans="1:9" x14ac:dyDescent="0.3">
      <c r="A2053" t="s">
        <v>19</v>
      </c>
      <c r="B2053">
        <v>2024</v>
      </c>
      <c r="C2053" t="s">
        <v>0</v>
      </c>
      <c r="D2053">
        <v>11448.82</v>
      </c>
      <c r="E2053">
        <v>13665.84</v>
      </c>
      <c r="F2053">
        <v>176.83</v>
      </c>
      <c r="G2053">
        <v>287.98</v>
      </c>
      <c r="H2053">
        <f>E2053*1000000/D2053</f>
        <v>1193646.1574205901</v>
      </c>
      <c r="I2053" t="str">
        <f>IF(AND(B2053&gt;=2018, B2053&lt;=2021), "2018-2021", IF(AND(B2053&gt;=2022, B2053&lt;=2024), "2022-2024", "Other"))</f>
        <v>2022-2024</v>
      </c>
    </row>
    <row r="2054" spans="1:9" x14ac:dyDescent="0.3">
      <c r="A2054" t="s">
        <v>19</v>
      </c>
      <c r="B2054">
        <v>2018</v>
      </c>
      <c r="C2054" t="s">
        <v>0</v>
      </c>
      <c r="D2054">
        <v>6094.82</v>
      </c>
      <c r="E2054">
        <v>4942.92</v>
      </c>
      <c r="F2054">
        <v>47.4</v>
      </c>
      <c r="G2054">
        <v>660.79</v>
      </c>
      <c r="H2054">
        <f>E2054*1000000/D2054</f>
        <v>811003.44226736808</v>
      </c>
      <c r="I2054" t="str">
        <f>IF(AND(B2054&gt;=2018, B2054&lt;=2021), "2018-2021", IF(AND(B2054&gt;=2022, B2054&lt;=2024), "2022-2024", "Other"))</f>
        <v>2018-2021</v>
      </c>
    </row>
    <row r="2055" spans="1:9" x14ac:dyDescent="0.3">
      <c r="A2055" t="s">
        <v>7</v>
      </c>
      <c r="B2055">
        <v>2019</v>
      </c>
      <c r="C2055" t="s">
        <v>6</v>
      </c>
      <c r="D2055">
        <v>9381.9599999999991</v>
      </c>
      <c r="E2055">
        <v>10765.37</v>
      </c>
      <c r="F2055">
        <v>74.22</v>
      </c>
      <c r="G2055">
        <v>37.83</v>
      </c>
      <c r="H2055">
        <f>E2055*1000000/D2055</f>
        <v>1147454.2632882681</v>
      </c>
      <c r="I2055" t="str">
        <f>IF(AND(B2055&gt;=2018, B2055&lt;=2021), "2018-2021", IF(AND(B2055&gt;=2022, B2055&lt;=2024), "2022-2024", "Other"))</f>
        <v>2018-2021</v>
      </c>
    </row>
    <row r="2056" spans="1:9" x14ac:dyDescent="0.3">
      <c r="A2056" t="s">
        <v>21</v>
      </c>
      <c r="B2056">
        <v>2018</v>
      </c>
      <c r="C2056" t="s">
        <v>4</v>
      </c>
      <c r="D2056">
        <v>16814.89</v>
      </c>
      <c r="E2056">
        <v>16164.55</v>
      </c>
      <c r="F2056">
        <v>69.290000000000006</v>
      </c>
      <c r="G2056">
        <v>53.51</v>
      </c>
      <c r="H2056">
        <f>E2056*1000000/D2056</f>
        <v>961323.56500696705</v>
      </c>
      <c r="I2056" t="str">
        <f>IF(AND(B2056&gt;=2018, B2056&lt;=2021), "2018-2021", IF(AND(B2056&gt;=2022, B2056&lt;=2024), "2022-2024", "Other"))</f>
        <v>2018-2021</v>
      </c>
    </row>
    <row r="2057" spans="1:9" x14ac:dyDescent="0.3">
      <c r="A2057" t="s">
        <v>11</v>
      </c>
      <c r="B2057">
        <v>2018</v>
      </c>
      <c r="C2057" t="s">
        <v>4</v>
      </c>
      <c r="D2057">
        <v>30396.27</v>
      </c>
      <c r="E2057">
        <v>34370.86</v>
      </c>
      <c r="F2057">
        <v>85.75</v>
      </c>
      <c r="G2057">
        <v>1386.09</v>
      </c>
      <c r="H2057">
        <f>E2057*1000000/D2057</f>
        <v>1130759.1359071359</v>
      </c>
      <c r="I2057" t="str">
        <f>IF(AND(B2057&gt;=2018, B2057&lt;=2021), "2018-2021", IF(AND(B2057&gt;=2022, B2057&lt;=2024), "2022-2024", "Other"))</f>
        <v>2018-2021</v>
      </c>
    </row>
    <row r="2058" spans="1:9" x14ac:dyDescent="0.3">
      <c r="A2058" t="s">
        <v>19</v>
      </c>
      <c r="B2058">
        <v>2021</v>
      </c>
      <c r="C2058" t="s">
        <v>0</v>
      </c>
      <c r="D2058">
        <v>40166.15</v>
      </c>
      <c r="E2058">
        <v>37579.82</v>
      </c>
      <c r="F2058">
        <v>64.069999999999993</v>
      </c>
      <c r="G2058">
        <v>619.9</v>
      </c>
      <c r="H2058">
        <f>E2058*1000000/D2058</f>
        <v>935609.21323054365</v>
      </c>
      <c r="I2058" t="str">
        <f>IF(AND(B2058&gt;=2018, B2058&lt;=2021), "2018-2021", IF(AND(B2058&gt;=2022, B2058&lt;=2024), "2022-2024", "Other"))</f>
        <v>2018-2021</v>
      </c>
    </row>
    <row r="2059" spans="1:9" x14ac:dyDescent="0.3">
      <c r="A2059" t="s">
        <v>15</v>
      </c>
      <c r="B2059">
        <v>2021</v>
      </c>
      <c r="C2059" t="s">
        <v>4</v>
      </c>
      <c r="D2059">
        <v>28667.96</v>
      </c>
      <c r="E2059">
        <v>27435.03</v>
      </c>
      <c r="F2059">
        <v>47.25</v>
      </c>
      <c r="G2059">
        <v>1226.5</v>
      </c>
      <c r="H2059">
        <f>E2059*1000000/D2059</f>
        <v>956992.75428038836</v>
      </c>
      <c r="I2059" t="str">
        <f>IF(AND(B2059&gt;=2018, B2059&lt;=2021), "2018-2021", IF(AND(B2059&gt;=2022, B2059&lt;=2024), "2022-2024", "Other"))</f>
        <v>2018-2021</v>
      </c>
    </row>
    <row r="2060" spans="1:9" x14ac:dyDescent="0.3">
      <c r="A2060" t="s">
        <v>15</v>
      </c>
      <c r="B2060">
        <v>2024</v>
      </c>
      <c r="C2060" t="s">
        <v>4</v>
      </c>
      <c r="D2060">
        <v>1025.25</v>
      </c>
      <c r="E2060">
        <v>841.87</v>
      </c>
      <c r="F2060">
        <v>64.02</v>
      </c>
      <c r="G2060">
        <v>871.3</v>
      </c>
      <c r="H2060">
        <f>E2060*1000000/D2060</f>
        <v>821136.3082175079</v>
      </c>
      <c r="I2060" t="str">
        <f>IF(AND(B2060&gt;=2018, B2060&lt;=2021), "2018-2021", IF(AND(B2060&gt;=2022, B2060&lt;=2024), "2022-2024", "Other"))</f>
        <v>2022-2024</v>
      </c>
    </row>
    <row r="2061" spans="1:9" x14ac:dyDescent="0.3">
      <c r="A2061" t="s">
        <v>7</v>
      </c>
      <c r="B2061">
        <v>2024</v>
      </c>
      <c r="C2061" t="s">
        <v>0</v>
      </c>
      <c r="D2061">
        <v>15180.87</v>
      </c>
      <c r="E2061">
        <v>17081.77</v>
      </c>
      <c r="F2061">
        <v>27.43</v>
      </c>
      <c r="G2061">
        <v>805.85</v>
      </c>
      <c r="H2061">
        <f>E2061*1000000/D2061</f>
        <v>1125216.8024625729</v>
      </c>
      <c r="I2061" t="str">
        <f>IF(AND(B2061&gt;=2018, B2061&lt;=2021), "2018-2021", IF(AND(B2061&gt;=2022, B2061&lt;=2024), "2022-2024", "Other"))</f>
        <v>2022-2024</v>
      </c>
    </row>
    <row r="2062" spans="1:9" x14ac:dyDescent="0.3">
      <c r="A2062" t="s">
        <v>24</v>
      </c>
      <c r="B2062">
        <v>2019</v>
      </c>
      <c r="C2062" t="s">
        <v>0</v>
      </c>
      <c r="D2062">
        <v>28282.29</v>
      </c>
      <c r="E2062">
        <v>26046.63</v>
      </c>
      <c r="F2062">
        <v>168.35</v>
      </c>
      <c r="G2062">
        <v>939.47</v>
      </c>
      <c r="H2062">
        <f>E2062*1000000/D2062</f>
        <v>920951.94554613507</v>
      </c>
      <c r="I2062" t="str">
        <f>IF(AND(B2062&gt;=2018, B2062&lt;=2021), "2018-2021", IF(AND(B2062&gt;=2022, B2062&lt;=2024), "2022-2024", "Other"))</f>
        <v>2018-2021</v>
      </c>
    </row>
    <row r="2063" spans="1:9" x14ac:dyDescent="0.3">
      <c r="A2063" t="s">
        <v>24</v>
      </c>
      <c r="B2063">
        <v>2020</v>
      </c>
      <c r="C2063" t="s">
        <v>12</v>
      </c>
      <c r="D2063">
        <v>1694</v>
      </c>
      <c r="E2063">
        <v>1970.55</v>
      </c>
      <c r="F2063">
        <v>184.8</v>
      </c>
      <c r="G2063">
        <v>431.35</v>
      </c>
      <c r="H2063">
        <f>E2063*1000000/D2063</f>
        <v>1163252.6564344745</v>
      </c>
      <c r="I2063" t="str">
        <f>IF(AND(B2063&gt;=2018, B2063&lt;=2021), "2018-2021", IF(AND(B2063&gt;=2022, B2063&lt;=2024), "2022-2024", "Other"))</f>
        <v>2018-2021</v>
      </c>
    </row>
    <row r="2064" spans="1:9" x14ac:dyDescent="0.3">
      <c r="A2064" t="s">
        <v>10</v>
      </c>
      <c r="B2064">
        <v>2020</v>
      </c>
      <c r="C2064" t="s">
        <v>2</v>
      </c>
      <c r="D2064">
        <v>12814.27</v>
      </c>
      <c r="E2064">
        <v>13621.54</v>
      </c>
      <c r="F2064">
        <v>120.21</v>
      </c>
      <c r="G2064">
        <v>629.98</v>
      </c>
      <c r="H2064">
        <f>E2064*1000000/D2064</f>
        <v>1062997.7361176251</v>
      </c>
      <c r="I2064" t="str">
        <f>IF(AND(B2064&gt;=2018, B2064&lt;=2021), "2018-2021", IF(AND(B2064&gt;=2022, B2064&lt;=2024), "2022-2024", "Other"))</f>
        <v>2018-2021</v>
      </c>
    </row>
    <row r="2065" spans="1:9" x14ac:dyDescent="0.3">
      <c r="A2065" t="s">
        <v>27</v>
      </c>
      <c r="B2065">
        <v>2019</v>
      </c>
      <c r="C2065" t="s">
        <v>6</v>
      </c>
      <c r="D2065">
        <v>16087.46</v>
      </c>
      <c r="E2065">
        <v>17856.919999999998</v>
      </c>
      <c r="F2065">
        <v>141.68</v>
      </c>
      <c r="G2065">
        <v>533.12</v>
      </c>
      <c r="H2065">
        <f>E2065*1000000/D2065</f>
        <v>1109990.0170691956</v>
      </c>
      <c r="I2065" t="str">
        <f>IF(AND(B2065&gt;=2018, B2065&lt;=2021), "2018-2021", IF(AND(B2065&gt;=2022, B2065&lt;=2024), "2022-2024", "Other"))</f>
        <v>2018-2021</v>
      </c>
    </row>
    <row r="2066" spans="1:9" x14ac:dyDescent="0.3">
      <c r="A2066" t="s">
        <v>5</v>
      </c>
      <c r="B2066">
        <v>2021</v>
      </c>
      <c r="C2066" t="s">
        <v>9</v>
      </c>
      <c r="D2066">
        <v>30671.53</v>
      </c>
      <c r="E2066">
        <v>34475.33</v>
      </c>
      <c r="F2066">
        <v>161.57</v>
      </c>
      <c r="G2066">
        <v>1379.07</v>
      </c>
      <c r="H2066">
        <f>E2066*1000000/D2066</f>
        <v>1124017.2889973209</v>
      </c>
      <c r="I2066" t="str">
        <f>IF(AND(B2066&gt;=2018, B2066&lt;=2021), "2018-2021", IF(AND(B2066&gt;=2022, B2066&lt;=2024), "2022-2024", "Other"))</f>
        <v>2018-2021</v>
      </c>
    </row>
    <row r="2067" spans="1:9" x14ac:dyDescent="0.3">
      <c r="A2067" t="s">
        <v>23</v>
      </c>
      <c r="B2067">
        <v>2023</v>
      </c>
      <c r="C2067" t="s">
        <v>2</v>
      </c>
      <c r="D2067">
        <v>19181.75</v>
      </c>
      <c r="E2067">
        <v>22185.26</v>
      </c>
      <c r="F2067">
        <v>93.97</v>
      </c>
      <c r="G2067">
        <v>568.08000000000004</v>
      </c>
      <c r="H2067">
        <f>E2067*1000000/D2067</f>
        <v>1156581.6466172272</v>
      </c>
      <c r="I2067" t="str">
        <f>IF(AND(B2067&gt;=2018, B2067&lt;=2021), "2018-2021", IF(AND(B2067&gt;=2022, B2067&lt;=2024), "2022-2024", "Other"))</f>
        <v>2022-2024</v>
      </c>
    </row>
    <row r="2068" spans="1:9" x14ac:dyDescent="0.3">
      <c r="A2068" t="s">
        <v>25</v>
      </c>
      <c r="B2068">
        <v>2021</v>
      </c>
      <c r="C2068" t="s">
        <v>9</v>
      </c>
      <c r="D2068">
        <v>1618.43</v>
      </c>
      <c r="E2068">
        <v>1551.59</v>
      </c>
      <c r="F2068">
        <v>74.94</v>
      </c>
      <c r="G2068">
        <v>340.12</v>
      </c>
      <c r="H2068">
        <f>E2068*1000000/D2068</f>
        <v>958700.71612612216</v>
      </c>
      <c r="I2068" t="str">
        <f>IF(AND(B2068&gt;=2018, B2068&lt;=2021), "2018-2021", IF(AND(B2068&gt;=2022, B2068&lt;=2024), "2022-2024", "Other"))</f>
        <v>2018-2021</v>
      </c>
    </row>
    <row r="2069" spans="1:9" x14ac:dyDescent="0.3">
      <c r="A2069" t="s">
        <v>3</v>
      </c>
      <c r="B2069">
        <v>2020</v>
      </c>
      <c r="C2069" t="s">
        <v>12</v>
      </c>
      <c r="D2069">
        <v>44836.9</v>
      </c>
      <c r="E2069">
        <v>41938.44</v>
      </c>
      <c r="F2069">
        <v>116.16</v>
      </c>
      <c r="G2069">
        <v>180.39</v>
      </c>
      <c r="H2069">
        <f>E2069*1000000/D2069</f>
        <v>935355.47729660163</v>
      </c>
      <c r="I2069" t="str">
        <f>IF(AND(B2069&gt;=2018, B2069&lt;=2021), "2018-2021", IF(AND(B2069&gt;=2022, B2069&lt;=2024), "2022-2024", "Other"))</f>
        <v>2018-2021</v>
      </c>
    </row>
    <row r="2070" spans="1:9" x14ac:dyDescent="0.3">
      <c r="A2070" t="s">
        <v>15</v>
      </c>
      <c r="B2070">
        <v>2021</v>
      </c>
      <c r="C2070" t="s">
        <v>9</v>
      </c>
      <c r="D2070">
        <v>38026.43</v>
      </c>
      <c r="E2070">
        <v>30744.28</v>
      </c>
      <c r="F2070">
        <v>167.61</v>
      </c>
      <c r="G2070">
        <v>1033.19</v>
      </c>
      <c r="H2070">
        <f>E2070*1000000/D2070</f>
        <v>808497.66859523754</v>
      </c>
      <c r="I2070" t="str">
        <f>IF(AND(B2070&gt;=2018, B2070&lt;=2021), "2018-2021", IF(AND(B2070&gt;=2022, B2070&lt;=2024), "2022-2024", "Other"))</f>
        <v>2018-2021</v>
      </c>
    </row>
    <row r="2071" spans="1:9" x14ac:dyDescent="0.3">
      <c r="A2071" t="s">
        <v>13</v>
      </c>
      <c r="B2071">
        <v>2023</v>
      </c>
      <c r="C2071" t="s">
        <v>9</v>
      </c>
      <c r="D2071">
        <v>17410.79</v>
      </c>
      <c r="E2071">
        <v>15757.23</v>
      </c>
      <c r="F2071">
        <v>132.34</v>
      </c>
      <c r="G2071">
        <v>830.5</v>
      </c>
      <c r="H2071">
        <f>E2071*1000000/D2071</f>
        <v>905026.71044794633</v>
      </c>
      <c r="I2071" t="str">
        <f>IF(AND(B2071&gt;=2018, B2071&lt;=2021), "2018-2021", IF(AND(B2071&gt;=2022, B2071&lt;=2024), "2022-2024", "Other"))</f>
        <v>2022-2024</v>
      </c>
    </row>
    <row r="2072" spans="1:9" x14ac:dyDescent="0.3">
      <c r="A2072" t="s">
        <v>15</v>
      </c>
      <c r="B2072">
        <v>2022</v>
      </c>
      <c r="C2072" t="s">
        <v>9</v>
      </c>
      <c r="D2072">
        <v>5772.53</v>
      </c>
      <c r="E2072">
        <v>6403.4</v>
      </c>
      <c r="F2072">
        <v>163.62</v>
      </c>
      <c r="G2072">
        <v>1252.55</v>
      </c>
      <c r="H2072">
        <f>E2072*1000000/D2072</f>
        <v>1109288.3016632223</v>
      </c>
      <c r="I2072" t="str">
        <f>IF(AND(B2072&gt;=2018, B2072&lt;=2021), "2018-2021", IF(AND(B2072&gt;=2022, B2072&lt;=2024), "2022-2024", "Other"))</f>
        <v>2022-2024</v>
      </c>
    </row>
    <row r="2073" spans="1:9" x14ac:dyDescent="0.3">
      <c r="A2073" t="s">
        <v>17</v>
      </c>
      <c r="B2073">
        <v>2023</v>
      </c>
      <c r="C2073" t="s">
        <v>8</v>
      </c>
      <c r="D2073">
        <v>6399.7</v>
      </c>
      <c r="E2073">
        <v>7049.6</v>
      </c>
      <c r="F2073">
        <v>61.54</v>
      </c>
      <c r="G2073">
        <v>850.42</v>
      </c>
      <c r="H2073">
        <f>E2073*1000000/D2073</f>
        <v>1101551.6352329017</v>
      </c>
      <c r="I2073" t="str">
        <f>IF(AND(B2073&gt;=2018, B2073&lt;=2021), "2018-2021", IF(AND(B2073&gt;=2022, B2073&lt;=2024), "2022-2024", "Other"))</f>
        <v>2022-2024</v>
      </c>
    </row>
    <row r="2074" spans="1:9" x14ac:dyDescent="0.3">
      <c r="A2074" t="s">
        <v>21</v>
      </c>
      <c r="B2074">
        <v>2023</v>
      </c>
      <c r="C2074" t="s">
        <v>9</v>
      </c>
      <c r="D2074">
        <v>24214.07</v>
      </c>
      <c r="E2074">
        <v>23528.51</v>
      </c>
      <c r="F2074">
        <v>90.26</v>
      </c>
      <c r="G2074">
        <v>1083.4100000000001</v>
      </c>
      <c r="H2074">
        <f>E2074*1000000/D2074</f>
        <v>971687.53538748343</v>
      </c>
      <c r="I2074" t="str">
        <f>IF(AND(B2074&gt;=2018, B2074&lt;=2021), "2018-2021", IF(AND(B2074&gt;=2022, B2074&lt;=2024), "2022-2024", "Other"))</f>
        <v>2022-2024</v>
      </c>
    </row>
    <row r="2075" spans="1:9" x14ac:dyDescent="0.3">
      <c r="A2075" t="s">
        <v>13</v>
      </c>
      <c r="B2075">
        <v>2018</v>
      </c>
      <c r="C2075" t="s">
        <v>14</v>
      </c>
      <c r="D2075">
        <v>19708.259999999998</v>
      </c>
      <c r="E2075">
        <v>23587.81</v>
      </c>
      <c r="F2075">
        <v>133.24</v>
      </c>
      <c r="G2075">
        <v>1181.0899999999999</v>
      </c>
      <c r="H2075">
        <f>E2075*1000000/D2075</f>
        <v>1196848.935420986</v>
      </c>
      <c r="I2075" t="str">
        <f>IF(AND(B2075&gt;=2018, B2075&lt;=2021), "2018-2021", IF(AND(B2075&gt;=2022, B2075&lt;=2024), "2022-2024", "Other"))</f>
        <v>2018-2021</v>
      </c>
    </row>
    <row r="2076" spans="1:9" x14ac:dyDescent="0.3">
      <c r="A2076" t="s">
        <v>11</v>
      </c>
      <c r="B2076">
        <v>2024</v>
      </c>
      <c r="C2076" t="s">
        <v>6</v>
      </c>
      <c r="D2076">
        <v>48708.21</v>
      </c>
      <c r="E2076">
        <v>56324.24</v>
      </c>
      <c r="F2076">
        <v>142.47</v>
      </c>
      <c r="G2076">
        <v>386.81</v>
      </c>
      <c r="H2076">
        <f>E2076*1000000/D2076</f>
        <v>1156360.293264729</v>
      </c>
      <c r="I2076" t="str">
        <f>IF(AND(B2076&gt;=2018, B2076&lt;=2021), "2018-2021", IF(AND(B2076&gt;=2022, B2076&lt;=2024), "2022-2024", "Other"))</f>
        <v>2022-2024</v>
      </c>
    </row>
    <row r="2077" spans="1:9" x14ac:dyDescent="0.3">
      <c r="A2077" t="s">
        <v>20</v>
      </c>
      <c r="B2077">
        <v>2019</v>
      </c>
      <c r="C2077" t="s">
        <v>4</v>
      </c>
      <c r="D2077">
        <v>24154.63</v>
      </c>
      <c r="E2077">
        <v>19637.18</v>
      </c>
      <c r="F2077">
        <v>112.3</v>
      </c>
      <c r="G2077">
        <v>384.76</v>
      </c>
      <c r="H2077">
        <f>E2077*1000000/D2077</f>
        <v>812977.88457119814</v>
      </c>
      <c r="I2077" t="str">
        <f>IF(AND(B2077&gt;=2018, B2077&lt;=2021), "2018-2021", IF(AND(B2077&gt;=2022, B2077&lt;=2024), "2022-2024", "Other"))</f>
        <v>2018-2021</v>
      </c>
    </row>
    <row r="2078" spans="1:9" x14ac:dyDescent="0.3">
      <c r="A2078" t="s">
        <v>7</v>
      </c>
      <c r="B2078">
        <v>2019</v>
      </c>
      <c r="C2078" t="s">
        <v>8</v>
      </c>
      <c r="D2078">
        <v>18103.47</v>
      </c>
      <c r="E2078">
        <v>21231.26</v>
      </c>
      <c r="F2078">
        <v>143.44999999999999</v>
      </c>
      <c r="G2078">
        <v>942.23</v>
      </c>
      <c r="H2078">
        <f>E2078*1000000/D2078</f>
        <v>1172772.9545772164</v>
      </c>
      <c r="I2078" t="str">
        <f>IF(AND(B2078&gt;=2018, B2078&lt;=2021), "2018-2021", IF(AND(B2078&gt;=2022, B2078&lt;=2024), "2022-2024", "Other"))</f>
        <v>2018-2021</v>
      </c>
    </row>
    <row r="2079" spans="1:9" x14ac:dyDescent="0.3">
      <c r="A2079" t="s">
        <v>21</v>
      </c>
      <c r="B2079">
        <v>2021</v>
      </c>
      <c r="C2079" t="s">
        <v>0</v>
      </c>
      <c r="D2079">
        <v>48059.11</v>
      </c>
      <c r="E2079">
        <v>40071.599999999999</v>
      </c>
      <c r="F2079">
        <v>80.36</v>
      </c>
      <c r="G2079">
        <v>50.5</v>
      </c>
      <c r="H2079">
        <f>E2079*1000000/D2079</f>
        <v>833798.2122432146</v>
      </c>
      <c r="I2079" t="str">
        <f>IF(AND(B2079&gt;=2018, B2079&lt;=2021), "2018-2021", IF(AND(B2079&gt;=2022, B2079&lt;=2024), "2022-2024", "Other"))</f>
        <v>2018-2021</v>
      </c>
    </row>
    <row r="2080" spans="1:9" x14ac:dyDescent="0.3">
      <c r="A2080" t="s">
        <v>27</v>
      </c>
      <c r="B2080">
        <v>2023</v>
      </c>
      <c r="C2080" t="s">
        <v>9</v>
      </c>
      <c r="D2080">
        <v>15533.74</v>
      </c>
      <c r="E2080">
        <v>16349.63</v>
      </c>
      <c r="F2080">
        <v>127.92</v>
      </c>
      <c r="G2080">
        <v>892.76</v>
      </c>
      <c r="H2080">
        <f>E2080*1000000/D2080</f>
        <v>1052523.7322113027</v>
      </c>
      <c r="I2080" t="str">
        <f>IF(AND(B2080&gt;=2018, B2080&lt;=2021), "2018-2021", IF(AND(B2080&gt;=2022, B2080&lt;=2024), "2022-2024", "Other"))</f>
        <v>2022-2024</v>
      </c>
    </row>
    <row r="2081" spans="1:9" x14ac:dyDescent="0.3">
      <c r="A2081" t="s">
        <v>19</v>
      </c>
      <c r="B2081">
        <v>2019</v>
      </c>
      <c r="C2081" t="s">
        <v>4</v>
      </c>
      <c r="D2081">
        <v>35217.449999999997</v>
      </c>
      <c r="E2081">
        <v>30190.959999999999</v>
      </c>
      <c r="F2081">
        <v>84.34</v>
      </c>
      <c r="G2081">
        <v>901.88</v>
      </c>
      <c r="H2081">
        <f>E2081*1000000/D2081</f>
        <v>857272.74405159953</v>
      </c>
      <c r="I2081" t="str">
        <f>IF(AND(B2081&gt;=2018, B2081&lt;=2021), "2018-2021", IF(AND(B2081&gt;=2022, B2081&lt;=2024), "2022-2024", "Other"))</f>
        <v>2018-2021</v>
      </c>
    </row>
    <row r="2082" spans="1:9" x14ac:dyDescent="0.3">
      <c r="A2082" t="s">
        <v>22</v>
      </c>
      <c r="B2082">
        <v>2024</v>
      </c>
      <c r="C2082" t="s">
        <v>6</v>
      </c>
      <c r="D2082">
        <v>48558.23</v>
      </c>
      <c r="E2082">
        <v>52809.09</v>
      </c>
      <c r="F2082">
        <v>139.97</v>
      </c>
      <c r="G2082">
        <v>486.72</v>
      </c>
      <c r="H2082">
        <f>E2082*1000000/D2082</f>
        <v>1087541.4939959713</v>
      </c>
      <c r="I2082" t="str">
        <f>IF(AND(B2082&gt;=2018, B2082&lt;=2021), "2018-2021", IF(AND(B2082&gt;=2022, B2082&lt;=2024), "2022-2024", "Other"))</f>
        <v>2022-2024</v>
      </c>
    </row>
    <row r="2083" spans="1:9" x14ac:dyDescent="0.3">
      <c r="A2083" t="s">
        <v>13</v>
      </c>
      <c r="B2083">
        <v>2019</v>
      </c>
      <c r="C2083" t="s">
        <v>2</v>
      </c>
      <c r="D2083">
        <v>46203.14</v>
      </c>
      <c r="E2083">
        <v>41490.22</v>
      </c>
      <c r="F2083">
        <v>186.62</v>
      </c>
      <c r="G2083">
        <v>21.1</v>
      </c>
      <c r="H2083">
        <f>E2083*1000000/D2083</f>
        <v>897995.67735006753</v>
      </c>
      <c r="I2083" t="str">
        <f>IF(AND(B2083&gt;=2018, B2083&lt;=2021), "2018-2021", IF(AND(B2083&gt;=2022, B2083&lt;=2024), "2022-2024", "Other"))</f>
        <v>2018-2021</v>
      </c>
    </row>
    <row r="2084" spans="1:9" x14ac:dyDescent="0.3">
      <c r="A2084" t="s">
        <v>23</v>
      </c>
      <c r="B2084">
        <v>2021</v>
      </c>
      <c r="C2084" t="s">
        <v>6</v>
      </c>
      <c r="D2084">
        <v>4551.47</v>
      </c>
      <c r="E2084">
        <v>5409.94</v>
      </c>
      <c r="F2084">
        <v>42.14</v>
      </c>
      <c r="G2084">
        <v>368.51</v>
      </c>
      <c r="H2084">
        <f>E2084*1000000/D2084</f>
        <v>1188613.7885122828</v>
      </c>
      <c r="I2084" t="str">
        <f>IF(AND(B2084&gt;=2018, B2084&lt;=2021), "2018-2021", IF(AND(B2084&gt;=2022, B2084&lt;=2024), "2022-2024", "Other"))</f>
        <v>2018-2021</v>
      </c>
    </row>
    <row r="2085" spans="1:9" x14ac:dyDescent="0.3">
      <c r="A2085" t="s">
        <v>23</v>
      </c>
      <c r="B2085">
        <v>2021</v>
      </c>
      <c r="C2085" t="s">
        <v>14</v>
      </c>
      <c r="D2085">
        <v>29565.599999999999</v>
      </c>
      <c r="E2085">
        <v>24296.799999999999</v>
      </c>
      <c r="F2085">
        <v>25.13</v>
      </c>
      <c r="G2085">
        <v>812.98</v>
      </c>
      <c r="H2085">
        <f>E2085*1000000/D2085</f>
        <v>821792.89444489544</v>
      </c>
      <c r="I2085" t="str">
        <f>IF(AND(B2085&gt;=2018, B2085&lt;=2021), "2018-2021", IF(AND(B2085&gt;=2022, B2085&lt;=2024), "2022-2024", "Other"))</f>
        <v>2018-2021</v>
      </c>
    </row>
    <row r="2086" spans="1:9" x14ac:dyDescent="0.3">
      <c r="A2086" t="s">
        <v>25</v>
      </c>
      <c r="B2086">
        <v>2022</v>
      </c>
      <c r="C2086" t="s">
        <v>2</v>
      </c>
      <c r="D2086">
        <v>46679.66</v>
      </c>
      <c r="E2086">
        <v>50458.52</v>
      </c>
      <c r="F2086">
        <v>97.62</v>
      </c>
      <c r="G2086">
        <v>1104.6199999999999</v>
      </c>
      <c r="H2086">
        <f>E2086*1000000/D2086</f>
        <v>1080953.0317915769</v>
      </c>
      <c r="I2086" t="str">
        <f>IF(AND(B2086&gt;=2018, B2086&lt;=2021), "2018-2021", IF(AND(B2086&gt;=2022, B2086&lt;=2024), "2022-2024", "Other"))</f>
        <v>2022-2024</v>
      </c>
    </row>
    <row r="2087" spans="1:9" x14ac:dyDescent="0.3">
      <c r="A2087" t="s">
        <v>10</v>
      </c>
      <c r="B2087">
        <v>2023</v>
      </c>
      <c r="C2087" t="s">
        <v>8</v>
      </c>
      <c r="D2087">
        <v>3294.79</v>
      </c>
      <c r="E2087">
        <v>3145.7</v>
      </c>
      <c r="F2087">
        <v>36.53</v>
      </c>
      <c r="G2087">
        <v>1157.07</v>
      </c>
      <c r="H2087">
        <f>E2087*1000000/D2087</f>
        <v>954749.77160911623</v>
      </c>
      <c r="I2087" t="str">
        <f>IF(AND(B2087&gt;=2018, B2087&lt;=2021), "2018-2021", IF(AND(B2087&gt;=2022, B2087&lt;=2024), "2022-2024", "Other"))</f>
        <v>2022-2024</v>
      </c>
    </row>
    <row r="2088" spans="1:9" x14ac:dyDescent="0.3">
      <c r="A2088" t="s">
        <v>25</v>
      </c>
      <c r="B2088">
        <v>2021</v>
      </c>
      <c r="C2088" t="s">
        <v>2</v>
      </c>
      <c r="D2088">
        <v>20187.86</v>
      </c>
      <c r="E2088">
        <v>20160.75</v>
      </c>
      <c r="F2088">
        <v>65.91</v>
      </c>
      <c r="G2088">
        <v>436.72</v>
      </c>
      <c r="H2088">
        <f>E2088*1000000/D2088</f>
        <v>998657.11373072723</v>
      </c>
      <c r="I2088" t="str">
        <f>IF(AND(B2088&gt;=2018, B2088&lt;=2021), "2018-2021", IF(AND(B2088&gt;=2022, B2088&lt;=2024), "2022-2024", "Other"))</f>
        <v>2018-2021</v>
      </c>
    </row>
    <row r="2089" spans="1:9" x14ac:dyDescent="0.3">
      <c r="A2089" t="s">
        <v>23</v>
      </c>
      <c r="B2089">
        <v>2018</v>
      </c>
      <c r="C2089" t="s">
        <v>4</v>
      </c>
      <c r="D2089">
        <v>48742.06</v>
      </c>
      <c r="E2089">
        <v>54592.480000000003</v>
      </c>
      <c r="F2089">
        <v>146.71</v>
      </c>
      <c r="G2089">
        <v>1312.09</v>
      </c>
      <c r="H2089">
        <f>E2089*1000000/D2089</f>
        <v>1120028.1645872169</v>
      </c>
      <c r="I2089" t="str">
        <f>IF(AND(B2089&gt;=2018, B2089&lt;=2021), "2018-2021", IF(AND(B2089&gt;=2022, B2089&lt;=2024), "2022-2024", "Other"))</f>
        <v>2018-2021</v>
      </c>
    </row>
    <row r="2090" spans="1:9" x14ac:dyDescent="0.3">
      <c r="A2090" t="s">
        <v>21</v>
      </c>
      <c r="B2090">
        <v>2022</v>
      </c>
      <c r="C2090" t="s">
        <v>4</v>
      </c>
      <c r="D2090">
        <v>14768.04</v>
      </c>
      <c r="E2090">
        <v>14570.61</v>
      </c>
      <c r="F2090">
        <v>90.3</v>
      </c>
      <c r="G2090">
        <v>181.41</v>
      </c>
      <c r="H2090">
        <f>E2090*1000000/D2090</f>
        <v>986631.26589581277</v>
      </c>
      <c r="I2090" t="str">
        <f>IF(AND(B2090&gt;=2018, B2090&lt;=2021), "2018-2021", IF(AND(B2090&gt;=2022, B2090&lt;=2024), "2022-2024", "Other"))</f>
        <v>2022-2024</v>
      </c>
    </row>
    <row r="2091" spans="1:9" x14ac:dyDescent="0.3">
      <c r="A2091" t="s">
        <v>27</v>
      </c>
      <c r="B2091">
        <v>2022</v>
      </c>
      <c r="C2091" t="s">
        <v>0</v>
      </c>
      <c r="D2091">
        <v>45786.18</v>
      </c>
      <c r="E2091">
        <v>40409.74</v>
      </c>
      <c r="F2091">
        <v>187.79</v>
      </c>
      <c r="G2091">
        <v>833.26</v>
      </c>
      <c r="H2091">
        <f>E2091*1000000/D2091</f>
        <v>882575.04775458446</v>
      </c>
      <c r="I2091" t="str">
        <f>IF(AND(B2091&gt;=2018, B2091&lt;=2021), "2018-2021", IF(AND(B2091&gt;=2022, B2091&lt;=2024), "2022-2024", "Other"))</f>
        <v>2022-2024</v>
      </c>
    </row>
    <row r="2092" spans="1:9" x14ac:dyDescent="0.3">
      <c r="A2092" t="s">
        <v>11</v>
      </c>
      <c r="B2092">
        <v>2020</v>
      </c>
      <c r="C2092" t="s">
        <v>12</v>
      </c>
      <c r="D2092">
        <v>13888.93</v>
      </c>
      <c r="E2092">
        <v>13847.95</v>
      </c>
      <c r="F2092">
        <v>182.12</v>
      </c>
      <c r="G2092">
        <v>121.4</v>
      </c>
      <c r="H2092">
        <f>E2092*1000000/D2092</f>
        <v>997049.44873363175</v>
      </c>
      <c r="I2092" t="str">
        <f>IF(AND(B2092&gt;=2018, B2092&lt;=2021), "2018-2021", IF(AND(B2092&gt;=2022, B2092&lt;=2024), "2022-2024", "Other"))</f>
        <v>2018-2021</v>
      </c>
    </row>
    <row r="2093" spans="1:9" x14ac:dyDescent="0.3">
      <c r="A2093" t="s">
        <v>17</v>
      </c>
      <c r="B2093">
        <v>2020</v>
      </c>
      <c r="C2093" t="s">
        <v>14</v>
      </c>
      <c r="D2093">
        <v>14176.85</v>
      </c>
      <c r="E2093">
        <v>11752.96</v>
      </c>
      <c r="F2093">
        <v>20.2</v>
      </c>
      <c r="G2093">
        <v>1152.6199999999999</v>
      </c>
      <c r="H2093">
        <f>E2093*1000000/D2093</f>
        <v>829024.78336160711</v>
      </c>
      <c r="I2093" t="str">
        <f>IF(AND(B2093&gt;=2018, B2093&lt;=2021), "2018-2021", IF(AND(B2093&gt;=2022, B2093&lt;=2024), "2022-2024", "Other"))</f>
        <v>2018-2021</v>
      </c>
    </row>
    <row r="2094" spans="1:9" x14ac:dyDescent="0.3">
      <c r="A2094" t="s">
        <v>21</v>
      </c>
      <c r="B2094">
        <v>2023</v>
      </c>
      <c r="C2094" t="s">
        <v>12</v>
      </c>
      <c r="D2094">
        <v>31350.95</v>
      </c>
      <c r="E2094">
        <v>34430.629999999997</v>
      </c>
      <c r="F2094">
        <v>167.05</v>
      </c>
      <c r="G2094">
        <v>15.95</v>
      </c>
      <c r="H2094">
        <f>E2094*1000000/D2094</f>
        <v>1098232.4299582627</v>
      </c>
      <c r="I2094" t="str">
        <f>IF(AND(B2094&gt;=2018, B2094&lt;=2021), "2018-2021", IF(AND(B2094&gt;=2022, B2094&lt;=2024), "2022-2024", "Other"))</f>
        <v>2022-2024</v>
      </c>
    </row>
    <row r="2095" spans="1:9" x14ac:dyDescent="0.3">
      <c r="A2095" t="s">
        <v>16</v>
      </c>
      <c r="B2095">
        <v>2018</v>
      </c>
      <c r="C2095" t="s">
        <v>14</v>
      </c>
      <c r="D2095">
        <v>38491.57</v>
      </c>
      <c r="E2095">
        <v>45538.559999999998</v>
      </c>
      <c r="F2095">
        <v>95.85</v>
      </c>
      <c r="G2095">
        <v>173.91</v>
      </c>
      <c r="H2095">
        <f>E2095*1000000/D2095</f>
        <v>1183078.7884204255</v>
      </c>
      <c r="I2095" t="str">
        <f>IF(AND(B2095&gt;=2018, B2095&lt;=2021), "2018-2021", IF(AND(B2095&gt;=2022, B2095&lt;=2024), "2022-2024", "Other"))</f>
        <v>2018-2021</v>
      </c>
    </row>
    <row r="2096" spans="1:9" x14ac:dyDescent="0.3">
      <c r="A2096" t="s">
        <v>1</v>
      </c>
      <c r="B2096">
        <v>2022</v>
      </c>
      <c r="C2096" t="s">
        <v>0</v>
      </c>
      <c r="D2096">
        <v>45520.34</v>
      </c>
      <c r="E2096">
        <v>50610.21</v>
      </c>
      <c r="F2096">
        <v>119.5</v>
      </c>
      <c r="G2096">
        <v>218.64</v>
      </c>
      <c r="H2096">
        <f>E2096*1000000/D2096</f>
        <v>1111815.2896046033</v>
      </c>
      <c r="I2096" t="str">
        <f>IF(AND(B2096&gt;=2018, B2096&lt;=2021), "2018-2021", IF(AND(B2096&gt;=2022, B2096&lt;=2024), "2022-2024", "Other"))</f>
        <v>2022-2024</v>
      </c>
    </row>
    <row r="2097" spans="1:9" x14ac:dyDescent="0.3">
      <c r="A2097" t="s">
        <v>18</v>
      </c>
      <c r="B2097">
        <v>2018</v>
      </c>
      <c r="C2097" t="s">
        <v>0</v>
      </c>
      <c r="D2097">
        <v>17678.099999999999</v>
      </c>
      <c r="E2097">
        <v>19199.900000000001</v>
      </c>
      <c r="F2097">
        <v>132.38999999999999</v>
      </c>
      <c r="G2097">
        <v>210.48</v>
      </c>
      <c r="H2097">
        <f>E2097*1000000/D2097</f>
        <v>1086083.9117325959</v>
      </c>
      <c r="I2097" t="str">
        <f>IF(AND(B2097&gt;=2018, B2097&lt;=2021), "2018-2021", IF(AND(B2097&gt;=2022, B2097&lt;=2024), "2022-2024", "Other"))</f>
        <v>2018-2021</v>
      </c>
    </row>
    <row r="2098" spans="1:9" x14ac:dyDescent="0.3">
      <c r="A2098" t="s">
        <v>22</v>
      </c>
      <c r="B2098">
        <v>2024</v>
      </c>
      <c r="C2098" t="s">
        <v>8</v>
      </c>
      <c r="D2098">
        <v>31836.59</v>
      </c>
      <c r="E2098">
        <v>32047.25</v>
      </c>
      <c r="F2098">
        <v>123.61</v>
      </c>
      <c r="G2098">
        <v>734.36</v>
      </c>
      <c r="H2098">
        <f>E2098*1000000/D2098</f>
        <v>1006616.9146884135</v>
      </c>
      <c r="I2098" t="str">
        <f>IF(AND(B2098&gt;=2018, B2098&lt;=2021), "2018-2021", IF(AND(B2098&gt;=2022, B2098&lt;=2024), "2022-2024", "Other"))</f>
        <v>2022-2024</v>
      </c>
    </row>
    <row r="2099" spans="1:9" x14ac:dyDescent="0.3">
      <c r="A2099" t="s">
        <v>16</v>
      </c>
      <c r="B2099">
        <v>2018</v>
      </c>
      <c r="C2099" t="s">
        <v>4</v>
      </c>
      <c r="D2099">
        <v>26638.83</v>
      </c>
      <c r="E2099">
        <v>23003.29</v>
      </c>
      <c r="F2099">
        <v>74.900000000000006</v>
      </c>
      <c r="G2099">
        <v>866.62</v>
      </c>
      <c r="H2099">
        <f>E2099*1000000/D2099</f>
        <v>863524.78693696379</v>
      </c>
      <c r="I2099" t="str">
        <f>IF(AND(B2099&gt;=2018, B2099&lt;=2021), "2018-2021", IF(AND(B2099&gt;=2022, B2099&lt;=2024), "2022-2024", "Other"))</f>
        <v>2018-2021</v>
      </c>
    </row>
    <row r="2100" spans="1:9" x14ac:dyDescent="0.3">
      <c r="A2100" t="s">
        <v>10</v>
      </c>
      <c r="B2100">
        <v>2024</v>
      </c>
      <c r="C2100" t="s">
        <v>8</v>
      </c>
      <c r="D2100">
        <v>38818.58</v>
      </c>
      <c r="E2100">
        <v>42081.85</v>
      </c>
      <c r="F2100">
        <v>66.88</v>
      </c>
      <c r="G2100">
        <v>1355.79</v>
      </c>
      <c r="H2100">
        <f>E2100*1000000/D2100</f>
        <v>1084064.6412104717</v>
      </c>
      <c r="I2100" t="str">
        <f>IF(AND(B2100&gt;=2018, B2100&lt;=2021), "2018-2021", IF(AND(B2100&gt;=2022, B2100&lt;=2024), "2022-2024", "Other"))</f>
        <v>2022-2024</v>
      </c>
    </row>
    <row r="2101" spans="1:9" x14ac:dyDescent="0.3">
      <c r="A2101" t="s">
        <v>19</v>
      </c>
      <c r="B2101">
        <v>2021</v>
      </c>
      <c r="C2101" t="s">
        <v>4</v>
      </c>
      <c r="D2101">
        <v>44918.63</v>
      </c>
      <c r="E2101">
        <v>53620.37</v>
      </c>
      <c r="F2101">
        <v>28.35</v>
      </c>
      <c r="G2101">
        <v>501.21</v>
      </c>
      <c r="H2101">
        <f>E2101*1000000/D2101</f>
        <v>1193722.2929550612</v>
      </c>
      <c r="I2101" t="str">
        <f>IF(AND(B2101&gt;=2018, B2101&lt;=2021), "2018-2021", IF(AND(B2101&gt;=2022, B2101&lt;=2024), "2022-2024", "Other"))</f>
        <v>2018-2021</v>
      </c>
    </row>
    <row r="2102" spans="1:9" x14ac:dyDescent="0.3">
      <c r="A2102" t="s">
        <v>5</v>
      </c>
      <c r="B2102">
        <v>2024</v>
      </c>
      <c r="C2102" t="s">
        <v>6</v>
      </c>
      <c r="D2102">
        <v>5529.26</v>
      </c>
      <c r="E2102">
        <v>5661.64</v>
      </c>
      <c r="F2102">
        <v>190.12</v>
      </c>
      <c r="G2102">
        <v>372.58</v>
      </c>
      <c r="H2102">
        <f>E2102*1000000/D2102</f>
        <v>1023941.7209536176</v>
      </c>
      <c r="I2102" t="str">
        <f>IF(AND(B2102&gt;=2018, B2102&lt;=2021), "2018-2021", IF(AND(B2102&gt;=2022, B2102&lt;=2024), "2022-2024", "Other"))</f>
        <v>2022-2024</v>
      </c>
    </row>
    <row r="2103" spans="1:9" x14ac:dyDescent="0.3">
      <c r="A2103" t="s">
        <v>17</v>
      </c>
      <c r="B2103">
        <v>2024</v>
      </c>
      <c r="C2103" t="s">
        <v>12</v>
      </c>
      <c r="D2103">
        <v>22790.85</v>
      </c>
      <c r="E2103">
        <v>18513.509999999998</v>
      </c>
      <c r="F2103">
        <v>104.57</v>
      </c>
      <c r="G2103">
        <v>382.3</v>
      </c>
      <c r="H2103">
        <f>E2103*1000000/D2103</f>
        <v>812322.05029650067</v>
      </c>
      <c r="I2103" t="str">
        <f>IF(AND(B2103&gt;=2018, B2103&lt;=2021), "2018-2021", IF(AND(B2103&gt;=2022, B2103&lt;=2024), "2022-2024", "Other"))</f>
        <v>2022-2024</v>
      </c>
    </row>
    <row r="2104" spans="1:9" x14ac:dyDescent="0.3">
      <c r="A2104" t="s">
        <v>10</v>
      </c>
      <c r="B2104">
        <v>2019</v>
      </c>
      <c r="C2104" t="s">
        <v>2</v>
      </c>
      <c r="D2104">
        <v>35852.53</v>
      </c>
      <c r="E2104">
        <v>29367.55</v>
      </c>
      <c r="F2104">
        <v>175.99</v>
      </c>
      <c r="G2104">
        <v>969.63</v>
      </c>
      <c r="H2104">
        <f>E2104*1000000/D2104</f>
        <v>819120.71477243036</v>
      </c>
      <c r="I2104" t="str">
        <f>IF(AND(B2104&gt;=2018, B2104&lt;=2021), "2018-2021", IF(AND(B2104&gt;=2022, B2104&lt;=2024), "2022-2024", "Other"))</f>
        <v>2018-2021</v>
      </c>
    </row>
    <row r="2105" spans="1:9" x14ac:dyDescent="0.3">
      <c r="A2105" t="s">
        <v>27</v>
      </c>
      <c r="B2105">
        <v>2019</v>
      </c>
      <c r="C2105" t="s">
        <v>9</v>
      </c>
      <c r="D2105">
        <v>25765.07</v>
      </c>
      <c r="E2105">
        <v>24024.36</v>
      </c>
      <c r="F2105">
        <v>49.22</v>
      </c>
      <c r="G2105">
        <v>479.43</v>
      </c>
      <c r="H2105">
        <f>E2105*1000000/D2105</f>
        <v>932439.1511453297</v>
      </c>
      <c r="I2105" t="str">
        <f>IF(AND(B2105&gt;=2018, B2105&lt;=2021), "2018-2021", IF(AND(B2105&gt;=2022, B2105&lt;=2024), "2022-2024", "Other"))</f>
        <v>2018-2021</v>
      </c>
    </row>
    <row r="2106" spans="1:9" x14ac:dyDescent="0.3">
      <c r="A2106" t="s">
        <v>13</v>
      </c>
      <c r="B2106">
        <v>2018</v>
      </c>
      <c r="C2106" t="s">
        <v>6</v>
      </c>
      <c r="D2106">
        <v>40976.71</v>
      </c>
      <c r="E2106">
        <v>35950.120000000003</v>
      </c>
      <c r="F2106">
        <v>150.22999999999999</v>
      </c>
      <c r="G2106">
        <v>613.04999999999995</v>
      </c>
      <c r="H2106">
        <f>E2106*1000000/D2106</f>
        <v>877330.56167759688</v>
      </c>
      <c r="I2106" t="str">
        <f>IF(AND(B2106&gt;=2018, B2106&lt;=2021), "2018-2021", IF(AND(B2106&gt;=2022, B2106&lt;=2024), "2022-2024", "Other"))</f>
        <v>2018-2021</v>
      </c>
    </row>
    <row r="2107" spans="1:9" x14ac:dyDescent="0.3">
      <c r="A2107" t="s">
        <v>27</v>
      </c>
      <c r="B2107">
        <v>2024</v>
      </c>
      <c r="C2107" t="s">
        <v>4</v>
      </c>
      <c r="D2107">
        <v>18935.150000000001</v>
      </c>
      <c r="E2107">
        <v>21548.3</v>
      </c>
      <c r="F2107">
        <v>168.02</v>
      </c>
      <c r="G2107">
        <v>212.16</v>
      </c>
      <c r="H2107">
        <f>E2107*1000000/D2107</f>
        <v>1138005.2442151236</v>
      </c>
      <c r="I2107" t="str">
        <f>IF(AND(B2107&gt;=2018, B2107&lt;=2021), "2018-2021", IF(AND(B2107&gt;=2022, B2107&lt;=2024), "2022-2024", "Other"))</f>
        <v>2022-2024</v>
      </c>
    </row>
    <row r="2108" spans="1:9" x14ac:dyDescent="0.3">
      <c r="A2108" t="s">
        <v>23</v>
      </c>
      <c r="B2108">
        <v>2019</v>
      </c>
      <c r="C2108" t="s">
        <v>8</v>
      </c>
      <c r="D2108">
        <v>42395.76</v>
      </c>
      <c r="E2108">
        <v>38646.36</v>
      </c>
      <c r="F2108">
        <v>34.090000000000003</v>
      </c>
      <c r="G2108">
        <v>364.5</v>
      </c>
      <c r="H2108">
        <f>E2108*1000000/D2108</f>
        <v>911561.91090807191</v>
      </c>
      <c r="I2108" t="str">
        <f>IF(AND(B2108&gt;=2018, B2108&lt;=2021), "2018-2021", IF(AND(B2108&gt;=2022, B2108&lt;=2024), "2022-2024", "Other"))</f>
        <v>2018-2021</v>
      </c>
    </row>
    <row r="2109" spans="1:9" x14ac:dyDescent="0.3">
      <c r="A2109" t="s">
        <v>19</v>
      </c>
      <c r="B2109">
        <v>2023</v>
      </c>
      <c r="C2109" t="s">
        <v>8</v>
      </c>
      <c r="D2109">
        <v>24204.54</v>
      </c>
      <c r="E2109">
        <v>20642.66</v>
      </c>
      <c r="F2109">
        <v>23.09</v>
      </c>
      <c r="G2109">
        <v>990.67</v>
      </c>
      <c r="H2109">
        <f>E2109*1000000/D2109</f>
        <v>852842.4832696676</v>
      </c>
      <c r="I2109" t="str">
        <f>IF(AND(B2109&gt;=2018, B2109&lt;=2021), "2018-2021", IF(AND(B2109&gt;=2022, B2109&lt;=2024), "2022-2024", "Other"))</f>
        <v>2022-2024</v>
      </c>
    </row>
    <row r="2110" spans="1:9" x14ac:dyDescent="0.3">
      <c r="A2110" t="s">
        <v>1</v>
      </c>
      <c r="B2110">
        <v>2022</v>
      </c>
      <c r="C2110" t="s">
        <v>14</v>
      </c>
      <c r="D2110">
        <v>45069.58</v>
      </c>
      <c r="E2110">
        <v>40138.57</v>
      </c>
      <c r="F2110">
        <v>131.13999999999999</v>
      </c>
      <c r="G2110">
        <v>1165.8699999999999</v>
      </c>
      <c r="H2110">
        <f>E2110*1000000/D2110</f>
        <v>890591.17036369094</v>
      </c>
      <c r="I2110" t="str">
        <f>IF(AND(B2110&gt;=2018, B2110&lt;=2021), "2018-2021", IF(AND(B2110&gt;=2022, B2110&lt;=2024), "2022-2024", "Other"))</f>
        <v>2022-2024</v>
      </c>
    </row>
    <row r="2111" spans="1:9" x14ac:dyDescent="0.3">
      <c r="A2111" t="s">
        <v>24</v>
      </c>
      <c r="B2111">
        <v>2024</v>
      </c>
      <c r="C2111" t="s">
        <v>9</v>
      </c>
      <c r="D2111">
        <v>9773.83</v>
      </c>
      <c r="E2111">
        <v>10242.02</v>
      </c>
      <c r="F2111">
        <v>99.76</v>
      </c>
      <c r="G2111">
        <v>844.89</v>
      </c>
      <c r="H2111">
        <f>E2111*1000000/D2111</f>
        <v>1047902.4087793629</v>
      </c>
      <c r="I2111" t="str">
        <f>IF(AND(B2111&gt;=2018, B2111&lt;=2021), "2018-2021", IF(AND(B2111&gt;=2022, B2111&lt;=2024), "2022-2024", "Other"))</f>
        <v>2022-2024</v>
      </c>
    </row>
    <row r="2112" spans="1:9" x14ac:dyDescent="0.3">
      <c r="A2112" t="s">
        <v>22</v>
      </c>
      <c r="B2112">
        <v>2024</v>
      </c>
      <c r="C2112" t="s">
        <v>0</v>
      </c>
      <c r="D2112">
        <v>5740.99</v>
      </c>
      <c r="E2112">
        <v>5175.08</v>
      </c>
      <c r="F2112">
        <v>26.29</v>
      </c>
      <c r="G2112">
        <v>466.57</v>
      </c>
      <c r="H2112">
        <f>E2112*1000000/D2112</f>
        <v>901426.40903398197</v>
      </c>
      <c r="I2112" t="str">
        <f>IF(AND(B2112&gt;=2018, B2112&lt;=2021), "2018-2021", IF(AND(B2112&gt;=2022, B2112&lt;=2024), "2022-2024", "Other"))</f>
        <v>2022-2024</v>
      </c>
    </row>
    <row r="2113" spans="1:9" x14ac:dyDescent="0.3">
      <c r="A2113" t="s">
        <v>25</v>
      </c>
      <c r="B2113">
        <v>2021</v>
      </c>
      <c r="C2113" t="s">
        <v>14</v>
      </c>
      <c r="D2113">
        <v>43995.32</v>
      </c>
      <c r="E2113">
        <v>42065.42</v>
      </c>
      <c r="F2113">
        <v>196.01</v>
      </c>
      <c r="G2113">
        <v>549.16</v>
      </c>
      <c r="H2113">
        <f>E2113*1000000/D2113</f>
        <v>956133.97061323794</v>
      </c>
      <c r="I2113" t="str">
        <f>IF(AND(B2113&gt;=2018, B2113&lt;=2021), "2018-2021", IF(AND(B2113&gt;=2022, B2113&lt;=2024), "2022-2024", "Other"))</f>
        <v>2018-2021</v>
      </c>
    </row>
    <row r="2114" spans="1:9" x14ac:dyDescent="0.3">
      <c r="A2114" t="s">
        <v>15</v>
      </c>
      <c r="B2114">
        <v>2022</v>
      </c>
      <c r="C2114" t="s">
        <v>6</v>
      </c>
      <c r="D2114">
        <v>18104.97</v>
      </c>
      <c r="E2114">
        <v>19402.95</v>
      </c>
      <c r="F2114">
        <v>118.84</v>
      </c>
      <c r="G2114">
        <v>239.4</v>
      </c>
      <c r="H2114">
        <f>E2114*1000000/D2114</f>
        <v>1071691.9166394642</v>
      </c>
      <c r="I2114" t="str">
        <f>IF(AND(B2114&gt;=2018, B2114&lt;=2021), "2018-2021", IF(AND(B2114&gt;=2022, B2114&lt;=2024), "2022-2024", "Other"))</f>
        <v>2022-2024</v>
      </c>
    </row>
    <row r="2115" spans="1:9" x14ac:dyDescent="0.3">
      <c r="A2115" t="s">
        <v>26</v>
      </c>
      <c r="B2115">
        <v>2018</v>
      </c>
      <c r="C2115" t="s">
        <v>0</v>
      </c>
      <c r="D2115">
        <v>19047.060000000001</v>
      </c>
      <c r="E2115">
        <v>17664.740000000002</v>
      </c>
      <c r="F2115">
        <v>33.39</v>
      </c>
      <c r="G2115">
        <v>1229.68</v>
      </c>
      <c r="H2115">
        <f>E2115*1000000/D2115</f>
        <v>927426.06995515316</v>
      </c>
      <c r="I2115" t="str">
        <f>IF(AND(B2115&gt;=2018, B2115&lt;=2021), "2018-2021", IF(AND(B2115&gt;=2022, B2115&lt;=2024), "2022-2024", "Other"))</f>
        <v>2018-2021</v>
      </c>
    </row>
    <row r="2116" spans="1:9" x14ac:dyDescent="0.3">
      <c r="A2116" t="s">
        <v>16</v>
      </c>
      <c r="B2116">
        <v>2024</v>
      </c>
      <c r="C2116" t="s">
        <v>12</v>
      </c>
      <c r="D2116">
        <v>39012.379999999997</v>
      </c>
      <c r="E2116">
        <v>39009.82</v>
      </c>
      <c r="F2116">
        <v>97.73</v>
      </c>
      <c r="G2116">
        <v>150.37</v>
      </c>
      <c r="H2116">
        <f>E2116*1000000/D2116</f>
        <v>999934.37980456464</v>
      </c>
      <c r="I2116" t="str">
        <f>IF(AND(B2116&gt;=2018, B2116&lt;=2021), "2018-2021", IF(AND(B2116&gt;=2022, B2116&lt;=2024), "2022-2024", "Other"))</f>
        <v>2022-2024</v>
      </c>
    </row>
    <row r="2117" spans="1:9" x14ac:dyDescent="0.3">
      <c r="A2117" t="s">
        <v>15</v>
      </c>
      <c r="B2117">
        <v>2023</v>
      </c>
      <c r="C2117" t="s">
        <v>2</v>
      </c>
      <c r="D2117">
        <v>39163.83</v>
      </c>
      <c r="E2117">
        <v>36725.5</v>
      </c>
      <c r="F2117">
        <v>96.93</v>
      </c>
      <c r="G2117">
        <v>1354.12</v>
      </c>
      <c r="H2117">
        <f>E2117*1000000/D2117</f>
        <v>937740.25676242588</v>
      </c>
      <c r="I2117" t="str">
        <f>IF(AND(B2117&gt;=2018, B2117&lt;=2021), "2018-2021", IF(AND(B2117&gt;=2022, B2117&lt;=2024), "2022-2024", "Other"))</f>
        <v>2022-2024</v>
      </c>
    </row>
    <row r="2118" spans="1:9" x14ac:dyDescent="0.3">
      <c r="A2118" t="s">
        <v>10</v>
      </c>
      <c r="B2118">
        <v>2018</v>
      </c>
      <c r="C2118" t="s">
        <v>6</v>
      </c>
      <c r="D2118">
        <v>23303.86</v>
      </c>
      <c r="E2118">
        <v>22250.07</v>
      </c>
      <c r="F2118">
        <v>152.59</v>
      </c>
      <c r="G2118">
        <v>277.45</v>
      </c>
      <c r="H2118">
        <f>E2118*1000000/D2118</f>
        <v>954780.45268037135</v>
      </c>
      <c r="I2118" t="str">
        <f>IF(AND(B2118&gt;=2018, B2118&lt;=2021), "2018-2021", IF(AND(B2118&gt;=2022, B2118&lt;=2024), "2022-2024", "Other"))</f>
        <v>2018-2021</v>
      </c>
    </row>
    <row r="2119" spans="1:9" x14ac:dyDescent="0.3">
      <c r="A2119" t="s">
        <v>27</v>
      </c>
      <c r="B2119">
        <v>2022</v>
      </c>
      <c r="C2119" t="s">
        <v>6</v>
      </c>
      <c r="D2119">
        <v>35237.47</v>
      </c>
      <c r="E2119">
        <v>35622.629999999997</v>
      </c>
      <c r="F2119">
        <v>116.27</v>
      </c>
      <c r="G2119">
        <v>1369.87</v>
      </c>
      <c r="H2119">
        <f>E2119*1000000/D2119</f>
        <v>1010930.4101571423</v>
      </c>
      <c r="I2119" t="str">
        <f>IF(AND(B2119&gt;=2018, B2119&lt;=2021), "2018-2021", IF(AND(B2119&gt;=2022, B2119&lt;=2024), "2022-2024", "Other"))</f>
        <v>2022-2024</v>
      </c>
    </row>
    <row r="2120" spans="1:9" x14ac:dyDescent="0.3">
      <c r="A2120" t="s">
        <v>16</v>
      </c>
      <c r="B2120">
        <v>2020</v>
      </c>
      <c r="C2120" t="s">
        <v>2</v>
      </c>
      <c r="D2120">
        <v>2825.5</v>
      </c>
      <c r="E2120">
        <v>2953.1</v>
      </c>
      <c r="F2120">
        <v>121.89</v>
      </c>
      <c r="G2120">
        <v>707.47</v>
      </c>
      <c r="H2120">
        <f>E2120*1000000/D2120</f>
        <v>1045160.1486462574</v>
      </c>
      <c r="I2120" t="str">
        <f>IF(AND(B2120&gt;=2018, B2120&lt;=2021), "2018-2021", IF(AND(B2120&gt;=2022, B2120&lt;=2024), "2022-2024", "Other"))</f>
        <v>2018-2021</v>
      </c>
    </row>
    <row r="2121" spans="1:9" x14ac:dyDescent="0.3">
      <c r="A2121" t="s">
        <v>25</v>
      </c>
      <c r="B2121">
        <v>2024</v>
      </c>
      <c r="C2121" t="s">
        <v>12</v>
      </c>
      <c r="D2121">
        <v>27293.62</v>
      </c>
      <c r="E2121">
        <v>22003.31</v>
      </c>
      <c r="F2121">
        <v>61.47</v>
      </c>
      <c r="G2121">
        <v>264.66000000000003</v>
      </c>
      <c r="H2121">
        <f>E2121*1000000/D2121</f>
        <v>806170.45302162191</v>
      </c>
      <c r="I2121" t="str">
        <f>IF(AND(B2121&gt;=2018, B2121&lt;=2021), "2018-2021", IF(AND(B2121&gt;=2022, B2121&lt;=2024), "2022-2024", "Other"))</f>
        <v>2022-2024</v>
      </c>
    </row>
    <row r="2122" spans="1:9" x14ac:dyDescent="0.3">
      <c r="A2122" t="s">
        <v>22</v>
      </c>
      <c r="B2122">
        <v>2018</v>
      </c>
      <c r="C2122" t="s">
        <v>9</v>
      </c>
      <c r="D2122">
        <v>39820.97</v>
      </c>
      <c r="E2122">
        <v>33844.29</v>
      </c>
      <c r="F2122">
        <v>176.03</v>
      </c>
      <c r="G2122">
        <v>287.47000000000003</v>
      </c>
      <c r="H2122">
        <f>E2122*1000000/D2122</f>
        <v>849911.24023347499</v>
      </c>
      <c r="I2122" t="str">
        <f>IF(AND(B2122&gt;=2018, B2122&lt;=2021), "2018-2021", IF(AND(B2122&gt;=2022, B2122&lt;=2024), "2022-2024", "Other"))</f>
        <v>2018-2021</v>
      </c>
    </row>
    <row r="2123" spans="1:9" x14ac:dyDescent="0.3">
      <c r="A2123" t="s">
        <v>27</v>
      </c>
      <c r="B2123">
        <v>2020</v>
      </c>
      <c r="C2123" t="s">
        <v>12</v>
      </c>
      <c r="D2123">
        <v>43384.58</v>
      </c>
      <c r="E2123">
        <v>35806.129999999997</v>
      </c>
      <c r="F2123">
        <v>30.81</v>
      </c>
      <c r="G2123">
        <v>1190.1099999999999</v>
      </c>
      <c r="H2123">
        <f>E2123*1000000/D2123</f>
        <v>825319.27242351999</v>
      </c>
      <c r="I2123" t="str">
        <f>IF(AND(B2123&gt;=2018, B2123&lt;=2021), "2018-2021", IF(AND(B2123&gt;=2022, B2123&lt;=2024), "2022-2024", "Other"))</f>
        <v>2018-2021</v>
      </c>
    </row>
    <row r="2124" spans="1:9" x14ac:dyDescent="0.3">
      <c r="A2124" t="s">
        <v>27</v>
      </c>
      <c r="B2124">
        <v>2019</v>
      </c>
      <c r="C2124" t="s">
        <v>2</v>
      </c>
      <c r="D2124">
        <v>21214.86</v>
      </c>
      <c r="E2124">
        <v>24592.880000000001</v>
      </c>
      <c r="F2124">
        <v>95.32</v>
      </c>
      <c r="G2124">
        <v>1050.8</v>
      </c>
      <c r="H2124">
        <f>E2124*1000000/D2124</f>
        <v>1159228.9555528529</v>
      </c>
      <c r="I2124" t="str">
        <f>IF(AND(B2124&gt;=2018, B2124&lt;=2021), "2018-2021", IF(AND(B2124&gt;=2022, B2124&lt;=2024), "2022-2024", "Other"))</f>
        <v>2018-2021</v>
      </c>
    </row>
    <row r="2125" spans="1:9" x14ac:dyDescent="0.3">
      <c r="A2125" t="s">
        <v>23</v>
      </c>
      <c r="B2125">
        <v>2021</v>
      </c>
      <c r="C2125" t="s">
        <v>6</v>
      </c>
      <c r="D2125">
        <v>33055.94</v>
      </c>
      <c r="E2125">
        <v>38140.550000000003</v>
      </c>
      <c r="F2125">
        <v>153.69999999999999</v>
      </c>
      <c r="G2125">
        <v>940.08</v>
      </c>
      <c r="H2125">
        <f>E2125*1000000/D2125</f>
        <v>1153818.3455076455</v>
      </c>
      <c r="I2125" t="str">
        <f>IF(AND(B2125&gt;=2018, B2125&lt;=2021), "2018-2021", IF(AND(B2125&gt;=2022, B2125&lt;=2024), "2022-2024", "Other"))</f>
        <v>2018-2021</v>
      </c>
    </row>
    <row r="2126" spans="1:9" x14ac:dyDescent="0.3">
      <c r="A2126" t="s">
        <v>26</v>
      </c>
      <c r="B2126">
        <v>2024</v>
      </c>
      <c r="C2126" t="s">
        <v>2</v>
      </c>
      <c r="D2126">
        <v>12148.55</v>
      </c>
      <c r="E2126">
        <v>10214.129999999999</v>
      </c>
      <c r="F2126">
        <v>68.7</v>
      </c>
      <c r="G2126">
        <v>1209.48</v>
      </c>
      <c r="H2126">
        <f>E2126*1000000/D2126</f>
        <v>840769.47454634507</v>
      </c>
      <c r="I2126" t="str">
        <f>IF(AND(B2126&gt;=2018, B2126&lt;=2021), "2018-2021", IF(AND(B2126&gt;=2022, B2126&lt;=2024), "2022-2024", "Other"))</f>
        <v>2022-2024</v>
      </c>
    </row>
    <row r="2127" spans="1:9" x14ac:dyDescent="0.3">
      <c r="A2127" t="s">
        <v>18</v>
      </c>
      <c r="B2127">
        <v>2024</v>
      </c>
      <c r="C2127" t="s">
        <v>0</v>
      </c>
      <c r="D2127">
        <v>27987.95</v>
      </c>
      <c r="E2127">
        <v>24427.79</v>
      </c>
      <c r="F2127">
        <v>66.28</v>
      </c>
      <c r="G2127">
        <v>91.78</v>
      </c>
      <c r="H2127">
        <f>E2127*1000000/D2127</f>
        <v>872796.68571653159</v>
      </c>
      <c r="I2127" t="str">
        <f>IF(AND(B2127&gt;=2018, B2127&lt;=2021), "2018-2021", IF(AND(B2127&gt;=2022, B2127&lt;=2024), "2022-2024", "Other"))</f>
        <v>2022-2024</v>
      </c>
    </row>
    <row r="2128" spans="1:9" x14ac:dyDescent="0.3">
      <c r="A2128" t="s">
        <v>23</v>
      </c>
      <c r="B2128">
        <v>2023</v>
      </c>
      <c r="C2128" t="s">
        <v>4</v>
      </c>
      <c r="D2128">
        <v>5117.51</v>
      </c>
      <c r="E2128">
        <v>5392.38</v>
      </c>
      <c r="F2128">
        <v>44.55</v>
      </c>
      <c r="G2128">
        <v>521.32000000000005</v>
      </c>
      <c r="H2128">
        <f>E2128*1000000/D2128</f>
        <v>1053711.6683699689</v>
      </c>
      <c r="I2128" t="str">
        <f>IF(AND(B2128&gt;=2018, B2128&lt;=2021), "2018-2021", IF(AND(B2128&gt;=2022, B2128&lt;=2024), "2022-2024", "Other"))</f>
        <v>2022-2024</v>
      </c>
    </row>
    <row r="2129" spans="1:9" x14ac:dyDescent="0.3">
      <c r="A2129" t="s">
        <v>17</v>
      </c>
      <c r="B2129">
        <v>2022</v>
      </c>
      <c r="C2129" t="s">
        <v>4</v>
      </c>
      <c r="D2129">
        <v>26712.79</v>
      </c>
      <c r="E2129">
        <v>26848.34</v>
      </c>
      <c r="F2129">
        <v>66.14</v>
      </c>
      <c r="G2129">
        <v>761.93</v>
      </c>
      <c r="H2129">
        <f>E2129*1000000/D2129</f>
        <v>1005074.3482803556</v>
      </c>
      <c r="I2129" t="str">
        <f>IF(AND(B2129&gt;=2018, B2129&lt;=2021), "2018-2021", IF(AND(B2129&gt;=2022, B2129&lt;=2024), "2022-2024", "Other"))</f>
        <v>2022-2024</v>
      </c>
    </row>
    <row r="2130" spans="1:9" x14ac:dyDescent="0.3">
      <c r="A2130" t="s">
        <v>17</v>
      </c>
      <c r="B2130">
        <v>2019</v>
      </c>
      <c r="C2130" t="s">
        <v>2</v>
      </c>
      <c r="D2130">
        <v>4136.84</v>
      </c>
      <c r="E2130">
        <v>4577.87</v>
      </c>
      <c r="F2130">
        <v>185.34</v>
      </c>
      <c r="G2130">
        <v>412.77</v>
      </c>
      <c r="H2130">
        <f>E2130*1000000/D2130</f>
        <v>1106610.3595981475</v>
      </c>
      <c r="I2130" t="str">
        <f>IF(AND(B2130&gt;=2018, B2130&lt;=2021), "2018-2021", IF(AND(B2130&gt;=2022, B2130&lt;=2024), "2022-2024", "Other"))</f>
        <v>2018-2021</v>
      </c>
    </row>
    <row r="2131" spans="1:9" x14ac:dyDescent="0.3">
      <c r="A2131" t="s">
        <v>11</v>
      </c>
      <c r="B2131">
        <v>2020</v>
      </c>
      <c r="C2131" t="s">
        <v>2</v>
      </c>
      <c r="D2131">
        <v>46052.18</v>
      </c>
      <c r="E2131">
        <v>43337.13</v>
      </c>
      <c r="F2131">
        <v>159.18</v>
      </c>
      <c r="G2131">
        <v>1174.6400000000001</v>
      </c>
      <c r="H2131">
        <f>E2131*1000000/D2131</f>
        <v>941044.050466232</v>
      </c>
      <c r="I2131" t="str">
        <f>IF(AND(B2131&gt;=2018, B2131&lt;=2021), "2018-2021", IF(AND(B2131&gt;=2022, B2131&lt;=2024), "2022-2024", "Other"))</f>
        <v>2018-2021</v>
      </c>
    </row>
    <row r="2132" spans="1:9" x14ac:dyDescent="0.3">
      <c r="A2132" t="s">
        <v>17</v>
      </c>
      <c r="B2132">
        <v>2024</v>
      </c>
      <c r="C2132" t="s">
        <v>9</v>
      </c>
      <c r="D2132">
        <v>14821.69</v>
      </c>
      <c r="E2132">
        <v>15577.51</v>
      </c>
      <c r="F2132">
        <v>141.58000000000001</v>
      </c>
      <c r="G2132">
        <v>541.52</v>
      </c>
      <c r="H2132">
        <f>E2132*1000000/D2132</f>
        <v>1050994.1848736547</v>
      </c>
      <c r="I2132" t="str">
        <f>IF(AND(B2132&gt;=2018, B2132&lt;=2021), "2018-2021", IF(AND(B2132&gt;=2022, B2132&lt;=2024), "2022-2024", "Other"))</f>
        <v>2022-2024</v>
      </c>
    </row>
    <row r="2133" spans="1:9" x14ac:dyDescent="0.3">
      <c r="A2133" t="s">
        <v>25</v>
      </c>
      <c r="B2133">
        <v>2024</v>
      </c>
      <c r="C2133" t="s">
        <v>9</v>
      </c>
      <c r="D2133">
        <v>40414.19</v>
      </c>
      <c r="E2133">
        <v>42394.85</v>
      </c>
      <c r="F2133">
        <v>188.16</v>
      </c>
      <c r="G2133">
        <v>327.10000000000002</v>
      </c>
      <c r="H2133">
        <f>E2133*1000000/D2133</f>
        <v>1049009.0238106961</v>
      </c>
      <c r="I2133" t="str">
        <f>IF(AND(B2133&gt;=2018, B2133&lt;=2021), "2018-2021", IF(AND(B2133&gt;=2022, B2133&lt;=2024), "2022-2024", "Other"))</f>
        <v>2022-2024</v>
      </c>
    </row>
    <row r="2134" spans="1:9" x14ac:dyDescent="0.3">
      <c r="A2134" t="s">
        <v>20</v>
      </c>
      <c r="B2134">
        <v>2023</v>
      </c>
      <c r="C2134" t="s">
        <v>14</v>
      </c>
      <c r="D2134">
        <v>21409.3</v>
      </c>
      <c r="E2134">
        <v>24661.22</v>
      </c>
      <c r="F2134">
        <v>159.22</v>
      </c>
      <c r="G2134">
        <v>1252.33</v>
      </c>
      <c r="H2134">
        <f>E2134*1000000/D2134</f>
        <v>1151892.8689868422</v>
      </c>
      <c r="I2134" t="str">
        <f>IF(AND(B2134&gt;=2018, B2134&lt;=2021), "2018-2021", IF(AND(B2134&gt;=2022, B2134&lt;=2024), "2022-2024", "Other"))</f>
        <v>2022-2024</v>
      </c>
    </row>
    <row r="2135" spans="1:9" x14ac:dyDescent="0.3">
      <c r="A2135" t="s">
        <v>13</v>
      </c>
      <c r="B2135">
        <v>2023</v>
      </c>
      <c r="C2135" t="s">
        <v>12</v>
      </c>
      <c r="D2135">
        <v>41572.870000000003</v>
      </c>
      <c r="E2135">
        <v>49079.89</v>
      </c>
      <c r="F2135">
        <v>146.02000000000001</v>
      </c>
      <c r="G2135">
        <v>190.57</v>
      </c>
      <c r="H2135">
        <f>E2135*1000000/D2135</f>
        <v>1180574.9759398375</v>
      </c>
      <c r="I2135" t="str">
        <f>IF(AND(B2135&gt;=2018, B2135&lt;=2021), "2018-2021", IF(AND(B2135&gt;=2022, B2135&lt;=2024), "2022-2024", "Other"))</f>
        <v>2022-2024</v>
      </c>
    </row>
    <row r="2136" spans="1:9" x14ac:dyDescent="0.3">
      <c r="A2136" t="s">
        <v>27</v>
      </c>
      <c r="B2136">
        <v>2020</v>
      </c>
      <c r="C2136" t="s">
        <v>8</v>
      </c>
      <c r="D2136">
        <v>30679.1</v>
      </c>
      <c r="E2136">
        <v>26443.919999999998</v>
      </c>
      <c r="F2136">
        <v>172.8</v>
      </c>
      <c r="G2136">
        <v>1196.67</v>
      </c>
      <c r="H2136">
        <f>E2136*1000000/D2136</f>
        <v>861952.27369772911</v>
      </c>
      <c r="I2136" t="str">
        <f>IF(AND(B2136&gt;=2018, B2136&lt;=2021), "2018-2021", IF(AND(B2136&gt;=2022, B2136&lt;=2024), "2022-2024", "Other"))</f>
        <v>2018-2021</v>
      </c>
    </row>
    <row r="2137" spans="1:9" x14ac:dyDescent="0.3">
      <c r="A2137" t="s">
        <v>22</v>
      </c>
      <c r="B2137">
        <v>2021</v>
      </c>
      <c r="C2137" t="s">
        <v>2</v>
      </c>
      <c r="D2137">
        <v>41606.089999999997</v>
      </c>
      <c r="E2137">
        <v>46877.29</v>
      </c>
      <c r="F2137">
        <v>187.42</v>
      </c>
      <c r="G2137">
        <v>213.05</v>
      </c>
      <c r="H2137">
        <f>E2137*1000000/D2137</f>
        <v>1126692.9913385278</v>
      </c>
      <c r="I2137" t="str">
        <f>IF(AND(B2137&gt;=2018, B2137&lt;=2021), "2018-2021", IF(AND(B2137&gt;=2022, B2137&lt;=2024), "2022-2024", "Other"))</f>
        <v>2018-2021</v>
      </c>
    </row>
    <row r="2138" spans="1:9" x14ac:dyDescent="0.3">
      <c r="A2138" t="s">
        <v>5</v>
      </c>
      <c r="B2138">
        <v>2020</v>
      </c>
      <c r="C2138" t="s">
        <v>14</v>
      </c>
      <c r="D2138">
        <v>21039.47</v>
      </c>
      <c r="E2138">
        <v>19017.97</v>
      </c>
      <c r="F2138">
        <v>160.55000000000001</v>
      </c>
      <c r="G2138">
        <v>74.05</v>
      </c>
      <c r="H2138">
        <f>E2138*1000000/D2138</f>
        <v>903918.68236224575</v>
      </c>
      <c r="I2138" t="str">
        <f>IF(AND(B2138&gt;=2018, B2138&lt;=2021), "2018-2021", IF(AND(B2138&gt;=2022, B2138&lt;=2024), "2022-2024", "Other"))</f>
        <v>2018-2021</v>
      </c>
    </row>
    <row r="2139" spans="1:9" x14ac:dyDescent="0.3">
      <c r="A2139" t="s">
        <v>16</v>
      </c>
      <c r="B2139">
        <v>2021</v>
      </c>
      <c r="C2139" t="s">
        <v>8</v>
      </c>
      <c r="D2139">
        <v>25425.119999999999</v>
      </c>
      <c r="E2139">
        <v>24747.72</v>
      </c>
      <c r="F2139">
        <v>36.17</v>
      </c>
      <c r="G2139">
        <v>753.99</v>
      </c>
      <c r="H2139">
        <f>E2139*1000000/D2139</f>
        <v>973357.05790179165</v>
      </c>
      <c r="I2139" t="str">
        <f>IF(AND(B2139&gt;=2018, B2139&lt;=2021), "2018-2021", IF(AND(B2139&gt;=2022, B2139&lt;=2024), "2022-2024", "Other"))</f>
        <v>2018-2021</v>
      </c>
    </row>
    <row r="2140" spans="1:9" x14ac:dyDescent="0.3">
      <c r="A2140" t="s">
        <v>18</v>
      </c>
      <c r="B2140">
        <v>2019</v>
      </c>
      <c r="C2140" t="s">
        <v>4</v>
      </c>
      <c r="D2140">
        <v>23334.880000000001</v>
      </c>
      <c r="E2140">
        <v>19766.990000000002</v>
      </c>
      <c r="F2140">
        <v>129.91999999999999</v>
      </c>
      <c r="G2140">
        <v>17.13</v>
      </c>
      <c r="H2140">
        <f>E2140*1000000/D2140</f>
        <v>847100.56361978292</v>
      </c>
      <c r="I2140" t="str">
        <f>IF(AND(B2140&gt;=2018, B2140&lt;=2021), "2018-2021", IF(AND(B2140&gt;=2022, B2140&lt;=2024), "2022-2024", "Other"))</f>
        <v>2018-2021</v>
      </c>
    </row>
    <row r="2141" spans="1:9" x14ac:dyDescent="0.3">
      <c r="A2141" t="s">
        <v>23</v>
      </c>
      <c r="B2141">
        <v>2023</v>
      </c>
      <c r="C2141" t="s">
        <v>2</v>
      </c>
      <c r="D2141">
        <v>35263.78</v>
      </c>
      <c r="E2141">
        <v>32027.17</v>
      </c>
      <c r="F2141">
        <v>114.62</v>
      </c>
      <c r="G2141">
        <v>772.03</v>
      </c>
      <c r="H2141">
        <f>E2141*1000000/D2141</f>
        <v>908217.15652717894</v>
      </c>
      <c r="I2141" t="str">
        <f>IF(AND(B2141&gt;=2018, B2141&lt;=2021), "2018-2021", IF(AND(B2141&gt;=2022, B2141&lt;=2024), "2022-2024", "Other"))</f>
        <v>2022-2024</v>
      </c>
    </row>
    <row r="2142" spans="1:9" x14ac:dyDescent="0.3">
      <c r="A2142" t="s">
        <v>16</v>
      </c>
      <c r="B2142">
        <v>2020</v>
      </c>
      <c r="C2142" t="s">
        <v>6</v>
      </c>
      <c r="D2142">
        <v>7513.39</v>
      </c>
      <c r="E2142">
        <v>7177.18</v>
      </c>
      <c r="F2142">
        <v>55.46</v>
      </c>
      <c r="G2142">
        <v>166.15</v>
      </c>
      <c r="H2142">
        <f>E2142*1000000/D2142</f>
        <v>955251.89029186557</v>
      </c>
      <c r="I2142" t="str">
        <f>IF(AND(B2142&gt;=2018, B2142&lt;=2021), "2018-2021", IF(AND(B2142&gt;=2022, B2142&lt;=2024), "2022-2024", "Other"))</f>
        <v>2018-2021</v>
      </c>
    </row>
    <row r="2143" spans="1:9" x14ac:dyDescent="0.3">
      <c r="A2143" t="s">
        <v>3</v>
      </c>
      <c r="B2143">
        <v>2018</v>
      </c>
      <c r="C2143" t="s">
        <v>14</v>
      </c>
      <c r="D2143">
        <v>2080.02</v>
      </c>
      <c r="E2143">
        <v>1859.92</v>
      </c>
      <c r="F2143">
        <v>31.43</v>
      </c>
      <c r="G2143">
        <v>57.28</v>
      </c>
      <c r="H2143">
        <f>E2143*1000000/D2143</f>
        <v>894183.70977202139</v>
      </c>
      <c r="I2143" t="str">
        <f>IF(AND(B2143&gt;=2018, B2143&lt;=2021), "2018-2021", IF(AND(B2143&gt;=2022, B2143&lt;=2024), "2022-2024", "Other"))</f>
        <v>2018-2021</v>
      </c>
    </row>
    <row r="2144" spans="1:9" x14ac:dyDescent="0.3">
      <c r="A2144" t="s">
        <v>13</v>
      </c>
      <c r="B2144">
        <v>2024</v>
      </c>
      <c r="C2144" t="s">
        <v>14</v>
      </c>
      <c r="D2144">
        <v>13535.23</v>
      </c>
      <c r="E2144">
        <v>15210.86</v>
      </c>
      <c r="F2144">
        <v>185.76</v>
      </c>
      <c r="G2144">
        <v>490.98</v>
      </c>
      <c r="H2144">
        <f>E2144*1000000/D2144</f>
        <v>1123797.6746608666</v>
      </c>
      <c r="I2144" t="str">
        <f>IF(AND(B2144&gt;=2018, B2144&lt;=2021), "2018-2021", IF(AND(B2144&gt;=2022, B2144&lt;=2024), "2022-2024", "Other"))</f>
        <v>2022-2024</v>
      </c>
    </row>
    <row r="2145" spans="1:9" x14ac:dyDescent="0.3">
      <c r="A2145" t="s">
        <v>22</v>
      </c>
      <c r="B2145">
        <v>2024</v>
      </c>
      <c r="C2145" t="s">
        <v>6</v>
      </c>
      <c r="D2145">
        <v>36016.89</v>
      </c>
      <c r="E2145">
        <v>37081.949999999997</v>
      </c>
      <c r="F2145">
        <v>86.78</v>
      </c>
      <c r="G2145">
        <v>774.29</v>
      </c>
      <c r="H2145">
        <f>E2145*1000000/D2145</f>
        <v>1029571.1262132849</v>
      </c>
      <c r="I2145" t="str">
        <f>IF(AND(B2145&gt;=2018, B2145&lt;=2021), "2018-2021", IF(AND(B2145&gt;=2022, B2145&lt;=2024), "2022-2024", "Other"))</f>
        <v>2022-2024</v>
      </c>
    </row>
    <row r="2146" spans="1:9" x14ac:dyDescent="0.3">
      <c r="A2146" t="s">
        <v>10</v>
      </c>
      <c r="B2146">
        <v>2022</v>
      </c>
      <c r="C2146" t="s">
        <v>6</v>
      </c>
      <c r="D2146">
        <v>32439.13</v>
      </c>
      <c r="E2146">
        <v>37580.81</v>
      </c>
      <c r="F2146">
        <v>164.52</v>
      </c>
      <c r="G2146">
        <v>696.56</v>
      </c>
      <c r="H2146">
        <f>E2146*1000000/D2146</f>
        <v>1158502.4012666184</v>
      </c>
      <c r="I2146" t="str">
        <f>IF(AND(B2146&gt;=2018, B2146&lt;=2021), "2018-2021", IF(AND(B2146&gt;=2022, B2146&lt;=2024), "2022-2024", "Other"))</f>
        <v>2022-2024</v>
      </c>
    </row>
    <row r="2147" spans="1:9" x14ac:dyDescent="0.3">
      <c r="A2147" t="s">
        <v>16</v>
      </c>
      <c r="B2147">
        <v>2019</v>
      </c>
      <c r="C2147" t="s">
        <v>14</v>
      </c>
      <c r="D2147">
        <v>43405.29</v>
      </c>
      <c r="E2147">
        <v>39288.870000000003</v>
      </c>
      <c r="F2147">
        <v>140.93</v>
      </c>
      <c r="G2147">
        <v>17.010000000000002</v>
      </c>
      <c r="H2147">
        <f>E2147*1000000/D2147</f>
        <v>905163.17250731413</v>
      </c>
      <c r="I2147" t="str">
        <f>IF(AND(B2147&gt;=2018, B2147&lt;=2021), "2018-2021", IF(AND(B2147&gt;=2022, B2147&lt;=2024), "2022-2024", "Other"))</f>
        <v>2018-2021</v>
      </c>
    </row>
    <row r="2148" spans="1:9" x14ac:dyDescent="0.3">
      <c r="A2148" t="s">
        <v>1</v>
      </c>
      <c r="B2148">
        <v>2018</v>
      </c>
      <c r="C2148" t="s">
        <v>14</v>
      </c>
      <c r="D2148">
        <v>37398.57</v>
      </c>
      <c r="E2148">
        <v>30512.12</v>
      </c>
      <c r="F2148">
        <v>74.16</v>
      </c>
      <c r="G2148">
        <v>976.51</v>
      </c>
      <c r="H2148">
        <f>E2148*1000000/D2148</f>
        <v>815863.28033398069</v>
      </c>
      <c r="I2148" t="str">
        <f>IF(AND(B2148&gt;=2018, B2148&lt;=2021), "2018-2021", IF(AND(B2148&gt;=2022, B2148&lt;=2024), "2022-2024", "Other"))</f>
        <v>2018-2021</v>
      </c>
    </row>
    <row r="2149" spans="1:9" x14ac:dyDescent="0.3">
      <c r="A2149" t="s">
        <v>7</v>
      </c>
      <c r="B2149">
        <v>2022</v>
      </c>
      <c r="C2149" t="s">
        <v>6</v>
      </c>
      <c r="D2149">
        <v>25172.33</v>
      </c>
      <c r="E2149">
        <v>22498.63</v>
      </c>
      <c r="F2149">
        <v>111.99</v>
      </c>
      <c r="G2149">
        <v>958.92</v>
      </c>
      <c r="H2149">
        <f>E2149*1000000/D2149</f>
        <v>893784.16698017216</v>
      </c>
      <c r="I2149" t="str">
        <f>IF(AND(B2149&gt;=2018, B2149&lt;=2021), "2018-2021", IF(AND(B2149&gt;=2022, B2149&lt;=2024), "2022-2024", "Other"))</f>
        <v>2022-2024</v>
      </c>
    </row>
    <row r="2150" spans="1:9" x14ac:dyDescent="0.3">
      <c r="A2150" t="s">
        <v>11</v>
      </c>
      <c r="B2150">
        <v>2022</v>
      </c>
      <c r="C2150" t="s">
        <v>9</v>
      </c>
      <c r="D2150">
        <v>20091.78</v>
      </c>
      <c r="E2150">
        <v>17367.8</v>
      </c>
      <c r="F2150">
        <v>156.4</v>
      </c>
      <c r="G2150">
        <v>1355.95</v>
      </c>
      <c r="H2150">
        <f>E2150*1000000/D2150</f>
        <v>864423.16210908152</v>
      </c>
      <c r="I2150" t="str">
        <f>IF(AND(B2150&gt;=2018, B2150&lt;=2021), "2018-2021", IF(AND(B2150&gt;=2022, B2150&lt;=2024), "2022-2024", "Other"))</f>
        <v>2022-2024</v>
      </c>
    </row>
    <row r="2151" spans="1:9" x14ac:dyDescent="0.3">
      <c r="A2151" t="s">
        <v>17</v>
      </c>
      <c r="B2151">
        <v>2022</v>
      </c>
      <c r="C2151" t="s">
        <v>4</v>
      </c>
      <c r="D2151">
        <v>36926.85</v>
      </c>
      <c r="E2151">
        <v>29718.74</v>
      </c>
      <c r="F2151">
        <v>49.29</v>
      </c>
      <c r="G2151">
        <v>552.76</v>
      </c>
      <c r="H2151">
        <f>E2151*1000000/D2151</f>
        <v>804800.30113589438</v>
      </c>
      <c r="I2151" t="str">
        <f>IF(AND(B2151&gt;=2018, B2151&lt;=2021), "2018-2021", IF(AND(B2151&gt;=2022, B2151&lt;=2024), "2022-2024", "Other"))</f>
        <v>2022-2024</v>
      </c>
    </row>
    <row r="2152" spans="1:9" x14ac:dyDescent="0.3">
      <c r="A2152" t="s">
        <v>20</v>
      </c>
      <c r="B2152">
        <v>2023</v>
      </c>
      <c r="C2152" t="s">
        <v>12</v>
      </c>
      <c r="D2152">
        <v>9837.02</v>
      </c>
      <c r="E2152">
        <v>11627.82</v>
      </c>
      <c r="F2152">
        <v>115.82</v>
      </c>
      <c r="G2152">
        <v>877.07</v>
      </c>
      <c r="H2152">
        <f>E2152*1000000/D2152</f>
        <v>1182047.0020392353</v>
      </c>
      <c r="I2152" t="str">
        <f>IF(AND(B2152&gt;=2018, B2152&lt;=2021), "2018-2021", IF(AND(B2152&gt;=2022, B2152&lt;=2024), "2022-2024", "Other"))</f>
        <v>2022-2024</v>
      </c>
    </row>
    <row r="2153" spans="1:9" x14ac:dyDescent="0.3">
      <c r="A2153" t="s">
        <v>27</v>
      </c>
      <c r="B2153">
        <v>2022</v>
      </c>
      <c r="C2153" t="s">
        <v>14</v>
      </c>
      <c r="D2153">
        <v>28930.73</v>
      </c>
      <c r="E2153">
        <v>26402.82</v>
      </c>
      <c r="F2153">
        <v>65.69</v>
      </c>
      <c r="G2153">
        <v>754.75</v>
      </c>
      <c r="H2153">
        <f>E2153*1000000/D2153</f>
        <v>912621.97670089907</v>
      </c>
      <c r="I2153" t="str">
        <f>IF(AND(B2153&gt;=2018, B2153&lt;=2021), "2018-2021", IF(AND(B2153&gt;=2022, B2153&lt;=2024), "2022-2024", "Other"))</f>
        <v>2022-2024</v>
      </c>
    </row>
    <row r="2154" spans="1:9" x14ac:dyDescent="0.3">
      <c r="A2154" t="s">
        <v>11</v>
      </c>
      <c r="B2154">
        <v>2022</v>
      </c>
      <c r="C2154" t="s">
        <v>12</v>
      </c>
      <c r="D2154">
        <v>39712.35</v>
      </c>
      <c r="E2154">
        <v>41529.26</v>
      </c>
      <c r="F2154">
        <v>99.07</v>
      </c>
      <c r="G2154">
        <v>1092.9000000000001</v>
      </c>
      <c r="H2154">
        <f>E2154*1000000/D2154</f>
        <v>1045751.7623610791</v>
      </c>
      <c r="I2154" t="str">
        <f>IF(AND(B2154&gt;=2018, B2154&lt;=2021), "2018-2021", IF(AND(B2154&gt;=2022, B2154&lt;=2024), "2022-2024", "Other"))</f>
        <v>2022-2024</v>
      </c>
    </row>
    <row r="2155" spans="1:9" x14ac:dyDescent="0.3">
      <c r="A2155" t="s">
        <v>22</v>
      </c>
      <c r="B2155">
        <v>2020</v>
      </c>
      <c r="C2155" t="s">
        <v>2</v>
      </c>
      <c r="D2155">
        <v>33684.83</v>
      </c>
      <c r="E2155">
        <v>29132.81</v>
      </c>
      <c r="F2155">
        <v>166.19</v>
      </c>
      <c r="G2155">
        <v>1188.78</v>
      </c>
      <c r="H2155">
        <f>E2155*1000000/D2155</f>
        <v>864864.39147830044</v>
      </c>
      <c r="I2155" t="str">
        <f>IF(AND(B2155&gt;=2018, B2155&lt;=2021), "2018-2021", IF(AND(B2155&gt;=2022, B2155&lt;=2024), "2022-2024", "Other"))</f>
        <v>2018-2021</v>
      </c>
    </row>
    <row r="2156" spans="1:9" x14ac:dyDescent="0.3">
      <c r="A2156" t="s">
        <v>20</v>
      </c>
      <c r="B2156">
        <v>2020</v>
      </c>
      <c r="C2156" t="s">
        <v>6</v>
      </c>
      <c r="D2156">
        <v>34893.019999999997</v>
      </c>
      <c r="E2156">
        <v>29030.35</v>
      </c>
      <c r="F2156">
        <v>86.77</v>
      </c>
      <c r="G2156">
        <v>1185.57</v>
      </c>
      <c r="H2156">
        <f>E2156*1000000/D2156</f>
        <v>831981.582562931</v>
      </c>
      <c r="I2156" t="str">
        <f>IF(AND(B2156&gt;=2018, B2156&lt;=2021), "2018-2021", IF(AND(B2156&gt;=2022, B2156&lt;=2024), "2022-2024", "Other"))</f>
        <v>2018-2021</v>
      </c>
    </row>
    <row r="2157" spans="1:9" x14ac:dyDescent="0.3">
      <c r="A2157" t="s">
        <v>10</v>
      </c>
      <c r="B2157">
        <v>2024</v>
      </c>
      <c r="C2157" t="s">
        <v>9</v>
      </c>
      <c r="D2157">
        <v>39780.81</v>
      </c>
      <c r="E2157">
        <v>36194.44</v>
      </c>
      <c r="F2157">
        <v>136.25</v>
      </c>
      <c r="G2157">
        <v>1372.46</v>
      </c>
      <c r="H2157">
        <f>E2157*1000000/D2157</f>
        <v>909846.73263314657</v>
      </c>
      <c r="I2157" t="str">
        <f>IF(AND(B2157&gt;=2018, B2157&lt;=2021), "2018-2021", IF(AND(B2157&gt;=2022, B2157&lt;=2024), "2022-2024", "Other"))</f>
        <v>2022-2024</v>
      </c>
    </row>
    <row r="2158" spans="1:9" x14ac:dyDescent="0.3">
      <c r="A2158" t="s">
        <v>11</v>
      </c>
      <c r="B2158">
        <v>2024</v>
      </c>
      <c r="C2158" t="s">
        <v>2</v>
      </c>
      <c r="D2158">
        <v>24694.29</v>
      </c>
      <c r="E2158">
        <v>21980.41</v>
      </c>
      <c r="F2158">
        <v>123.96</v>
      </c>
      <c r="G2158">
        <v>292.27</v>
      </c>
      <c r="H2158">
        <f>E2158*1000000/D2158</f>
        <v>890100.90996744588</v>
      </c>
      <c r="I2158" t="str">
        <f>IF(AND(B2158&gt;=2018, B2158&lt;=2021), "2018-2021", IF(AND(B2158&gt;=2022, B2158&lt;=2024), "2022-2024", "Other"))</f>
        <v>2022-2024</v>
      </c>
    </row>
    <row r="2159" spans="1:9" x14ac:dyDescent="0.3">
      <c r="A2159" t="s">
        <v>15</v>
      </c>
      <c r="B2159">
        <v>2018</v>
      </c>
      <c r="C2159" t="s">
        <v>0</v>
      </c>
      <c r="D2159">
        <v>26312.21</v>
      </c>
      <c r="E2159">
        <v>26865.16</v>
      </c>
      <c r="F2159">
        <v>32.4</v>
      </c>
      <c r="G2159">
        <v>726.21</v>
      </c>
      <c r="H2159">
        <f>E2159*1000000/D2159</f>
        <v>1021014.9584546491</v>
      </c>
      <c r="I2159" t="str">
        <f>IF(AND(B2159&gt;=2018, B2159&lt;=2021), "2018-2021", IF(AND(B2159&gt;=2022, B2159&lt;=2024), "2022-2024", "Other"))</f>
        <v>2018-2021</v>
      </c>
    </row>
    <row r="2160" spans="1:9" x14ac:dyDescent="0.3">
      <c r="A2160" t="s">
        <v>7</v>
      </c>
      <c r="B2160">
        <v>2024</v>
      </c>
      <c r="C2160" t="s">
        <v>14</v>
      </c>
      <c r="D2160">
        <v>1618.65</v>
      </c>
      <c r="E2160">
        <v>1579.4</v>
      </c>
      <c r="F2160">
        <v>31.44</v>
      </c>
      <c r="G2160">
        <v>707.74</v>
      </c>
      <c r="H2160">
        <f>E2160*1000000/D2160</f>
        <v>975751.39776974637</v>
      </c>
      <c r="I2160" t="str">
        <f>IF(AND(B2160&gt;=2018, B2160&lt;=2021), "2018-2021", IF(AND(B2160&gt;=2022, B2160&lt;=2024), "2022-2024", "Other"))</f>
        <v>2022-2024</v>
      </c>
    </row>
    <row r="2161" spans="1:9" x14ac:dyDescent="0.3">
      <c r="A2161" t="s">
        <v>27</v>
      </c>
      <c r="B2161">
        <v>2024</v>
      </c>
      <c r="C2161" t="s">
        <v>8</v>
      </c>
      <c r="D2161">
        <v>33870.28</v>
      </c>
      <c r="E2161">
        <v>33802.04</v>
      </c>
      <c r="F2161">
        <v>46.63</v>
      </c>
      <c r="G2161">
        <v>1124.04</v>
      </c>
      <c r="H2161">
        <f>E2161*1000000/D2161</f>
        <v>997985.25432916416</v>
      </c>
      <c r="I2161" t="str">
        <f>IF(AND(B2161&gt;=2018, B2161&lt;=2021), "2018-2021", IF(AND(B2161&gt;=2022, B2161&lt;=2024), "2022-2024", "Other"))</f>
        <v>2022-2024</v>
      </c>
    </row>
    <row r="2162" spans="1:9" x14ac:dyDescent="0.3">
      <c r="A2162" t="s">
        <v>24</v>
      </c>
      <c r="B2162">
        <v>2023</v>
      </c>
      <c r="C2162" t="s">
        <v>4</v>
      </c>
      <c r="D2162">
        <v>13878.66</v>
      </c>
      <c r="E2162">
        <v>13795.11</v>
      </c>
      <c r="F2162">
        <v>165.73</v>
      </c>
      <c r="G2162">
        <v>355.82</v>
      </c>
      <c r="H2162">
        <f>E2162*1000000/D2162</f>
        <v>993979.96636562899</v>
      </c>
      <c r="I2162" t="str">
        <f>IF(AND(B2162&gt;=2018, B2162&lt;=2021), "2018-2021", IF(AND(B2162&gt;=2022, B2162&lt;=2024), "2022-2024", "Other"))</f>
        <v>2022-2024</v>
      </c>
    </row>
    <row r="2163" spans="1:9" x14ac:dyDescent="0.3">
      <c r="A2163" t="s">
        <v>10</v>
      </c>
      <c r="B2163">
        <v>2022</v>
      </c>
      <c r="C2163" t="s">
        <v>6</v>
      </c>
      <c r="D2163">
        <v>23928.44</v>
      </c>
      <c r="E2163">
        <v>21243.15</v>
      </c>
      <c r="F2163">
        <v>163.29</v>
      </c>
      <c r="G2163">
        <v>396.86</v>
      </c>
      <c r="H2163">
        <f>E2163*1000000/D2163</f>
        <v>887778.30899130914</v>
      </c>
      <c r="I2163" t="str">
        <f>IF(AND(B2163&gt;=2018, B2163&lt;=2021), "2018-2021", IF(AND(B2163&gt;=2022, B2163&lt;=2024), "2022-2024", "Other"))</f>
        <v>2022-2024</v>
      </c>
    </row>
    <row r="2164" spans="1:9" x14ac:dyDescent="0.3">
      <c r="A2164" t="s">
        <v>21</v>
      </c>
      <c r="B2164">
        <v>2022</v>
      </c>
      <c r="C2164" t="s">
        <v>14</v>
      </c>
      <c r="D2164">
        <v>31658.66</v>
      </c>
      <c r="E2164">
        <v>32503.18</v>
      </c>
      <c r="F2164">
        <v>113.37</v>
      </c>
      <c r="G2164">
        <v>51.5</v>
      </c>
      <c r="H2164">
        <f>E2164*1000000/D2164</f>
        <v>1026675.7973963522</v>
      </c>
      <c r="I2164" t="str">
        <f>IF(AND(B2164&gt;=2018, B2164&lt;=2021), "2018-2021", IF(AND(B2164&gt;=2022, B2164&lt;=2024), "2022-2024", "Other"))</f>
        <v>2022-2024</v>
      </c>
    </row>
    <row r="2165" spans="1:9" x14ac:dyDescent="0.3">
      <c r="A2165" t="s">
        <v>1</v>
      </c>
      <c r="B2165">
        <v>2020</v>
      </c>
      <c r="C2165" t="s">
        <v>4</v>
      </c>
      <c r="D2165">
        <v>17602.599999999999</v>
      </c>
      <c r="E2165">
        <v>16737.12</v>
      </c>
      <c r="F2165">
        <v>90.47</v>
      </c>
      <c r="G2165">
        <v>260.81</v>
      </c>
      <c r="H2165">
        <f>E2165*1000000/D2165</f>
        <v>950832.26341563172</v>
      </c>
      <c r="I2165" t="str">
        <f>IF(AND(B2165&gt;=2018, B2165&lt;=2021), "2018-2021", IF(AND(B2165&gt;=2022, B2165&lt;=2024), "2022-2024", "Other"))</f>
        <v>2018-2021</v>
      </c>
    </row>
    <row r="2166" spans="1:9" x14ac:dyDescent="0.3">
      <c r="A2166" t="s">
        <v>11</v>
      </c>
      <c r="B2166">
        <v>2021</v>
      </c>
      <c r="C2166" t="s">
        <v>4</v>
      </c>
      <c r="D2166">
        <v>33891.550000000003</v>
      </c>
      <c r="E2166">
        <v>31648.5</v>
      </c>
      <c r="F2166">
        <v>132.38</v>
      </c>
      <c r="G2166">
        <v>306.42</v>
      </c>
      <c r="H2166">
        <f>E2166*1000000/D2166</f>
        <v>933816.83635006356</v>
      </c>
      <c r="I2166" t="str">
        <f>IF(AND(B2166&gt;=2018, B2166&lt;=2021), "2018-2021", IF(AND(B2166&gt;=2022, B2166&lt;=2024), "2022-2024", "Other"))</f>
        <v>2018-2021</v>
      </c>
    </row>
    <row r="2167" spans="1:9" x14ac:dyDescent="0.3">
      <c r="A2167" t="s">
        <v>17</v>
      </c>
      <c r="B2167">
        <v>2018</v>
      </c>
      <c r="C2167" t="s">
        <v>12</v>
      </c>
      <c r="D2167">
        <v>4928.74</v>
      </c>
      <c r="E2167">
        <v>4001.21</v>
      </c>
      <c r="F2167">
        <v>107.14</v>
      </c>
      <c r="G2167">
        <v>604.48</v>
      </c>
      <c r="H2167">
        <f>E2167*1000000/D2167</f>
        <v>811811.94382337073</v>
      </c>
      <c r="I2167" t="str">
        <f>IF(AND(B2167&gt;=2018, B2167&lt;=2021), "2018-2021", IF(AND(B2167&gt;=2022, B2167&lt;=2024), "2022-2024", "Other"))</f>
        <v>2018-2021</v>
      </c>
    </row>
    <row r="2168" spans="1:9" x14ac:dyDescent="0.3">
      <c r="A2168" t="s">
        <v>15</v>
      </c>
      <c r="B2168">
        <v>2024</v>
      </c>
      <c r="C2168" t="s">
        <v>2</v>
      </c>
      <c r="D2168">
        <v>43681.35</v>
      </c>
      <c r="E2168">
        <v>39417.42</v>
      </c>
      <c r="F2168">
        <v>30.52</v>
      </c>
      <c r="G2168">
        <v>17.13</v>
      </c>
      <c r="H2168">
        <f>E2168*1000000/D2168</f>
        <v>902385.57187449571</v>
      </c>
      <c r="I2168" t="str">
        <f>IF(AND(B2168&gt;=2018, B2168&lt;=2021), "2018-2021", IF(AND(B2168&gt;=2022, B2168&lt;=2024), "2022-2024", "Other"))</f>
        <v>2022-2024</v>
      </c>
    </row>
    <row r="2169" spans="1:9" x14ac:dyDescent="0.3">
      <c r="A2169" t="s">
        <v>17</v>
      </c>
      <c r="B2169">
        <v>2018</v>
      </c>
      <c r="C2169" t="s">
        <v>14</v>
      </c>
      <c r="D2169">
        <v>36440.49</v>
      </c>
      <c r="E2169">
        <v>35379.589999999997</v>
      </c>
      <c r="F2169">
        <v>88.45</v>
      </c>
      <c r="G2169">
        <v>964.19</v>
      </c>
      <c r="H2169">
        <f>E2169*1000000/D2169</f>
        <v>970886.78006250749</v>
      </c>
      <c r="I2169" t="str">
        <f>IF(AND(B2169&gt;=2018, B2169&lt;=2021), "2018-2021", IF(AND(B2169&gt;=2022, B2169&lt;=2024), "2022-2024", "Other"))</f>
        <v>2018-2021</v>
      </c>
    </row>
    <row r="2170" spans="1:9" x14ac:dyDescent="0.3">
      <c r="A2170" t="s">
        <v>17</v>
      </c>
      <c r="B2170">
        <v>2023</v>
      </c>
      <c r="C2170" t="s">
        <v>9</v>
      </c>
      <c r="D2170">
        <v>16518.259999999998</v>
      </c>
      <c r="E2170">
        <v>18623.18</v>
      </c>
      <c r="F2170">
        <v>142.12</v>
      </c>
      <c r="G2170">
        <v>1266.48</v>
      </c>
      <c r="H2170">
        <f>E2170*1000000/D2170</f>
        <v>1127429.88668298</v>
      </c>
      <c r="I2170" t="str">
        <f>IF(AND(B2170&gt;=2018, B2170&lt;=2021), "2018-2021", IF(AND(B2170&gt;=2022, B2170&lt;=2024), "2022-2024", "Other"))</f>
        <v>2022-2024</v>
      </c>
    </row>
    <row r="2171" spans="1:9" x14ac:dyDescent="0.3">
      <c r="A2171" t="s">
        <v>10</v>
      </c>
      <c r="B2171">
        <v>2022</v>
      </c>
      <c r="C2171" t="s">
        <v>4</v>
      </c>
      <c r="D2171">
        <v>13519.64</v>
      </c>
      <c r="E2171">
        <v>14221.21</v>
      </c>
      <c r="F2171">
        <v>40.119999999999997</v>
      </c>
      <c r="G2171">
        <v>860.01</v>
      </c>
      <c r="H2171">
        <f>E2171*1000000/D2171</f>
        <v>1051892.6539464069</v>
      </c>
      <c r="I2171" t="str">
        <f>IF(AND(B2171&gt;=2018, B2171&lt;=2021), "2018-2021", IF(AND(B2171&gt;=2022, B2171&lt;=2024), "2022-2024", "Other"))</f>
        <v>2022-2024</v>
      </c>
    </row>
    <row r="2172" spans="1:9" x14ac:dyDescent="0.3">
      <c r="A2172" t="s">
        <v>26</v>
      </c>
      <c r="B2172">
        <v>2020</v>
      </c>
      <c r="C2172" t="s">
        <v>12</v>
      </c>
      <c r="D2172">
        <v>19517.830000000002</v>
      </c>
      <c r="E2172">
        <v>20014.560000000001</v>
      </c>
      <c r="F2172">
        <v>108.51</v>
      </c>
      <c r="G2172">
        <v>699.38</v>
      </c>
      <c r="H2172">
        <f>E2172*1000000/D2172</f>
        <v>1025450.0628399776</v>
      </c>
      <c r="I2172" t="str">
        <f>IF(AND(B2172&gt;=2018, B2172&lt;=2021), "2018-2021", IF(AND(B2172&gt;=2022, B2172&lt;=2024), "2022-2024", "Other"))</f>
        <v>2018-2021</v>
      </c>
    </row>
    <row r="2173" spans="1:9" x14ac:dyDescent="0.3">
      <c r="A2173" t="s">
        <v>5</v>
      </c>
      <c r="B2173">
        <v>2024</v>
      </c>
      <c r="C2173" t="s">
        <v>14</v>
      </c>
      <c r="D2173">
        <v>18058.32</v>
      </c>
      <c r="E2173">
        <v>19654.95</v>
      </c>
      <c r="F2173">
        <v>178.49</v>
      </c>
      <c r="G2173">
        <v>180.81</v>
      </c>
      <c r="H2173">
        <f>E2173*1000000/D2173</f>
        <v>1088415.201414085</v>
      </c>
      <c r="I2173" t="str">
        <f>IF(AND(B2173&gt;=2018, B2173&lt;=2021), "2018-2021", IF(AND(B2173&gt;=2022, B2173&lt;=2024), "2022-2024", "Other"))</f>
        <v>2022-2024</v>
      </c>
    </row>
    <row r="2174" spans="1:9" x14ac:dyDescent="0.3">
      <c r="A2174" t="s">
        <v>17</v>
      </c>
      <c r="B2174">
        <v>2022</v>
      </c>
      <c r="C2174" t="s">
        <v>0</v>
      </c>
      <c r="D2174">
        <v>31220.86</v>
      </c>
      <c r="E2174">
        <v>36959.440000000002</v>
      </c>
      <c r="F2174">
        <v>184.7</v>
      </c>
      <c r="G2174">
        <v>1372.14</v>
      </c>
      <c r="H2174">
        <f>E2174*1000000/D2174</f>
        <v>1183805.9553772702</v>
      </c>
      <c r="I2174" t="str">
        <f>IF(AND(B2174&gt;=2018, B2174&lt;=2021), "2018-2021", IF(AND(B2174&gt;=2022, B2174&lt;=2024), "2022-2024", "Other"))</f>
        <v>2022-2024</v>
      </c>
    </row>
    <row r="2175" spans="1:9" x14ac:dyDescent="0.3">
      <c r="A2175" t="s">
        <v>19</v>
      </c>
      <c r="B2175">
        <v>2021</v>
      </c>
      <c r="C2175" t="s">
        <v>2</v>
      </c>
      <c r="D2175">
        <v>9060.27</v>
      </c>
      <c r="E2175">
        <v>8555.6</v>
      </c>
      <c r="F2175">
        <v>24.08</v>
      </c>
      <c r="G2175">
        <v>878.48</v>
      </c>
      <c r="H2175">
        <f>E2175*1000000/D2175</f>
        <v>944298.5694686803</v>
      </c>
      <c r="I2175" t="str">
        <f>IF(AND(B2175&gt;=2018, B2175&lt;=2021), "2018-2021", IF(AND(B2175&gt;=2022, B2175&lt;=2024), "2022-2024", "Other"))</f>
        <v>2018-2021</v>
      </c>
    </row>
    <row r="2176" spans="1:9" x14ac:dyDescent="0.3">
      <c r="A2176" t="s">
        <v>19</v>
      </c>
      <c r="B2176">
        <v>2019</v>
      </c>
      <c r="C2176" t="s">
        <v>0</v>
      </c>
      <c r="D2176">
        <v>26692.45</v>
      </c>
      <c r="E2176">
        <v>28318.78</v>
      </c>
      <c r="F2176">
        <v>92.95</v>
      </c>
      <c r="G2176">
        <v>633.39</v>
      </c>
      <c r="H2176">
        <f>E2176*1000000/D2176</f>
        <v>1060928.4647906055</v>
      </c>
      <c r="I2176" t="str">
        <f>IF(AND(B2176&gt;=2018, B2176&lt;=2021), "2018-2021", IF(AND(B2176&gt;=2022, B2176&lt;=2024), "2022-2024", "Other"))</f>
        <v>2018-2021</v>
      </c>
    </row>
    <row r="2177" spans="1:9" x14ac:dyDescent="0.3">
      <c r="A2177" t="s">
        <v>26</v>
      </c>
      <c r="B2177">
        <v>2022</v>
      </c>
      <c r="C2177" t="s">
        <v>2</v>
      </c>
      <c r="D2177">
        <v>41474.480000000003</v>
      </c>
      <c r="E2177">
        <v>39921.339999999997</v>
      </c>
      <c r="F2177">
        <v>48.86</v>
      </c>
      <c r="G2177">
        <v>852.42</v>
      </c>
      <c r="H2177">
        <f>E2177*1000000/D2177</f>
        <v>962551.91144048097</v>
      </c>
      <c r="I2177" t="str">
        <f>IF(AND(B2177&gt;=2018, B2177&lt;=2021), "2018-2021", IF(AND(B2177&gt;=2022, B2177&lt;=2024), "2022-2024", "Other"))</f>
        <v>2022-2024</v>
      </c>
    </row>
    <row r="2178" spans="1:9" x14ac:dyDescent="0.3">
      <c r="A2178" t="s">
        <v>25</v>
      </c>
      <c r="B2178">
        <v>2021</v>
      </c>
      <c r="C2178" t="s">
        <v>2</v>
      </c>
      <c r="D2178">
        <v>26564.19</v>
      </c>
      <c r="E2178">
        <v>27462.76</v>
      </c>
      <c r="F2178">
        <v>143.15</v>
      </c>
      <c r="G2178">
        <v>968.29</v>
      </c>
      <c r="H2178">
        <f>E2178*1000000/D2178</f>
        <v>1033826.365494299</v>
      </c>
      <c r="I2178" t="str">
        <f>IF(AND(B2178&gt;=2018, B2178&lt;=2021), "2018-2021", IF(AND(B2178&gt;=2022, B2178&lt;=2024), "2022-2024", "Other"))</f>
        <v>2018-2021</v>
      </c>
    </row>
    <row r="2179" spans="1:9" x14ac:dyDescent="0.3">
      <c r="A2179" t="s">
        <v>3</v>
      </c>
      <c r="B2179">
        <v>2018</v>
      </c>
      <c r="C2179" t="s">
        <v>12</v>
      </c>
      <c r="D2179">
        <v>6384.32</v>
      </c>
      <c r="E2179">
        <v>6500.24</v>
      </c>
      <c r="F2179">
        <v>131.96</v>
      </c>
      <c r="G2179">
        <v>1347.41</v>
      </c>
      <c r="H2179">
        <f>E2179*1000000/D2179</f>
        <v>1018156.9846123002</v>
      </c>
      <c r="I2179" t="str">
        <f>IF(AND(B2179&gt;=2018, B2179&lt;=2021), "2018-2021", IF(AND(B2179&gt;=2022, B2179&lt;=2024), "2022-2024", "Other"))</f>
        <v>2018-2021</v>
      </c>
    </row>
    <row r="2180" spans="1:9" x14ac:dyDescent="0.3">
      <c r="A2180" t="s">
        <v>15</v>
      </c>
      <c r="B2180">
        <v>2023</v>
      </c>
      <c r="C2180" t="s">
        <v>12</v>
      </c>
      <c r="D2180">
        <v>47934.04</v>
      </c>
      <c r="E2180">
        <v>50098.02</v>
      </c>
      <c r="F2180">
        <v>34.450000000000003</v>
      </c>
      <c r="G2180">
        <v>164.08</v>
      </c>
      <c r="H2180">
        <f>E2180*1000000/D2180</f>
        <v>1045144.9533567377</v>
      </c>
      <c r="I2180" t="str">
        <f>IF(AND(B2180&gt;=2018, B2180&lt;=2021), "2018-2021", IF(AND(B2180&gt;=2022, B2180&lt;=2024), "2022-2024", "Other"))</f>
        <v>2022-2024</v>
      </c>
    </row>
    <row r="2181" spans="1:9" x14ac:dyDescent="0.3">
      <c r="A2181" t="s">
        <v>18</v>
      </c>
      <c r="B2181">
        <v>2021</v>
      </c>
      <c r="C2181" t="s">
        <v>2</v>
      </c>
      <c r="D2181">
        <v>10524.21</v>
      </c>
      <c r="E2181">
        <v>10525.8</v>
      </c>
      <c r="F2181">
        <v>92.7</v>
      </c>
      <c r="G2181">
        <v>516.42999999999995</v>
      </c>
      <c r="H2181">
        <f>E2181*1000000/D2181</f>
        <v>1000151.0802235989</v>
      </c>
      <c r="I2181" t="str">
        <f>IF(AND(B2181&gt;=2018, B2181&lt;=2021), "2018-2021", IF(AND(B2181&gt;=2022, B2181&lt;=2024), "2022-2024", "Other"))</f>
        <v>2018-2021</v>
      </c>
    </row>
    <row r="2182" spans="1:9" x14ac:dyDescent="0.3">
      <c r="A2182" t="s">
        <v>21</v>
      </c>
      <c r="B2182">
        <v>2020</v>
      </c>
      <c r="C2182" t="s">
        <v>9</v>
      </c>
      <c r="D2182">
        <v>9867.2000000000007</v>
      </c>
      <c r="E2182">
        <v>10190.91</v>
      </c>
      <c r="F2182">
        <v>35.53</v>
      </c>
      <c r="G2182">
        <v>933.36</v>
      </c>
      <c r="H2182">
        <f>E2182*1000000/D2182</f>
        <v>1032806.6726122912</v>
      </c>
      <c r="I2182" t="str">
        <f>IF(AND(B2182&gt;=2018, B2182&lt;=2021), "2018-2021", IF(AND(B2182&gt;=2022, B2182&lt;=2024), "2022-2024", "Other"))</f>
        <v>2018-2021</v>
      </c>
    </row>
    <row r="2183" spans="1:9" x14ac:dyDescent="0.3">
      <c r="A2183" t="s">
        <v>19</v>
      </c>
      <c r="B2183">
        <v>2022</v>
      </c>
      <c r="C2183" t="s">
        <v>2</v>
      </c>
      <c r="D2183">
        <v>10556.1</v>
      </c>
      <c r="E2183">
        <v>8660.98</v>
      </c>
      <c r="F2183">
        <v>132.6</v>
      </c>
      <c r="G2183">
        <v>1304.55</v>
      </c>
      <c r="H2183">
        <f>E2183*1000000/D2183</f>
        <v>820471.57567662292</v>
      </c>
      <c r="I2183" t="str">
        <f>IF(AND(B2183&gt;=2018, B2183&lt;=2021), "2018-2021", IF(AND(B2183&gt;=2022, B2183&lt;=2024), "2022-2024", "Other"))</f>
        <v>2022-2024</v>
      </c>
    </row>
    <row r="2184" spans="1:9" x14ac:dyDescent="0.3">
      <c r="A2184" t="s">
        <v>21</v>
      </c>
      <c r="B2184">
        <v>2018</v>
      </c>
      <c r="C2184" t="s">
        <v>2</v>
      </c>
      <c r="D2184">
        <v>38787.71</v>
      </c>
      <c r="E2184">
        <v>40830.199999999997</v>
      </c>
      <c r="F2184">
        <v>109.43</v>
      </c>
      <c r="G2184">
        <v>257.67</v>
      </c>
      <c r="H2184">
        <f>E2184*1000000/D2184</f>
        <v>1052658.1744578374</v>
      </c>
      <c r="I2184" t="str">
        <f>IF(AND(B2184&gt;=2018, B2184&lt;=2021), "2018-2021", IF(AND(B2184&gt;=2022, B2184&lt;=2024), "2022-2024", "Other"))</f>
        <v>2018-2021</v>
      </c>
    </row>
    <row r="2185" spans="1:9" x14ac:dyDescent="0.3">
      <c r="A2185" t="s">
        <v>10</v>
      </c>
      <c r="B2185">
        <v>2021</v>
      </c>
      <c r="C2185" t="s">
        <v>6</v>
      </c>
      <c r="D2185">
        <v>19973.259999999998</v>
      </c>
      <c r="E2185">
        <v>16207.35</v>
      </c>
      <c r="F2185">
        <v>33.340000000000003</v>
      </c>
      <c r="G2185">
        <v>1323.42</v>
      </c>
      <c r="H2185">
        <f>E2185*1000000/D2185</f>
        <v>811452.41187467647</v>
      </c>
      <c r="I2185" t="str">
        <f>IF(AND(B2185&gt;=2018, B2185&lt;=2021), "2018-2021", IF(AND(B2185&gt;=2022, B2185&lt;=2024), "2022-2024", "Other"))</f>
        <v>2018-2021</v>
      </c>
    </row>
    <row r="2186" spans="1:9" x14ac:dyDescent="0.3">
      <c r="A2186" t="s">
        <v>17</v>
      </c>
      <c r="B2186">
        <v>2020</v>
      </c>
      <c r="C2186" t="s">
        <v>4</v>
      </c>
      <c r="D2186">
        <v>5586.67</v>
      </c>
      <c r="E2186">
        <v>6335.73</v>
      </c>
      <c r="F2186">
        <v>128.71</v>
      </c>
      <c r="G2186">
        <v>123.91</v>
      </c>
      <c r="H2186">
        <f>E2186*1000000/D2186</f>
        <v>1134079.8722673792</v>
      </c>
      <c r="I2186" t="str">
        <f>IF(AND(B2186&gt;=2018, B2186&lt;=2021), "2018-2021", IF(AND(B2186&gt;=2022, B2186&lt;=2024), "2022-2024", "Other"))</f>
        <v>2018-2021</v>
      </c>
    </row>
    <row r="2187" spans="1:9" x14ac:dyDescent="0.3">
      <c r="A2187" t="s">
        <v>19</v>
      </c>
      <c r="B2187">
        <v>2019</v>
      </c>
      <c r="C2187" t="s">
        <v>9</v>
      </c>
      <c r="D2187">
        <v>19895.86</v>
      </c>
      <c r="E2187">
        <v>16559.2</v>
      </c>
      <c r="F2187">
        <v>117.48</v>
      </c>
      <c r="G2187">
        <v>676.2</v>
      </c>
      <c r="H2187">
        <f>E2187*1000000/D2187</f>
        <v>832293.75357486424</v>
      </c>
      <c r="I2187" t="str">
        <f>IF(AND(B2187&gt;=2018, B2187&lt;=2021), "2018-2021", IF(AND(B2187&gt;=2022, B2187&lt;=2024), "2022-2024", "Other"))</f>
        <v>2018-2021</v>
      </c>
    </row>
    <row r="2188" spans="1:9" x14ac:dyDescent="0.3">
      <c r="A2188" t="s">
        <v>24</v>
      </c>
      <c r="B2188">
        <v>2021</v>
      </c>
      <c r="C2188" t="s">
        <v>12</v>
      </c>
      <c r="D2188">
        <v>25078.26</v>
      </c>
      <c r="E2188">
        <v>26956.34</v>
      </c>
      <c r="F2188">
        <v>73.8</v>
      </c>
      <c r="G2188">
        <v>26.82</v>
      </c>
      <c r="H2188">
        <f>E2188*1000000/D2188</f>
        <v>1074888.7682000266</v>
      </c>
      <c r="I2188" t="str">
        <f>IF(AND(B2188&gt;=2018, B2188&lt;=2021), "2018-2021", IF(AND(B2188&gt;=2022, B2188&lt;=2024), "2022-2024", "Other"))</f>
        <v>2018-2021</v>
      </c>
    </row>
    <row r="2189" spans="1:9" x14ac:dyDescent="0.3">
      <c r="A2189" t="s">
        <v>11</v>
      </c>
      <c r="B2189">
        <v>2021</v>
      </c>
      <c r="C2189" t="s">
        <v>8</v>
      </c>
      <c r="D2189">
        <v>17683.849999999999</v>
      </c>
      <c r="E2189">
        <v>19953.54</v>
      </c>
      <c r="F2189">
        <v>142.88999999999999</v>
      </c>
      <c r="G2189">
        <v>27.76</v>
      </c>
      <c r="H2189">
        <f>E2189*1000000/D2189</f>
        <v>1128348.1820983554</v>
      </c>
      <c r="I2189" t="str">
        <f>IF(AND(B2189&gt;=2018, B2189&lt;=2021), "2018-2021", IF(AND(B2189&gt;=2022, B2189&lt;=2024), "2022-2024", "Other"))</f>
        <v>2018-2021</v>
      </c>
    </row>
    <row r="2190" spans="1:9" x14ac:dyDescent="0.3">
      <c r="A2190" t="s">
        <v>5</v>
      </c>
      <c r="B2190">
        <v>2018</v>
      </c>
      <c r="C2190" t="s">
        <v>9</v>
      </c>
      <c r="D2190">
        <v>46992.34</v>
      </c>
      <c r="E2190">
        <v>43440.35</v>
      </c>
      <c r="F2190">
        <v>34.97</v>
      </c>
      <c r="G2190">
        <v>1108.78</v>
      </c>
      <c r="H2190">
        <f>E2190*1000000/D2190</f>
        <v>924413.42567746155</v>
      </c>
      <c r="I2190" t="str">
        <f>IF(AND(B2190&gt;=2018, B2190&lt;=2021), "2018-2021", IF(AND(B2190&gt;=2022, B2190&lt;=2024), "2022-2024", "Other"))</f>
        <v>2018-2021</v>
      </c>
    </row>
    <row r="2191" spans="1:9" x14ac:dyDescent="0.3">
      <c r="A2191" t="s">
        <v>5</v>
      </c>
      <c r="B2191">
        <v>2019</v>
      </c>
      <c r="C2191" t="s">
        <v>6</v>
      </c>
      <c r="D2191">
        <v>35773.589999999997</v>
      </c>
      <c r="E2191">
        <v>30260.75</v>
      </c>
      <c r="F2191">
        <v>176.57</v>
      </c>
      <c r="G2191">
        <v>752.16</v>
      </c>
      <c r="H2191">
        <f>E2191*1000000/D2191</f>
        <v>845896.37215610745</v>
      </c>
      <c r="I2191" t="str">
        <f>IF(AND(B2191&gt;=2018, B2191&lt;=2021), "2018-2021", IF(AND(B2191&gt;=2022, B2191&lt;=2024), "2022-2024", "Other"))</f>
        <v>2018-2021</v>
      </c>
    </row>
    <row r="2192" spans="1:9" x14ac:dyDescent="0.3">
      <c r="A2192" t="s">
        <v>1</v>
      </c>
      <c r="B2192">
        <v>2018</v>
      </c>
      <c r="C2192" t="s">
        <v>14</v>
      </c>
      <c r="D2192">
        <v>18461.93</v>
      </c>
      <c r="E2192">
        <v>18682.59</v>
      </c>
      <c r="F2192">
        <v>192.66</v>
      </c>
      <c r="G2192">
        <v>596.51</v>
      </c>
      <c r="H2192">
        <f>E2192*1000000/D2192</f>
        <v>1011952.1631812059</v>
      </c>
      <c r="I2192" t="str">
        <f>IF(AND(B2192&gt;=2018, B2192&lt;=2021), "2018-2021", IF(AND(B2192&gt;=2022, B2192&lt;=2024), "2022-2024", "Other"))</f>
        <v>2018-2021</v>
      </c>
    </row>
    <row r="2193" spans="1:9" x14ac:dyDescent="0.3">
      <c r="A2193" t="s">
        <v>11</v>
      </c>
      <c r="B2193">
        <v>2022</v>
      </c>
      <c r="C2193" t="s">
        <v>0</v>
      </c>
      <c r="D2193">
        <v>9084.81</v>
      </c>
      <c r="E2193">
        <v>9106.69</v>
      </c>
      <c r="F2193">
        <v>114.47</v>
      </c>
      <c r="G2193">
        <v>640.84</v>
      </c>
      <c r="H2193">
        <f>E2193*1000000/D2193</f>
        <v>1002408.4158061644</v>
      </c>
      <c r="I2193" t="str">
        <f>IF(AND(B2193&gt;=2018, B2193&lt;=2021), "2018-2021", IF(AND(B2193&gt;=2022, B2193&lt;=2024), "2022-2024", "Other"))</f>
        <v>2022-2024</v>
      </c>
    </row>
    <row r="2194" spans="1:9" x14ac:dyDescent="0.3">
      <c r="A2194" t="s">
        <v>24</v>
      </c>
      <c r="B2194">
        <v>2022</v>
      </c>
      <c r="C2194" t="s">
        <v>14</v>
      </c>
      <c r="D2194">
        <v>36705.17</v>
      </c>
      <c r="E2194">
        <v>33000.480000000003</v>
      </c>
      <c r="F2194">
        <v>151.22999999999999</v>
      </c>
      <c r="G2194">
        <v>1135.49</v>
      </c>
      <c r="H2194">
        <f>E2194*1000000/D2194</f>
        <v>899068.98673947039</v>
      </c>
      <c r="I2194" t="str">
        <f>IF(AND(B2194&gt;=2018, B2194&lt;=2021), "2018-2021", IF(AND(B2194&gt;=2022, B2194&lt;=2024), "2022-2024", "Other"))</f>
        <v>2022-2024</v>
      </c>
    </row>
    <row r="2195" spans="1:9" x14ac:dyDescent="0.3">
      <c r="A2195" t="s">
        <v>20</v>
      </c>
      <c r="B2195">
        <v>2020</v>
      </c>
      <c r="C2195" t="s">
        <v>6</v>
      </c>
      <c r="D2195">
        <v>47608.92</v>
      </c>
      <c r="E2195">
        <v>55268.5</v>
      </c>
      <c r="F2195">
        <v>52.68</v>
      </c>
      <c r="G2195">
        <v>618.59</v>
      </c>
      <c r="H2195">
        <f>E2195*1000000/D2195</f>
        <v>1160885.3971062566</v>
      </c>
      <c r="I2195" t="str">
        <f>IF(AND(B2195&gt;=2018, B2195&lt;=2021), "2018-2021", IF(AND(B2195&gt;=2022, B2195&lt;=2024), "2022-2024", "Other"))</f>
        <v>2018-2021</v>
      </c>
    </row>
    <row r="2196" spans="1:9" x14ac:dyDescent="0.3">
      <c r="A2196" t="s">
        <v>17</v>
      </c>
      <c r="B2196">
        <v>2023</v>
      </c>
      <c r="C2196" t="s">
        <v>9</v>
      </c>
      <c r="D2196">
        <v>21314.1</v>
      </c>
      <c r="E2196">
        <v>23935.46</v>
      </c>
      <c r="F2196">
        <v>163.08000000000001</v>
      </c>
      <c r="G2196">
        <v>482.21</v>
      </c>
      <c r="H2196">
        <f>E2196*1000000/D2196</f>
        <v>1122987.130584918</v>
      </c>
      <c r="I2196" t="str">
        <f>IF(AND(B2196&gt;=2018, B2196&lt;=2021), "2018-2021", IF(AND(B2196&gt;=2022, B2196&lt;=2024), "2022-2024", "Other"))</f>
        <v>2022-2024</v>
      </c>
    </row>
    <row r="2197" spans="1:9" x14ac:dyDescent="0.3">
      <c r="A2197" t="s">
        <v>26</v>
      </c>
      <c r="B2197">
        <v>2022</v>
      </c>
      <c r="C2197" t="s">
        <v>2</v>
      </c>
      <c r="D2197">
        <v>40109.93</v>
      </c>
      <c r="E2197">
        <v>42459.75</v>
      </c>
      <c r="F2197">
        <v>195.77</v>
      </c>
      <c r="G2197">
        <v>928.28</v>
      </c>
      <c r="H2197">
        <f>E2197*1000000/D2197</f>
        <v>1058584.4951611734</v>
      </c>
      <c r="I2197" t="str">
        <f>IF(AND(B2197&gt;=2018, B2197&lt;=2021), "2018-2021", IF(AND(B2197&gt;=2022, B2197&lt;=2024), "2022-2024", "Other"))</f>
        <v>2022-2024</v>
      </c>
    </row>
    <row r="2198" spans="1:9" x14ac:dyDescent="0.3">
      <c r="A2198" t="s">
        <v>22</v>
      </c>
      <c r="B2198">
        <v>2018</v>
      </c>
      <c r="C2198" t="s">
        <v>2</v>
      </c>
      <c r="D2198">
        <v>21358</v>
      </c>
      <c r="E2198">
        <v>19292.78</v>
      </c>
      <c r="F2198">
        <v>49.13</v>
      </c>
      <c r="G2198">
        <v>1271.1500000000001</v>
      </c>
      <c r="H2198">
        <f>E2198*1000000/D2198</f>
        <v>903304.61653712892</v>
      </c>
      <c r="I2198" t="str">
        <f>IF(AND(B2198&gt;=2018, B2198&lt;=2021), "2018-2021", IF(AND(B2198&gt;=2022, B2198&lt;=2024), "2022-2024", "Other"))</f>
        <v>2018-2021</v>
      </c>
    </row>
    <row r="2199" spans="1:9" x14ac:dyDescent="0.3">
      <c r="A2199" t="s">
        <v>19</v>
      </c>
      <c r="B2199">
        <v>2022</v>
      </c>
      <c r="C2199" t="s">
        <v>14</v>
      </c>
      <c r="D2199">
        <v>17139.36</v>
      </c>
      <c r="E2199">
        <v>17798.580000000002</v>
      </c>
      <c r="F2199">
        <v>79.47</v>
      </c>
      <c r="G2199">
        <v>296.25</v>
      </c>
      <c r="H2199">
        <f>E2199*1000000/D2199</f>
        <v>1038462.346318649</v>
      </c>
      <c r="I2199" t="str">
        <f>IF(AND(B2199&gt;=2018, B2199&lt;=2021), "2018-2021", IF(AND(B2199&gt;=2022, B2199&lt;=2024), "2022-2024", "Other"))</f>
        <v>2022-2024</v>
      </c>
    </row>
    <row r="2200" spans="1:9" x14ac:dyDescent="0.3">
      <c r="A2200" t="s">
        <v>23</v>
      </c>
      <c r="B2200">
        <v>2019</v>
      </c>
      <c r="C2200" t="s">
        <v>9</v>
      </c>
      <c r="D2200">
        <v>17056.7</v>
      </c>
      <c r="E2200">
        <v>18974.150000000001</v>
      </c>
      <c r="F2200">
        <v>40.33</v>
      </c>
      <c r="G2200">
        <v>1288.3900000000001</v>
      </c>
      <c r="H2200">
        <f>E2200*1000000/D2200</f>
        <v>1112416.2352623895</v>
      </c>
      <c r="I2200" t="str">
        <f>IF(AND(B2200&gt;=2018, B2200&lt;=2021), "2018-2021", IF(AND(B2200&gt;=2022, B2200&lt;=2024), "2022-2024", "Other"))</f>
        <v>2018-2021</v>
      </c>
    </row>
    <row r="2201" spans="1:9" x14ac:dyDescent="0.3">
      <c r="A2201" t="s">
        <v>11</v>
      </c>
      <c r="B2201">
        <v>2022</v>
      </c>
      <c r="C2201" t="s">
        <v>12</v>
      </c>
      <c r="D2201">
        <v>44413.09</v>
      </c>
      <c r="E2201">
        <v>50839.16</v>
      </c>
      <c r="F2201">
        <v>101.44</v>
      </c>
      <c r="G2201">
        <v>731.38</v>
      </c>
      <c r="H2201">
        <f>E2201*1000000/D2201</f>
        <v>1144688.6492248119</v>
      </c>
      <c r="I2201" t="str">
        <f>IF(AND(B2201&gt;=2018, B2201&lt;=2021), "2018-2021", IF(AND(B2201&gt;=2022, B2201&lt;=2024), "2022-2024", "Other"))</f>
        <v>2022-2024</v>
      </c>
    </row>
    <row r="2202" spans="1:9" x14ac:dyDescent="0.3">
      <c r="A2202" t="s">
        <v>18</v>
      </c>
      <c r="B2202">
        <v>2024</v>
      </c>
      <c r="C2202" t="s">
        <v>14</v>
      </c>
      <c r="D2202">
        <v>4539.78</v>
      </c>
      <c r="E2202">
        <v>4398.12</v>
      </c>
      <c r="F2202">
        <v>153.06</v>
      </c>
      <c r="G2202">
        <v>729.47</v>
      </c>
      <c r="H2202">
        <f>E2202*1000000/D2202</f>
        <v>968795.84473256418</v>
      </c>
      <c r="I2202" t="str">
        <f>IF(AND(B2202&gt;=2018, B2202&lt;=2021), "2018-2021", IF(AND(B2202&gt;=2022, B2202&lt;=2024), "2022-2024", "Other"))</f>
        <v>2022-2024</v>
      </c>
    </row>
    <row r="2203" spans="1:9" x14ac:dyDescent="0.3">
      <c r="A2203" t="s">
        <v>11</v>
      </c>
      <c r="B2203">
        <v>2022</v>
      </c>
      <c r="C2203" t="s">
        <v>0</v>
      </c>
      <c r="D2203">
        <v>40533.78</v>
      </c>
      <c r="E2203">
        <v>42367.39</v>
      </c>
      <c r="F2203">
        <v>197.89</v>
      </c>
      <c r="G2203">
        <v>425.81</v>
      </c>
      <c r="H2203">
        <f>E2203*1000000/D2203</f>
        <v>1045236.5903204685</v>
      </c>
      <c r="I2203" t="str">
        <f>IF(AND(B2203&gt;=2018, B2203&lt;=2021), "2018-2021", IF(AND(B2203&gt;=2022, B2203&lt;=2024), "2022-2024", "Other"))</f>
        <v>2022-2024</v>
      </c>
    </row>
    <row r="2204" spans="1:9" x14ac:dyDescent="0.3">
      <c r="A2204" t="s">
        <v>21</v>
      </c>
      <c r="B2204">
        <v>2021</v>
      </c>
      <c r="C2204" t="s">
        <v>12</v>
      </c>
      <c r="D2204">
        <v>47961.64</v>
      </c>
      <c r="E2204">
        <v>51338.33</v>
      </c>
      <c r="F2204">
        <v>198.04</v>
      </c>
      <c r="G2204">
        <v>1359.81</v>
      </c>
      <c r="H2204">
        <f>E2204*1000000/D2204</f>
        <v>1070403.9728416293</v>
      </c>
      <c r="I2204" t="str">
        <f>IF(AND(B2204&gt;=2018, B2204&lt;=2021), "2018-2021", IF(AND(B2204&gt;=2022, B2204&lt;=2024), "2022-2024", "Other"))</f>
        <v>2018-2021</v>
      </c>
    </row>
    <row r="2205" spans="1:9" x14ac:dyDescent="0.3">
      <c r="A2205" t="s">
        <v>27</v>
      </c>
      <c r="B2205">
        <v>2022</v>
      </c>
      <c r="C2205" t="s">
        <v>12</v>
      </c>
      <c r="D2205">
        <v>36243.19</v>
      </c>
      <c r="E2205">
        <v>32173.439999999999</v>
      </c>
      <c r="F2205">
        <v>22.91</v>
      </c>
      <c r="G2205">
        <v>1359.27</v>
      </c>
      <c r="H2205">
        <f>E2205*1000000/D2205</f>
        <v>887709.93943965738</v>
      </c>
      <c r="I2205" t="str">
        <f>IF(AND(B2205&gt;=2018, B2205&lt;=2021), "2018-2021", IF(AND(B2205&gt;=2022, B2205&lt;=2024), "2022-2024", "Other"))</f>
        <v>2022-2024</v>
      </c>
    </row>
    <row r="2206" spans="1:9" x14ac:dyDescent="0.3">
      <c r="A2206" t="s">
        <v>27</v>
      </c>
      <c r="B2206">
        <v>2024</v>
      </c>
      <c r="C2206" t="s">
        <v>0</v>
      </c>
      <c r="D2206">
        <v>935.82</v>
      </c>
      <c r="E2206">
        <v>926.19</v>
      </c>
      <c r="F2206">
        <v>149.58000000000001</v>
      </c>
      <c r="G2206">
        <v>848.45</v>
      </c>
      <c r="H2206">
        <f>E2206*1000000/D2206</f>
        <v>989709.5595306789</v>
      </c>
      <c r="I2206" t="str">
        <f>IF(AND(B2206&gt;=2018, B2206&lt;=2021), "2018-2021", IF(AND(B2206&gt;=2022, B2206&lt;=2024), "2022-2024", "Other"))</f>
        <v>2022-2024</v>
      </c>
    </row>
    <row r="2207" spans="1:9" x14ac:dyDescent="0.3">
      <c r="A2207" t="s">
        <v>19</v>
      </c>
      <c r="B2207">
        <v>2021</v>
      </c>
      <c r="C2207" t="s">
        <v>12</v>
      </c>
      <c r="D2207">
        <v>12275.04</v>
      </c>
      <c r="E2207">
        <v>10684.7</v>
      </c>
      <c r="F2207">
        <v>161.59</v>
      </c>
      <c r="G2207">
        <v>398.1</v>
      </c>
      <c r="H2207">
        <f>E2207*1000000/D2207</f>
        <v>870441.15538523695</v>
      </c>
      <c r="I2207" t="str">
        <f>IF(AND(B2207&gt;=2018, B2207&lt;=2021), "2018-2021", IF(AND(B2207&gt;=2022, B2207&lt;=2024), "2022-2024", "Other"))</f>
        <v>2018-2021</v>
      </c>
    </row>
    <row r="2208" spans="1:9" x14ac:dyDescent="0.3">
      <c r="A2208" t="s">
        <v>11</v>
      </c>
      <c r="B2208">
        <v>2024</v>
      </c>
      <c r="C2208" t="s">
        <v>9</v>
      </c>
      <c r="D2208">
        <v>2950.2</v>
      </c>
      <c r="E2208">
        <v>3293.61</v>
      </c>
      <c r="F2208">
        <v>53.62</v>
      </c>
      <c r="G2208">
        <v>221.09</v>
      </c>
      <c r="H2208">
        <f>E2208*1000000/D2208</f>
        <v>1116402.2778116739</v>
      </c>
      <c r="I2208" t="str">
        <f>IF(AND(B2208&gt;=2018, B2208&lt;=2021), "2018-2021", IF(AND(B2208&gt;=2022, B2208&lt;=2024), "2022-2024", "Other"))</f>
        <v>2022-2024</v>
      </c>
    </row>
    <row r="2209" spans="1:9" x14ac:dyDescent="0.3">
      <c r="A2209" t="s">
        <v>5</v>
      </c>
      <c r="B2209">
        <v>2023</v>
      </c>
      <c r="C2209" t="s">
        <v>4</v>
      </c>
      <c r="D2209">
        <v>15959.71</v>
      </c>
      <c r="E2209">
        <v>14776.27</v>
      </c>
      <c r="F2209">
        <v>120.64</v>
      </c>
      <c r="G2209">
        <v>1363.66</v>
      </c>
      <c r="H2209">
        <f>E2209*1000000/D2209</f>
        <v>925848.27669174445</v>
      </c>
      <c r="I2209" t="str">
        <f>IF(AND(B2209&gt;=2018, B2209&lt;=2021), "2018-2021", IF(AND(B2209&gt;=2022, B2209&lt;=2024), "2022-2024", "Other"))</f>
        <v>2022-2024</v>
      </c>
    </row>
    <row r="2210" spans="1:9" x14ac:dyDescent="0.3">
      <c r="A2210" t="s">
        <v>16</v>
      </c>
      <c r="B2210">
        <v>2024</v>
      </c>
      <c r="C2210" t="s">
        <v>9</v>
      </c>
      <c r="D2210">
        <v>41621.75</v>
      </c>
      <c r="E2210">
        <v>42568.89</v>
      </c>
      <c r="F2210">
        <v>187.12</v>
      </c>
      <c r="G2210">
        <v>571.30999999999995</v>
      </c>
      <c r="H2210">
        <f>E2210*1000000/D2210</f>
        <v>1022755.8908503366</v>
      </c>
      <c r="I2210" t="str">
        <f>IF(AND(B2210&gt;=2018, B2210&lt;=2021), "2018-2021", IF(AND(B2210&gt;=2022, B2210&lt;=2024), "2022-2024", "Other"))</f>
        <v>2022-2024</v>
      </c>
    </row>
    <row r="2211" spans="1:9" x14ac:dyDescent="0.3">
      <c r="A2211" t="s">
        <v>27</v>
      </c>
      <c r="B2211">
        <v>2019</v>
      </c>
      <c r="C2211" t="s">
        <v>12</v>
      </c>
      <c r="D2211">
        <v>32587.94</v>
      </c>
      <c r="E2211">
        <v>27049.03</v>
      </c>
      <c r="F2211">
        <v>62.45</v>
      </c>
      <c r="G2211">
        <v>1106.79</v>
      </c>
      <c r="H2211">
        <f>E2211*1000000/D2211</f>
        <v>830031.90750934242</v>
      </c>
      <c r="I2211" t="str">
        <f>IF(AND(B2211&gt;=2018, B2211&lt;=2021), "2018-2021", IF(AND(B2211&gt;=2022, B2211&lt;=2024), "2022-2024", "Other"))</f>
        <v>2018-2021</v>
      </c>
    </row>
    <row r="2212" spans="1:9" x14ac:dyDescent="0.3">
      <c r="A2212" t="s">
        <v>21</v>
      </c>
      <c r="B2212">
        <v>2022</v>
      </c>
      <c r="C2212" t="s">
        <v>0</v>
      </c>
      <c r="D2212">
        <v>40689.919999999998</v>
      </c>
      <c r="E2212">
        <v>32794.75</v>
      </c>
      <c r="F2212">
        <v>52.19</v>
      </c>
      <c r="G2212">
        <v>884.34</v>
      </c>
      <c r="H2212">
        <f>E2212*1000000/D2212</f>
        <v>805967.42387303791</v>
      </c>
      <c r="I2212" t="str">
        <f>IF(AND(B2212&gt;=2018, B2212&lt;=2021), "2018-2021", IF(AND(B2212&gt;=2022, B2212&lt;=2024), "2022-2024", "Other"))</f>
        <v>2022-2024</v>
      </c>
    </row>
    <row r="2213" spans="1:9" x14ac:dyDescent="0.3">
      <c r="A2213" t="s">
        <v>24</v>
      </c>
      <c r="B2213">
        <v>2023</v>
      </c>
      <c r="C2213" t="s">
        <v>4</v>
      </c>
      <c r="D2213">
        <v>5096.32</v>
      </c>
      <c r="E2213">
        <v>6100.3</v>
      </c>
      <c r="F2213">
        <v>102.1</v>
      </c>
      <c r="G2213">
        <v>789.88</v>
      </c>
      <c r="H2213">
        <f>E2213*1000000/D2213</f>
        <v>1197000.9732512874</v>
      </c>
      <c r="I2213" t="str">
        <f>IF(AND(B2213&gt;=2018, B2213&lt;=2021), "2018-2021", IF(AND(B2213&gt;=2022, B2213&lt;=2024), "2022-2024", "Other"))</f>
        <v>2022-2024</v>
      </c>
    </row>
    <row r="2214" spans="1:9" x14ac:dyDescent="0.3">
      <c r="A2214" t="s">
        <v>3</v>
      </c>
      <c r="B2214">
        <v>2023</v>
      </c>
      <c r="C2214" t="s">
        <v>2</v>
      </c>
      <c r="D2214">
        <v>30967.14</v>
      </c>
      <c r="E2214">
        <v>35080.79</v>
      </c>
      <c r="F2214">
        <v>25.27</v>
      </c>
      <c r="G2214">
        <v>1108.8399999999999</v>
      </c>
      <c r="H2214">
        <f>E2214*1000000/D2214</f>
        <v>1132839.1966452182</v>
      </c>
      <c r="I2214" t="str">
        <f>IF(AND(B2214&gt;=2018, B2214&lt;=2021), "2018-2021", IF(AND(B2214&gt;=2022, B2214&lt;=2024), "2022-2024", "Other"))</f>
        <v>2022-2024</v>
      </c>
    </row>
    <row r="2215" spans="1:9" x14ac:dyDescent="0.3">
      <c r="A2215" t="s">
        <v>22</v>
      </c>
      <c r="B2215">
        <v>2018</v>
      </c>
      <c r="C2215" t="s">
        <v>14</v>
      </c>
      <c r="D2215">
        <v>44408.2</v>
      </c>
      <c r="E2215">
        <v>42230.09</v>
      </c>
      <c r="F2215">
        <v>181.63</v>
      </c>
      <c r="G2215">
        <v>1087.96</v>
      </c>
      <c r="H2215">
        <f>E2215*1000000/D2215</f>
        <v>950952.52678559371</v>
      </c>
      <c r="I2215" t="str">
        <f>IF(AND(B2215&gt;=2018, B2215&lt;=2021), "2018-2021", IF(AND(B2215&gt;=2022, B2215&lt;=2024), "2022-2024", "Other"))</f>
        <v>2018-2021</v>
      </c>
    </row>
    <row r="2216" spans="1:9" x14ac:dyDescent="0.3">
      <c r="A2216" t="s">
        <v>23</v>
      </c>
      <c r="B2216">
        <v>2020</v>
      </c>
      <c r="C2216" t="s">
        <v>14</v>
      </c>
      <c r="D2216">
        <v>6479.12</v>
      </c>
      <c r="E2216">
        <v>5684.01</v>
      </c>
      <c r="F2216">
        <v>128.5</v>
      </c>
      <c r="G2216">
        <v>1227.8800000000001</v>
      </c>
      <c r="H2216">
        <f>E2216*1000000/D2216</f>
        <v>877281.17398659082</v>
      </c>
      <c r="I2216" t="str">
        <f>IF(AND(B2216&gt;=2018, B2216&lt;=2021), "2018-2021", IF(AND(B2216&gt;=2022, B2216&lt;=2024), "2022-2024", "Other"))</f>
        <v>2018-2021</v>
      </c>
    </row>
    <row r="2217" spans="1:9" x14ac:dyDescent="0.3">
      <c r="A2217" t="s">
        <v>21</v>
      </c>
      <c r="B2217">
        <v>2020</v>
      </c>
      <c r="C2217" t="s">
        <v>4</v>
      </c>
      <c r="D2217">
        <v>40388.03</v>
      </c>
      <c r="E2217">
        <v>42433.51</v>
      </c>
      <c r="F2217">
        <v>25.64</v>
      </c>
      <c r="G2217">
        <v>1142.48</v>
      </c>
      <c r="H2217">
        <f>E2217*1000000/D2217</f>
        <v>1050645.6987379678</v>
      </c>
      <c r="I2217" t="str">
        <f>IF(AND(B2217&gt;=2018, B2217&lt;=2021), "2018-2021", IF(AND(B2217&gt;=2022, B2217&lt;=2024), "2022-2024", "Other"))</f>
        <v>2018-2021</v>
      </c>
    </row>
    <row r="2218" spans="1:9" x14ac:dyDescent="0.3">
      <c r="A2218" t="s">
        <v>15</v>
      </c>
      <c r="B2218">
        <v>2019</v>
      </c>
      <c r="C2218" t="s">
        <v>12</v>
      </c>
      <c r="D2218">
        <v>17074.89</v>
      </c>
      <c r="E2218">
        <v>15502.26</v>
      </c>
      <c r="F2218">
        <v>199.14</v>
      </c>
      <c r="G2218">
        <v>380.9</v>
      </c>
      <c r="H2218">
        <f>E2218*1000000/D2218</f>
        <v>907898.08894815727</v>
      </c>
      <c r="I2218" t="str">
        <f>IF(AND(B2218&gt;=2018, B2218&lt;=2021), "2018-2021", IF(AND(B2218&gt;=2022, B2218&lt;=2024), "2022-2024", "Other"))</f>
        <v>2018-2021</v>
      </c>
    </row>
    <row r="2219" spans="1:9" x14ac:dyDescent="0.3">
      <c r="A2219" t="s">
        <v>3</v>
      </c>
      <c r="B2219">
        <v>2019</v>
      </c>
      <c r="C2219" t="s">
        <v>6</v>
      </c>
      <c r="D2219">
        <v>33214.400000000001</v>
      </c>
      <c r="E2219">
        <v>33722.370000000003</v>
      </c>
      <c r="F2219">
        <v>26.48</v>
      </c>
      <c r="G2219">
        <v>478.94</v>
      </c>
      <c r="H2219">
        <f>E2219*1000000/D2219</f>
        <v>1015293.6678067344</v>
      </c>
      <c r="I2219" t="str">
        <f>IF(AND(B2219&gt;=2018, B2219&lt;=2021), "2018-2021", IF(AND(B2219&gt;=2022, B2219&lt;=2024), "2022-2024", "Other"))</f>
        <v>2018-2021</v>
      </c>
    </row>
    <row r="2220" spans="1:9" x14ac:dyDescent="0.3">
      <c r="A2220" t="s">
        <v>22</v>
      </c>
      <c r="B2220">
        <v>2020</v>
      </c>
      <c r="C2220" t="s">
        <v>12</v>
      </c>
      <c r="D2220">
        <v>37498.559999999998</v>
      </c>
      <c r="E2220">
        <v>37175.4</v>
      </c>
      <c r="F2220">
        <v>140.93</v>
      </c>
      <c r="G2220">
        <v>1370.54</v>
      </c>
      <c r="H2220">
        <f>E2220*1000000/D2220</f>
        <v>991382.06907145237</v>
      </c>
      <c r="I2220" t="str">
        <f>IF(AND(B2220&gt;=2018, B2220&lt;=2021), "2018-2021", IF(AND(B2220&gt;=2022, B2220&lt;=2024), "2022-2024", "Other"))</f>
        <v>2018-2021</v>
      </c>
    </row>
    <row r="2221" spans="1:9" x14ac:dyDescent="0.3">
      <c r="A2221" t="s">
        <v>20</v>
      </c>
      <c r="B2221">
        <v>2019</v>
      </c>
      <c r="C2221" t="s">
        <v>2</v>
      </c>
      <c r="D2221">
        <v>46617.87</v>
      </c>
      <c r="E2221">
        <v>55386</v>
      </c>
      <c r="F2221">
        <v>187.18</v>
      </c>
      <c r="G2221">
        <v>276.94</v>
      </c>
      <c r="H2221">
        <f>E2221*1000000/D2221</f>
        <v>1188085.1699144554</v>
      </c>
      <c r="I2221" t="str">
        <f>IF(AND(B2221&gt;=2018, B2221&lt;=2021), "2018-2021", IF(AND(B2221&gt;=2022, B2221&lt;=2024), "2022-2024", "Other"))</f>
        <v>2018-2021</v>
      </c>
    </row>
    <row r="2222" spans="1:9" x14ac:dyDescent="0.3">
      <c r="A2222" t="s">
        <v>17</v>
      </c>
      <c r="B2222">
        <v>2023</v>
      </c>
      <c r="C2222" t="s">
        <v>14</v>
      </c>
      <c r="D2222">
        <v>1350.66</v>
      </c>
      <c r="E2222">
        <v>1486.33</v>
      </c>
      <c r="F2222">
        <v>126.25</v>
      </c>
      <c r="G2222">
        <v>916.87</v>
      </c>
      <c r="H2222">
        <f>E2222*1000000/D2222</f>
        <v>1100447.1887817807</v>
      </c>
      <c r="I2222" t="str">
        <f>IF(AND(B2222&gt;=2018, B2222&lt;=2021), "2018-2021", IF(AND(B2222&gt;=2022, B2222&lt;=2024), "2022-2024", "Other"))</f>
        <v>2022-2024</v>
      </c>
    </row>
    <row r="2223" spans="1:9" x14ac:dyDescent="0.3">
      <c r="A2223" t="s">
        <v>7</v>
      </c>
      <c r="B2223">
        <v>2020</v>
      </c>
      <c r="C2223" t="s">
        <v>12</v>
      </c>
      <c r="D2223">
        <v>16895.669999999998</v>
      </c>
      <c r="E2223">
        <v>19414.990000000002</v>
      </c>
      <c r="F2223">
        <v>27.4</v>
      </c>
      <c r="G2223">
        <v>756.92</v>
      </c>
      <c r="H2223">
        <f>E2223*1000000/D2223</f>
        <v>1149110.3933729767</v>
      </c>
      <c r="I2223" t="str">
        <f>IF(AND(B2223&gt;=2018, B2223&lt;=2021), "2018-2021", IF(AND(B2223&gt;=2022, B2223&lt;=2024), "2022-2024", "Other"))</f>
        <v>2018-2021</v>
      </c>
    </row>
    <row r="2224" spans="1:9" x14ac:dyDescent="0.3">
      <c r="A2224" t="s">
        <v>25</v>
      </c>
      <c r="B2224">
        <v>2023</v>
      </c>
      <c r="C2224" t="s">
        <v>8</v>
      </c>
      <c r="D2224">
        <v>2196.0700000000002</v>
      </c>
      <c r="E2224">
        <v>1810.24</v>
      </c>
      <c r="F2224">
        <v>25.67</v>
      </c>
      <c r="G2224">
        <v>169.53</v>
      </c>
      <c r="H2224">
        <f>E2224*1000000/D2224</f>
        <v>824308.87904301775</v>
      </c>
      <c r="I2224" t="str">
        <f>IF(AND(B2224&gt;=2018, B2224&lt;=2021), "2018-2021", IF(AND(B2224&gt;=2022, B2224&lt;=2024), "2022-2024", "Other"))</f>
        <v>2022-2024</v>
      </c>
    </row>
    <row r="2225" spans="1:9" x14ac:dyDescent="0.3">
      <c r="A2225" t="s">
        <v>1</v>
      </c>
      <c r="B2225">
        <v>2020</v>
      </c>
      <c r="C2225" t="s">
        <v>14</v>
      </c>
      <c r="D2225">
        <v>15377.13</v>
      </c>
      <c r="E2225">
        <v>14750.52</v>
      </c>
      <c r="F2225">
        <v>194.07</v>
      </c>
      <c r="G2225">
        <v>133.19999999999999</v>
      </c>
      <c r="H2225">
        <f>E2225*1000000/D2225</f>
        <v>959250.52334213222</v>
      </c>
      <c r="I2225" t="str">
        <f>IF(AND(B2225&gt;=2018, B2225&lt;=2021), "2018-2021", IF(AND(B2225&gt;=2022, B2225&lt;=2024), "2022-2024", "Other"))</f>
        <v>2018-2021</v>
      </c>
    </row>
    <row r="2226" spans="1:9" x14ac:dyDescent="0.3">
      <c r="A2226" t="s">
        <v>16</v>
      </c>
      <c r="B2226">
        <v>2023</v>
      </c>
      <c r="C2226" t="s">
        <v>2</v>
      </c>
      <c r="D2226">
        <v>10984.97</v>
      </c>
      <c r="E2226">
        <v>13178.29</v>
      </c>
      <c r="F2226">
        <v>78.5</v>
      </c>
      <c r="G2226">
        <v>320.86</v>
      </c>
      <c r="H2226">
        <f>E2226*1000000/D2226</f>
        <v>1199665.5430101312</v>
      </c>
      <c r="I2226" t="str">
        <f>IF(AND(B2226&gt;=2018, B2226&lt;=2021), "2018-2021", IF(AND(B2226&gt;=2022, B2226&lt;=2024), "2022-2024", "Other"))</f>
        <v>2022-2024</v>
      </c>
    </row>
    <row r="2227" spans="1:9" x14ac:dyDescent="0.3">
      <c r="A2227" t="s">
        <v>3</v>
      </c>
      <c r="B2227">
        <v>2022</v>
      </c>
      <c r="C2227" t="s">
        <v>2</v>
      </c>
      <c r="D2227">
        <v>43272.07</v>
      </c>
      <c r="E2227">
        <v>44745.57</v>
      </c>
      <c r="F2227">
        <v>127.93</v>
      </c>
      <c r="G2227">
        <v>1079.8599999999999</v>
      </c>
      <c r="H2227">
        <f>E2227*1000000/D2227</f>
        <v>1034051.9878064535</v>
      </c>
      <c r="I2227" t="str">
        <f>IF(AND(B2227&gt;=2018, B2227&lt;=2021), "2018-2021", IF(AND(B2227&gt;=2022, B2227&lt;=2024), "2022-2024", "Other"))</f>
        <v>2022-2024</v>
      </c>
    </row>
    <row r="2228" spans="1:9" x14ac:dyDescent="0.3">
      <c r="A2228" t="s">
        <v>25</v>
      </c>
      <c r="B2228">
        <v>2019</v>
      </c>
      <c r="C2228" t="s">
        <v>8</v>
      </c>
      <c r="D2228">
        <v>4349.1000000000004</v>
      </c>
      <c r="E2228">
        <v>5041.08</v>
      </c>
      <c r="F2228">
        <v>27.44</v>
      </c>
      <c r="G2228">
        <v>694.98</v>
      </c>
      <c r="H2228">
        <f>E2228*1000000/D2228</f>
        <v>1159108.7811271297</v>
      </c>
      <c r="I2228" t="str">
        <f>IF(AND(B2228&gt;=2018, B2228&lt;=2021), "2018-2021", IF(AND(B2228&gt;=2022, B2228&lt;=2024), "2022-2024", "Other"))</f>
        <v>2018-2021</v>
      </c>
    </row>
    <row r="2229" spans="1:9" x14ac:dyDescent="0.3">
      <c r="A2229" t="s">
        <v>20</v>
      </c>
      <c r="B2229">
        <v>2020</v>
      </c>
      <c r="C2229" t="s">
        <v>9</v>
      </c>
      <c r="D2229">
        <v>3590.1</v>
      </c>
      <c r="E2229">
        <v>3913.05</v>
      </c>
      <c r="F2229">
        <v>105.44</v>
      </c>
      <c r="G2229">
        <v>591.58000000000004</v>
      </c>
      <c r="H2229">
        <f>E2229*1000000/D2229</f>
        <v>1089955.7115400685</v>
      </c>
      <c r="I2229" t="str">
        <f>IF(AND(B2229&gt;=2018, B2229&lt;=2021), "2018-2021", IF(AND(B2229&gt;=2022, B2229&lt;=2024), "2022-2024", "Other"))</f>
        <v>2018-2021</v>
      </c>
    </row>
    <row r="2230" spans="1:9" x14ac:dyDescent="0.3">
      <c r="A2230" t="s">
        <v>22</v>
      </c>
      <c r="B2230">
        <v>2022</v>
      </c>
      <c r="C2230" t="s">
        <v>12</v>
      </c>
      <c r="D2230">
        <v>39587.56</v>
      </c>
      <c r="E2230">
        <v>38946.61</v>
      </c>
      <c r="F2230">
        <v>184.85</v>
      </c>
      <c r="G2230">
        <v>1328.83</v>
      </c>
      <c r="H2230">
        <f>E2230*1000000/D2230</f>
        <v>983809.30777244165</v>
      </c>
      <c r="I2230" t="str">
        <f>IF(AND(B2230&gt;=2018, B2230&lt;=2021), "2018-2021", IF(AND(B2230&gt;=2022, B2230&lt;=2024), "2022-2024", "Other"))</f>
        <v>2022-2024</v>
      </c>
    </row>
    <row r="2231" spans="1:9" x14ac:dyDescent="0.3">
      <c r="A2231" t="s">
        <v>10</v>
      </c>
      <c r="B2231">
        <v>2022</v>
      </c>
      <c r="C2231" t="s">
        <v>6</v>
      </c>
      <c r="D2231">
        <v>44113</v>
      </c>
      <c r="E2231">
        <v>47014.28</v>
      </c>
      <c r="F2231">
        <v>192.98</v>
      </c>
      <c r="G2231">
        <v>967.44</v>
      </c>
      <c r="H2231">
        <f>E2231*1000000/D2231</f>
        <v>1065769.2743635662</v>
      </c>
      <c r="I2231" t="str">
        <f>IF(AND(B2231&gt;=2018, B2231&lt;=2021), "2018-2021", IF(AND(B2231&gt;=2022, B2231&lt;=2024), "2022-2024", "Other"))</f>
        <v>2022-2024</v>
      </c>
    </row>
    <row r="2232" spans="1:9" x14ac:dyDescent="0.3">
      <c r="A2232" t="s">
        <v>25</v>
      </c>
      <c r="B2232">
        <v>2020</v>
      </c>
      <c r="C2232" t="s">
        <v>8</v>
      </c>
      <c r="D2232">
        <v>30731.43</v>
      </c>
      <c r="E2232">
        <v>33663.230000000003</v>
      </c>
      <c r="F2232">
        <v>99.01</v>
      </c>
      <c r="G2232">
        <v>1181.06</v>
      </c>
      <c r="H2232">
        <f>E2232*1000000/D2232</f>
        <v>1095400.7021476061</v>
      </c>
      <c r="I2232" t="str">
        <f>IF(AND(B2232&gt;=2018, B2232&lt;=2021), "2018-2021", IF(AND(B2232&gt;=2022, B2232&lt;=2024), "2022-2024", "Other"))</f>
        <v>2018-2021</v>
      </c>
    </row>
    <row r="2233" spans="1:9" x14ac:dyDescent="0.3">
      <c r="A2233" t="s">
        <v>17</v>
      </c>
      <c r="B2233">
        <v>2024</v>
      </c>
      <c r="C2233" t="s">
        <v>2</v>
      </c>
      <c r="D2233">
        <v>32046.76</v>
      </c>
      <c r="E2233">
        <v>37019.97</v>
      </c>
      <c r="F2233">
        <v>102.53</v>
      </c>
      <c r="G2233">
        <v>1308.1600000000001</v>
      </c>
      <c r="H2233">
        <f>E2233*1000000/D2233</f>
        <v>1155186.0468889836</v>
      </c>
      <c r="I2233" t="str">
        <f>IF(AND(B2233&gt;=2018, B2233&lt;=2021), "2018-2021", IF(AND(B2233&gt;=2022, B2233&lt;=2024), "2022-2024", "Other"))</f>
        <v>2022-2024</v>
      </c>
    </row>
    <row r="2234" spans="1:9" x14ac:dyDescent="0.3">
      <c r="A2234" t="s">
        <v>5</v>
      </c>
      <c r="B2234">
        <v>2019</v>
      </c>
      <c r="C2234" t="s">
        <v>14</v>
      </c>
      <c r="D2234">
        <v>24714.37</v>
      </c>
      <c r="E2234">
        <v>20754.62</v>
      </c>
      <c r="F2234">
        <v>173.49</v>
      </c>
      <c r="G2234">
        <v>1279.1500000000001</v>
      </c>
      <c r="H2234">
        <f>E2234*1000000/D2234</f>
        <v>839779.44815101498</v>
      </c>
      <c r="I2234" t="str">
        <f>IF(AND(B2234&gt;=2018, B2234&lt;=2021), "2018-2021", IF(AND(B2234&gt;=2022, B2234&lt;=2024), "2022-2024", "Other"))</f>
        <v>2018-2021</v>
      </c>
    </row>
    <row r="2235" spans="1:9" x14ac:dyDescent="0.3">
      <c r="A2235" t="s">
        <v>17</v>
      </c>
      <c r="B2235">
        <v>2018</v>
      </c>
      <c r="C2235" t="s">
        <v>6</v>
      </c>
      <c r="D2235">
        <v>18484.48</v>
      </c>
      <c r="E2235">
        <v>17390.509999999998</v>
      </c>
      <c r="F2235">
        <v>101.13</v>
      </c>
      <c r="G2235">
        <v>337.5</v>
      </c>
      <c r="H2235">
        <f>E2235*1000000/D2235</f>
        <v>940816.83661103807</v>
      </c>
      <c r="I2235" t="str">
        <f>IF(AND(B2235&gt;=2018, B2235&lt;=2021), "2018-2021", IF(AND(B2235&gt;=2022, B2235&lt;=2024), "2022-2024", "Other"))</f>
        <v>2018-2021</v>
      </c>
    </row>
    <row r="2236" spans="1:9" x14ac:dyDescent="0.3">
      <c r="A2236" t="s">
        <v>11</v>
      </c>
      <c r="B2236">
        <v>2022</v>
      </c>
      <c r="C2236" t="s">
        <v>4</v>
      </c>
      <c r="D2236">
        <v>1474.04</v>
      </c>
      <c r="E2236">
        <v>1208.28</v>
      </c>
      <c r="F2236">
        <v>104.39</v>
      </c>
      <c r="G2236">
        <v>828.2</v>
      </c>
      <c r="H2236">
        <f>E2236*1000000/D2236</f>
        <v>819706.38517272263</v>
      </c>
      <c r="I2236" t="str">
        <f>IF(AND(B2236&gt;=2018, B2236&lt;=2021), "2018-2021", IF(AND(B2236&gt;=2022, B2236&lt;=2024), "2022-2024", "Other"))</f>
        <v>2022-2024</v>
      </c>
    </row>
    <row r="2237" spans="1:9" x14ac:dyDescent="0.3">
      <c r="A2237" t="s">
        <v>10</v>
      </c>
      <c r="B2237">
        <v>2018</v>
      </c>
      <c r="C2237" t="s">
        <v>2</v>
      </c>
      <c r="D2237">
        <v>6534.01</v>
      </c>
      <c r="E2237">
        <v>5653.64</v>
      </c>
      <c r="F2237">
        <v>140.44</v>
      </c>
      <c r="G2237">
        <v>628.4</v>
      </c>
      <c r="H2237">
        <f>E2237*1000000/D2237</f>
        <v>865263.44465343643</v>
      </c>
      <c r="I2237" t="str">
        <f>IF(AND(B2237&gt;=2018, B2237&lt;=2021), "2018-2021", IF(AND(B2237&gt;=2022, B2237&lt;=2024), "2022-2024", "Other"))</f>
        <v>2018-2021</v>
      </c>
    </row>
    <row r="2238" spans="1:9" x14ac:dyDescent="0.3">
      <c r="A2238" t="s">
        <v>20</v>
      </c>
      <c r="B2238">
        <v>2021</v>
      </c>
      <c r="C2238" t="s">
        <v>12</v>
      </c>
      <c r="D2238">
        <v>11616.43</v>
      </c>
      <c r="E2238">
        <v>13501.93</v>
      </c>
      <c r="F2238">
        <v>162.66999999999999</v>
      </c>
      <c r="G2238">
        <v>1013.24</v>
      </c>
      <c r="H2238">
        <f>E2238*1000000/D2238</f>
        <v>1162313.2063809622</v>
      </c>
      <c r="I2238" t="str">
        <f>IF(AND(B2238&gt;=2018, B2238&lt;=2021), "2018-2021", IF(AND(B2238&gt;=2022, B2238&lt;=2024), "2022-2024", "Other"))</f>
        <v>2018-2021</v>
      </c>
    </row>
    <row r="2239" spans="1:9" x14ac:dyDescent="0.3">
      <c r="A2239" t="s">
        <v>1</v>
      </c>
      <c r="B2239">
        <v>2020</v>
      </c>
      <c r="C2239" t="s">
        <v>8</v>
      </c>
      <c r="D2239">
        <v>16326.39</v>
      </c>
      <c r="E2239">
        <v>17607.060000000001</v>
      </c>
      <c r="F2239">
        <v>70.39</v>
      </c>
      <c r="G2239">
        <v>1357.48</v>
      </c>
      <c r="H2239">
        <f>E2239*1000000/D2239</f>
        <v>1078441.7130792539</v>
      </c>
      <c r="I2239" t="str">
        <f>IF(AND(B2239&gt;=2018, B2239&lt;=2021), "2018-2021", IF(AND(B2239&gt;=2022, B2239&lt;=2024), "2022-2024", "Other"))</f>
        <v>2018-2021</v>
      </c>
    </row>
    <row r="2240" spans="1:9" x14ac:dyDescent="0.3">
      <c r="A2240" t="s">
        <v>25</v>
      </c>
      <c r="B2240">
        <v>2018</v>
      </c>
      <c r="C2240" t="s">
        <v>9</v>
      </c>
      <c r="D2240">
        <v>47617.94</v>
      </c>
      <c r="E2240">
        <v>39530.959999999999</v>
      </c>
      <c r="F2240">
        <v>197.97</v>
      </c>
      <c r="G2240">
        <v>157.1</v>
      </c>
      <c r="H2240">
        <f>E2240*1000000/D2240</f>
        <v>830169.46974186611</v>
      </c>
      <c r="I2240" t="str">
        <f>IF(AND(B2240&gt;=2018, B2240&lt;=2021), "2018-2021", IF(AND(B2240&gt;=2022, B2240&lt;=2024), "2022-2024", "Other"))</f>
        <v>2018-2021</v>
      </c>
    </row>
    <row r="2241" spans="1:9" x14ac:dyDescent="0.3">
      <c r="A2241" t="s">
        <v>20</v>
      </c>
      <c r="B2241">
        <v>2023</v>
      </c>
      <c r="C2241" t="s">
        <v>14</v>
      </c>
      <c r="D2241">
        <v>43696.87</v>
      </c>
      <c r="E2241">
        <v>35154.769999999997</v>
      </c>
      <c r="F2241">
        <v>189.95</v>
      </c>
      <c r="G2241">
        <v>907.73</v>
      </c>
      <c r="H2241">
        <f>E2241*1000000/D2241</f>
        <v>804514.60253331636</v>
      </c>
      <c r="I2241" t="str">
        <f>IF(AND(B2241&gt;=2018, B2241&lt;=2021), "2018-2021", IF(AND(B2241&gt;=2022, B2241&lt;=2024), "2022-2024", "Other"))</f>
        <v>2022-2024</v>
      </c>
    </row>
    <row r="2242" spans="1:9" x14ac:dyDescent="0.3">
      <c r="A2242" t="s">
        <v>27</v>
      </c>
      <c r="B2242">
        <v>2020</v>
      </c>
      <c r="C2242" t="s">
        <v>0</v>
      </c>
      <c r="D2242">
        <v>6408</v>
      </c>
      <c r="E2242">
        <v>6276.8</v>
      </c>
      <c r="F2242">
        <v>187.43</v>
      </c>
      <c r="G2242">
        <v>731.31</v>
      </c>
      <c r="H2242">
        <f>E2242*1000000/D2242</f>
        <v>979525.59300873906</v>
      </c>
      <c r="I2242" t="str">
        <f>IF(AND(B2242&gt;=2018, B2242&lt;=2021), "2018-2021", IF(AND(B2242&gt;=2022, B2242&lt;=2024), "2022-2024", "Other"))</f>
        <v>2018-2021</v>
      </c>
    </row>
    <row r="2243" spans="1:9" x14ac:dyDescent="0.3">
      <c r="A2243" t="s">
        <v>26</v>
      </c>
      <c r="B2243">
        <v>2021</v>
      </c>
      <c r="C2243" t="s">
        <v>9</v>
      </c>
      <c r="D2243">
        <v>15288.73</v>
      </c>
      <c r="E2243">
        <v>16576.419999999998</v>
      </c>
      <c r="F2243">
        <v>197.71</v>
      </c>
      <c r="G2243">
        <v>826.58</v>
      </c>
      <c r="H2243">
        <f>E2243*1000000/D2243</f>
        <v>1084224.785184904</v>
      </c>
      <c r="I2243" t="str">
        <f>IF(AND(B2243&gt;=2018, B2243&lt;=2021), "2018-2021", IF(AND(B2243&gt;=2022, B2243&lt;=2024), "2022-2024", "Other"))</f>
        <v>2018-2021</v>
      </c>
    </row>
    <row r="2244" spans="1:9" x14ac:dyDescent="0.3">
      <c r="A2244" t="s">
        <v>19</v>
      </c>
      <c r="B2244">
        <v>2023</v>
      </c>
      <c r="C2244" t="s">
        <v>6</v>
      </c>
      <c r="D2244">
        <v>30183.19</v>
      </c>
      <c r="E2244">
        <v>24591.72</v>
      </c>
      <c r="F2244">
        <v>115.97</v>
      </c>
      <c r="G2244">
        <v>695.44</v>
      </c>
      <c r="H2244">
        <f>E2244*1000000/D2244</f>
        <v>814748.87180579652</v>
      </c>
      <c r="I2244" t="str">
        <f>IF(AND(B2244&gt;=2018, B2244&lt;=2021), "2018-2021", IF(AND(B2244&gt;=2022, B2244&lt;=2024), "2022-2024", "Other"))</f>
        <v>2022-2024</v>
      </c>
    </row>
    <row r="2245" spans="1:9" x14ac:dyDescent="0.3">
      <c r="A2245" t="s">
        <v>15</v>
      </c>
      <c r="B2245">
        <v>2022</v>
      </c>
      <c r="C2245" t="s">
        <v>2</v>
      </c>
      <c r="D2245">
        <v>49956.72</v>
      </c>
      <c r="E2245">
        <v>54284.18</v>
      </c>
      <c r="F2245">
        <v>115.03</v>
      </c>
      <c r="G2245">
        <v>327.45999999999998</v>
      </c>
      <c r="H2245">
        <f>E2245*1000000/D2245</f>
        <v>1086624.1818918455</v>
      </c>
      <c r="I2245" t="str">
        <f>IF(AND(B2245&gt;=2018, B2245&lt;=2021), "2018-2021", IF(AND(B2245&gt;=2022, B2245&lt;=2024), "2022-2024", "Other"))</f>
        <v>2022-2024</v>
      </c>
    </row>
    <row r="2246" spans="1:9" x14ac:dyDescent="0.3">
      <c r="A2246" t="s">
        <v>7</v>
      </c>
      <c r="B2246">
        <v>2022</v>
      </c>
      <c r="C2246" t="s">
        <v>4</v>
      </c>
      <c r="D2246">
        <v>15785.95</v>
      </c>
      <c r="E2246">
        <v>14969.94</v>
      </c>
      <c r="F2246">
        <v>89.02</v>
      </c>
      <c r="G2246">
        <v>1219.19</v>
      </c>
      <c r="H2246">
        <f>E2246*1000000/D2246</f>
        <v>948307.83069755067</v>
      </c>
      <c r="I2246" t="str">
        <f>IF(AND(B2246&gt;=2018, B2246&lt;=2021), "2018-2021", IF(AND(B2246&gt;=2022, B2246&lt;=2024), "2022-2024", "Other"))</f>
        <v>2022-2024</v>
      </c>
    </row>
    <row r="2247" spans="1:9" x14ac:dyDescent="0.3">
      <c r="A2247" t="s">
        <v>11</v>
      </c>
      <c r="B2247">
        <v>2018</v>
      </c>
      <c r="C2247" t="s">
        <v>6</v>
      </c>
      <c r="D2247">
        <v>27911.93</v>
      </c>
      <c r="E2247">
        <v>29353.37</v>
      </c>
      <c r="F2247">
        <v>35.89</v>
      </c>
      <c r="G2247">
        <v>728.14</v>
      </c>
      <c r="H2247">
        <f>E2247*1000000/D2247</f>
        <v>1051642.4338983367</v>
      </c>
      <c r="I2247" t="str">
        <f>IF(AND(B2247&gt;=2018, B2247&lt;=2021), "2018-2021", IF(AND(B2247&gt;=2022, B2247&lt;=2024), "2022-2024", "Other"))</f>
        <v>2018-2021</v>
      </c>
    </row>
    <row r="2248" spans="1:9" x14ac:dyDescent="0.3">
      <c r="A2248" t="s">
        <v>18</v>
      </c>
      <c r="B2248">
        <v>2019</v>
      </c>
      <c r="C2248" t="s">
        <v>4</v>
      </c>
      <c r="D2248">
        <v>30939.1</v>
      </c>
      <c r="E2248">
        <v>26174.28</v>
      </c>
      <c r="F2248">
        <v>121.45</v>
      </c>
      <c r="G2248">
        <v>623.17999999999995</v>
      </c>
      <c r="H2248">
        <f>E2248*1000000/D2248</f>
        <v>845993.58093803632</v>
      </c>
      <c r="I2248" t="str">
        <f>IF(AND(B2248&gt;=2018, B2248&lt;=2021), "2018-2021", IF(AND(B2248&gt;=2022, B2248&lt;=2024), "2022-2024", "Other"))</f>
        <v>2018-2021</v>
      </c>
    </row>
    <row r="2249" spans="1:9" x14ac:dyDescent="0.3">
      <c r="A2249" t="s">
        <v>22</v>
      </c>
      <c r="B2249">
        <v>2024</v>
      </c>
      <c r="C2249" t="s">
        <v>6</v>
      </c>
      <c r="D2249">
        <v>21645.26</v>
      </c>
      <c r="E2249">
        <v>18587.599999999999</v>
      </c>
      <c r="F2249">
        <v>57.84</v>
      </c>
      <c r="G2249">
        <v>1101.8699999999999</v>
      </c>
      <c r="H2249">
        <f>E2249*1000000/D2249</f>
        <v>858737.66358084872</v>
      </c>
      <c r="I2249" t="str">
        <f>IF(AND(B2249&gt;=2018, B2249&lt;=2021), "2018-2021", IF(AND(B2249&gt;=2022, B2249&lt;=2024), "2022-2024", "Other"))</f>
        <v>2022-2024</v>
      </c>
    </row>
    <row r="2250" spans="1:9" x14ac:dyDescent="0.3">
      <c r="A2250" t="s">
        <v>3</v>
      </c>
      <c r="B2250">
        <v>2019</v>
      </c>
      <c r="C2250" t="s">
        <v>14</v>
      </c>
      <c r="D2250">
        <v>43235.32</v>
      </c>
      <c r="E2250">
        <v>44975.6</v>
      </c>
      <c r="F2250">
        <v>109.83</v>
      </c>
      <c r="G2250">
        <v>1188.29</v>
      </c>
      <c r="H2250">
        <f>E2250*1000000/D2250</f>
        <v>1040251.3500536135</v>
      </c>
      <c r="I2250" t="str">
        <f>IF(AND(B2250&gt;=2018, B2250&lt;=2021), "2018-2021", IF(AND(B2250&gt;=2022, B2250&lt;=2024), "2022-2024", "Other"))</f>
        <v>2018-2021</v>
      </c>
    </row>
    <row r="2251" spans="1:9" x14ac:dyDescent="0.3">
      <c r="A2251" t="s">
        <v>23</v>
      </c>
      <c r="B2251">
        <v>2019</v>
      </c>
      <c r="C2251" t="s">
        <v>8</v>
      </c>
      <c r="D2251">
        <v>41849.81</v>
      </c>
      <c r="E2251">
        <v>42853.46</v>
      </c>
      <c r="F2251">
        <v>90.87</v>
      </c>
      <c r="G2251">
        <v>1170.4000000000001</v>
      </c>
      <c r="H2251">
        <f>E2251*1000000/D2251</f>
        <v>1023982.1877327521</v>
      </c>
      <c r="I2251" t="str">
        <f>IF(AND(B2251&gt;=2018, B2251&lt;=2021), "2018-2021", IF(AND(B2251&gt;=2022, B2251&lt;=2024), "2022-2024", "Other"))</f>
        <v>2018-2021</v>
      </c>
    </row>
    <row r="2252" spans="1:9" x14ac:dyDescent="0.3">
      <c r="A2252" t="s">
        <v>17</v>
      </c>
      <c r="B2252">
        <v>2021</v>
      </c>
      <c r="C2252" t="s">
        <v>8</v>
      </c>
      <c r="D2252">
        <v>42161.02</v>
      </c>
      <c r="E2252">
        <v>49890.82</v>
      </c>
      <c r="F2252">
        <v>182.21</v>
      </c>
      <c r="G2252">
        <v>118.35</v>
      </c>
      <c r="H2252">
        <f>E2252*1000000/D2252</f>
        <v>1183339.9666326859</v>
      </c>
      <c r="I2252" t="str">
        <f>IF(AND(B2252&gt;=2018, B2252&lt;=2021), "2018-2021", IF(AND(B2252&gt;=2022, B2252&lt;=2024), "2022-2024", "Other"))</f>
        <v>2018-2021</v>
      </c>
    </row>
    <row r="2253" spans="1:9" x14ac:dyDescent="0.3">
      <c r="A2253" t="s">
        <v>19</v>
      </c>
      <c r="B2253">
        <v>2021</v>
      </c>
      <c r="C2253" t="s">
        <v>14</v>
      </c>
      <c r="D2253">
        <v>44529.34</v>
      </c>
      <c r="E2253">
        <v>44569.81</v>
      </c>
      <c r="F2253">
        <v>39</v>
      </c>
      <c r="G2253">
        <v>888.96</v>
      </c>
      <c r="H2253">
        <f>E2253*1000000/D2253</f>
        <v>1000908.8389812201</v>
      </c>
      <c r="I2253" t="str">
        <f>IF(AND(B2253&gt;=2018, B2253&lt;=2021), "2018-2021", IF(AND(B2253&gt;=2022, B2253&lt;=2024), "2022-2024", "Other"))</f>
        <v>2018-2021</v>
      </c>
    </row>
    <row r="2254" spans="1:9" x14ac:dyDescent="0.3">
      <c r="A2254" t="s">
        <v>19</v>
      </c>
      <c r="B2254">
        <v>2023</v>
      </c>
      <c r="C2254" t="s">
        <v>4</v>
      </c>
      <c r="D2254">
        <v>24769.11</v>
      </c>
      <c r="E2254">
        <v>21827.22</v>
      </c>
      <c r="F2254">
        <v>114.9</v>
      </c>
      <c r="G2254">
        <v>1098.97</v>
      </c>
      <c r="H2254">
        <f>E2254*1000000/D2254</f>
        <v>881227.46436993498</v>
      </c>
      <c r="I2254" t="str">
        <f>IF(AND(B2254&gt;=2018, B2254&lt;=2021), "2018-2021", IF(AND(B2254&gt;=2022, B2254&lt;=2024), "2022-2024", "Other"))</f>
        <v>2022-2024</v>
      </c>
    </row>
    <row r="2255" spans="1:9" x14ac:dyDescent="0.3">
      <c r="A2255" t="s">
        <v>25</v>
      </c>
      <c r="B2255">
        <v>2022</v>
      </c>
      <c r="C2255" t="s">
        <v>12</v>
      </c>
      <c r="D2255">
        <v>25330.28</v>
      </c>
      <c r="E2255">
        <v>23617.35</v>
      </c>
      <c r="F2255">
        <v>149.22</v>
      </c>
      <c r="G2255">
        <v>484.02</v>
      </c>
      <c r="H2255">
        <f>E2255*1000000/D2255</f>
        <v>932376.19165678392</v>
      </c>
      <c r="I2255" t="str">
        <f>IF(AND(B2255&gt;=2018, B2255&lt;=2021), "2018-2021", IF(AND(B2255&gt;=2022, B2255&lt;=2024), "2022-2024", "Other"))</f>
        <v>2022-2024</v>
      </c>
    </row>
    <row r="2256" spans="1:9" x14ac:dyDescent="0.3">
      <c r="A2256" t="s">
        <v>16</v>
      </c>
      <c r="B2256">
        <v>2024</v>
      </c>
      <c r="C2256" t="s">
        <v>6</v>
      </c>
      <c r="D2256">
        <v>8760.69</v>
      </c>
      <c r="E2256">
        <v>8508.18</v>
      </c>
      <c r="F2256">
        <v>58.15</v>
      </c>
      <c r="G2256">
        <v>1316.45</v>
      </c>
      <c r="H2256">
        <f>E2256*1000000/D2256</f>
        <v>971176.9278447245</v>
      </c>
      <c r="I2256" t="str">
        <f>IF(AND(B2256&gt;=2018, B2256&lt;=2021), "2018-2021", IF(AND(B2256&gt;=2022, B2256&lt;=2024), "2022-2024", "Other"))</f>
        <v>2022-2024</v>
      </c>
    </row>
    <row r="2257" spans="1:9" x14ac:dyDescent="0.3">
      <c r="A2257" t="s">
        <v>24</v>
      </c>
      <c r="B2257">
        <v>2018</v>
      </c>
      <c r="C2257" t="s">
        <v>14</v>
      </c>
      <c r="D2257">
        <v>32326.04</v>
      </c>
      <c r="E2257">
        <v>30437.47</v>
      </c>
      <c r="F2257">
        <v>166.36</v>
      </c>
      <c r="G2257">
        <v>1334.68</v>
      </c>
      <c r="H2257">
        <f>E2257*1000000/D2257</f>
        <v>941577.44035458716</v>
      </c>
      <c r="I2257" t="str">
        <f>IF(AND(B2257&gt;=2018, B2257&lt;=2021), "2018-2021", IF(AND(B2257&gt;=2022, B2257&lt;=2024), "2022-2024", "Other"))</f>
        <v>2018-2021</v>
      </c>
    </row>
    <row r="2258" spans="1:9" x14ac:dyDescent="0.3">
      <c r="A2258" t="s">
        <v>16</v>
      </c>
      <c r="B2258">
        <v>2019</v>
      </c>
      <c r="C2258" t="s">
        <v>0</v>
      </c>
      <c r="D2258">
        <v>7637.99</v>
      </c>
      <c r="E2258">
        <v>9063.1</v>
      </c>
      <c r="F2258">
        <v>157.21</v>
      </c>
      <c r="G2258">
        <v>121.4</v>
      </c>
      <c r="H2258">
        <f>E2258*1000000/D2258</f>
        <v>1186581.8101359128</v>
      </c>
      <c r="I2258" t="str">
        <f>IF(AND(B2258&gt;=2018, B2258&lt;=2021), "2018-2021", IF(AND(B2258&gt;=2022, B2258&lt;=2024), "2022-2024", "Other"))</f>
        <v>2018-2021</v>
      </c>
    </row>
    <row r="2259" spans="1:9" x14ac:dyDescent="0.3">
      <c r="A2259" t="s">
        <v>18</v>
      </c>
      <c r="B2259">
        <v>2023</v>
      </c>
      <c r="C2259" t="s">
        <v>9</v>
      </c>
      <c r="D2259">
        <v>32324.65</v>
      </c>
      <c r="E2259">
        <v>34652.36</v>
      </c>
      <c r="F2259">
        <v>159.72</v>
      </c>
      <c r="G2259">
        <v>387.42</v>
      </c>
      <c r="H2259">
        <f>E2259*1000000/D2259</f>
        <v>1072010.3697951871</v>
      </c>
      <c r="I2259" t="str">
        <f>IF(AND(B2259&gt;=2018, B2259&lt;=2021), "2018-2021", IF(AND(B2259&gt;=2022, B2259&lt;=2024), "2022-2024", "Other"))</f>
        <v>2022-2024</v>
      </c>
    </row>
    <row r="2260" spans="1:9" x14ac:dyDescent="0.3">
      <c r="A2260" t="s">
        <v>24</v>
      </c>
      <c r="B2260">
        <v>2023</v>
      </c>
      <c r="C2260" t="s">
        <v>2</v>
      </c>
      <c r="D2260">
        <v>25781.279999999999</v>
      </c>
      <c r="E2260">
        <v>22716.09</v>
      </c>
      <c r="F2260">
        <v>107.49</v>
      </c>
      <c r="G2260">
        <v>47.45</v>
      </c>
      <c r="H2260">
        <f>E2260*1000000/D2260</f>
        <v>881107.92016532936</v>
      </c>
      <c r="I2260" t="str">
        <f>IF(AND(B2260&gt;=2018, B2260&lt;=2021), "2018-2021", IF(AND(B2260&gt;=2022, B2260&lt;=2024), "2022-2024", "Other"))</f>
        <v>2022-2024</v>
      </c>
    </row>
    <row r="2261" spans="1:9" x14ac:dyDescent="0.3">
      <c r="A2261" t="s">
        <v>18</v>
      </c>
      <c r="B2261">
        <v>2019</v>
      </c>
      <c r="C2261" t="s">
        <v>6</v>
      </c>
      <c r="D2261">
        <v>35813.64</v>
      </c>
      <c r="E2261">
        <v>35555.01</v>
      </c>
      <c r="F2261">
        <v>112.34</v>
      </c>
      <c r="G2261">
        <v>973.72</v>
      </c>
      <c r="H2261">
        <f>E2261*1000000/D2261</f>
        <v>992778.44977500197</v>
      </c>
      <c r="I2261" t="str">
        <f>IF(AND(B2261&gt;=2018, B2261&lt;=2021), "2018-2021", IF(AND(B2261&gt;=2022, B2261&lt;=2024), "2022-2024", "Other"))</f>
        <v>2018-2021</v>
      </c>
    </row>
    <row r="2262" spans="1:9" x14ac:dyDescent="0.3">
      <c r="A2262" t="s">
        <v>17</v>
      </c>
      <c r="B2262">
        <v>2020</v>
      </c>
      <c r="C2262" t="s">
        <v>0</v>
      </c>
      <c r="D2262">
        <v>41306.47</v>
      </c>
      <c r="E2262">
        <v>46542.54</v>
      </c>
      <c r="F2262">
        <v>162.13999999999999</v>
      </c>
      <c r="G2262">
        <v>1002.59</v>
      </c>
      <c r="H2262">
        <f>E2262*1000000/D2262</f>
        <v>1126761.4976539994</v>
      </c>
      <c r="I2262" t="str">
        <f>IF(AND(B2262&gt;=2018, B2262&lt;=2021), "2018-2021", IF(AND(B2262&gt;=2022, B2262&lt;=2024), "2022-2024", "Other"))</f>
        <v>2018-2021</v>
      </c>
    </row>
    <row r="2263" spans="1:9" x14ac:dyDescent="0.3">
      <c r="A2263" t="s">
        <v>23</v>
      </c>
      <c r="B2263">
        <v>2024</v>
      </c>
      <c r="C2263" t="s">
        <v>12</v>
      </c>
      <c r="D2263">
        <v>8893.76</v>
      </c>
      <c r="E2263">
        <v>8935.25</v>
      </c>
      <c r="F2263">
        <v>178.61</v>
      </c>
      <c r="G2263">
        <v>345.33</v>
      </c>
      <c r="H2263">
        <f>E2263*1000000/D2263</f>
        <v>1004665.0685424387</v>
      </c>
      <c r="I2263" t="str">
        <f>IF(AND(B2263&gt;=2018, B2263&lt;=2021), "2018-2021", IF(AND(B2263&gt;=2022, B2263&lt;=2024), "2022-2024", "Other"))</f>
        <v>2022-2024</v>
      </c>
    </row>
    <row r="2264" spans="1:9" x14ac:dyDescent="0.3">
      <c r="A2264" t="s">
        <v>10</v>
      </c>
      <c r="B2264">
        <v>2019</v>
      </c>
      <c r="C2264" t="s">
        <v>14</v>
      </c>
      <c r="D2264">
        <v>16078.18</v>
      </c>
      <c r="E2264">
        <v>13225.2</v>
      </c>
      <c r="F2264">
        <v>144.19999999999999</v>
      </c>
      <c r="G2264">
        <v>84</v>
      </c>
      <c r="H2264">
        <f>E2264*1000000/D2264</f>
        <v>822555.78678681294</v>
      </c>
      <c r="I2264" t="str">
        <f>IF(AND(B2264&gt;=2018, B2264&lt;=2021), "2018-2021", IF(AND(B2264&gt;=2022, B2264&lt;=2024), "2022-2024", "Other"))</f>
        <v>2018-2021</v>
      </c>
    </row>
    <row r="2265" spans="1:9" x14ac:dyDescent="0.3">
      <c r="A2265" t="s">
        <v>24</v>
      </c>
      <c r="B2265">
        <v>2024</v>
      </c>
      <c r="C2265" t="s">
        <v>2</v>
      </c>
      <c r="D2265">
        <v>5706.66</v>
      </c>
      <c r="E2265">
        <v>4808.6000000000004</v>
      </c>
      <c r="F2265">
        <v>56.84</v>
      </c>
      <c r="G2265">
        <v>1042.76</v>
      </c>
      <c r="H2265">
        <f>E2265*1000000/D2265</f>
        <v>842629.48905314144</v>
      </c>
      <c r="I2265" t="str">
        <f>IF(AND(B2265&gt;=2018, B2265&lt;=2021), "2018-2021", IF(AND(B2265&gt;=2022, B2265&lt;=2024), "2022-2024", "Other"))</f>
        <v>2022-2024</v>
      </c>
    </row>
    <row r="2266" spans="1:9" x14ac:dyDescent="0.3">
      <c r="A2266" t="s">
        <v>13</v>
      </c>
      <c r="B2266">
        <v>2020</v>
      </c>
      <c r="C2266" t="s">
        <v>6</v>
      </c>
      <c r="D2266">
        <v>37669.360000000001</v>
      </c>
      <c r="E2266">
        <v>39917.08</v>
      </c>
      <c r="F2266">
        <v>184.25</v>
      </c>
      <c r="G2266">
        <v>730.86</v>
      </c>
      <c r="H2266">
        <f>E2266*1000000/D2266</f>
        <v>1059669.7156521906</v>
      </c>
      <c r="I2266" t="str">
        <f>IF(AND(B2266&gt;=2018, B2266&lt;=2021), "2018-2021", IF(AND(B2266&gt;=2022, B2266&lt;=2024), "2022-2024", "Other"))</f>
        <v>2018-2021</v>
      </c>
    </row>
    <row r="2267" spans="1:9" x14ac:dyDescent="0.3">
      <c r="A2267" t="s">
        <v>19</v>
      </c>
      <c r="B2267">
        <v>2022</v>
      </c>
      <c r="C2267" t="s">
        <v>2</v>
      </c>
      <c r="D2267">
        <v>34547.54</v>
      </c>
      <c r="E2267">
        <v>27917.66</v>
      </c>
      <c r="F2267">
        <v>176.46</v>
      </c>
      <c r="G2267">
        <v>1143.81</v>
      </c>
      <c r="H2267">
        <f>E2267*1000000/D2267</f>
        <v>808094.00611447298</v>
      </c>
      <c r="I2267" t="str">
        <f>IF(AND(B2267&gt;=2018, B2267&lt;=2021), "2018-2021", IF(AND(B2267&gt;=2022, B2267&lt;=2024), "2022-2024", "Other"))</f>
        <v>2022-2024</v>
      </c>
    </row>
    <row r="2268" spans="1:9" x14ac:dyDescent="0.3">
      <c r="A2268" t="s">
        <v>24</v>
      </c>
      <c r="B2268">
        <v>2024</v>
      </c>
      <c r="C2268" t="s">
        <v>12</v>
      </c>
      <c r="D2268">
        <v>48049.54</v>
      </c>
      <c r="E2268">
        <v>43047.97</v>
      </c>
      <c r="F2268">
        <v>87</v>
      </c>
      <c r="G2268">
        <v>826.01</v>
      </c>
      <c r="H2268">
        <f>E2268*1000000/D2268</f>
        <v>895908.05655995873</v>
      </c>
      <c r="I2268" t="str">
        <f>IF(AND(B2268&gt;=2018, B2268&lt;=2021), "2018-2021", IF(AND(B2268&gt;=2022, B2268&lt;=2024), "2022-2024", "Other"))</f>
        <v>2022-2024</v>
      </c>
    </row>
    <row r="2269" spans="1:9" x14ac:dyDescent="0.3">
      <c r="A2269" t="s">
        <v>22</v>
      </c>
      <c r="B2269">
        <v>2021</v>
      </c>
      <c r="C2269" t="s">
        <v>9</v>
      </c>
      <c r="D2269">
        <v>9699.2099999999991</v>
      </c>
      <c r="E2269">
        <v>9979.66</v>
      </c>
      <c r="F2269">
        <v>121.47</v>
      </c>
      <c r="G2269">
        <v>1188.82</v>
      </c>
      <c r="H2269">
        <f>E2269*1000000/D2269</f>
        <v>1028914.7260446986</v>
      </c>
      <c r="I2269" t="str">
        <f>IF(AND(B2269&gt;=2018, B2269&lt;=2021), "2018-2021", IF(AND(B2269&gt;=2022, B2269&lt;=2024), "2022-2024", "Other"))</f>
        <v>2018-2021</v>
      </c>
    </row>
    <row r="2270" spans="1:9" x14ac:dyDescent="0.3">
      <c r="A2270" t="s">
        <v>13</v>
      </c>
      <c r="B2270">
        <v>2022</v>
      </c>
      <c r="C2270" t="s">
        <v>8</v>
      </c>
      <c r="D2270">
        <v>47226.15</v>
      </c>
      <c r="E2270">
        <v>41252.03</v>
      </c>
      <c r="F2270">
        <v>192.94</v>
      </c>
      <c r="G2270">
        <v>1385.29</v>
      </c>
      <c r="H2270">
        <f>E2270*1000000/D2270</f>
        <v>873499.74537412007</v>
      </c>
      <c r="I2270" t="str">
        <f>IF(AND(B2270&gt;=2018, B2270&lt;=2021), "2018-2021", IF(AND(B2270&gt;=2022, B2270&lt;=2024), "2022-2024", "Other"))</f>
        <v>2022-2024</v>
      </c>
    </row>
    <row r="2271" spans="1:9" x14ac:dyDescent="0.3">
      <c r="A2271" t="s">
        <v>27</v>
      </c>
      <c r="B2271">
        <v>2020</v>
      </c>
      <c r="C2271" t="s">
        <v>9</v>
      </c>
      <c r="D2271">
        <v>24092.9</v>
      </c>
      <c r="E2271">
        <v>23745.33</v>
      </c>
      <c r="F2271">
        <v>105.75</v>
      </c>
      <c r="G2271">
        <v>149.96</v>
      </c>
      <c r="H2271">
        <f>E2271*1000000/D2271</f>
        <v>985573.75824412995</v>
      </c>
      <c r="I2271" t="str">
        <f>IF(AND(B2271&gt;=2018, B2271&lt;=2021), "2018-2021", IF(AND(B2271&gt;=2022, B2271&lt;=2024), "2022-2024", "Other"))</f>
        <v>2018-2021</v>
      </c>
    </row>
    <row r="2272" spans="1:9" x14ac:dyDescent="0.3">
      <c r="A2272" t="s">
        <v>5</v>
      </c>
      <c r="B2272">
        <v>2019</v>
      </c>
      <c r="C2272" t="s">
        <v>6</v>
      </c>
      <c r="D2272">
        <v>38762.839999999997</v>
      </c>
      <c r="E2272">
        <v>37350.949999999997</v>
      </c>
      <c r="F2272">
        <v>147.43</v>
      </c>
      <c r="G2272">
        <v>1137.49</v>
      </c>
      <c r="H2272">
        <f>E2272*1000000/D2272</f>
        <v>963576.19823521713</v>
      </c>
      <c r="I2272" t="str">
        <f>IF(AND(B2272&gt;=2018, B2272&lt;=2021), "2018-2021", IF(AND(B2272&gt;=2022, B2272&lt;=2024), "2022-2024", "Other"))</f>
        <v>2018-2021</v>
      </c>
    </row>
    <row r="2273" spans="1:9" x14ac:dyDescent="0.3">
      <c r="A2273" t="s">
        <v>26</v>
      </c>
      <c r="B2273">
        <v>2024</v>
      </c>
      <c r="C2273" t="s">
        <v>0</v>
      </c>
      <c r="D2273">
        <v>32596.97</v>
      </c>
      <c r="E2273">
        <v>30241.119999999999</v>
      </c>
      <c r="F2273">
        <v>146.22999999999999</v>
      </c>
      <c r="G2273">
        <v>1260.58</v>
      </c>
      <c r="H2273">
        <f>E2273*1000000/D2273</f>
        <v>927727.94526607834</v>
      </c>
      <c r="I2273" t="str">
        <f>IF(AND(B2273&gt;=2018, B2273&lt;=2021), "2018-2021", IF(AND(B2273&gt;=2022, B2273&lt;=2024), "2022-2024", "Other"))</f>
        <v>2022-2024</v>
      </c>
    </row>
    <row r="2274" spans="1:9" x14ac:dyDescent="0.3">
      <c r="A2274" t="s">
        <v>17</v>
      </c>
      <c r="B2274">
        <v>2020</v>
      </c>
      <c r="C2274" t="s">
        <v>12</v>
      </c>
      <c r="D2274">
        <v>9373.69</v>
      </c>
      <c r="E2274">
        <v>7789.61</v>
      </c>
      <c r="F2274">
        <v>21.09</v>
      </c>
      <c r="G2274">
        <v>145.69</v>
      </c>
      <c r="H2274">
        <f>E2274*1000000/D2274</f>
        <v>831007.8528306355</v>
      </c>
      <c r="I2274" t="str">
        <f>IF(AND(B2274&gt;=2018, B2274&lt;=2021), "2018-2021", IF(AND(B2274&gt;=2022, B2274&lt;=2024), "2022-2024", "Other"))</f>
        <v>2018-2021</v>
      </c>
    </row>
    <row r="2275" spans="1:9" x14ac:dyDescent="0.3">
      <c r="A2275" t="s">
        <v>27</v>
      </c>
      <c r="B2275">
        <v>2021</v>
      </c>
      <c r="C2275" t="s">
        <v>12</v>
      </c>
      <c r="D2275">
        <v>23807.62</v>
      </c>
      <c r="E2275">
        <v>27875.66</v>
      </c>
      <c r="F2275">
        <v>144.51</v>
      </c>
      <c r="G2275">
        <v>1300.1099999999999</v>
      </c>
      <c r="H2275">
        <f>E2275*1000000/D2275</f>
        <v>1170871.3428725761</v>
      </c>
      <c r="I2275" t="str">
        <f>IF(AND(B2275&gt;=2018, B2275&lt;=2021), "2018-2021", IF(AND(B2275&gt;=2022, B2275&lt;=2024), "2022-2024", "Other"))</f>
        <v>2018-2021</v>
      </c>
    </row>
    <row r="2276" spans="1:9" x14ac:dyDescent="0.3">
      <c r="A2276" t="s">
        <v>26</v>
      </c>
      <c r="B2276">
        <v>2019</v>
      </c>
      <c r="C2276" t="s">
        <v>2</v>
      </c>
      <c r="D2276">
        <v>34253.699999999997</v>
      </c>
      <c r="E2276">
        <v>38503.82</v>
      </c>
      <c r="F2276">
        <v>63.77</v>
      </c>
      <c r="G2276">
        <v>374.1</v>
      </c>
      <c r="H2276">
        <f>E2276*1000000/D2276</f>
        <v>1124077.6908771901</v>
      </c>
      <c r="I2276" t="str">
        <f>IF(AND(B2276&gt;=2018, B2276&lt;=2021), "2018-2021", IF(AND(B2276&gt;=2022, B2276&lt;=2024), "2022-2024", "Other"))</f>
        <v>2018-2021</v>
      </c>
    </row>
    <row r="2277" spans="1:9" x14ac:dyDescent="0.3">
      <c r="A2277" t="s">
        <v>13</v>
      </c>
      <c r="B2277">
        <v>2023</v>
      </c>
      <c r="C2277" t="s">
        <v>0</v>
      </c>
      <c r="D2277">
        <v>18948.39</v>
      </c>
      <c r="E2277">
        <v>17147.310000000001</v>
      </c>
      <c r="F2277">
        <v>24.01</v>
      </c>
      <c r="G2277">
        <v>891.92</v>
      </c>
      <c r="H2277">
        <f>E2277*1000000/D2277</f>
        <v>904948.12488026696</v>
      </c>
      <c r="I2277" t="str">
        <f>IF(AND(B2277&gt;=2018, B2277&lt;=2021), "2018-2021", IF(AND(B2277&gt;=2022, B2277&lt;=2024), "2022-2024", "Other"))</f>
        <v>2022-2024</v>
      </c>
    </row>
    <row r="2278" spans="1:9" x14ac:dyDescent="0.3">
      <c r="A2278" t="s">
        <v>5</v>
      </c>
      <c r="B2278">
        <v>2023</v>
      </c>
      <c r="C2278" t="s">
        <v>0</v>
      </c>
      <c r="D2278">
        <v>42853.919999999998</v>
      </c>
      <c r="E2278">
        <v>49497.73</v>
      </c>
      <c r="F2278">
        <v>130.66999999999999</v>
      </c>
      <c r="G2278">
        <v>1040.8599999999999</v>
      </c>
      <c r="H2278">
        <f>E2278*1000000/D2278</f>
        <v>1155033.8918820028</v>
      </c>
      <c r="I2278" t="str">
        <f>IF(AND(B2278&gt;=2018, B2278&lt;=2021), "2018-2021", IF(AND(B2278&gt;=2022, B2278&lt;=2024), "2022-2024", "Other"))</f>
        <v>2022-2024</v>
      </c>
    </row>
    <row r="2279" spans="1:9" x14ac:dyDescent="0.3">
      <c r="A2279" t="s">
        <v>26</v>
      </c>
      <c r="B2279">
        <v>2019</v>
      </c>
      <c r="C2279" t="s">
        <v>8</v>
      </c>
      <c r="D2279">
        <v>33663.519999999997</v>
      </c>
      <c r="E2279">
        <v>26981</v>
      </c>
      <c r="F2279">
        <v>195.78</v>
      </c>
      <c r="G2279">
        <v>1042.9100000000001</v>
      </c>
      <c r="H2279">
        <f>E2279*1000000/D2279</f>
        <v>801490.75319515017</v>
      </c>
      <c r="I2279" t="str">
        <f>IF(AND(B2279&gt;=2018, B2279&lt;=2021), "2018-2021", IF(AND(B2279&gt;=2022, B2279&lt;=2024), "2022-2024", "Other"))</f>
        <v>2018-2021</v>
      </c>
    </row>
    <row r="2280" spans="1:9" x14ac:dyDescent="0.3">
      <c r="A2280" t="s">
        <v>7</v>
      </c>
      <c r="B2280">
        <v>2024</v>
      </c>
      <c r="C2280" t="s">
        <v>8</v>
      </c>
      <c r="D2280">
        <v>26409.46</v>
      </c>
      <c r="E2280">
        <v>26058.98</v>
      </c>
      <c r="F2280">
        <v>169.86</v>
      </c>
      <c r="G2280">
        <v>895.54</v>
      </c>
      <c r="H2280">
        <f>E2280*1000000/D2280</f>
        <v>986728.99786667351</v>
      </c>
      <c r="I2280" t="str">
        <f>IF(AND(B2280&gt;=2018, B2280&lt;=2021), "2018-2021", IF(AND(B2280&gt;=2022, B2280&lt;=2024), "2022-2024", "Other"))</f>
        <v>2022-2024</v>
      </c>
    </row>
    <row r="2281" spans="1:9" x14ac:dyDescent="0.3">
      <c r="A2281" t="s">
        <v>18</v>
      </c>
      <c r="B2281">
        <v>2018</v>
      </c>
      <c r="C2281" t="s">
        <v>9</v>
      </c>
      <c r="D2281">
        <v>33671.339999999997</v>
      </c>
      <c r="E2281">
        <v>36398.89</v>
      </c>
      <c r="F2281">
        <v>183.53</v>
      </c>
      <c r="G2281">
        <v>636.54999999999995</v>
      </c>
      <c r="H2281">
        <f>E2281*1000000/D2281</f>
        <v>1081005.0921644343</v>
      </c>
      <c r="I2281" t="str">
        <f>IF(AND(B2281&gt;=2018, B2281&lt;=2021), "2018-2021", IF(AND(B2281&gt;=2022, B2281&lt;=2024), "2022-2024", "Other"))</f>
        <v>2018-2021</v>
      </c>
    </row>
    <row r="2282" spans="1:9" x14ac:dyDescent="0.3">
      <c r="A2282" t="s">
        <v>3</v>
      </c>
      <c r="B2282">
        <v>2019</v>
      </c>
      <c r="C2282" t="s">
        <v>0</v>
      </c>
      <c r="D2282">
        <v>47078.22</v>
      </c>
      <c r="E2282">
        <v>52025.3</v>
      </c>
      <c r="F2282">
        <v>176.51</v>
      </c>
      <c r="G2282">
        <v>773.05</v>
      </c>
      <c r="H2282">
        <f>E2282*1000000/D2282</f>
        <v>1105082.1377698646</v>
      </c>
      <c r="I2282" t="str">
        <f>IF(AND(B2282&gt;=2018, B2282&lt;=2021), "2018-2021", IF(AND(B2282&gt;=2022, B2282&lt;=2024), "2022-2024", "Other"))</f>
        <v>2018-2021</v>
      </c>
    </row>
    <row r="2283" spans="1:9" x14ac:dyDescent="0.3">
      <c r="A2283" t="s">
        <v>27</v>
      </c>
      <c r="B2283">
        <v>2018</v>
      </c>
      <c r="C2283" t="s">
        <v>0</v>
      </c>
      <c r="D2283">
        <v>14013.21</v>
      </c>
      <c r="E2283">
        <v>14906.11</v>
      </c>
      <c r="F2283">
        <v>84.92</v>
      </c>
      <c r="G2283">
        <v>1044.29</v>
      </c>
      <c r="H2283">
        <f>E2283*1000000/D2283</f>
        <v>1063718.4485210741</v>
      </c>
      <c r="I2283" t="str">
        <f>IF(AND(B2283&gt;=2018, B2283&lt;=2021), "2018-2021", IF(AND(B2283&gt;=2022, B2283&lt;=2024), "2022-2024", "Other"))</f>
        <v>2018-2021</v>
      </c>
    </row>
    <row r="2284" spans="1:9" x14ac:dyDescent="0.3">
      <c r="A2284" t="s">
        <v>18</v>
      </c>
      <c r="B2284">
        <v>2020</v>
      </c>
      <c r="C2284" t="s">
        <v>12</v>
      </c>
      <c r="D2284">
        <v>7711.38</v>
      </c>
      <c r="E2284">
        <v>9222.89</v>
      </c>
      <c r="F2284">
        <v>47.53</v>
      </c>
      <c r="G2284">
        <v>272.77</v>
      </c>
      <c r="H2284">
        <f>E2284*1000000/D2284</f>
        <v>1196010.3120323471</v>
      </c>
      <c r="I2284" t="str">
        <f>IF(AND(B2284&gt;=2018, B2284&lt;=2021), "2018-2021", IF(AND(B2284&gt;=2022, B2284&lt;=2024), "2022-2024", "Other"))</f>
        <v>2018-2021</v>
      </c>
    </row>
    <row r="2285" spans="1:9" x14ac:dyDescent="0.3">
      <c r="A2285" t="s">
        <v>26</v>
      </c>
      <c r="B2285">
        <v>2023</v>
      </c>
      <c r="C2285" t="s">
        <v>14</v>
      </c>
      <c r="D2285">
        <v>49908.97</v>
      </c>
      <c r="E2285">
        <v>54435.3</v>
      </c>
      <c r="F2285">
        <v>51.24</v>
      </c>
      <c r="G2285">
        <v>832.2</v>
      </c>
      <c r="H2285">
        <f>E2285*1000000/D2285</f>
        <v>1090691.7133332945</v>
      </c>
      <c r="I2285" t="str">
        <f>IF(AND(B2285&gt;=2018, B2285&lt;=2021), "2018-2021", IF(AND(B2285&gt;=2022, B2285&lt;=2024), "2022-2024", "Other"))</f>
        <v>2022-2024</v>
      </c>
    </row>
    <row r="2286" spans="1:9" x14ac:dyDescent="0.3">
      <c r="A2286" t="s">
        <v>7</v>
      </c>
      <c r="B2286">
        <v>2020</v>
      </c>
      <c r="C2286" t="s">
        <v>0</v>
      </c>
      <c r="D2286">
        <v>28737.94</v>
      </c>
      <c r="E2286">
        <v>26128.39</v>
      </c>
      <c r="F2286">
        <v>158.97999999999999</v>
      </c>
      <c r="G2286">
        <v>683.66</v>
      </c>
      <c r="H2286">
        <f>E2286*1000000/D2286</f>
        <v>909194.95273495594</v>
      </c>
      <c r="I2286" t="str">
        <f>IF(AND(B2286&gt;=2018, B2286&lt;=2021), "2018-2021", IF(AND(B2286&gt;=2022, B2286&lt;=2024), "2022-2024", "Other"))</f>
        <v>2018-2021</v>
      </c>
    </row>
    <row r="2287" spans="1:9" x14ac:dyDescent="0.3">
      <c r="A2287" t="s">
        <v>26</v>
      </c>
      <c r="B2287">
        <v>2020</v>
      </c>
      <c r="C2287" t="s">
        <v>9</v>
      </c>
      <c r="D2287">
        <v>35066.400000000001</v>
      </c>
      <c r="E2287">
        <v>33371.660000000003</v>
      </c>
      <c r="F2287">
        <v>68.930000000000007</v>
      </c>
      <c r="G2287">
        <v>963.01</v>
      </c>
      <c r="H2287">
        <f>E2287*1000000/D2287</f>
        <v>951670.5450231561</v>
      </c>
      <c r="I2287" t="str">
        <f>IF(AND(B2287&gt;=2018, B2287&lt;=2021), "2018-2021", IF(AND(B2287&gt;=2022, B2287&lt;=2024), "2022-2024", "Other"))</f>
        <v>2018-2021</v>
      </c>
    </row>
    <row r="2288" spans="1:9" x14ac:dyDescent="0.3">
      <c r="A2288" t="s">
        <v>23</v>
      </c>
      <c r="B2288">
        <v>2023</v>
      </c>
      <c r="C2288" t="s">
        <v>2</v>
      </c>
      <c r="D2288">
        <v>24355.91</v>
      </c>
      <c r="E2288">
        <v>20283.73</v>
      </c>
      <c r="F2288">
        <v>108.7</v>
      </c>
      <c r="G2288">
        <v>37.42</v>
      </c>
      <c r="H2288">
        <f>E2288*1000000/D2288</f>
        <v>832805.26163875626</v>
      </c>
      <c r="I2288" t="str">
        <f>IF(AND(B2288&gt;=2018, B2288&lt;=2021), "2018-2021", IF(AND(B2288&gt;=2022, B2288&lt;=2024), "2022-2024", "Other"))</f>
        <v>2022-2024</v>
      </c>
    </row>
    <row r="2289" spans="1:9" x14ac:dyDescent="0.3">
      <c r="A2289" t="s">
        <v>13</v>
      </c>
      <c r="B2289">
        <v>2018</v>
      </c>
      <c r="C2289" t="s">
        <v>8</v>
      </c>
      <c r="D2289">
        <v>3314.83</v>
      </c>
      <c r="E2289">
        <v>3956.84</v>
      </c>
      <c r="F2289">
        <v>71.599999999999994</v>
      </c>
      <c r="G2289">
        <v>774.14</v>
      </c>
      <c r="H2289">
        <f>E2289*1000000/D2289</f>
        <v>1193678.1071729169</v>
      </c>
      <c r="I2289" t="str">
        <f>IF(AND(B2289&gt;=2018, B2289&lt;=2021), "2018-2021", IF(AND(B2289&gt;=2022, B2289&lt;=2024), "2022-2024", "Other"))</f>
        <v>2018-2021</v>
      </c>
    </row>
    <row r="2290" spans="1:9" x14ac:dyDescent="0.3">
      <c r="A2290" t="s">
        <v>17</v>
      </c>
      <c r="B2290">
        <v>2021</v>
      </c>
      <c r="C2290" t="s">
        <v>0</v>
      </c>
      <c r="D2290">
        <v>22114.86</v>
      </c>
      <c r="E2290">
        <v>18136.48</v>
      </c>
      <c r="F2290">
        <v>82.21</v>
      </c>
      <c r="G2290">
        <v>280.94</v>
      </c>
      <c r="H2290">
        <f>E2290*1000000/D2290</f>
        <v>820103.7673311067</v>
      </c>
      <c r="I2290" t="str">
        <f>IF(AND(B2290&gt;=2018, B2290&lt;=2021), "2018-2021", IF(AND(B2290&gt;=2022, B2290&lt;=2024), "2022-2024", "Other"))</f>
        <v>2018-2021</v>
      </c>
    </row>
    <row r="2291" spans="1:9" x14ac:dyDescent="0.3">
      <c r="A2291" t="s">
        <v>16</v>
      </c>
      <c r="B2291">
        <v>2020</v>
      </c>
      <c r="C2291" t="s">
        <v>14</v>
      </c>
      <c r="D2291">
        <v>25311.77</v>
      </c>
      <c r="E2291">
        <v>28790.9</v>
      </c>
      <c r="F2291">
        <v>156</v>
      </c>
      <c r="G2291">
        <v>1294.8699999999999</v>
      </c>
      <c r="H2291">
        <f>E2291*1000000/D2291</f>
        <v>1137451.0751322408</v>
      </c>
      <c r="I2291" t="str">
        <f>IF(AND(B2291&gt;=2018, B2291&lt;=2021), "2018-2021", IF(AND(B2291&gt;=2022, B2291&lt;=2024), "2022-2024", "Other"))</f>
        <v>2018-2021</v>
      </c>
    </row>
    <row r="2292" spans="1:9" x14ac:dyDescent="0.3">
      <c r="A2292" t="s">
        <v>18</v>
      </c>
      <c r="B2292">
        <v>2018</v>
      </c>
      <c r="C2292" t="s">
        <v>8</v>
      </c>
      <c r="D2292">
        <v>17950.72</v>
      </c>
      <c r="E2292">
        <v>17621.32</v>
      </c>
      <c r="F2292">
        <v>64.459999999999994</v>
      </c>
      <c r="G2292">
        <v>118.95</v>
      </c>
      <c r="H2292">
        <f>E2292*1000000/D2292</f>
        <v>981649.76112378773</v>
      </c>
      <c r="I2292" t="str">
        <f>IF(AND(B2292&gt;=2018, B2292&lt;=2021), "2018-2021", IF(AND(B2292&gt;=2022, B2292&lt;=2024), "2022-2024", "Other"))</f>
        <v>2018-2021</v>
      </c>
    </row>
    <row r="2293" spans="1:9" x14ac:dyDescent="0.3">
      <c r="A2293" t="s">
        <v>25</v>
      </c>
      <c r="B2293">
        <v>2024</v>
      </c>
      <c r="C2293" t="s">
        <v>6</v>
      </c>
      <c r="D2293">
        <v>26860.61</v>
      </c>
      <c r="E2293">
        <v>23558.94</v>
      </c>
      <c r="F2293">
        <v>110.56</v>
      </c>
      <c r="G2293">
        <v>1277.08</v>
      </c>
      <c r="H2293">
        <f>E2293*1000000/D2293</f>
        <v>877081.3469984486</v>
      </c>
      <c r="I2293" t="str">
        <f>IF(AND(B2293&gt;=2018, B2293&lt;=2021), "2018-2021", IF(AND(B2293&gt;=2022, B2293&lt;=2024), "2022-2024", "Other"))</f>
        <v>2022-2024</v>
      </c>
    </row>
    <row r="2294" spans="1:9" x14ac:dyDescent="0.3">
      <c r="A2294" t="s">
        <v>24</v>
      </c>
      <c r="B2294">
        <v>2024</v>
      </c>
      <c r="C2294" t="s">
        <v>8</v>
      </c>
      <c r="D2294">
        <v>2223.06</v>
      </c>
      <c r="E2294">
        <v>2636.22</v>
      </c>
      <c r="F2294">
        <v>22.35</v>
      </c>
      <c r="G2294">
        <v>128.99</v>
      </c>
      <c r="H2294">
        <f>E2294*1000000/D2294</f>
        <v>1185851.9338209496</v>
      </c>
      <c r="I2294" t="str">
        <f>IF(AND(B2294&gt;=2018, B2294&lt;=2021), "2018-2021", IF(AND(B2294&gt;=2022, B2294&lt;=2024), "2022-2024", "Other"))</f>
        <v>2022-2024</v>
      </c>
    </row>
    <row r="2295" spans="1:9" x14ac:dyDescent="0.3">
      <c r="A2295" t="s">
        <v>17</v>
      </c>
      <c r="B2295">
        <v>2024</v>
      </c>
      <c r="C2295" t="s">
        <v>14</v>
      </c>
      <c r="D2295">
        <v>30531.9</v>
      </c>
      <c r="E2295">
        <v>27222.3</v>
      </c>
      <c r="F2295">
        <v>66.790000000000006</v>
      </c>
      <c r="G2295">
        <v>18.09</v>
      </c>
      <c r="H2295">
        <f>E2295*1000000/D2295</f>
        <v>891601.89834238938</v>
      </c>
      <c r="I2295" t="str">
        <f>IF(AND(B2295&gt;=2018, B2295&lt;=2021), "2018-2021", IF(AND(B2295&gt;=2022, B2295&lt;=2024), "2022-2024", "Other"))</f>
        <v>2022-2024</v>
      </c>
    </row>
    <row r="2296" spans="1:9" x14ac:dyDescent="0.3">
      <c r="A2296" t="s">
        <v>25</v>
      </c>
      <c r="B2296">
        <v>2018</v>
      </c>
      <c r="C2296" t="s">
        <v>12</v>
      </c>
      <c r="D2296">
        <v>49983.05</v>
      </c>
      <c r="E2296">
        <v>45828.38</v>
      </c>
      <c r="F2296">
        <v>20.8</v>
      </c>
      <c r="G2296">
        <v>1005.94</v>
      </c>
      <c r="H2296">
        <f>E2296*1000000/D2296</f>
        <v>916878.42178498511</v>
      </c>
      <c r="I2296" t="str">
        <f>IF(AND(B2296&gt;=2018, B2296&lt;=2021), "2018-2021", IF(AND(B2296&gt;=2022, B2296&lt;=2024), "2022-2024", "Other"))</f>
        <v>2018-2021</v>
      </c>
    </row>
    <row r="2297" spans="1:9" x14ac:dyDescent="0.3">
      <c r="A2297" t="s">
        <v>5</v>
      </c>
      <c r="B2297">
        <v>2018</v>
      </c>
      <c r="C2297" t="s">
        <v>14</v>
      </c>
      <c r="D2297">
        <v>32641.22</v>
      </c>
      <c r="E2297">
        <v>33649.480000000003</v>
      </c>
      <c r="F2297">
        <v>29.05</v>
      </c>
      <c r="G2297">
        <v>800.67</v>
      </c>
      <c r="H2297">
        <f>E2297*1000000/D2297</f>
        <v>1030889.1640692352</v>
      </c>
      <c r="I2297" t="str">
        <f>IF(AND(B2297&gt;=2018, B2297&lt;=2021), "2018-2021", IF(AND(B2297&gt;=2022, B2297&lt;=2024), "2022-2024", "Other"))</f>
        <v>2018-2021</v>
      </c>
    </row>
    <row r="2298" spans="1:9" x14ac:dyDescent="0.3">
      <c r="A2298" t="s">
        <v>20</v>
      </c>
      <c r="B2298">
        <v>2019</v>
      </c>
      <c r="C2298" t="s">
        <v>14</v>
      </c>
      <c r="D2298">
        <v>28972.22</v>
      </c>
      <c r="E2298">
        <v>24334.05</v>
      </c>
      <c r="F2298">
        <v>87.14</v>
      </c>
      <c r="G2298">
        <v>557.41999999999996</v>
      </c>
      <c r="H2298">
        <f>E2298*1000000/D2298</f>
        <v>839909.74802759325</v>
      </c>
      <c r="I2298" t="str">
        <f>IF(AND(B2298&gt;=2018, B2298&lt;=2021), "2018-2021", IF(AND(B2298&gt;=2022, B2298&lt;=2024), "2022-2024", "Other"))</f>
        <v>2018-2021</v>
      </c>
    </row>
    <row r="2299" spans="1:9" x14ac:dyDescent="0.3">
      <c r="A2299" t="s">
        <v>18</v>
      </c>
      <c r="B2299">
        <v>2019</v>
      </c>
      <c r="C2299" t="s">
        <v>8</v>
      </c>
      <c r="D2299">
        <v>42849.14</v>
      </c>
      <c r="E2299">
        <v>37496.68</v>
      </c>
      <c r="F2299">
        <v>103.3</v>
      </c>
      <c r="G2299">
        <v>239.31</v>
      </c>
      <c r="H2299">
        <f>E2299*1000000/D2299</f>
        <v>875085.94104805833</v>
      </c>
      <c r="I2299" t="str">
        <f>IF(AND(B2299&gt;=2018, B2299&lt;=2021), "2018-2021", IF(AND(B2299&gt;=2022, B2299&lt;=2024), "2022-2024", "Other"))</f>
        <v>2018-2021</v>
      </c>
    </row>
    <row r="2300" spans="1:9" x14ac:dyDescent="0.3">
      <c r="A2300" t="s">
        <v>23</v>
      </c>
      <c r="B2300">
        <v>2020</v>
      </c>
      <c r="C2300" t="s">
        <v>14</v>
      </c>
      <c r="D2300">
        <v>20115.27</v>
      </c>
      <c r="E2300">
        <v>18091.98</v>
      </c>
      <c r="F2300">
        <v>69.709999999999994</v>
      </c>
      <c r="G2300">
        <v>198.42</v>
      </c>
      <c r="H2300">
        <f>E2300*1000000/D2300</f>
        <v>899415.22037735512</v>
      </c>
      <c r="I2300" t="str">
        <f>IF(AND(B2300&gt;=2018, B2300&lt;=2021), "2018-2021", IF(AND(B2300&gt;=2022, B2300&lt;=2024), "2022-2024", "Other"))</f>
        <v>2018-2021</v>
      </c>
    </row>
    <row r="2301" spans="1:9" x14ac:dyDescent="0.3">
      <c r="A2301" t="s">
        <v>24</v>
      </c>
      <c r="B2301">
        <v>2019</v>
      </c>
      <c r="C2301" t="s">
        <v>14</v>
      </c>
      <c r="D2301">
        <v>34834.99</v>
      </c>
      <c r="E2301">
        <v>33285.120000000003</v>
      </c>
      <c r="F2301">
        <v>81.900000000000006</v>
      </c>
      <c r="G2301">
        <v>1148.45</v>
      </c>
      <c r="H2301">
        <f>E2301*1000000/D2301</f>
        <v>955508.24042148446</v>
      </c>
      <c r="I2301" t="str">
        <f>IF(AND(B2301&gt;=2018, B2301&lt;=2021), "2018-2021", IF(AND(B2301&gt;=2022, B2301&lt;=2024), "2022-2024", "Other"))</f>
        <v>2018-2021</v>
      </c>
    </row>
    <row r="2302" spans="1:9" x14ac:dyDescent="0.3">
      <c r="A2302" t="s">
        <v>15</v>
      </c>
      <c r="B2302">
        <v>2023</v>
      </c>
      <c r="C2302" t="s">
        <v>6</v>
      </c>
      <c r="D2302">
        <v>13477.56</v>
      </c>
      <c r="E2302">
        <v>14833.4</v>
      </c>
      <c r="F2302">
        <v>132.43</v>
      </c>
      <c r="G2302">
        <v>719.6</v>
      </c>
      <c r="H2302">
        <f>E2302*1000000/D2302</f>
        <v>1100599.8118353768</v>
      </c>
      <c r="I2302" t="str">
        <f>IF(AND(B2302&gt;=2018, B2302&lt;=2021), "2018-2021", IF(AND(B2302&gt;=2022, B2302&lt;=2024), "2022-2024", "Other"))</f>
        <v>2022-2024</v>
      </c>
    </row>
    <row r="2303" spans="1:9" x14ac:dyDescent="0.3">
      <c r="A2303" t="s">
        <v>27</v>
      </c>
      <c r="B2303">
        <v>2021</v>
      </c>
      <c r="C2303" t="s">
        <v>0</v>
      </c>
      <c r="D2303">
        <v>1127.8800000000001</v>
      </c>
      <c r="E2303">
        <v>1005.91</v>
      </c>
      <c r="F2303">
        <v>94.53</v>
      </c>
      <c r="G2303">
        <v>440.22</v>
      </c>
      <c r="H2303">
        <f>E2303*1000000/D2303</f>
        <v>891859.06302088872</v>
      </c>
      <c r="I2303" t="str">
        <f>IF(AND(B2303&gt;=2018, B2303&lt;=2021), "2018-2021", IF(AND(B2303&gt;=2022, B2303&lt;=2024), "2022-2024", "Other"))</f>
        <v>2018-2021</v>
      </c>
    </row>
    <row r="2304" spans="1:9" x14ac:dyDescent="0.3">
      <c r="A2304" t="s">
        <v>16</v>
      </c>
      <c r="B2304">
        <v>2022</v>
      </c>
      <c r="C2304" t="s">
        <v>0</v>
      </c>
      <c r="D2304">
        <v>26687</v>
      </c>
      <c r="E2304">
        <v>26492.81</v>
      </c>
      <c r="F2304">
        <v>99.71</v>
      </c>
      <c r="G2304">
        <v>396.82</v>
      </c>
      <c r="H2304">
        <f>E2304*1000000/D2304</f>
        <v>992723.42338966543</v>
      </c>
      <c r="I2304" t="str">
        <f>IF(AND(B2304&gt;=2018, B2304&lt;=2021), "2018-2021", IF(AND(B2304&gt;=2022, B2304&lt;=2024), "2022-2024", "Other"))</f>
        <v>2022-2024</v>
      </c>
    </row>
    <row r="2305" spans="1:9" x14ac:dyDescent="0.3">
      <c r="A2305" t="s">
        <v>18</v>
      </c>
      <c r="B2305">
        <v>2018</v>
      </c>
      <c r="C2305" t="s">
        <v>0</v>
      </c>
      <c r="D2305">
        <v>24847.8</v>
      </c>
      <c r="E2305">
        <v>26455.31</v>
      </c>
      <c r="F2305">
        <v>39.69</v>
      </c>
      <c r="G2305">
        <v>692.48</v>
      </c>
      <c r="H2305">
        <f>E2305*1000000/D2305</f>
        <v>1064694.2586466407</v>
      </c>
      <c r="I2305" t="str">
        <f>IF(AND(B2305&gt;=2018, B2305&lt;=2021), "2018-2021", IF(AND(B2305&gt;=2022, B2305&lt;=2024), "2022-2024", "Other"))</f>
        <v>2018-2021</v>
      </c>
    </row>
    <row r="2306" spans="1:9" x14ac:dyDescent="0.3">
      <c r="A2306" t="s">
        <v>19</v>
      </c>
      <c r="B2306">
        <v>2021</v>
      </c>
      <c r="C2306" t="s">
        <v>14</v>
      </c>
      <c r="D2306">
        <v>24418.400000000001</v>
      </c>
      <c r="E2306">
        <v>21610.34</v>
      </c>
      <c r="F2306">
        <v>176.84</v>
      </c>
      <c r="G2306">
        <v>987.24</v>
      </c>
      <c r="H2306">
        <f>E2306*1000000/D2306</f>
        <v>885002.29335255374</v>
      </c>
      <c r="I2306" t="str">
        <f>IF(AND(B2306&gt;=2018, B2306&lt;=2021), "2018-2021", IF(AND(B2306&gt;=2022, B2306&lt;=2024), "2022-2024", "Other"))</f>
        <v>2018-2021</v>
      </c>
    </row>
    <row r="2307" spans="1:9" x14ac:dyDescent="0.3">
      <c r="A2307" t="s">
        <v>24</v>
      </c>
      <c r="B2307">
        <v>2022</v>
      </c>
      <c r="C2307" t="s">
        <v>12</v>
      </c>
      <c r="D2307">
        <v>26877.119999999999</v>
      </c>
      <c r="E2307">
        <v>26874.74</v>
      </c>
      <c r="F2307">
        <v>74.08</v>
      </c>
      <c r="G2307">
        <v>1219.56</v>
      </c>
      <c r="H2307">
        <f>E2307*1000000/D2307</f>
        <v>999911.44884570967</v>
      </c>
      <c r="I2307" t="str">
        <f>IF(AND(B2307&gt;=2018, B2307&lt;=2021), "2018-2021", IF(AND(B2307&gt;=2022, B2307&lt;=2024), "2022-2024", "Other"))</f>
        <v>2022-2024</v>
      </c>
    </row>
    <row r="2308" spans="1:9" x14ac:dyDescent="0.3">
      <c r="A2308" t="s">
        <v>26</v>
      </c>
      <c r="B2308">
        <v>2024</v>
      </c>
      <c r="C2308" t="s">
        <v>0</v>
      </c>
      <c r="D2308">
        <v>43678.73</v>
      </c>
      <c r="E2308">
        <v>40983.769999999997</v>
      </c>
      <c r="F2308">
        <v>176.71</v>
      </c>
      <c r="G2308">
        <v>326.24</v>
      </c>
      <c r="H2308">
        <f>E2308*1000000/D2308</f>
        <v>938300.40388079046</v>
      </c>
      <c r="I2308" t="str">
        <f>IF(AND(B2308&gt;=2018, B2308&lt;=2021), "2018-2021", IF(AND(B2308&gt;=2022, B2308&lt;=2024), "2022-2024", "Other"))</f>
        <v>2022-2024</v>
      </c>
    </row>
    <row r="2309" spans="1:9" x14ac:dyDescent="0.3">
      <c r="A2309" t="s">
        <v>26</v>
      </c>
      <c r="B2309">
        <v>2019</v>
      </c>
      <c r="C2309" t="s">
        <v>12</v>
      </c>
      <c r="D2309">
        <v>21146.3</v>
      </c>
      <c r="E2309">
        <v>17578.46</v>
      </c>
      <c r="F2309">
        <v>115.34</v>
      </c>
      <c r="G2309">
        <v>812.77</v>
      </c>
      <c r="H2309">
        <f>E2309*1000000/D2309</f>
        <v>831278.28509006312</v>
      </c>
      <c r="I2309" t="str">
        <f>IF(AND(B2309&gt;=2018, B2309&lt;=2021), "2018-2021", IF(AND(B2309&gt;=2022, B2309&lt;=2024), "2022-2024", "Other"))</f>
        <v>2018-2021</v>
      </c>
    </row>
    <row r="2310" spans="1:9" x14ac:dyDescent="0.3">
      <c r="A2310" t="s">
        <v>10</v>
      </c>
      <c r="B2310">
        <v>2020</v>
      </c>
      <c r="C2310" t="s">
        <v>0</v>
      </c>
      <c r="D2310">
        <v>20876.509999999998</v>
      </c>
      <c r="E2310">
        <v>21824.19</v>
      </c>
      <c r="F2310">
        <v>168.68</v>
      </c>
      <c r="G2310">
        <v>119.59</v>
      </c>
      <c r="H2310">
        <f>E2310*1000000/D2310</f>
        <v>1045394.5606808802</v>
      </c>
      <c r="I2310" t="str">
        <f>IF(AND(B2310&gt;=2018, B2310&lt;=2021), "2018-2021", IF(AND(B2310&gt;=2022, B2310&lt;=2024), "2022-2024", "Other"))</f>
        <v>2018-2021</v>
      </c>
    </row>
    <row r="2311" spans="1:9" x14ac:dyDescent="0.3">
      <c r="A2311" t="s">
        <v>26</v>
      </c>
      <c r="B2311">
        <v>2019</v>
      </c>
      <c r="C2311" t="s">
        <v>12</v>
      </c>
      <c r="D2311">
        <v>45688.79</v>
      </c>
      <c r="E2311">
        <v>44285.07</v>
      </c>
      <c r="F2311">
        <v>116.59</v>
      </c>
      <c r="G2311">
        <v>1177.26</v>
      </c>
      <c r="H2311">
        <f>E2311*1000000/D2311</f>
        <v>969276.48992236389</v>
      </c>
      <c r="I2311" t="str">
        <f>IF(AND(B2311&gt;=2018, B2311&lt;=2021), "2018-2021", IF(AND(B2311&gt;=2022, B2311&lt;=2024), "2022-2024", "Other"))</f>
        <v>2018-2021</v>
      </c>
    </row>
    <row r="2312" spans="1:9" x14ac:dyDescent="0.3">
      <c r="A2312" t="s">
        <v>16</v>
      </c>
      <c r="B2312">
        <v>2019</v>
      </c>
      <c r="C2312" t="s">
        <v>6</v>
      </c>
      <c r="D2312">
        <v>48422.76</v>
      </c>
      <c r="E2312">
        <v>49050.7</v>
      </c>
      <c r="F2312">
        <v>36.49</v>
      </c>
      <c r="G2312">
        <v>159.74</v>
      </c>
      <c r="H2312">
        <f>E2312*1000000/D2312</f>
        <v>1012967.8688286252</v>
      </c>
      <c r="I2312" t="str">
        <f>IF(AND(B2312&gt;=2018, B2312&lt;=2021), "2018-2021", IF(AND(B2312&gt;=2022, B2312&lt;=2024), "2022-2024", "Other"))</f>
        <v>2018-2021</v>
      </c>
    </row>
    <row r="2313" spans="1:9" x14ac:dyDescent="0.3">
      <c r="A2313" t="s">
        <v>22</v>
      </c>
      <c r="B2313">
        <v>2021</v>
      </c>
      <c r="C2313" t="s">
        <v>8</v>
      </c>
      <c r="D2313">
        <v>11214.43</v>
      </c>
      <c r="E2313">
        <v>9089.2999999999993</v>
      </c>
      <c r="F2313">
        <v>123.53</v>
      </c>
      <c r="G2313">
        <v>455.21</v>
      </c>
      <c r="H2313">
        <f>E2313*1000000/D2313</f>
        <v>810500.39993116015</v>
      </c>
      <c r="I2313" t="str">
        <f>IF(AND(B2313&gt;=2018, B2313&lt;=2021), "2018-2021", IF(AND(B2313&gt;=2022, B2313&lt;=2024), "2022-2024", "Other"))</f>
        <v>2018-2021</v>
      </c>
    </row>
    <row r="2314" spans="1:9" x14ac:dyDescent="0.3">
      <c r="A2314" t="s">
        <v>16</v>
      </c>
      <c r="B2314">
        <v>2021</v>
      </c>
      <c r="C2314" t="s">
        <v>12</v>
      </c>
      <c r="D2314">
        <v>9424.16</v>
      </c>
      <c r="E2314">
        <v>8884.31</v>
      </c>
      <c r="F2314">
        <v>163.74</v>
      </c>
      <c r="G2314">
        <v>81.34</v>
      </c>
      <c r="H2314">
        <f>E2314*1000000/D2314</f>
        <v>942716.38002750382</v>
      </c>
      <c r="I2314" t="str">
        <f>IF(AND(B2314&gt;=2018, B2314&lt;=2021), "2018-2021", IF(AND(B2314&gt;=2022, B2314&lt;=2024), "2022-2024", "Other"))</f>
        <v>2018-2021</v>
      </c>
    </row>
    <row r="2315" spans="1:9" x14ac:dyDescent="0.3">
      <c r="A2315" t="s">
        <v>23</v>
      </c>
      <c r="B2315">
        <v>2024</v>
      </c>
      <c r="C2315" t="s">
        <v>9</v>
      </c>
      <c r="D2315">
        <v>30509.11</v>
      </c>
      <c r="E2315">
        <v>31009.16</v>
      </c>
      <c r="F2315">
        <v>125.06</v>
      </c>
      <c r="G2315">
        <v>1285.8800000000001</v>
      </c>
      <c r="H2315">
        <f>E2315*1000000/D2315</f>
        <v>1016390.1864066175</v>
      </c>
      <c r="I2315" t="str">
        <f>IF(AND(B2315&gt;=2018, B2315&lt;=2021), "2018-2021", IF(AND(B2315&gt;=2022, B2315&lt;=2024), "2022-2024", "Other"))</f>
        <v>2022-2024</v>
      </c>
    </row>
    <row r="2316" spans="1:9" x14ac:dyDescent="0.3">
      <c r="A2316" t="s">
        <v>18</v>
      </c>
      <c r="B2316">
        <v>2020</v>
      </c>
      <c r="C2316" t="s">
        <v>9</v>
      </c>
      <c r="D2316">
        <v>13813.99</v>
      </c>
      <c r="E2316">
        <v>16464.36</v>
      </c>
      <c r="F2316">
        <v>61.12</v>
      </c>
      <c r="G2316">
        <v>432.9</v>
      </c>
      <c r="H2316">
        <f>E2316*1000000/D2316</f>
        <v>1191861.2942386668</v>
      </c>
      <c r="I2316" t="str">
        <f>IF(AND(B2316&gt;=2018, B2316&lt;=2021), "2018-2021", IF(AND(B2316&gt;=2022, B2316&lt;=2024), "2022-2024", "Other"))</f>
        <v>2018-2021</v>
      </c>
    </row>
    <row r="2317" spans="1:9" x14ac:dyDescent="0.3">
      <c r="A2317" t="s">
        <v>21</v>
      </c>
      <c r="B2317">
        <v>2018</v>
      </c>
      <c r="C2317" t="s">
        <v>0</v>
      </c>
      <c r="D2317">
        <v>14956.55</v>
      </c>
      <c r="E2317">
        <v>15630.11</v>
      </c>
      <c r="F2317">
        <v>50.43</v>
      </c>
      <c r="G2317">
        <v>385.5</v>
      </c>
      <c r="H2317">
        <f>E2317*1000000/D2317</f>
        <v>1045034.4497895571</v>
      </c>
      <c r="I2317" t="str">
        <f>IF(AND(B2317&gt;=2018, B2317&lt;=2021), "2018-2021", IF(AND(B2317&gt;=2022, B2317&lt;=2024), "2022-2024", "Other"))</f>
        <v>2018-2021</v>
      </c>
    </row>
    <row r="2318" spans="1:9" x14ac:dyDescent="0.3">
      <c r="A2318" t="s">
        <v>25</v>
      </c>
      <c r="B2318">
        <v>2020</v>
      </c>
      <c r="C2318" t="s">
        <v>2</v>
      </c>
      <c r="D2318">
        <v>41798.120000000003</v>
      </c>
      <c r="E2318">
        <v>48640.24</v>
      </c>
      <c r="F2318">
        <v>82.44</v>
      </c>
      <c r="G2318">
        <v>1173.58</v>
      </c>
      <c r="H2318">
        <f>E2318*1000000/D2318</f>
        <v>1163694.4436735432</v>
      </c>
      <c r="I2318" t="str">
        <f>IF(AND(B2318&gt;=2018, B2318&lt;=2021), "2018-2021", IF(AND(B2318&gt;=2022, B2318&lt;=2024), "2022-2024", "Other"))</f>
        <v>2018-2021</v>
      </c>
    </row>
    <row r="2319" spans="1:9" x14ac:dyDescent="0.3">
      <c r="A2319" t="s">
        <v>25</v>
      </c>
      <c r="B2319">
        <v>2018</v>
      </c>
      <c r="C2319" t="s">
        <v>9</v>
      </c>
      <c r="D2319">
        <v>40479.279999999999</v>
      </c>
      <c r="E2319">
        <v>33378.699999999997</v>
      </c>
      <c r="F2319">
        <v>185.39</v>
      </c>
      <c r="G2319">
        <v>1239.73</v>
      </c>
      <c r="H2319">
        <f>E2319*1000000/D2319</f>
        <v>824587.29503093916</v>
      </c>
      <c r="I2319" t="str">
        <f>IF(AND(B2319&gt;=2018, B2319&lt;=2021), "2018-2021", IF(AND(B2319&gt;=2022, B2319&lt;=2024), "2022-2024", "Other"))</f>
        <v>2018-2021</v>
      </c>
    </row>
    <row r="2320" spans="1:9" x14ac:dyDescent="0.3">
      <c r="A2320" t="s">
        <v>16</v>
      </c>
      <c r="B2320">
        <v>2023</v>
      </c>
      <c r="C2320" t="s">
        <v>6</v>
      </c>
      <c r="D2320">
        <v>15981.86</v>
      </c>
      <c r="E2320">
        <v>19043.849999999999</v>
      </c>
      <c r="F2320">
        <v>191.24</v>
      </c>
      <c r="G2320">
        <v>1338.38</v>
      </c>
      <c r="H2320">
        <f>E2320*1000000/D2320</f>
        <v>1191591.5919673929</v>
      </c>
      <c r="I2320" t="str">
        <f>IF(AND(B2320&gt;=2018, B2320&lt;=2021), "2018-2021", IF(AND(B2320&gt;=2022, B2320&lt;=2024), "2022-2024", "Other"))</f>
        <v>2022-2024</v>
      </c>
    </row>
    <row r="2321" spans="1:9" x14ac:dyDescent="0.3">
      <c r="A2321" t="s">
        <v>15</v>
      </c>
      <c r="B2321">
        <v>2023</v>
      </c>
      <c r="C2321" t="s">
        <v>9</v>
      </c>
      <c r="D2321">
        <v>11184.15</v>
      </c>
      <c r="E2321">
        <v>12986.34</v>
      </c>
      <c r="F2321">
        <v>180.49</v>
      </c>
      <c r="G2321">
        <v>1154.18</v>
      </c>
      <c r="H2321">
        <f>E2321*1000000/D2321</f>
        <v>1161137.8602754793</v>
      </c>
      <c r="I2321" t="str">
        <f>IF(AND(B2321&gt;=2018, B2321&lt;=2021), "2018-2021", IF(AND(B2321&gt;=2022, B2321&lt;=2024), "2022-2024", "Other"))</f>
        <v>2022-2024</v>
      </c>
    </row>
    <row r="2322" spans="1:9" x14ac:dyDescent="0.3">
      <c r="A2322" t="s">
        <v>20</v>
      </c>
      <c r="B2322">
        <v>2023</v>
      </c>
      <c r="C2322" t="s">
        <v>14</v>
      </c>
      <c r="D2322">
        <v>23379.09</v>
      </c>
      <c r="E2322">
        <v>20570.080000000002</v>
      </c>
      <c r="F2322">
        <v>141.41999999999999</v>
      </c>
      <c r="G2322">
        <v>579.53</v>
      </c>
      <c r="H2322">
        <f>E2322*1000000/D2322</f>
        <v>879849.4723276227</v>
      </c>
      <c r="I2322" t="str">
        <f>IF(AND(B2322&gt;=2018, B2322&lt;=2021), "2018-2021", IF(AND(B2322&gt;=2022, B2322&lt;=2024), "2022-2024", "Other"))</f>
        <v>2022-2024</v>
      </c>
    </row>
    <row r="2323" spans="1:9" x14ac:dyDescent="0.3">
      <c r="A2323" t="s">
        <v>26</v>
      </c>
      <c r="B2323">
        <v>2020</v>
      </c>
      <c r="C2323" t="s">
        <v>2</v>
      </c>
      <c r="D2323">
        <v>40775.15</v>
      </c>
      <c r="E2323">
        <v>34379.379999999997</v>
      </c>
      <c r="F2323">
        <v>82.52</v>
      </c>
      <c r="G2323">
        <v>587.4</v>
      </c>
      <c r="H2323">
        <f>E2323*1000000/D2323</f>
        <v>843145.39615427528</v>
      </c>
      <c r="I2323" t="str">
        <f>IF(AND(B2323&gt;=2018, B2323&lt;=2021), "2018-2021", IF(AND(B2323&gt;=2022, B2323&lt;=2024), "2022-2024", "Other"))</f>
        <v>2018-2021</v>
      </c>
    </row>
    <row r="2324" spans="1:9" x14ac:dyDescent="0.3">
      <c r="A2324" t="s">
        <v>23</v>
      </c>
      <c r="B2324">
        <v>2021</v>
      </c>
      <c r="C2324" t="s">
        <v>12</v>
      </c>
      <c r="D2324">
        <v>47976.21</v>
      </c>
      <c r="E2324">
        <v>45894.33</v>
      </c>
      <c r="F2324">
        <v>104.26</v>
      </c>
      <c r="G2324">
        <v>1073.68</v>
      </c>
      <c r="H2324">
        <f>E2324*1000000/D2324</f>
        <v>956605.99284520396</v>
      </c>
      <c r="I2324" t="str">
        <f>IF(AND(B2324&gt;=2018, B2324&lt;=2021), "2018-2021", IF(AND(B2324&gt;=2022, B2324&lt;=2024), "2022-2024", "Other"))</f>
        <v>2018-2021</v>
      </c>
    </row>
    <row r="2325" spans="1:9" x14ac:dyDescent="0.3">
      <c r="A2325" t="s">
        <v>23</v>
      </c>
      <c r="B2325">
        <v>2021</v>
      </c>
      <c r="C2325" t="s">
        <v>8</v>
      </c>
      <c r="D2325">
        <v>2734.8</v>
      </c>
      <c r="E2325">
        <v>2579.4699999999998</v>
      </c>
      <c r="F2325">
        <v>139.24</v>
      </c>
      <c r="G2325">
        <v>440.36</v>
      </c>
      <c r="H2325">
        <f>E2325*1000000/D2325</f>
        <v>943202.42796548188</v>
      </c>
      <c r="I2325" t="str">
        <f>IF(AND(B2325&gt;=2018, B2325&lt;=2021), "2018-2021", IF(AND(B2325&gt;=2022, B2325&lt;=2024), "2022-2024", "Other"))</f>
        <v>2018-2021</v>
      </c>
    </row>
    <row r="2326" spans="1:9" x14ac:dyDescent="0.3">
      <c r="A2326" t="s">
        <v>23</v>
      </c>
      <c r="B2326">
        <v>2019</v>
      </c>
      <c r="C2326" t="s">
        <v>2</v>
      </c>
      <c r="D2326">
        <v>37901.730000000003</v>
      </c>
      <c r="E2326">
        <v>35252.74</v>
      </c>
      <c r="F2326">
        <v>180.1</v>
      </c>
      <c r="G2326">
        <v>131.02000000000001</v>
      </c>
      <c r="H2326">
        <f>E2326*1000000/D2326</f>
        <v>930108.99502476526</v>
      </c>
      <c r="I2326" t="str">
        <f>IF(AND(B2326&gt;=2018, B2326&lt;=2021), "2018-2021", IF(AND(B2326&gt;=2022, B2326&lt;=2024), "2022-2024", "Other"))</f>
        <v>2018-2021</v>
      </c>
    </row>
    <row r="2327" spans="1:9" x14ac:dyDescent="0.3">
      <c r="A2327" t="s">
        <v>17</v>
      </c>
      <c r="B2327">
        <v>2021</v>
      </c>
      <c r="C2327" t="s">
        <v>12</v>
      </c>
      <c r="D2327">
        <v>27982.15</v>
      </c>
      <c r="E2327">
        <v>25008.04</v>
      </c>
      <c r="F2327">
        <v>87.15</v>
      </c>
      <c r="G2327">
        <v>979.1</v>
      </c>
      <c r="H2327">
        <f>E2327*1000000/D2327</f>
        <v>893714.02840739535</v>
      </c>
      <c r="I2327" t="str">
        <f>IF(AND(B2327&gt;=2018, B2327&lt;=2021), "2018-2021", IF(AND(B2327&gt;=2022, B2327&lt;=2024), "2022-2024", "Other"))</f>
        <v>2018-2021</v>
      </c>
    </row>
    <row r="2328" spans="1:9" x14ac:dyDescent="0.3">
      <c r="A2328" t="s">
        <v>27</v>
      </c>
      <c r="B2328">
        <v>2018</v>
      </c>
      <c r="C2328" t="s">
        <v>8</v>
      </c>
      <c r="D2328">
        <v>19073.34</v>
      </c>
      <c r="E2328">
        <v>20965.73</v>
      </c>
      <c r="F2328">
        <v>77.95</v>
      </c>
      <c r="G2328">
        <v>1328.52</v>
      </c>
      <c r="H2328">
        <f>E2328*1000000/D2328</f>
        <v>1099216.4980019231</v>
      </c>
      <c r="I2328" t="str">
        <f>IF(AND(B2328&gt;=2018, B2328&lt;=2021), "2018-2021", IF(AND(B2328&gt;=2022, B2328&lt;=2024), "2022-2024", "Other"))</f>
        <v>2018-2021</v>
      </c>
    </row>
    <row r="2329" spans="1:9" x14ac:dyDescent="0.3">
      <c r="A2329" t="s">
        <v>3</v>
      </c>
      <c r="B2329">
        <v>2022</v>
      </c>
      <c r="C2329" t="s">
        <v>8</v>
      </c>
      <c r="D2329">
        <v>42604.34</v>
      </c>
      <c r="E2329">
        <v>42108.82</v>
      </c>
      <c r="F2329">
        <v>182.62</v>
      </c>
      <c r="G2329">
        <v>685.22</v>
      </c>
      <c r="H2329">
        <f>E2329*1000000/D2329</f>
        <v>988369.26003313286</v>
      </c>
      <c r="I2329" t="str">
        <f>IF(AND(B2329&gt;=2018, B2329&lt;=2021), "2018-2021", IF(AND(B2329&gt;=2022, B2329&lt;=2024), "2022-2024", "Other"))</f>
        <v>2022-2024</v>
      </c>
    </row>
    <row r="2330" spans="1:9" x14ac:dyDescent="0.3">
      <c r="A2330" t="s">
        <v>16</v>
      </c>
      <c r="B2330">
        <v>2019</v>
      </c>
      <c r="C2330" t="s">
        <v>8</v>
      </c>
      <c r="D2330">
        <v>15857.62</v>
      </c>
      <c r="E2330">
        <v>15350.46</v>
      </c>
      <c r="F2330">
        <v>113.55</v>
      </c>
      <c r="G2330">
        <v>454.66</v>
      </c>
      <c r="H2330">
        <f>E2330*1000000/D2330</f>
        <v>968017.89928122878</v>
      </c>
      <c r="I2330" t="str">
        <f>IF(AND(B2330&gt;=2018, B2330&lt;=2021), "2018-2021", IF(AND(B2330&gt;=2022, B2330&lt;=2024), "2022-2024", "Other"))</f>
        <v>2018-2021</v>
      </c>
    </row>
    <row r="2331" spans="1:9" x14ac:dyDescent="0.3">
      <c r="A2331" t="s">
        <v>24</v>
      </c>
      <c r="B2331">
        <v>2024</v>
      </c>
      <c r="C2331" t="s">
        <v>14</v>
      </c>
      <c r="D2331">
        <v>40124.910000000003</v>
      </c>
      <c r="E2331">
        <v>33316.74</v>
      </c>
      <c r="F2331">
        <v>111.39</v>
      </c>
      <c r="G2331">
        <v>917.67</v>
      </c>
      <c r="H2331">
        <f>E2331*1000000/D2331</f>
        <v>830325.60073031927</v>
      </c>
      <c r="I2331" t="str">
        <f>IF(AND(B2331&gt;=2018, B2331&lt;=2021), "2018-2021", IF(AND(B2331&gt;=2022, B2331&lt;=2024), "2022-2024", "Other"))</f>
        <v>2022-2024</v>
      </c>
    </row>
    <row r="2332" spans="1:9" x14ac:dyDescent="0.3">
      <c r="A2332" t="s">
        <v>7</v>
      </c>
      <c r="B2332">
        <v>2021</v>
      </c>
      <c r="C2332" t="s">
        <v>9</v>
      </c>
      <c r="D2332">
        <v>8342.58</v>
      </c>
      <c r="E2332">
        <v>6932.62</v>
      </c>
      <c r="F2332">
        <v>122.26</v>
      </c>
      <c r="G2332">
        <v>882.7</v>
      </c>
      <c r="H2332">
        <f>E2332*1000000/D2332</f>
        <v>830992.33090962272</v>
      </c>
      <c r="I2332" t="str">
        <f>IF(AND(B2332&gt;=2018, B2332&lt;=2021), "2018-2021", IF(AND(B2332&gt;=2022, B2332&lt;=2024), "2022-2024", "Other"))</f>
        <v>2018-2021</v>
      </c>
    </row>
    <row r="2333" spans="1:9" x14ac:dyDescent="0.3">
      <c r="A2333" t="s">
        <v>20</v>
      </c>
      <c r="B2333">
        <v>2019</v>
      </c>
      <c r="C2333" t="s">
        <v>2</v>
      </c>
      <c r="D2333">
        <v>32753.94</v>
      </c>
      <c r="E2333">
        <v>36813.620000000003</v>
      </c>
      <c r="F2333">
        <v>79.78</v>
      </c>
      <c r="G2333">
        <v>702.17</v>
      </c>
      <c r="H2333">
        <f>E2333*1000000/D2333</f>
        <v>1123944.7834367407</v>
      </c>
      <c r="I2333" t="str">
        <f>IF(AND(B2333&gt;=2018, B2333&lt;=2021), "2018-2021", IF(AND(B2333&gt;=2022, B2333&lt;=2024), "2022-2024", "Other"))</f>
        <v>2018-2021</v>
      </c>
    </row>
    <row r="2334" spans="1:9" x14ac:dyDescent="0.3">
      <c r="A2334" t="s">
        <v>11</v>
      </c>
      <c r="B2334">
        <v>2021</v>
      </c>
      <c r="C2334" t="s">
        <v>4</v>
      </c>
      <c r="D2334">
        <v>32082.1</v>
      </c>
      <c r="E2334">
        <v>34030.370000000003</v>
      </c>
      <c r="F2334">
        <v>32.369999999999997</v>
      </c>
      <c r="G2334">
        <v>231.73</v>
      </c>
      <c r="H2334">
        <f>E2334*1000000/D2334</f>
        <v>1060727.6331661583</v>
      </c>
      <c r="I2334" t="str">
        <f>IF(AND(B2334&gt;=2018, B2334&lt;=2021), "2018-2021", IF(AND(B2334&gt;=2022, B2334&lt;=2024), "2022-2024", "Other"))</f>
        <v>2018-2021</v>
      </c>
    </row>
    <row r="2335" spans="1:9" x14ac:dyDescent="0.3">
      <c r="A2335" t="s">
        <v>23</v>
      </c>
      <c r="B2335">
        <v>2024</v>
      </c>
      <c r="C2335" t="s">
        <v>6</v>
      </c>
      <c r="D2335">
        <v>33758.230000000003</v>
      </c>
      <c r="E2335">
        <v>37398.9</v>
      </c>
      <c r="F2335">
        <v>81.66</v>
      </c>
      <c r="G2335">
        <v>115.74</v>
      </c>
      <c r="H2335">
        <f>E2335*1000000/D2335</f>
        <v>1107845.4054018827</v>
      </c>
      <c r="I2335" t="str">
        <f>IF(AND(B2335&gt;=2018, B2335&lt;=2021), "2018-2021", IF(AND(B2335&gt;=2022, B2335&lt;=2024), "2022-2024", "Other"))</f>
        <v>2022-2024</v>
      </c>
    </row>
    <row r="2336" spans="1:9" x14ac:dyDescent="0.3">
      <c r="A2336" t="s">
        <v>16</v>
      </c>
      <c r="B2336">
        <v>2019</v>
      </c>
      <c r="C2336" t="s">
        <v>0</v>
      </c>
      <c r="D2336">
        <v>13881.37</v>
      </c>
      <c r="E2336">
        <v>14466.86</v>
      </c>
      <c r="F2336">
        <v>96.04</v>
      </c>
      <c r="G2336">
        <v>1225.54</v>
      </c>
      <c r="H2336">
        <f>E2336*1000000/D2336</f>
        <v>1042178.1135435479</v>
      </c>
      <c r="I2336" t="str">
        <f>IF(AND(B2336&gt;=2018, B2336&lt;=2021), "2018-2021", IF(AND(B2336&gt;=2022, B2336&lt;=2024), "2022-2024", "Other"))</f>
        <v>2018-2021</v>
      </c>
    </row>
    <row r="2337" spans="1:9" x14ac:dyDescent="0.3">
      <c r="A2337" t="s">
        <v>24</v>
      </c>
      <c r="B2337">
        <v>2020</v>
      </c>
      <c r="C2337" t="s">
        <v>14</v>
      </c>
      <c r="D2337">
        <v>33048.31</v>
      </c>
      <c r="E2337">
        <v>35895.81</v>
      </c>
      <c r="F2337">
        <v>119.43</v>
      </c>
      <c r="G2337">
        <v>359.12</v>
      </c>
      <c r="H2337">
        <f>E2337*1000000/D2337</f>
        <v>1086161.7432177318</v>
      </c>
      <c r="I2337" t="str">
        <f>IF(AND(B2337&gt;=2018, B2337&lt;=2021), "2018-2021", IF(AND(B2337&gt;=2022, B2337&lt;=2024), "2022-2024", "Other"))</f>
        <v>2018-2021</v>
      </c>
    </row>
    <row r="2338" spans="1:9" x14ac:dyDescent="0.3">
      <c r="A2338" t="s">
        <v>16</v>
      </c>
      <c r="B2338">
        <v>2022</v>
      </c>
      <c r="C2338" t="s">
        <v>6</v>
      </c>
      <c r="D2338">
        <v>37308.080000000002</v>
      </c>
      <c r="E2338">
        <v>36947.35</v>
      </c>
      <c r="F2338">
        <v>118.13</v>
      </c>
      <c r="G2338">
        <v>873.64</v>
      </c>
      <c r="H2338">
        <f>E2338*1000000/D2338</f>
        <v>990331.04893095535</v>
      </c>
      <c r="I2338" t="str">
        <f>IF(AND(B2338&gt;=2018, B2338&lt;=2021), "2018-2021", IF(AND(B2338&gt;=2022, B2338&lt;=2024), "2022-2024", "Other"))</f>
        <v>2022-2024</v>
      </c>
    </row>
    <row r="2339" spans="1:9" x14ac:dyDescent="0.3">
      <c r="A2339" t="s">
        <v>21</v>
      </c>
      <c r="B2339">
        <v>2023</v>
      </c>
      <c r="C2339" t="s">
        <v>6</v>
      </c>
      <c r="D2339">
        <v>42635.97</v>
      </c>
      <c r="E2339">
        <v>48447.86</v>
      </c>
      <c r="F2339">
        <v>33.33</v>
      </c>
      <c r="G2339">
        <v>339.7</v>
      </c>
      <c r="H2339">
        <f>E2339*1000000/D2339</f>
        <v>1136314.2435835281</v>
      </c>
      <c r="I2339" t="str">
        <f>IF(AND(B2339&gt;=2018, B2339&lt;=2021), "2018-2021", IF(AND(B2339&gt;=2022, B2339&lt;=2024), "2022-2024", "Other"))</f>
        <v>2022-2024</v>
      </c>
    </row>
    <row r="2340" spans="1:9" x14ac:dyDescent="0.3">
      <c r="A2340" t="s">
        <v>3</v>
      </c>
      <c r="B2340">
        <v>2020</v>
      </c>
      <c r="C2340" t="s">
        <v>6</v>
      </c>
      <c r="D2340">
        <v>3265.99</v>
      </c>
      <c r="E2340">
        <v>3537.61</v>
      </c>
      <c r="F2340">
        <v>45.48</v>
      </c>
      <c r="G2340">
        <v>522.46</v>
      </c>
      <c r="H2340">
        <f>E2340*1000000/D2340</f>
        <v>1083166.2068775471</v>
      </c>
      <c r="I2340" t="str">
        <f>IF(AND(B2340&gt;=2018, B2340&lt;=2021), "2018-2021", IF(AND(B2340&gt;=2022, B2340&lt;=2024), "2022-2024", "Other"))</f>
        <v>2018-2021</v>
      </c>
    </row>
    <row r="2341" spans="1:9" x14ac:dyDescent="0.3">
      <c r="A2341" t="s">
        <v>23</v>
      </c>
      <c r="B2341">
        <v>2023</v>
      </c>
      <c r="C2341" t="s">
        <v>14</v>
      </c>
      <c r="D2341">
        <v>10056.39</v>
      </c>
      <c r="E2341">
        <v>10564.4</v>
      </c>
      <c r="F2341">
        <v>45.67</v>
      </c>
      <c r="G2341">
        <v>1079.49</v>
      </c>
      <c r="H2341">
        <f>E2341*1000000/D2341</f>
        <v>1050516.1394894193</v>
      </c>
      <c r="I2341" t="str">
        <f>IF(AND(B2341&gt;=2018, B2341&lt;=2021), "2018-2021", IF(AND(B2341&gt;=2022, B2341&lt;=2024), "2022-2024", "Other"))</f>
        <v>2022-2024</v>
      </c>
    </row>
    <row r="2342" spans="1:9" x14ac:dyDescent="0.3">
      <c r="A2342" t="s">
        <v>16</v>
      </c>
      <c r="B2342">
        <v>2022</v>
      </c>
      <c r="C2342" t="s">
        <v>6</v>
      </c>
      <c r="D2342">
        <v>28613.26</v>
      </c>
      <c r="E2342">
        <v>33929.54</v>
      </c>
      <c r="F2342">
        <v>172.13</v>
      </c>
      <c r="G2342">
        <v>477.67</v>
      </c>
      <c r="H2342">
        <f>E2342*1000000/D2342</f>
        <v>1185797.7734798482</v>
      </c>
      <c r="I2342" t="str">
        <f>IF(AND(B2342&gt;=2018, B2342&lt;=2021), "2018-2021", IF(AND(B2342&gt;=2022, B2342&lt;=2024), "2022-2024", "Other"))</f>
        <v>2022-2024</v>
      </c>
    </row>
    <row r="2343" spans="1:9" x14ac:dyDescent="0.3">
      <c r="A2343" t="s">
        <v>22</v>
      </c>
      <c r="B2343">
        <v>2024</v>
      </c>
      <c r="C2343" t="s">
        <v>2</v>
      </c>
      <c r="D2343">
        <v>4702.0200000000004</v>
      </c>
      <c r="E2343">
        <v>4546.38</v>
      </c>
      <c r="F2343">
        <v>199.36</v>
      </c>
      <c r="G2343">
        <v>373.62</v>
      </c>
      <c r="H2343">
        <f>E2343*1000000/D2343</f>
        <v>966899.33262725372</v>
      </c>
      <c r="I2343" t="str">
        <f>IF(AND(B2343&gt;=2018, B2343&lt;=2021), "2018-2021", IF(AND(B2343&gt;=2022, B2343&lt;=2024), "2022-2024", "Other"))</f>
        <v>2022-2024</v>
      </c>
    </row>
    <row r="2344" spans="1:9" x14ac:dyDescent="0.3">
      <c r="A2344" t="s">
        <v>20</v>
      </c>
      <c r="B2344">
        <v>2024</v>
      </c>
      <c r="C2344" t="s">
        <v>0</v>
      </c>
      <c r="D2344">
        <v>43213.81</v>
      </c>
      <c r="E2344">
        <v>35272.67</v>
      </c>
      <c r="F2344">
        <v>127.87</v>
      </c>
      <c r="G2344">
        <v>57.24</v>
      </c>
      <c r="H2344">
        <f>E2344*1000000/D2344</f>
        <v>816236.05972257489</v>
      </c>
      <c r="I2344" t="str">
        <f>IF(AND(B2344&gt;=2018, B2344&lt;=2021), "2018-2021", IF(AND(B2344&gt;=2022, B2344&lt;=2024), "2022-2024", "Other"))</f>
        <v>2022-2024</v>
      </c>
    </row>
    <row r="2345" spans="1:9" x14ac:dyDescent="0.3">
      <c r="A2345" t="s">
        <v>18</v>
      </c>
      <c r="B2345">
        <v>2021</v>
      </c>
      <c r="C2345" t="s">
        <v>4</v>
      </c>
      <c r="D2345">
        <v>17279.53</v>
      </c>
      <c r="E2345">
        <v>19486.080000000002</v>
      </c>
      <c r="F2345">
        <v>24.48</v>
      </c>
      <c r="G2345">
        <v>467.55</v>
      </c>
      <c r="H2345">
        <f>E2345*1000000/D2345</f>
        <v>1127697.338990123</v>
      </c>
      <c r="I2345" t="str">
        <f>IF(AND(B2345&gt;=2018, B2345&lt;=2021), "2018-2021", IF(AND(B2345&gt;=2022, B2345&lt;=2024), "2022-2024", "Other"))</f>
        <v>2018-2021</v>
      </c>
    </row>
    <row r="2346" spans="1:9" x14ac:dyDescent="0.3">
      <c r="A2346" t="s">
        <v>27</v>
      </c>
      <c r="B2346">
        <v>2019</v>
      </c>
      <c r="C2346" t="s">
        <v>12</v>
      </c>
      <c r="D2346">
        <v>7439.96</v>
      </c>
      <c r="E2346">
        <v>6975.64</v>
      </c>
      <c r="F2346">
        <v>65.91</v>
      </c>
      <c r="G2346">
        <v>924.32</v>
      </c>
      <c r="H2346">
        <f>E2346*1000000/D2346</f>
        <v>937591.06231753936</v>
      </c>
      <c r="I2346" t="str">
        <f>IF(AND(B2346&gt;=2018, B2346&lt;=2021), "2018-2021", IF(AND(B2346&gt;=2022, B2346&lt;=2024), "2022-2024", "Other"))</f>
        <v>2018-2021</v>
      </c>
    </row>
    <row r="2347" spans="1:9" x14ac:dyDescent="0.3">
      <c r="A2347" t="s">
        <v>1</v>
      </c>
      <c r="B2347">
        <v>2024</v>
      </c>
      <c r="C2347" t="s">
        <v>14</v>
      </c>
      <c r="D2347">
        <v>36879.910000000003</v>
      </c>
      <c r="E2347">
        <v>39028.57</v>
      </c>
      <c r="F2347">
        <v>32.11</v>
      </c>
      <c r="G2347">
        <v>425.66</v>
      </c>
      <c r="H2347">
        <f>E2347*1000000/D2347</f>
        <v>1058260.9881640165</v>
      </c>
      <c r="I2347" t="str">
        <f>IF(AND(B2347&gt;=2018, B2347&lt;=2021), "2018-2021", IF(AND(B2347&gt;=2022, B2347&lt;=2024), "2022-2024", "Other"))</f>
        <v>2022-2024</v>
      </c>
    </row>
    <row r="2348" spans="1:9" x14ac:dyDescent="0.3">
      <c r="A2348" t="s">
        <v>15</v>
      </c>
      <c r="B2348">
        <v>2018</v>
      </c>
      <c r="C2348" t="s">
        <v>0</v>
      </c>
      <c r="D2348">
        <v>10122.02</v>
      </c>
      <c r="E2348">
        <v>8555.14</v>
      </c>
      <c r="F2348">
        <v>183.65</v>
      </c>
      <c r="G2348">
        <v>637.96</v>
      </c>
      <c r="H2348">
        <f>E2348*1000000/D2348</f>
        <v>845200.85911705357</v>
      </c>
      <c r="I2348" t="str">
        <f>IF(AND(B2348&gt;=2018, B2348&lt;=2021), "2018-2021", IF(AND(B2348&gt;=2022, B2348&lt;=2024), "2022-2024", "Other"))</f>
        <v>2018-2021</v>
      </c>
    </row>
    <row r="2349" spans="1:9" x14ac:dyDescent="0.3">
      <c r="A2349" t="s">
        <v>20</v>
      </c>
      <c r="B2349">
        <v>2022</v>
      </c>
      <c r="C2349" t="s">
        <v>2</v>
      </c>
      <c r="D2349">
        <v>44882.71</v>
      </c>
      <c r="E2349">
        <v>51488.54</v>
      </c>
      <c r="F2349">
        <v>83.65</v>
      </c>
      <c r="G2349">
        <v>1024.3900000000001</v>
      </c>
      <c r="H2349">
        <f>E2349*1000000/D2349</f>
        <v>1147179.8382940781</v>
      </c>
      <c r="I2349" t="str">
        <f>IF(AND(B2349&gt;=2018, B2349&lt;=2021), "2018-2021", IF(AND(B2349&gt;=2022, B2349&lt;=2024), "2022-2024", "Other"))</f>
        <v>2022-2024</v>
      </c>
    </row>
    <row r="2350" spans="1:9" x14ac:dyDescent="0.3">
      <c r="A2350" t="s">
        <v>17</v>
      </c>
      <c r="B2350">
        <v>2021</v>
      </c>
      <c r="C2350" t="s">
        <v>4</v>
      </c>
      <c r="D2350">
        <v>29313.17</v>
      </c>
      <c r="E2350">
        <v>28556.57</v>
      </c>
      <c r="F2350">
        <v>151.53</v>
      </c>
      <c r="G2350">
        <v>295.93</v>
      </c>
      <c r="H2350">
        <f>E2350*1000000/D2350</f>
        <v>974189.07610469975</v>
      </c>
      <c r="I2350" t="str">
        <f>IF(AND(B2350&gt;=2018, B2350&lt;=2021), "2018-2021", IF(AND(B2350&gt;=2022, B2350&lt;=2024), "2022-2024", "Other"))</f>
        <v>2018-2021</v>
      </c>
    </row>
    <row r="2351" spans="1:9" x14ac:dyDescent="0.3">
      <c r="A2351" t="s">
        <v>16</v>
      </c>
      <c r="B2351">
        <v>2019</v>
      </c>
      <c r="C2351" t="s">
        <v>14</v>
      </c>
      <c r="D2351">
        <v>49769.7</v>
      </c>
      <c r="E2351">
        <v>55384.98</v>
      </c>
      <c r="F2351">
        <v>192.45</v>
      </c>
      <c r="G2351">
        <v>410.13</v>
      </c>
      <c r="H2351">
        <f>E2351*1000000/D2351</f>
        <v>1112825.2732083979</v>
      </c>
      <c r="I2351" t="str">
        <f>IF(AND(B2351&gt;=2018, B2351&lt;=2021), "2018-2021", IF(AND(B2351&gt;=2022, B2351&lt;=2024), "2022-2024", "Other"))</f>
        <v>2018-2021</v>
      </c>
    </row>
    <row r="2352" spans="1:9" x14ac:dyDescent="0.3">
      <c r="A2352" t="s">
        <v>23</v>
      </c>
      <c r="B2352">
        <v>2023</v>
      </c>
      <c r="C2352" t="s">
        <v>8</v>
      </c>
      <c r="D2352">
        <v>39658.68</v>
      </c>
      <c r="E2352">
        <v>38532.97</v>
      </c>
      <c r="F2352">
        <v>106.97</v>
      </c>
      <c r="G2352">
        <v>653.25</v>
      </c>
      <c r="H2352">
        <f>E2352*1000000/D2352</f>
        <v>971615.04114609968</v>
      </c>
      <c r="I2352" t="str">
        <f>IF(AND(B2352&gt;=2018, B2352&lt;=2021), "2018-2021", IF(AND(B2352&gt;=2022, B2352&lt;=2024), "2022-2024", "Other"))</f>
        <v>2022-2024</v>
      </c>
    </row>
    <row r="2353" spans="1:9" x14ac:dyDescent="0.3">
      <c r="A2353" t="s">
        <v>19</v>
      </c>
      <c r="B2353">
        <v>2024</v>
      </c>
      <c r="C2353" t="s">
        <v>6</v>
      </c>
      <c r="D2353">
        <v>48831.48</v>
      </c>
      <c r="E2353">
        <v>45814.1</v>
      </c>
      <c r="F2353">
        <v>184.3</v>
      </c>
      <c r="G2353">
        <v>240.7</v>
      </c>
      <c r="H2353">
        <f>E2353*1000000/D2353</f>
        <v>938208.30333219469</v>
      </c>
      <c r="I2353" t="str">
        <f>IF(AND(B2353&gt;=2018, B2353&lt;=2021), "2018-2021", IF(AND(B2353&gt;=2022, B2353&lt;=2024), "2022-2024", "Other"))</f>
        <v>2022-2024</v>
      </c>
    </row>
    <row r="2354" spans="1:9" x14ac:dyDescent="0.3">
      <c r="A2354" t="s">
        <v>16</v>
      </c>
      <c r="B2354">
        <v>2018</v>
      </c>
      <c r="C2354" t="s">
        <v>14</v>
      </c>
      <c r="D2354">
        <v>14875.15</v>
      </c>
      <c r="E2354">
        <v>13836.81</v>
      </c>
      <c r="F2354">
        <v>92.03</v>
      </c>
      <c r="G2354">
        <v>1043.68</v>
      </c>
      <c r="H2354">
        <f>E2354*1000000/D2354</f>
        <v>930196.33415461355</v>
      </c>
      <c r="I2354" t="str">
        <f>IF(AND(B2354&gt;=2018, B2354&lt;=2021), "2018-2021", IF(AND(B2354&gt;=2022, B2354&lt;=2024), "2022-2024", "Other"))</f>
        <v>2018-2021</v>
      </c>
    </row>
    <row r="2355" spans="1:9" x14ac:dyDescent="0.3">
      <c r="A2355" t="s">
        <v>10</v>
      </c>
      <c r="B2355">
        <v>2020</v>
      </c>
      <c r="C2355" t="s">
        <v>2</v>
      </c>
      <c r="D2355">
        <v>808.24</v>
      </c>
      <c r="E2355">
        <v>945.46</v>
      </c>
      <c r="F2355">
        <v>92.01</v>
      </c>
      <c r="G2355">
        <v>615.89</v>
      </c>
      <c r="H2355">
        <f>E2355*1000000/D2355</f>
        <v>1169776.3040680985</v>
      </c>
      <c r="I2355" t="str">
        <f>IF(AND(B2355&gt;=2018, B2355&lt;=2021), "2018-2021", IF(AND(B2355&gt;=2022, B2355&lt;=2024), "2022-2024", "Other"))</f>
        <v>2018-2021</v>
      </c>
    </row>
    <row r="2356" spans="1:9" x14ac:dyDescent="0.3">
      <c r="A2356" t="s">
        <v>18</v>
      </c>
      <c r="B2356">
        <v>2024</v>
      </c>
      <c r="C2356" t="s">
        <v>8</v>
      </c>
      <c r="D2356">
        <v>12092.46</v>
      </c>
      <c r="E2356">
        <v>10878.27</v>
      </c>
      <c r="F2356">
        <v>74.150000000000006</v>
      </c>
      <c r="G2356">
        <v>359.17</v>
      </c>
      <c r="H2356">
        <f>E2356*1000000/D2356</f>
        <v>899591.15018780308</v>
      </c>
      <c r="I2356" t="str">
        <f>IF(AND(B2356&gt;=2018, B2356&lt;=2021), "2018-2021", IF(AND(B2356&gt;=2022, B2356&lt;=2024), "2022-2024", "Other"))</f>
        <v>2022-2024</v>
      </c>
    </row>
    <row r="2357" spans="1:9" x14ac:dyDescent="0.3">
      <c r="A2357" t="s">
        <v>27</v>
      </c>
      <c r="B2357">
        <v>2018</v>
      </c>
      <c r="C2357" t="s">
        <v>0</v>
      </c>
      <c r="D2357">
        <v>813.66</v>
      </c>
      <c r="E2357">
        <v>862.67</v>
      </c>
      <c r="F2357">
        <v>41.04</v>
      </c>
      <c r="G2357">
        <v>1303.26</v>
      </c>
      <c r="H2357">
        <f>E2357*1000000/D2357</f>
        <v>1060234.004375292</v>
      </c>
      <c r="I2357" t="str">
        <f>IF(AND(B2357&gt;=2018, B2357&lt;=2021), "2018-2021", IF(AND(B2357&gt;=2022, B2357&lt;=2024), "2022-2024", "Other"))</f>
        <v>2018-2021</v>
      </c>
    </row>
    <row r="2358" spans="1:9" x14ac:dyDescent="0.3">
      <c r="A2358" t="s">
        <v>3</v>
      </c>
      <c r="B2358">
        <v>2018</v>
      </c>
      <c r="C2358" t="s">
        <v>0</v>
      </c>
      <c r="D2358">
        <v>38680.89</v>
      </c>
      <c r="E2358">
        <v>42893.42</v>
      </c>
      <c r="F2358">
        <v>77.349999999999994</v>
      </c>
      <c r="G2358">
        <v>94.19</v>
      </c>
      <c r="H2358">
        <f>E2358*1000000/D2358</f>
        <v>1108904.6813555737</v>
      </c>
      <c r="I2358" t="str">
        <f>IF(AND(B2358&gt;=2018, B2358&lt;=2021), "2018-2021", IF(AND(B2358&gt;=2022, B2358&lt;=2024), "2022-2024", "Other"))</f>
        <v>2018-2021</v>
      </c>
    </row>
    <row r="2359" spans="1:9" x14ac:dyDescent="0.3">
      <c r="A2359" t="s">
        <v>17</v>
      </c>
      <c r="B2359">
        <v>2018</v>
      </c>
      <c r="C2359" t="s">
        <v>6</v>
      </c>
      <c r="D2359">
        <v>11298.52</v>
      </c>
      <c r="E2359">
        <v>9437.01</v>
      </c>
      <c r="F2359">
        <v>27.92</v>
      </c>
      <c r="G2359">
        <v>1153.6500000000001</v>
      </c>
      <c r="H2359">
        <f>E2359*1000000/D2359</f>
        <v>835243.02298000094</v>
      </c>
      <c r="I2359" t="str">
        <f>IF(AND(B2359&gt;=2018, B2359&lt;=2021), "2018-2021", IF(AND(B2359&gt;=2022, B2359&lt;=2024), "2022-2024", "Other"))</f>
        <v>2018-2021</v>
      </c>
    </row>
    <row r="2360" spans="1:9" x14ac:dyDescent="0.3">
      <c r="A2360" t="s">
        <v>15</v>
      </c>
      <c r="B2360">
        <v>2022</v>
      </c>
      <c r="C2360" t="s">
        <v>6</v>
      </c>
      <c r="D2360">
        <v>47978.53</v>
      </c>
      <c r="E2360">
        <v>48842.03</v>
      </c>
      <c r="F2360">
        <v>114.25</v>
      </c>
      <c r="G2360">
        <v>111.77</v>
      </c>
      <c r="H2360">
        <f>E2360*1000000/D2360</f>
        <v>1017997.6335248287</v>
      </c>
      <c r="I2360" t="str">
        <f>IF(AND(B2360&gt;=2018, B2360&lt;=2021), "2018-2021", IF(AND(B2360&gt;=2022, B2360&lt;=2024), "2022-2024", "Other"))</f>
        <v>2022-2024</v>
      </c>
    </row>
    <row r="2361" spans="1:9" x14ac:dyDescent="0.3">
      <c r="A2361" t="s">
        <v>22</v>
      </c>
      <c r="B2361">
        <v>2024</v>
      </c>
      <c r="C2361" t="s">
        <v>12</v>
      </c>
      <c r="D2361">
        <v>30040.55</v>
      </c>
      <c r="E2361">
        <v>35060.51</v>
      </c>
      <c r="F2361">
        <v>70.12</v>
      </c>
      <c r="G2361">
        <v>851.52</v>
      </c>
      <c r="H2361">
        <f>E2361*1000000/D2361</f>
        <v>1167106.1282166939</v>
      </c>
      <c r="I2361" t="str">
        <f>IF(AND(B2361&gt;=2018, B2361&lt;=2021), "2018-2021", IF(AND(B2361&gt;=2022, B2361&lt;=2024), "2022-2024", "Other"))</f>
        <v>2022-2024</v>
      </c>
    </row>
    <row r="2362" spans="1:9" x14ac:dyDescent="0.3">
      <c r="A2362" t="s">
        <v>23</v>
      </c>
      <c r="B2362">
        <v>2020</v>
      </c>
      <c r="C2362" t="s">
        <v>6</v>
      </c>
      <c r="D2362">
        <v>30736.639999999999</v>
      </c>
      <c r="E2362">
        <v>33989.300000000003</v>
      </c>
      <c r="F2362">
        <v>109.74</v>
      </c>
      <c r="G2362">
        <v>408.2</v>
      </c>
      <c r="H2362">
        <f>E2362*1000000/D2362</f>
        <v>1105823.5382917589</v>
      </c>
      <c r="I2362" t="str">
        <f>IF(AND(B2362&gt;=2018, B2362&lt;=2021), "2018-2021", IF(AND(B2362&gt;=2022, B2362&lt;=2024), "2022-2024", "Other"))</f>
        <v>2018-2021</v>
      </c>
    </row>
    <row r="2363" spans="1:9" x14ac:dyDescent="0.3">
      <c r="A2363" t="s">
        <v>7</v>
      </c>
      <c r="B2363">
        <v>2024</v>
      </c>
      <c r="C2363" t="s">
        <v>9</v>
      </c>
      <c r="D2363">
        <v>43684.35</v>
      </c>
      <c r="E2363">
        <v>50495.65</v>
      </c>
      <c r="F2363">
        <v>88.83</v>
      </c>
      <c r="G2363">
        <v>250.71</v>
      </c>
      <c r="H2363">
        <f>E2363*1000000/D2363</f>
        <v>1155920.8274816955</v>
      </c>
      <c r="I2363" t="str">
        <f>IF(AND(B2363&gt;=2018, B2363&lt;=2021), "2018-2021", IF(AND(B2363&gt;=2022, B2363&lt;=2024), "2022-2024", "Other"))</f>
        <v>2022-2024</v>
      </c>
    </row>
    <row r="2364" spans="1:9" x14ac:dyDescent="0.3">
      <c r="A2364" t="s">
        <v>17</v>
      </c>
      <c r="B2364">
        <v>2024</v>
      </c>
      <c r="C2364" t="s">
        <v>12</v>
      </c>
      <c r="D2364">
        <v>43881.4</v>
      </c>
      <c r="E2364">
        <v>35413.78</v>
      </c>
      <c r="F2364">
        <v>108.2</v>
      </c>
      <c r="G2364">
        <v>1097.25</v>
      </c>
      <c r="H2364">
        <f>E2364*1000000/D2364</f>
        <v>807033.95971869631</v>
      </c>
      <c r="I2364" t="str">
        <f>IF(AND(B2364&gt;=2018, B2364&lt;=2021), "2018-2021", IF(AND(B2364&gt;=2022, B2364&lt;=2024), "2022-2024", "Other"))</f>
        <v>2022-2024</v>
      </c>
    </row>
    <row r="2365" spans="1:9" x14ac:dyDescent="0.3">
      <c r="A2365" t="s">
        <v>22</v>
      </c>
      <c r="B2365">
        <v>2024</v>
      </c>
      <c r="C2365" t="s">
        <v>0</v>
      </c>
      <c r="D2365">
        <v>32356.46</v>
      </c>
      <c r="E2365">
        <v>32169.71</v>
      </c>
      <c r="F2365">
        <v>153.32</v>
      </c>
      <c r="G2365">
        <v>743.25</v>
      </c>
      <c r="H2365">
        <f>E2365*1000000/D2365</f>
        <v>994228.3550178234</v>
      </c>
      <c r="I2365" t="str">
        <f>IF(AND(B2365&gt;=2018, B2365&lt;=2021), "2018-2021", IF(AND(B2365&gt;=2022, B2365&lt;=2024), "2022-2024", "Other"))</f>
        <v>2022-2024</v>
      </c>
    </row>
    <row r="2366" spans="1:9" x14ac:dyDescent="0.3">
      <c r="A2366" t="s">
        <v>11</v>
      </c>
      <c r="B2366">
        <v>2023</v>
      </c>
      <c r="C2366" t="s">
        <v>12</v>
      </c>
      <c r="D2366">
        <v>27944.44</v>
      </c>
      <c r="E2366">
        <v>23988.32</v>
      </c>
      <c r="F2366">
        <v>188.25</v>
      </c>
      <c r="G2366">
        <v>620.77</v>
      </c>
      <c r="H2366">
        <f>E2366*1000000/D2366</f>
        <v>858429.08285154402</v>
      </c>
      <c r="I2366" t="str">
        <f>IF(AND(B2366&gt;=2018, B2366&lt;=2021), "2018-2021", IF(AND(B2366&gt;=2022, B2366&lt;=2024), "2022-2024", "Other"))</f>
        <v>2022-2024</v>
      </c>
    </row>
    <row r="2367" spans="1:9" x14ac:dyDescent="0.3">
      <c r="A2367" t="s">
        <v>1</v>
      </c>
      <c r="B2367">
        <v>2021</v>
      </c>
      <c r="C2367" t="s">
        <v>6</v>
      </c>
      <c r="D2367">
        <v>10977.89</v>
      </c>
      <c r="E2367">
        <v>11812.26</v>
      </c>
      <c r="F2367">
        <v>88.06</v>
      </c>
      <c r="G2367">
        <v>156.63</v>
      </c>
      <c r="H2367">
        <f>E2367*1000000/D2367</f>
        <v>1076004.5874024972</v>
      </c>
      <c r="I2367" t="str">
        <f>IF(AND(B2367&gt;=2018, B2367&lt;=2021), "2018-2021", IF(AND(B2367&gt;=2022, B2367&lt;=2024), "2022-2024", "Other"))</f>
        <v>2018-2021</v>
      </c>
    </row>
    <row r="2368" spans="1:9" x14ac:dyDescent="0.3">
      <c r="A2368" t="s">
        <v>24</v>
      </c>
      <c r="B2368">
        <v>2022</v>
      </c>
      <c r="C2368" t="s">
        <v>2</v>
      </c>
      <c r="D2368">
        <v>38332.25</v>
      </c>
      <c r="E2368">
        <v>35162.410000000003</v>
      </c>
      <c r="F2368">
        <v>33.43</v>
      </c>
      <c r="G2368">
        <v>1343.89</v>
      </c>
      <c r="H2368">
        <f>E2368*1000000/D2368</f>
        <v>917306.18474000355</v>
      </c>
      <c r="I2368" t="str">
        <f>IF(AND(B2368&gt;=2018, B2368&lt;=2021), "2018-2021", IF(AND(B2368&gt;=2022, B2368&lt;=2024), "2022-2024", "Other"))</f>
        <v>2022-2024</v>
      </c>
    </row>
    <row r="2369" spans="1:9" x14ac:dyDescent="0.3">
      <c r="A2369" t="s">
        <v>18</v>
      </c>
      <c r="B2369">
        <v>2019</v>
      </c>
      <c r="C2369" t="s">
        <v>0</v>
      </c>
      <c r="D2369">
        <v>10931.38</v>
      </c>
      <c r="E2369">
        <v>10444.620000000001</v>
      </c>
      <c r="F2369">
        <v>136.91999999999999</v>
      </c>
      <c r="G2369">
        <v>1078.1500000000001</v>
      </c>
      <c r="H2369">
        <f>E2369*1000000/D2369</f>
        <v>955471.31286260299</v>
      </c>
      <c r="I2369" t="str">
        <f>IF(AND(B2369&gt;=2018, B2369&lt;=2021), "2018-2021", IF(AND(B2369&gt;=2022, B2369&lt;=2024), "2022-2024", "Other"))</f>
        <v>2018-2021</v>
      </c>
    </row>
    <row r="2370" spans="1:9" x14ac:dyDescent="0.3">
      <c r="A2370" t="s">
        <v>26</v>
      </c>
      <c r="B2370">
        <v>2020</v>
      </c>
      <c r="C2370" t="s">
        <v>6</v>
      </c>
      <c r="D2370">
        <v>48264.24</v>
      </c>
      <c r="E2370">
        <v>43540.42</v>
      </c>
      <c r="F2370">
        <v>142.31</v>
      </c>
      <c r="G2370">
        <v>242.78</v>
      </c>
      <c r="H2370">
        <f>E2370*1000000/D2370</f>
        <v>902125.88036194094</v>
      </c>
      <c r="I2370" t="str">
        <f>IF(AND(B2370&gt;=2018, B2370&lt;=2021), "2018-2021", IF(AND(B2370&gt;=2022, B2370&lt;=2024), "2022-2024", "Other"))</f>
        <v>2018-2021</v>
      </c>
    </row>
    <row r="2371" spans="1:9" x14ac:dyDescent="0.3">
      <c r="A2371" t="s">
        <v>19</v>
      </c>
      <c r="B2371">
        <v>2023</v>
      </c>
      <c r="C2371" t="s">
        <v>12</v>
      </c>
      <c r="D2371">
        <v>44552.68</v>
      </c>
      <c r="E2371">
        <v>51187.91</v>
      </c>
      <c r="F2371">
        <v>45.36</v>
      </c>
      <c r="G2371">
        <v>281.25</v>
      </c>
      <c r="H2371">
        <f>E2371*1000000/D2371</f>
        <v>1148929.9858055676</v>
      </c>
      <c r="I2371" t="str">
        <f>IF(AND(B2371&gt;=2018, B2371&lt;=2021), "2018-2021", IF(AND(B2371&gt;=2022, B2371&lt;=2024), "2022-2024", "Other"))</f>
        <v>2022-2024</v>
      </c>
    </row>
    <row r="2372" spans="1:9" x14ac:dyDescent="0.3">
      <c r="A2372" t="s">
        <v>23</v>
      </c>
      <c r="B2372">
        <v>2020</v>
      </c>
      <c r="C2372" t="s">
        <v>12</v>
      </c>
      <c r="D2372">
        <v>34268.14</v>
      </c>
      <c r="E2372">
        <v>29301.39</v>
      </c>
      <c r="F2372">
        <v>108.74</v>
      </c>
      <c r="G2372">
        <v>63.14</v>
      </c>
      <c r="H2372">
        <f>E2372*1000000/D2372</f>
        <v>855062.16561505815</v>
      </c>
      <c r="I2372" t="str">
        <f>IF(AND(B2372&gt;=2018, B2372&lt;=2021), "2018-2021", IF(AND(B2372&gt;=2022, B2372&lt;=2024), "2022-2024", "Other"))</f>
        <v>2018-2021</v>
      </c>
    </row>
    <row r="2373" spans="1:9" x14ac:dyDescent="0.3">
      <c r="A2373" t="s">
        <v>16</v>
      </c>
      <c r="B2373">
        <v>2018</v>
      </c>
      <c r="C2373" t="s">
        <v>0</v>
      </c>
      <c r="D2373">
        <v>43714.42</v>
      </c>
      <c r="E2373">
        <v>49967.62</v>
      </c>
      <c r="F2373">
        <v>153.43</v>
      </c>
      <c r="G2373">
        <v>486.73</v>
      </c>
      <c r="H2373">
        <f>E2373*1000000/D2373</f>
        <v>1143046.6193992738</v>
      </c>
      <c r="I2373" t="str">
        <f>IF(AND(B2373&gt;=2018, B2373&lt;=2021), "2018-2021", IF(AND(B2373&gt;=2022, B2373&lt;=2024), "2022-2024", "Other"))</f>
        <v>2018-2021</v>
      </c>
    </row>
    <row r="2374" spans="1:9" x14ac:dyDescent="0.3">
      <c r="A2374" t="s">
        <v>27</v>
      </c>
      <c r="B2374">
        <v>2018</v>
      </c>
      <c r="C2374" t="s">
        <v>6</v>
      </c>
      <c r="D2374">
        <v>23125.88</v>
      </c>
      <c r="E2374">
        <v>22324.7</v>
      </c>
      <c r="F2374">
        <v>96.26</v>
      </c>
      <c r="G2374">
        <v>1353.44</v>
      </c>
      <c r="H2374">
        <f>E2374*1000000/D2374</f>
        <v>965355.69673456741</v>
      </c>
      <c r="I2374" t="str">
        <f>IF(AND(B2374&gt;=2018, B2374&lt;=2021), "2018-2021", IF(AND(B2374&gt;=2022, B2374&lt;=2024), "2022-2024", "Other"))</f>
        <v>2018-2021</v>
      </c>
    </row>
    <row r="2375" spans="1:9" x14ac:dyDescent="0.3">
      <c r="A2375" t="s">
        <v>20</v>
      </c>
      <c r="B2375">
        <v>2018</v>
      </c>
      <c r="C2375" t="s">
        <v>4</v>
      </c>
      <c r="D2375">
        <v>19376.12</v>
      </c>
      <c r="E2375">
        <v>20946.419999999998</v>
      </c>
      <c r="F2375">
        <v>29.3</v>
      </c>
      <c r="G2375">
        <v>771.35</v>
      </c>
      <c r="H2375">
        <f>E2375*1000000/D2375</f>
        <v>1081043.0571239237</v>
      </c>
      <c r="I2375" t="str">
        <f>IF(AND(B2375&gt;=2018, B2375&lt;=2021), "2018-2021", IF(AND(B2375&gt;=2022, B2375&lt;=2024), "2022-2024", "Other"))</f>
        <v>2018-2021</v>
      </c>
    </row>
    <row r="2376" spans="1:9" x14ac:dyDescent="0.3">
      <c r="A2376" t="s">
        <v>17</v>
      </c>
      <c r="B2376">
        <v>2022</v>
      </c>
      <c r="C2376" t="s">
        <v>8</v>
      </c>
      <c r="D2376">
        <v>4429.76</v>
      </c>
      <c r="E2376">
        <v>5034.96</v>
      </c>
      <c r="F2376">
        <v>100.2</v>
      </c>
      <c r="G2376">
        <v>977.93</v>
      </c>
      <c r="H2376">
        <f>E2376*1000000/D2376</f>
        <v>1136621.397096005</v>
      </c>
      <c r="I2376" t="str">
        <f>IF(AND(B2376&gt;=2018, B2376&lt;=2021), "2018-2021", IF(AND(B2376&gt;=2022, B2376&lt;=2024), "2022-2024", "Other"))</f>
        <v>2022-2024</v>
      </c>
    </row>
    <row r="2377" spans="1:9" x14ac:dyDescent="0.3">
      <c r="A2377" t="s">
        <v>3</v>
      </c>
      <c r="B2377">
        <v>2024</v>
      </c>
      <c r="C2377" t="s">
        <v>2</v>
      </c>
      <c r="D2377">
        <v>15627.62</v>
      </c>
      <c r="E2377">
        <v>13532.11</v>
      </c>
      <c r="F2377">
        <v>56.23</v>
      </c>
      <c r="G2377">
        <v>1002.43</v>
      </c>
      <c r="H2377">
        <f>E2377*1000000/D2377</f>
        <v>865909.84423731826</v>
      </c>
      <c r="I2377" t="str">
        <f>IF(AND(B2377&gt;=2018, B2377&lt;=2021), "2018-2021", IF(AND(B2377&gt;=2022, B2377&lt;=2024), "2022-2024", "Other"))</f>
        <v>2022-2024</v>
      </c>
    </row>
    <row r="2378" spans="1:9" x14ac:dyDescent="0.3">
      <c r="A2378" t="s">
        <v>3</v>
      </c>
      <c r="B2378">
        <v>2021</v>
      </c>
      <c r="C2378" t="s">
        <v>4</v>
      </c>
      <c r="D2378">
        <v>23064.21</v>
      </c>
      <c r="E2378">
        <v>23466.58</v>
      </c>
      <c r="F2378">
        <v>108.85</v>
      </c>
      <c r="G2378">
        <v>1007.91</v>
      </c>
      <c r="H2378">
        <f>E2378*1000000/D2378</f>
        <v>1017445.6441386894</v>
      </c>
      <c r="I2378" t="str">
        <f>IF(AND(B2378&gt;=2018, B2378&lt;=2021), "2018-2021", IF(AND(B2378&gt;=2022, B2378&lt;=2024), "2022-2024", "Other"))</f>
        <v>2018-2021</v>
      </c>
    </row>
    <row r="2379" spans="1:9" x14ac:dyDescent="0.3">
      <c r="A2379" t="s">
        <v>7</v>
      </c>
      <c r="B2379">
        <v>2020</v>
      </c>
      <c r="C2379" t="s">
        <v>8</v>
      </c>
      <c r="D2379">
        <v>20249.23</v>
      </c>
      <c r="E2379">
        <v>18434.599999999999</v>
      </c>
      <c r="F2379">
        <v>105.22</v>
      </c>
      <c r="G2379">
        <v>329.35</v>
      </c>
      <c r="H2379">
        <f>E2379*1000000/D2379</f>
        <v>910385.23440150567</v>
      </c>
      <c r="I2379" t="str">
        <f>IF(AND(B2379&gt;=2018, B2379&lt;=2021), "2018-2021", IF(AND(B2379&gt;=2022, B2379&lt;=2024), "2022-2024", "Other"))</f>
        <v>2018-2021</v>
      </c>
    </row>
    <row r="2380" spans="1:9" x14ac:dyDescent="0.3">
      <c r="A2380" t="s">
        <v>19</v>
      </c>
      <c r="B2380">
        <v>2021</v>
      </c>
      <c r="C2380" t="s">
        <v>2</v>
      </c>
      <c r="D2380">
        <v>29725.21</v>
      </c>
      <c r="E2380">
        <v>25214.94</v>
      </c>
      <c r="F2380">
        <v>193.35</v>
      </c>
      <c r="G2380">
        <v>704.82</v>
      </c>
      <c r="H2380">
        <f>E2380*1000000/D2380</f>
        <v>848267.85075698374</v>
      </c>
      <c r="I2380" t="str">
        <f>IF(AND(B2380&gt;=2018, B2380&lt;=2021), "2018-2021", IF(AND(B2380&gt;=2022, B2380&lt;=2024), "2022-2024", "Other"))</f>
        <v>2018-2021</v>
      </c>
    </row>
    <row r="2381" spans="1:9" x14ac:dyDescent="0.3">
      <c r="A2381" t="s">
        <v>1</v>
      </c>
      <c r="B2381">
        <v>2020</v>
      </c>
      <c r="C2381" t="s">
        <v>12</v>
      </c>
      <c r="D2381">
        <v>18663.02</v>
      </c>
      <c r="E2381">
        <v>18865.79</v>
      </c>
      <c r="F2381">
        <v>182.52</v>
      </c>
      <c r="G2381">
        <v>904</v>
      </c>
      <c r="H2381">
        <f>E2381*1000000/D2381</f>
        <v>1010864.8010879268</v>
      </c>
      <c r="I2381" t="str">
        <f>IF(AND(B2381&gt;=2018, B2381&lt;=2021), "2018-2021", IF(AND(B2381&gt;=2022, B2381&lt;=2024), "2022-2024", "Other"))</f>
        <v>2018-2021</v>
      </c>
    </row>
    <row r="2382" spans="1:9" x14ac:dyDescent="0.3">
      <c r="A2382" t="s">
        <v>11</v>
      </c>
      <c r="B2382">
        <v>2023</v>
      </c>
      <c r="C2382" t="s">
        <v>12</v>
      </c>
      <c r="D2382">
        <v>23761.59</v>
      </c>
      <c r="E2382">
        <v>22926.52</v>
      </c>
      <c r="F2382">
        <v>90.49</v>
      </c>
      <c r="G2382">
        <v>726.35</v>
      </c>
      <c r="H2382">
        <f>E2382*1000000/D2382</f>
        <v>964856.30801642477</v>
      </c>
      <c r="I2382" t="str">
        <f>IF(AND(B2382&gt;=2018, B2382&lt;=2021), "2018-2021", IF(AND(B2382&gt;=2022, B2382&lt;=2024), "2022-2024", "Other"))</f>
        <v>2022-2024</v>
      </c>
    </row>
    <row r="2383" spans="1:9" x14ac:dyDescent="0.3">
      <c r="A2383" t="s">
        <v>26</v>
      </c>
      <c r="B2383">
        <v>2024</v>
      </c>
      <c r="C2383" t="s">
        <v>0</v>
      </c>
      <c r="D2383">
        <v>49583.39</v>
      </c>
      <c r="E2383">
        <v>41007.19</v>
      </c>
      <c r="F2383">
        <v>160.65</v>
      </c>
      <c r="G2383">
        <v>411.06</v>
      </c>
      <c r="H2383">
        <f>E2383*1000000/D2383</f>
        <v>827034.81952323148</v>
      </c>
      <c r="I2383" t="str">
        <f>IF(AND(B2383&gt;=2018, B2383&lt;=2021), "2018-2021", IF(AND(B2383&gt;=2022, B2383&lt;=2024), "2022-2024", "Other"))</f>
        <v>2022-2024</v>
      </c>
    </row>
    <row r="2384" spans="1:9" x14ac:dyDescent="0.3">
      <c r="A2384" t="s">
        <v>17</v>
      </c>
      <c r="B2384">
        <v>2020</v>
      </c>
      <c r="C2384" t="s">
        <v>14</v>
      </c>
      <c r="D2384">
        <v>48894.02</v>
      </c>
      <c r="E2384">
        <v>41176.49</v>
      </c>
      <c r="F2384">
        <v>187.16</v>
      </c>
      <c r="G2384">
        <v>46.51</v>
      </c>
      <c r="H2384">
        <f>E2384*1000000/D2384</f>
        <v>842157.99805374979</v>
      </c>
      <c r="I2384" t="str">
        <f>IF(AND(B2384&gt;=2018, B2384&lt;=2021), "2018-2021", IF(AND(B2384&gt;=2022, B2384&lt;=2024), "2022-2024", "Other"))</f>
        <v>2018-2021</v>
      </c>
    </row>
    <row r="2385" spans="1:9" x14ac:dyDescent="0.3">
      <c r="A2385" t="s">
        <v>18</v>
      </c>
      <c r="B2385">
        <v>2020</v>
      </c>
      <c r="C2385" t="s">
        <v>2</v>
      </c>
      <c r="D2385">
        <v>31926.79</v>
      </c>
      <c r="E2385">
        <v>26501.35</v>
      </c>
      <c r="F2385">
        <v>37.619999999999997</v>
      </c>
      <c r="G2385">
        <v>1058.74</v>
      </c>
      <c r="H2385">
        <f>E2385*1000000/D2385</f>
        <v>830066.22338168032</v>
      </c>
      <c r="I2385" t="str">
        <f>IF(AND(B2385&gt;=2018, B2385&lt;=2021), "2018-2021", IF(AND(B2385&gt;=2022, B2385&lt;=2024), "2022-2024", "Other"))</f>
        <v>2018-2021</v>
      </c>
    </row>
    <row r="2386" spans="1:9" x14ac:dyDescent="0.3">
      <c r="A2386" t="s">
        <v>19</v>
      </c>
      <c r="B2386">
        <v>2022</v>
      </c>
      <c r="C2386" t="s">
        <v>14</v>
      </c>
      <c r="D2386">
        <v>48968.97</v>
      </c>
      <c r="E2386">
        <v>47044.66</v>
      </c>
      <c r="F2386">
        <v>174.05</v>
      </c>
      <c r="G2386">
        <v>766.53</v>
      </c>
      <c r="H2386">
        <f>E2386*1000000/D2386</f>
        <v>960703.48222558084</v>
      </c>
      <c r="I2386" t="str">
        <f>IF(AND(B2386&gt;=2018, B2386&lt;=2021), "2018-2021", IF(AND(B2386&gt;=2022, B2386&lt;=2024), "2022-2024", "Other"))</f>
        <v>2022-2024</v>
      </c>
    </row>
    <row r="2387" spans="1:9" x14ac:dyDescent="0.3">
      <c r="A2387" t="s">
        <v>27</v>
      </c>
      <c r="B2387">
        <v>2021</v>
      </c>
      <c r="C2387" t="s">
        <v>0</v>
      </c>
      <c r="D2387">
        <v>22213.58</v>
      </c>
      <c r="E2387">
        <v>21456.53</v>
      </c>
      <c r="F2387">
        <v>99.8</v>
      </c>
      <c r="G2387">
        <v>161.44</v>
      </c>
      <c r="H2387">
        <f>E2387*1000000/D2387</f>
        <v>965919.49609203008</v>
      </c>
      <c r="I2387" t="str">
        <f>IF(AND(B2387&gt;=2018, B2387&lt;=2021), "2018-2021", IF(AND(B2387&gt;=2022, B2387&lt;=2024), "2022-2024", "Other"))</f>
        <v>2018-2021</v>
      </c>
    </row>
    <row r="2388" spans="1:9" x14ac:dyDescent="0.3">
      <c r="A2388" t="s">
        <v>5</v>
      </c>
      <c r="B2388">
        <v>2024</v>
      </c>
      <c r="C2388" t="s">
        <v>14</v>
      </c>
      <c r="D2388">
        <v>38492.620000000003</v>
      </c>
      <c r="E2388">
        <v>35957.74</v>
      </c>
      <c r="F2388">
        <v>140.84</v>
      </c>
      <c r="G2388">
        <v>562.97</v>
      </c>
      <c r="H2388">
        <f>E2388*1000000/D2388</f>
        <v>934146.33766160882</v>
      </c>
      <c r="I2388" t="str">
        <f>IF(AND(B2388&gt;=2018, B2388&lt;=2021), "2018-2021", IF(AND(B2388&gt;=2022, B2388&lt;=2024), "2022-2024", "Other"))</f>
        <v>2022-2024</v>
      </c>
    </row>
    <row r="2389" spans="1:9" x14ac:dyDescent="0.3">
      <c r="A2389" t="s">
        <v>5</v>
      </c>
      <c r="B2389">
        <v>2019</v>
      </c>
      <c r="C2389" t="s">
        <v>0</v>
      </c>
      <c r="D2389">
        <v>23737.15</v>
      </c>
      <c r="E2389">
        <v>28424.05</v>
      </c>
      <c r="F2389">
        <v>72.28</v>
      </c>
      <c r="G2389">
        <v>890.56</v>
      </c>
      <c r="H2389">
        <f>E2389*1000000/D2389</f>
        <v>1197449.9887307447</v>
      </c>
      <c r="I2389" t="str">
        <f>IF(AND(B2389&gt;=2018, B2389&lt;=2021), "2018-2021", IF(AND(B2389&gt;=2022, B2389&lt;=2024), "2022-2024", "Other"))</f>
        <v>2018-2021</v>
      </c>
    </row>
    <row r="2390" spans="1:9" x14ac:dyDescent="0.3">
      <c r="A2390" t="s">
        <v>1</v>
      </c>
      <c r="B2390">
        <v>2019</v>
      </c>
      <c r="C2390" t="s">
        <v>4</v>
      </c>
      <c r="D2390">
        <v>25102.89</v>
      </c>
      <c r="E2390">
        <v>20756.5</v>
      </c>
      <c r="F2390">
        <v>71.75</v>
      </c>
      <c r="G2390">
        <v>876.64</v>
      </c>
      <c r="H2390">
        <f>E2390*1000000/D2390</f>
        <v>826856.98738272768</v>
      </c>
      <c r="I2390" t="str">
        <f>IF(AND(B2390&gt;=2018, B2390&lt;=2021), "2018-2021", IF(AND(B2390&gt;=2022, B2390&lt;=2024), "2022-2024", "Other"))</f>
        <v>2018-2021</v>
      </c>
    </row>
    <row r="2391" spans="1:9" x14ac:dyDescent="0.3">
      <c r="A2391" t="s">
        <v>11</v>
      </c>
      <c r="B2391">
        <v>2021</v>
      </c>
      <c r="C2391" t="s">
        <v>4</v>
      </c>
      <c r="D2391">
        <v>39326.74</v>
      </c>
      <c r="E2391">
        <v>37769.879999999997</v>
      </c>
      <c r="F2391">
        <v>119.13</v>
      </c>
      <c r="G2391">
        <v>61.81</v>
      </c>
      <c r="H2391">
        <f>E2391*1000000/D2391</f>
        <v>960412.17756671424</v>
      </c>
      <c r="I2391" t="str">
        <f>IF(AND(B2391&gt;=2018, B2391&lt;=2021), "2018-2021", IF(AND(B2391&gt;=2022, B2391&lt;=2024), "2022-2024", "Other"))</f>
        <v>2018-2021</v>
      </c>
    </row>
    <row r="2392" spans="1:9" x14ac:dyDescent="0.3">
      <c r="A2392" t="s">
        <v>27</v>
      </c>
      <c r="B2392">
        <v>2022</v>
      </c>
      <c r="C2392" t="s">
        <v>4</v>
      </c>
      <c r="D2392">
        <v>19778.66</v>
      </c>
      <c r="E2392">
        <v>17597.46</v>
      </c>
      <c r="F2392">
        <v>157.66</v>
      </c>
      <c r="G2392">
        <v>251.85</v>
      </c>
      <c r="H2392">
        <f>E2392*1000000/D2392</f>
        <v>889719.52599417756</v>
      </c>
      <c r="I2392" t="str">
        <f>IF(AND(B2392&gt;=2018, B2392&lt;=2021), "2018-2021", IF(AND(B2392&gt;=2022, B2392&lt;=2024), "2022-2024", "Other"))</f>
        <v>2022-2024</v>
      </c>
    </row>
    <row r="2393" spans="1:9" x14ac:dyDescent="0.3">
      <c r="A2393" t="s">
        <v>26</v>
      </c>
      <c r="B2393">
        <v>2022</v>
      </c>
      <c r="C2393" t="s">
        <v>4</v>
      </c>
      <c r="D2393">
        <v>42078.64</v>
      </c>
      <c r="E2393">
        <v>35469.58</v>
      </c>
      <c r="F2393">
        <v>22.55</v>
      </c>
      <c r="G2393">
        <v>1352.61</v>
      </c>
      <c r="H2393">
        <f>E2393*1000000/D2393</f>
        <v>842935.51312494895</v>
      </c>
      <c r="I2393" t="str">
        <f>IF(AND(B2393&gt;=2018, B2393&lt;=2021), "2018-2021", IF(AND(B2393&gt;=2022, B2393&lt;=2024), "2022-2024", "Other"))</f>
        <v>2022-2024</v>
      </c>
    </row>
    <row r="2394" spans="1:9" x14ac:dyDescent="0.3">
      <c r="A2394" t="s">
        <v>25</v>
      </c>
      <c r="B2394">
        <v>2023</v>
      </c>
      <c r="C2394" t="s">
        <v>0</v>
      </c>
      <c r="D2394">
        <v>16867.169999999998</v>
      </c>
      <c r="E2394">
        <v>15111.95</v>
      </c>
      <c r="F2394">
        <v>47.19</v>
      </c>
      <c r="G2394">
        <v>1024.52</v>
      </c>
      <c r="H2394">
        <f>E2394*1000000/D2394</f>
        <v>895938.67850979161</v>
      </c>
      <c r="I2394" t="str">
        <f>IF(AND(B2394&gt;=2018, B2394&lt;=2021), "2018-2021", IF(AND(B2394&gt;=2022, B2394&lt;=2024), "2022-2024", "Other"))</f>
        <v>2022-2024</v>
      </c>
    </row>
    <row r="2395" spans="1:9" x14ac:dyDescent="0.3">
      <c r="A2395" t="s">
        <v>13</v>
      </c>
      <c r="B2395">
        <v>2018</v>
      </c>
      <c r="C2395" t="s">
        <v>4</v>
      </c>
      <c r="D2395">
        <v>43902.22</v>
      </c>
      <c r="E2395">
        <v>50029.1</v>
      </c>
      <c r="F2395">
        <v>130.72</v>
      </c>
      <c r="G2395">
        <v>1028.56</v>
      </c>
      <c r="H2395">
        <f>E2395*1000000/D2395</f>
        <v>1139557.4073475099</v>
      </c>
      <c r="I2395" t="str">
        <f>IF(AND(B2395&gt;=2018, B2395&lt;=2021), "2018-2021", IF(AND(B2395&gt;=2022, B2395&lt;=2024), "2022-2024", "Other"))</f>
        <v>2018-2021</v>
      </c>
    </row>
    <row r="2396" spans="1:9" x14ac:dyDescent="0.3">
      <c r="A2396" t="s">
        <v>20</v>
      </c>
      <c r="B2396">
        <v>2021</v>
      </c>
      <c r="C2396" t="s">
        <v>2</v>
      </c>
      <c r="D2396">
        <v>49873.3</v>
      </c>
      <c r="E2396">
        <v>41839.46</v>
      </c>
      <c r="F2396">
        <v>110.31</v>
      </c>
      <c r="G2396">
        <v>69.09</v>
      </c>
      <c r="H2396">
        <f>E2396*1000000/D2396</f>
        <v>838915.01063695399</v>
      </c>
      <c r="I2396" t="str">
        <f>IF(AND(B2396&gt;=2018, B2396&lt;=2021), "2018-2021", IF(AND(B2396&gt;=2022, B2396&lt;=2024), "2022-2024", "Other"))</f>
        <v>2018-2021</v>
      </c>
    </row>
    <row r="2397" spans="1:9" x14ac:dyDescent="0.3">
      <c r="A2397" t="s">
        <v>21</v>
      </c>
      <c r="B2397">
        <v>2022</v>
      </c>
      <c r="C2397" t="s">
        <v>2</v>
      </c>
      <c r="D2397">
        <v>2481.87</v>
      </c>
      <c r="E2397">
        <v>2326.77</v>
      </c>
      <c r="F2397">
        <v>155.84</v>
      </c>
      <c r="G2397">
        <v>128.11000000000001</v>
      </c>
      <c r="H2397">
        <f>E2397*1000000/D2397</f>
        <v>937506.79930858593</v>
      </c>
      <c r="I2397" t="str">
        <f>IF(AND(B2397&gt;=2018, B2397&lt;=2021), "2018-2021", IF(AND(B2397&gt;=2022, B2397&lt;=2024), "2022-2024", "Other"))</f>
        <v>2022-2024</v>
      </c>
    </row>
    <row r="2398" spans="1:9" x14ac:dyDescent="0.3">
      <c r="A2398" t="s">
        <v>20</v>
      </c>
      <c r="B2398">
        <v>2021</v>
      </c>
      <c r="C2398" t="s">
        <v>2</v>
      </c>
      <c r="D2398">
        <v>38958.82</v>
      </c>
      <c r="E2398">
        <v>35391.19</v>
      </c>
      <c r="F2398">
        <v>177.7</v>
      </c>
      <c r="G2398">
        <v>512.36</v>
      </c>
      <c r="H2398">
        <f>E2398*1000000/D2398</f>
        <v>908425.6145334997</v>
      </c>
      <c r="I2398" t="str">
        <f>IF(AND(B2398&gt;=2018, B2398&lt;=2021), "2018-2021", IF(AND(B2398&gt;=2022, B2398&lt;=2024), "2022-2024", "Other"))</f>
        <v>2018-2021</v>
      </c>
    </row>
    <row r="2399" spans="1:9" x14ac:dyDescent="0.3">
      <c r="A2399" t="s">
        <v>13</v>
      </c>
      <c r="B2399">
        <v>2020</v>
      </c>
      <c r="C2399" t="s">
        <v>2</v>
      </c>
      <c r="D2399">
        <v>15226.56</v>
      </c>
      <c r="E2399">
        <v>12197.03</v>
      </c>
      <c r="F2399">
        <v>60.73</v>
      </c>
      <c r="G2399">
        <v>1207.1199999999999</v>
      </c>
      <c r="H2399">
        <f>E2399*1000000/D2399</f>
        <v>801036.47836412163</v>
      </c>
      <c r="I2399" t="str">
        <f>IF(AND(B2399&gt;=2018, B2399&lt;=2021), "2018-2021", IF(AND(B2399&gt;=2022, B2399&lt;=2024), "2022-2024", "Other"))</f>
        <v>2018-2021</v>
      </c>
    </row>
    <row r="2400" spans="1:9" x14ac:dyDescent="0.3">
      <c r="A2400" t="s">
        <v>21</v>
      </c>
      <c r="B2400">
        <v>2024</v>
      </c>
      <c r="C2400" t="s">
        <v>9</v>
      </c>
      <c r="D2400">
        <v>18555.14</v>
      </c>
      <c r="E2400">
        <v>19320.52</v>
      </c>
      <c r="F2400">
        <v>170.77</v>
      </c>
      <c r="G2400">
        <v>609.14</v>
      </c>
      <c r="H2400">
        <f>E2400*1000000/D2400</f>
        <v>1041248.9477309253</v>
      </c>
      <c r="I2400" t="str">
        <f>IF(AND(B2400&gt;=2018, B2400&lt;=2021), "2018-2021", IF(AND(B2400&gt;=2022, B2400&lt;=2024), "2022-2024", "Other"))</f>
        <v>2022-2024</v>
      </c>
    </row>
    <row r="2401" spans="1:9" x14ac:dyDescent="0.3">
      <c r="A2401" t="s">
        <v>7</v>
      </c>
      <c r="B2401">
        <v>2023</v>
      </c>
      <c r="C2401" t="s">
        <v>6</v>
      </c>
      <c r="D2401">
        <v>13408.63</v>
      </c>
      <c r="E2401">
        <v>13556.12</v>
      </c>
      <c r="F2401">
        <v>127.34</v>
      </c>
      <c r="G2401">
        <v>556.13</v>
      </c>
      <c r="H2401">
        <f>E2401*1000000/D2401</f>
        <v>1010999.6323263451</v>
      </c>
      <c r="I2401" t="str">
        <f>IF(AND(B2401&gt;=2018, B2401&lt;=2021), "2018-2021", IF(AND(B2401&gt;=2022, B2401&lt;=2024), "2022-2024", "Other"))</f>
        <v>2022-2024</v>
      </c>
    </row>
    <row r="2402" spans="1:9" x14ac:dyDescent="0.3">
      <c r="A2402" t="s">
        <v>17</v>
      </c>
      <c r="B2402">
        <v>2022</v>
      </c>
      <c r="C2402" t="s">
        <v>0</v>
      </c>
      <c r="D2402">
        <v>34495.83</v>
      </c>
      <c r="E2402">
        <v>33564.300000000003</v>
      </c>
      <c r="F2402">
        <v>114.58</v>
      </c>
      <c r="G2402">
        <v>197.76</v>
      </c>
      <c r="H2402">
        <f>E2402*1000000/D2402</f>
        <v>972995.86645690224</v>
      </c>
      <c r="I2402" t="str">
        <f>IF(AND(B2402&gt;=2018, B2402&lt;=2021), "2018-2021", IF(AND(B2402&gt;=2022, B2402&lt;=2024), "2022-2024", "Other"))</f>
        <v>2022-2024</v>
      </c>
    </row>
    <row r="2403" spans="1:9" x14ac:dyDescent="0.3">
      <c r="A2403" t="s">
        <v>3</v>
      </c>
      <c r="B2403">
        <v>2020</v>
      </c>
      <c r="C2403" t="s">
        <v>12</v>
      </c>
      <c r="D2403">
        <v>23928.49</v>
      </c>
      <c r="E2403">
        <v>26048.11</v>
      </c>
      <c r="F2403">
        <v>37.299999999999997</v>
      </c>
      <c r="G2403">
        <v>208.87</v>
      </c>
      <c r="H2403">
        <f>E2403*1000000/D2403</f>
        <v>1088581.435769662</v>
      </c>
      <c r="I2403" t="str">
        <f>IF(AND(B2403&gt;=2018, B2403&lt;=2021), "2018-2021", IF(AND(B2403&gt;=2022, B2403&lt;=2024), "2022-2024", "Other"))</f>
        <v>2018-2021</v>
      </c>
    </row>
    <row r="2404" spans="1:9" x14ac:dyDescent="0.3">
      <c r="A2404" t="s">
        <v>25</v>
      </c>
      <c r="B2404">
        <v>2022</v>
      </c>
      <c r="C2404" t="s">
        <v>6</v>
      </c>
      <c r="D2404">
        <v>755.35</v>
      </c>
      <c r="E2404">
        <v>856.23</v>
      </c>
      <c r="F2404">
        <v>176.64</v>
      </c>
      <c r="G2404">
        <v>98.7</v>
      </c>
      <c r="H2404">
        <f>E2404*1000000/D2404</f>
        <v>1133553.9815979346</v>
      </c>
      <c r="I2404" t="str">
        <f>IF(AND(B2404&gt;=2018, B2404&lt;=2021), "2018-2021", IF(AND(B2404&gt;=2022, B2404&lt;=2024), "2022-2024", "Other"))</f>
        <v>2022-2024</v>
      </c>
    </row>
    <row r="2405" spans="1:9" x14ac:dyDescent="0.3">
      <c r="A2405" t="s">
        <v>26</v>
      </c>
      <c r="B2405">
        <v>2022</v>
      </c>
      <c r="C2405" t="s">
        <v>9</v>
      </c>
      <c r="D2405">
        <v>7876.24</v>
      </c>
      <c r="E2405">
        <v>7870.43</v>
      </c>
      <c r="F2405">
        <v>198.28</v>
      </c>
      <c r="G2405">
        <v>1112.6099999999999</v>
      </c>
      <c r="H2405">
        <f>E2405*1000000/D2405</f>
        <v>999262.33837465593</v>
      </c>
      <c r="I2405" t="str">
        <f>IF(AND(B2405&gt;=2018, B2405&lt;=2021), "2018-2021", IF(AND(B2405&gt;=2022, B2405&lt;=2024), "2022-2024", "Other"))</f>
        <v>2022-2024</v>
      </c>
    </row>
    <row r="2406" spans="1:9" x14ac:dyDescent="0.3">
      <c r="A2406" t="s">
        <v>5</v>
      </c>
      <c r="B2406">
        <v>2024</v>
      </c>
      <c r="C2406" t="s">
        <v>2</v>
      </c>
      <c r="D2406">
        <v>39979.18</v>
      </c>
      <c r="E2406">
        <v>45547.1</v>
      </c>
      <c r="F2406">
        <v>57.75</v>
      </c>
      <c r="G2406">
        <v>615.36</v>
      </c>
      <c r="H2406">
        <f>E2406*1000000/D2406</f>
        <v>1139270.4902901961</v>
      </c>
      <c r="I2406" t="str">
        <f>IF(AND(B2406&gt;=2018, B2406&lt;=2021), "2018-2021", IF(AND(B2406&gt;=2022, B2406&lt;=2024), "2022-2024", "Other"))</f>
        <v>2022-2024</v>
      </c>
    </row>
    <row r="2407" spans="1:9" x14ac:dyDescent="0.3">
      <c r="A2407" t="s">
        <v>5</v>
      </c>
      <c r="B2407">
        <v>2019</v>
      </c>
      <c r="C2407" t="s">
        <v>9</v>
      </c>
      <c r="D2407">
        <v>27301.63</v>
      </c>
      <c r="E2407">
        <v>26592.29</v>
      </c>
      <c r="F2407">
        <v>121.57</v>
      </c>
      <c r="G2407">
        <v>1136.17</v>
      </c>
      <c r="H2407">
        <f>E2407*1000000/D2407</f>
        <v>974018.40109912853</v>
      </c>
      <c r="I2407" t="str">
        <f>IF(AND(B2407&gt;=2018, B2407&lt;=2021), "2018-2021", IF(AND(B2407&gt;=2022, B2407&lt;=2024), "2022-2024", "Other"))</f>
        <v>2018-2021</v>
      </c>
    </row>
    <row r="2408" spans="1:9" x14ac:dyDescent="0.3">
      <c r="A2408" t="s">
        <v>22</v>
      </c>
      <c r="B2408">
        <v>2024</v>
      </c>
      <c r="C2408" t="s">
        <v>6</v>
      </c>
      <c r="D2408">
        <v>25805.54</v>
      </c>
      <c r="E2408">
        <v>20723.45</v>
      </c>
      <c r="F2408">
        <v>116.33</v>
      </c>
      <c r="G2408">
        <v>230.13</v>
      </c>
      <c r="H2408">
        <f>E2408*1000000/D2408</f>
        <v>803062.05566711642</v>
      </c>
      <c r="I2408" t="str">
        <f>IF(AND(B2408&gt;=2018, B2408&lt;=2021), "2018-2021", IF(AND(B2408&gt;=2022, B2408&lt;=2024), "2022-2024", "Other"))</f>
        <v>2022-2024</v>
      </c>
    </row>
    <row r="2409" spans="1:9" x14ac:dyDescent="0.3">
      <c r="A2409" t="s">
        <v>3</v>
      </c>
      <c r="B2409">
        <v>2018</v>
      </c>
      <c r="C2409" t="s">
        <v>6</v>
      </c>
      <c r="D2409">
        <v>29187.200000000001</v>
      </c>
      <c r="E2409">
        <v>29544.19</v>
      </c>
      <c r="F2409">
        <v>129.84</v>
      </c>
      <c r="G2409">
        <v>1291.92</v>
      </c>
      <c r="H2409">
        <f>E2409*1000000/D2409</f>
        <v>1012231.0464861309</v>
      </c>
      <c r="I2409" t="str">
        <f>IF(AND(B2409&gt;=2018, B2409&lt;=2021), "2018-2021", IF(AND(B2409&gt;=2022, B2409&lt;=2024), "2022-2024", "Other"))</f>
        <v>2018-2021</v>
      </c>
    </row>
    <row r="2410" spans="1:9" x14ac:dyDescent="0.3">
      <c r="A2410" t="s">
        <v>10</v>
      </c>
      <c r="B2410">
        <v>2019</v>
      </c>
      <c r="C2410" t="s">
        <v>4</v>
      </c>
      <c r="D2410">
        <v>36139.919999999998</v>
      </c>
      <c r="E2410">
        <v>39445.089999999997</v>
      </c>
      <c r="F2410">
        <v>138.12</v>
      </c>
      <c r="G2410">
        <v>284.87</v>
      </c>
      <c r="H2410">
        <f>E2410*1000000/D2410</f>
        <v>1091454.8233643018</v>
      </c>
      <c r="I2410" t="str">
        <f>IF(AND(B2410&gt;=2018, B2410&lt;=2021), "2018-2021", IF(AND(B2410&gt;=2022, B2410&lt;=2024), "2022-2024", "Other"))</f>
        <v>2018-2021</v>
      </c>
    </row>
    <row r="2411" spans="1:9" x14ac:dyDescent="0.3">
      <c r="A2411" t="s">
        <v>7</v>
      </c>
      <c r="B2411">
        <v>2021</v>
      </c>
      <c r="C2411" t="s">
        <v>12</v>
      </c>
      <c r="D2411">
        <v>29254.41</v>
      </c>
      <c r="E2411">
        <v>32371.66</v>
      </c>
      <c r="F2411">
        <v>166.33</v>
      </c>
      <c r="G2411">
        <v>476.27</v>
      </c>
      <c r="H2411">
        <f>E2411*1000000/D2411</f>
        <v>1106556.5841184286</v>
      </c>
      <c r="I2411" t="str">
        <f>IF(AND(B2411&gt;=2018, B2411&lt;=2021), "2018-2021", IF(AND(B2411&gt;=2022, B2411&lt;=2024), "2022-2024", "Other"))</f>
        <v>2018-2021</v>
      </c>
    </row>
    <row r="2412" spans="1:9" x14ac:dyDescent="0.3">
      <c r="A2412" t="s">
        <v>27</v>
      </c>
      <c r="B2412">
        <v>2020</v>
      </c>
      <c r="C2412" t="s">
        <v>0</v>
      </c>
      <c r="D2412">
        <v>5358.44</v>
      </c>
      <c r="E2412">
        <v>4466.13</v>
      </c>
      <c r="F2412">
        <v>86.06</v>
      </c>
      <c r="G2412">
        <v>1058.57</v>
      </c>
      <c r="H2412">
        <f>E2412*1000000/D2412</f>
        <v>833475.78772926459</v>
      </c>
      <c r="I2412" t="str">
        <f>IF(AND(B2412&gt;=2018, B2412&lt;=2021), "2018-2021", IF(AND(B2412&gt;=2022, B2412&lt;=2024), "2022-2024", "Other"))</f>
        <v>2018-2021</v>
      </c>
    </row>
    <row r="2413" spans="1:9" x14ac:dyDescent="0.3">
      <c r="A2413" t="s">
        <v>19</v>
      </c>
      <c r="B2413">
        <v>2022</v>
      </c>
      <c r="C2413" t="s">
        <v>2</v>
      </c>
      <c r="D2413">
        <v>26200.53</v>
      </c>
      <c r="E2413">
        <v>29637.18</v>
      </c>
      <c r="F2413">
        <v>46.49</v>
      </c>
      <c r="G2413">
        <v>1237.8900000000001</v>
      </c>
      <c r="H2413">
        <f>E2413*1000000/D2413</f>
        <v>1131167.1939460768</v>
      </c>
      <c r="I2413" t="str">
        <f>IF(AND(B2413&gt;=2018, B2413&lt;=2021), "2018-2021", IF(AND(B2413&gt;=2022, B2413&lt;=2024), "2022-2024", "Other"))</f>
        <v>2022-2024</v>
      </c>
    </row>
    <row r="2414" spans="1:9" x14ac:dyDescent="0.3">
      <c r="A2414" t="s">
        <v>22</v>
      </c>
      <c r="B2414">
        <v>2024</v>
      </c>
      <c r="C2414" t="s">
        <v>8</v>
      </c>
      <c r="D2414">
        <v>4939.41</v>
      </c>
      <c r="E2414">
        <v>4710.95</v>
      </c>
      <c r="F2414">
        <v>44.83</v>
      </c>
      <c r="G2414">
        <v>943.5</v>
      </c>
      <c r="H2414">
        <f>E2414*1000000/D2414</f>
        <v>953747.51235471445</v>
      </c>
      <c r="I2414" t="str">
        <f>IF(AND(B2414&gt;=2018, B2414&lt;=2021), "2018-2021", IF(AND(B2414&gt;=2022, B2414&lt;=2024), "2022-2024", "Other"))</f>
        <v>2022-2024</v>
      </c>
    </row>
    <row r="2415" spans="1:9" x14ac:dyDescent="0.3">
      <c r="A2415" t="s">
        <v>26</v>
      </c>
      <c r="B2415">
        <v>2020</v>
      </c>
      <c r="C2415" t="s">
        <v>4</v>
      </c>
      <c r="D2415">
        <v>43861.1</v>
      </c>
      <c r="E2415">
        <v>39486.639999999999</v>
      </c>
      <c r="F2415">
        <v>43.42</v>
      </c>
      <c r="G2415">
        <v>751.11</v>
      </c>
      <c r="H2415">
        <f>E2415*1000000/D2415</f>
        <v>900265.61121358105</v>
      </c>
      <c r="I2415" t="str">
        <f>IF(AND(B2415&gt;=2018, B2415&lt;=2021), "2018-2021", IF(AND(B2415&gt;=2022, B2415&lt;=2024), "2022-2024", "Other"))</f>
        <v>2018-2021</v>
      </c>
    </row>
    <row r="2416" spans="1:9" x14ac:dyDescent="0.3">
      <c r="A2416" t="s">
        <v>16</v>
      </c>
      <c r="B2416">
        <v>2023</v>
      </c>
      <c r="C2416" t="s">
        <v>9</v>
      </c>
      <c r="D2416">
        <v>1833.6</v>
      </c>
      <c r="E2416">
        <v>2054.64</v>
      </c>
      <c r="F2416">
        <v>64.53</v>
      </c>
      <c r="G2416">
        <v>1210.24</v>
      </c>
      <c r="H2416">
        <f>E2416*1000000/D2416</f>
        <v>1120549.7382198952</v>
      </c>
      <c r="I2416" t="str">
        <f>IF(AND(B2416&gt;=2018, B2416&lt;=2021), "2018-2021", IF(AND(B2416&gt;=2022, B2416&lt;=2024), "2022-2024", "Other"))</f>
        <v>2022-2024</v>
      </c>
    </row>
    <row r="2417" spans="1:9" x14ac:dyDescent="0.3">
      <c r="A2417" t="s">
        <v>27</v>
      </c>
      <c r="B2417">
        <v>2021</v>
      </c>
      <c r="C2417" t="s">
        <v>14</v>
      </c>
      <c r="D2417">
        <v>5378.49</v>
      </c>
      <c r="E2417">
        <v>5466.76</v>
      </c>
      <c r="F2417">
        <v>168</v>
      </c>
      <c r="G2417">
        <v>674.89</v>
      </c>
      <c r="H2417">
        <f>E2417*1000000/D2417</f>
        <v>1016411.6694462573</v>
      </c>
      <c r="I2417" t="str">
        <f>IF(AND(B2417&gt;=2018, B2417&lt;=2021), "2018-2021", IF(AND(B2417&gt;=2022, B2417&lt;=2024), "2022-2024", "Other"))</f>
        <v>2018-2021</v>
      </c>
    </row>
    <row r="2418" spans="1:9" x14ac:dyDescent="0.3">
      <c r="A2418" t="s">
        <v>27</v>
      </c>
      <c r="B2418">
        <v>2024</v>
      </c>
      <c r="C2418" t="s">
        <v>2</v>
      </c>
      <c r="D2418">
        <v>6142.25</v>
      </c>
      <c r="E2418">
        <v>6736.91</v>
      </c>
      <c r="F2418">
        <v>191.9</v>
      </c>
      <c r="G2418">
        <v>598.62</v>
      </c>
      <c r="H2418">
        <f>E2418*1000000/D2418</f>
        <v>1096814.6851723718</v>
      </c>
      <c r="I2418" t="str">
        <f>IF(AND(B2418&gt;=2018, B2418&lt;=2021), "2018-2021", IF(AND(B2418&gt;=2022, B2418&lt;=2024), "2022-2024", "Other"))</f>
        <v>2022-2024</v>
      </c>
    </row>
    <row r="2419" spans="1:9" x14ac:dyDescent="0.3">
      <c r="A2419" t="s">
        <v>18</v>
      </c>
      <c r="B2419">
        <v>2019</v>
      </c>
      <c r="C2419" t="s">
        <v>9</v>
      </c>
      <c r="D2419">
        <v>46779.21</v>
      </c>
      <c r="E2419">
        <v>45308.93</v>
      </c>
      <c r="F2419">
        <v>122.27</v>
      </c>
      <c r="G2419">
        <v>1251.0999999999999</v>
      </c>
      <c r="H2419">
        <f>E2419*1000000/D2419</f>
        <v>968569.79842113622</v>
      </c>
      <c r="I2419" t="str">
        <f>IF(AND(B2419&gt;=2018, B2419&lt;=2021), "2018-2021", IF(AND(B2419&gt;=2022, B2419&lt;=2024), "2022-2024", "Other"))</f>
        <v>2018-2021</v>
      </c>
    </row>
    <row r="2420" spans="1:9" x14ac:dyDescent="0.3">
      <c r="A2420" t="s">
        <v>17</v>
      </c>
      <c r="B2420">
        <v>2018</v>
      </c>
      <c r="C2420" t="s">
        <v>4</v>
      </c>
      <c r="D2420">
        <v>6739.26</v>
      </c>
      <c r="E2420">
        <v>6362.37</v>
      </c>
      <c r="F2420">
        <v>38.08</v>
      </c>
      <c r="G2420">
        <v>362.85</v>
      </c>
      <c r="H2420">
        <f>E2420*1000000/D2420</f>
        <v>944075.46229111205</v>
      </c>
      <c r="I2420" t="str">
        <f>IF(AND(B2420&gt;=2018, B2420&lt;=2021), "2018-2021", IF(AND(B2420&gt;=2022, B2420&lt;=2024), "2022-2024", "Other"))</f>
        <v>2018-2021</v>
      </c>
    </row>
    <row r="2421" spans="1:9" x14ac:dyDescent="0.3">
      <c r="A2421" t="s">
        <v>16</v>
      </c>
      <c r="B2421">
        <v>2023</v>
      </c>
      <c r="C2421" t="s">
        <v>8</v>
      </c>
      <c r="D2421">
        <v>4160.38</v>
      </c>
      <c r="E2421">
        <v>4534.82</v>
      </c>
      <c r="F2421">
        <v>35.85</v>
      </c>
      <c r="G2421">
        <v>1361.06</v>
      </c>
      <c r="H2421">
        <f>E2421*1000000/D2421</f>
        <v>1090001.3941034232</v>
      </c>
      <c r="I2421" t="str">
        <f>IF(AND(B2421&gt;=2018, B2421&lt;=2021), "2018-2021", IF(AND(B2421&gt;=2022, B2421&lt;=2024), "2022-2024", "Other"))</f>
        <v>2022-2024</v>
      </c>
    </row>
    <row r="2422" spans="1:9" x14ac:dyDescent="0.3">
      <c r="A2422" t="s">
        <v>16</v>
      </c>
      <c r="B2422">
        <v>2024</v>
      </c>
      <c r="C2422" t="s">
        <v>6</v>
      </c>
      <c r="D2422">
        <v>18217.73</v>
      </c>
      <c r="E2422">
        <v>16015.02</v>
      </c>
      <c r="F2422">
        <v>155.47999999999999</v>
      </c>
      <c r="G2422">
        <v>105.41</v>
      </c>
      <c r="H2422">
        <f>E2422*1000000/D2422</f>
        <v>879089.76584898343</v>
      </c>
      <c r="I2422" t="str">
        <f>IF(AND(B2422&gt;=2018, B2422&lt;=2021), "2018-2021", IF(AND(B2422&gt;=2022, B2422&lt;=2024), "2022-2024", "Other"))</f>
        <v>2022-2024</v>
      </c>
    </row>
    <row r="2423" spans="1:9" x14ac:dyDescent="0.3">
      <c r="A2423" t="s">
        <v>22</v>
      </c>
      <c r="B2423">
        <v>2021</v>
      </c>
      <c r="C2423" t="s">
        <v>0</v>
      </c>
      <c r="D2423">
        <v>8595.7999999999993</v>
      </c>
      <c r="E2423">
        <v>9306.2800000000007</v>
      </c>
      <c r="F2423">
        <v>135.63999999999999</v>
      </c>
      <c r="G2423">
        <v>45.73</v>
      </c>
      <c r="H2423">
        <f>E2423*1000000/D2423</f>
        <v>1082654.319551409</v>
      </c>
      <c r="I2423" t="str">
        <f>IF(AND(B2423&gt;=2018, B2423&lt;=2021), "2018-2021", IF(AND(B2423&gt;=2022, B2423&lt;=2024), "2022-2024", "Other"))</f>
        <v>2018-2021</v>
      </c>
    </row>
    <row r="2424" spans="1:9" x14ac:dyDescent="0.3">
      <c r="A2424" t="s">
        <v>20</v>
      </c>
      <c r="B2424">
        <v>2019</v>
      </c>
      <c r="C2424" t="s">
        <v>0</v>
      </c>
      <c r="D2424">
        <v>12460.3</v>
      </c>
      <c r="E2424">
        <v>11210.97</v>
      </c>
      <c r="F2424">
        <v>63.36</v>
      </c>
      <c r="G2424">
        <v>475.77</v>
      </c>
      <c r="H2424">
        <f>E2424*1000000/D2424</f>
        <v>899735.1588645539</v>
      </c>
      <c r="I2424" t="str">
        <f>IF(AND(B2424&gt;=2018, B2424&lt;=2021), "2018-2021", IF(AND(B2424&gt;=2022, B2424&lt;=2024), "2022-2024", "Other"))</f>
        <v>2018-2021</v>
      </c>
    </row>
    <row r="2425" spans="1:9" x14ac:dyDescent="0.3">
      <c r="A2425" t="s">
        <v>18</v>
      </c>
      <c r="B2425">
        <v>2023</v>
      </c>
      <c r="C2425" t="s">
        <v>4</v>
      </c>
      <c r="D2425">
        <v>2797.59</v>
      </c>
      <c r="E2425">
        <v>2471.7399999999998</v>
      </c>
      <c r="F2425">
        <v>59.14</v>
      </c>
      <c r="G2425">
        <v>786.59</v>
      </c>
      <c r="H2425">
        <f>E2425*1000000/D2425</f>
        <v>883524.74808674608</v>
      </c>
      <c r="I2425" t="str">
        <f>IF(AND(B2425&gt;=2018, B2425&lt;=2021), "2018-2021", IF(AND(B2425&gt;=2022, B2425&lt;=2024), "2022-2024", "Other"))</f>
        <v>2022-2024</v>
      </c>
    </row>
    <row r="2426" spans="1:9" x14ac:dyDescent="0.3">
      <c r="A2426" t="s">
        <v>17</v>
      </c>
      <c r="B2426">
        <v>2018</v>
      </c>
      <c r="C2426" t="s">
        <v>8</v>
      </c>
      <c r="D2426">
        <v>47907.54</v>
      </c>
      <c r="E2426">
        <v>40900.14</v>
      </c>
      <c r="F2426">
        <v>82.34</v>
      </c>
      <c r="G2426">
        <v>1101.75</v>
      </c>
      <c r="H2426">
        <f>E2426*1000000/D2426</f>
        <v>853730.74885498185</v>
      </c>
      <c r="I2426" t="str">
        <f>IF(AND(B2426&gt;=2018, B2426&lt;=2021), "2018-2021", IF(AND(B2426&gt;=2022, B2426&lt;=2024), "2022-2024", "Other"))</f>
        <v>2018-2021</v>
      </c>
    </row>
    <row r="2427" spans="1:9" x14ac:dyDescent="0.3">
      <c r="A2427" t="s">
        <v>16</v>
      </c>
      <c r="B2427">
        <v>2024</v>
      </c>
      <c r="C2427" t="s">
        <v>4</v>
      </c>
      <c r="D2427">
        <v>30966.7</v>
      </c>
      <c r="E2427">
        <v>26421</v>
      </c>
      <c r="F2427">
        <v>84.97</v>
      </c>
      <c r="G2427">
        <v>333.78</v>
      </c>
      <c r="H2427">
        <f>E2427*1000000/D2427</f>
        <v>853206.83185486344</v>
      </c>
      <c r="I2427" t="str">
        <f>IF(AND(B2427&gt;=2018, B2427&lt;=2021), "2018-2021", IF(AND(B2427&gt;=2022, B2427&lt;=2024), "2022-2024", "Other"))</f>
        <v>2022-2024</v>
      </c>
    </row>
    <row r="2428" spans="1:9" x14ac:dyDescent="0.3">
      <c r="A2428" t="s">
        <v>18</v>
      </c>
      <c r="B2428">
        <v>2024</v>
      </c>
      <c r="C2428" t="s">
        <v>14</v>
      </c>
      <c r="D2428">
        <v>11294.47</v>
      </c>
      <c r="E2428">
        <v>12771.33</v>
      </c>
      <c r="F2428">
        <v>96.39</v>
      </c>
      <c r="G2428">
        <v>1131.71</v>
      </c>
      <c r="H2428">
        <f>E2428*1000000/D2428</f>
        <v>1130759.5664072772</v>
      </c>
      <c r="I2428" t="str">
        <f>IF(AND(B2428&gt;=2018, B2428&lt;=2021), "2018-2021", IF(AND(B2428&gt;=2022, B2428&lt;=2024), "2022-2024", "Other"))</f>
        <v>2022-2024</v>
      </c>
    </row>
    <row r="2429" spans="1:9" x14ac:dyDescent="0.3">
      <c r="A2429" t="s">
        <v>24</v>
      </c>
      <c r="B2429">
        <v>2022</v>
      </c>
      <c r="C2429" t="s">
        <v>9</v>
      </c>
      <c r="D2429">
        <v>47286.8</v>
      </c>
      <c r="E2429">
        <v>41615.040000000001</v>
      </c>
      <c r="F2429">
        <v>31.9</v>
      </c>
      <c r="G2429">
        <v>1333.97</v>
      </c>
      <c r="H2429">
        <f>E2429*1000000/D2429</f>
        <v>880056.16789463442</v>
      </c>
      <c r="I2429" t="str">
        <f>IF(AND(B2429&gt;=2018, B2429&lt;=2021), "2018-2021", IF(AND(B2429&gt;=2022, B2429&lt;=2024), "2022-2024", "Other"))</f>
        <v>2022-2024</v>
      </c>
    </row>
    <row r="2430" spans="1:9" x14ac:dyDescent="0.3">
      <c r="A2430" t="s">
        <v>27</v>
      </c>
      <c r="B2430">
        <v>2020</v>
      </c>
      <c r="C2430" t="s">
        <v>8</v>
      </c>
      <c r="D2430">
        <v>14868.54</v>
      </c>
      <c r="E2430">
        <v>16315.6</v>
      </c>
      <c r="F2430">
        <v>106.98</v>
      </c>
      <c r="G2430">
        <v>1122.5999999999999</v>
      </c>
      <c r="H2430">
        <f>E2430*1000000/D2430</f>
        <v>1097323.6107916445</v>
      </c>
      <c r="I2430" t="str">
        <f>IF(AND(B2430&gt;=2018, B2430&lt;=2021), "2018-2021", IF(AND(B2430&gt;=2022, B2430&lt;=2024), "2022-2024", "Other"))</f>
        <v>2018-2021</v>
      </c>
    </row>
    <row r="2431" spans="1:9" x14ac:dyDescent="0.3">
      <c r="A2431" t="s">
        <v>11</v>
      </c>
      <c r="B2431">
        <v>2021</v>
      </c>
      <c r="C2431" t="s">
        <v>9</v>
      </c>
      <c r="D2431">
        <v>26108.71</v>
      </c>
      <c r="E2431">
        <v>24989.03</v>
      </c>
      <c r="F2431">
        <v>174.38</v>
      </c>
      <c r="G2431">
        <v>989.12</v>
      </c>
      <c r="H2431">
        <f>E2431*1000000/D2431</f>
        <v>957114.69467468909</v>
      </c>
      <c r="I2431" t="str">
        <f>IF(AND(B2431&gt;=2018, B2431&lt;=2021), "2018-2021", IF(AND(B2431&gt;=2022, B2431&lt;=2024), "2022-2024", "Other"))</f>
        <v>2018-2021</v>
      </c>
    </row>
    <row r="2432" spans="1:9" x14ac:dyDescent="0.3">
      <c r="A2432" t="s">
        <v>15</v>
      </c>
      <c r="B2432">
        <v>2020</v>
      </c>
      <c r="C2432" t="s">
        <v>0</v>
      </c>
      <c r="D2432">
        <v>37792.370000000003</v>
      </c>
      <c r="E2432">
        <v>32403.200000000001</v>
      </c>
      <c r="F2432">
        <v>20.3</v>
      </c>
      <c r="G2432">
        <v>984.9</v>
      </c>
      <c r="H2432">
        <f>E2432*1000000/D2432</f>
        <v>857400.58112259163</v>
      </c>
      <c r="I2432" t="str">
        <f>IF(AND(B2432&gt;=2018, B2432&lt;=2021), "2018-2021", IF(AND(B2432&gt;=2022, B2432&lt;=2024), "2022-2024", "Other"))</f>
        <v>2018-2021</v>
      </c>
    </row>
    <row r="2433" spans="1:9" x14ac:dyDescent="0.3">
      <c r="A2433" t="s">
        <v>13</v>
      </c>
      <c r="B2433">
        <v>2020</v>
      </c>
      <c r="C2433" t="s">
        <v>6</v>
      </c>
      <c r="D2433">
        <v>29776.58</v>
      </c>
      <c r="E2433">
        <v>25132.16</v>
      </c>
      <c r="F2433">
        <v>120.54</v>
      </c>
      <c r="G2433">
        <v>251.55</v>
      </c>
      <c r="H2433">
        <f>E2433*1000000/D2433</f>
        <v>844024.39769778796</v>
      </c>
      <c r="I2433" t="str">
        <f>IF(AND(B2433&gt;=2018, B2433&lt;=2021), "2018-2021", IF(AND(B2433&gt;=2022, B2433&lt;=2024), "2022-2024", "Other"))</f>
        <v>2018-2021</v>
      </c>
    </row>
    <row r="2434" spans="1:9" x14ac:dyDescent="0.3">
      <c r="A2434" t="s">
        <v>5</v>
      </c>
      <c r="B2434">
        <v>2021</v>
      </c>
      <c r="C2434" t="s">
        <v>8</v>
      </c>
      <c r="D2434">
        <v>33847.53</v>
      </c>
      <c r="E2434">
        <v>27732.49</v>
      </c>
      <c r="F2434">
        <v>128.69999999999999</v>
      </c>
      <c r="G2434">
        <v>752.68</v>
      </c>
      <c r="H2434">
        <f>E2434*1000000/D2434</f>
        <v>819335.70928218402</v>
      </c>
      <c r="I2434" t="str">
        <f>IF(AND(B2434&gt;=2018, B2434&lt;=2021), "2018-2021", IF(AND(B2434&gt;=2022, B2434&lt;=2024), "2022-2024", "Other"))</f>
        <v>2018-2021</v>
      </c>
    </row>
    <row r="2435" spans="1:9" x14ac:dyDescent="0.3">
      <c r="A2435" t="s">
        <v>23</v>
      </c>
      <c r="B2435">
        <v>2020</v>
      </c>
      <c r="C2435" t="s">
        <v>8</v>
      </c>
      <c r="D2435">
        <v>35478.26</v>
      </c>
      <c r="E2435">
        <v>32051.74</v>
      </c>
      <c r="F2435">
        <v>62.91</v>
      </c>
      <c r="G2435">
        <v>1342.27</v>
      </c>
      <c r="H2435">
        <f>E2435*1000000/D2435</f>
        <v>903419.16429948923</v>
      </c>
      <c r="I2435" t="str">
        <f>IF(AND(B2435&gt;=2018, B2435&lt;=2021), "2018-2021", IF(AND(B2435&gt;=2022, B2435&lt;=2024), "2022-2024", "Other"))</f>
        <v>2018-2021</v>
      </c>
    </row>
    <row r="2436" spans="1:9" x14ac:dyDescent="0.3">
      <c r="A2436" t="s">
        <v>1</v>
      </c>
      <c r="B2436">
        <v>2020</v>
      </c>
      <c r="C2436" t="s">
        <v>8</v>
      </c>
      <c r="D2436">
        <v>35114.25</v>
      </c>
      <c r="E2436">
        <v>33799.51</v>
      </c>
      <c r="F2436">
        <v>121.65</v>
      </c>
      <c r="G2436">
        <v>524.52</v>
      </c>
      <c r="H2436">
        <f>E2436*1000000/D2436</f>
        <v>962558.22066539945</v>
      </c>
      <c r="I2436" t="str">
        <f>IF(AND(B2436&gt;=2018, B2436&lt;=2021), "2018-2021", IF(AND(B2436&gt;=2022, B2436&lt;=2024), "2022-2024", "Other"))</f>
        <v>2018-2021</v>
      </c>
    </row>
    <row r="2437" spans="1:9" x14ac:dyDescent="0.3">
      <c r="A2437" t="s">
        <v>13</v>
      </c>
      <c r="B2437">
        <v>2024</v>
      </c>
      <c r="C2437" t="s">
        <v>14</v>
      </c>
      <c r="D2437">
        <v>10844.82</v>
      </c>
      <c r="E2437">
        <v>11493.09</v>
      </c>
      <c r="F2437">
        <v>136.83000000000001</v>
      </c>
      <c r="G2437">
        <v>253.35</v>
      </c>
      <c r="H2437">
        <f>E2437*1000000/D2437</f>
        <v>1059776.9257581038</v>
      </c>
      <c r="I2437" t="str">
        <f>IF(AND(B2437&gt;=2018, B2437&lt;=2021), "2018-2021", IF(AND(B2437&gt;=2022, B2437&lt;=2024), "2022-2024", "Other"))</f>
        <v>2022-2024</v>
      </c>
    </row>
    <row r="2438" spans="1:9" x14ac:dyDescent="0.3">
      <c r="A2438" t="s">
        <v>23</v>
      </c>
      <c r="B2438">
        <v>2024</v>
      </c>
      <c r="C2438" t="s">
        <v>8</v>
      </c>
      <c r="D2438">
        <v>39590.67</v>
      </c>
      <c r="E2438">
        <v>40289.660000000003</v>
      </c>
      <c r="F2438">
        <v>91.65</v>
      </c>
      <c r="G2438">
        <v>211.41</v>
      </c>
      <c r="H2438">
        <f>E2438*1000000/D2438</f>
        <v>1017655.422350771</v>
      </c>
      <c r="I2438" t="str">
        <f>IF(AND(B2438&gt;=2018, B2438&lt;=2021), "2018-2021", IF(AND(B2438&gt;=2022, B2438&lt;=2024), "2022-2024", "Other"))</f>
        <v>2022-2024</v>
      </c>
    </row>
    <row r="2439" spans="1:9" x14ac:dyDescent="0.3">
      <c r="A2439" t="s">
        <v>23</v>
      </c>
      <c r="B2439">
        <v>2021</v>
      </c>
      <c r="C2439" t="s">
        <v>6</v>
      </c>
      <c r="D2439">
        <v>33519.550000000003</v>
      </c>
      <c r="E2439">
        <v>37140.03</v>
      </c>
      <c r="F2439">
        <v>78.84</v>
      </c>
      <c r="G2439">
        <v>577.28</v>
      </c>
      <c r="H2439">
        <f>E2439*1000000/D2439</f>
        <v>1108010.9965676747</v>
      </c>
      <c r="I2439" t="str">
        <f>IF(AND(B2439&gt;=2018, B2439&lt;=2021), "2018-2021", IF(AND(B2439&gt;=2022, B2439&lt;=2024), "2022-2024", "Other"))</f>
        <v>2018-2021</v>
      </c>
    </row>
    <row r="2440" spans="1:9" x14ac:dyDescent="0.3">
      <c r="A2440" t="s">
        <v>17</v>
      </c>
      <c r="B2440">
        <v>2019</v>
      </c>
      <c r="C2440" t="s">
        <v>12</v>
      </c>
      <c r="D2440">
        <v>31286.33</v>
      </c>
      <c r="E2440">
        <v>30230.48</v>
      </c>
      <c r="F2440">
        <v>176.42</v>
      </c>
      <c r="G2440">
        <v>745.68</v>
      </c>
      <c r="H2440">
        <f>E2440*1000000/D2440</f>
        <v>966252.0340353119</v>
      </c>
      <c r="I2440" t="str">
        <f>IF(AND(B2440&gt;=2018, B2440&lt;=2021), "2018-2021", IF(AND(B2440&gt;=2022, B2440&lt;=2024), "2022-2024", "Other"))</f>
        <v>2018-2021</v>
      </c>
    </row>
    <row r="2441" spans="1:9" x14ac:dyDescent="0.3">
      <c r="A2441" t="s">
        <v>5</v>
      </c>
      <c r="B2441">
        <v>2018</v>
      </c>
      <c r="C2441" t="s">
        <v>4</v>
      </c>
      <c r="D2441">
        <v>34407.699999999997</v>
      </c>
      <c r="E2441">
        <v>32250.86</v>
      </c>
      <c r="F2441">
        <v>130.36000000000001</v>
      </c>
      <c r="G2441">
        <v>1092.23</v>
      </c>
      <c r="H2441">
        <f>E2441*1000000/D2441</f>
        <v>937315.19398274226</v>
      </c>
      <c r="I2441" t="str">
        <f>IF(AND(B2441&gt;=2018, B2441&lt;=2021), "2018-2021", IF(AND(B2441&gt;=2022, B2441&lt;=2024), "2022-2024", "Other"))</f>
        <v>2018-2021</v>
      </c>
    </row>
    <row r="2442" spans="1:9" x14ac:dyDescent="0.3">
      <c r="A2442" t="s">
        <v>10</v>
      </c>
      <c r="B2442">
        <v>2021</v>
      </c>
      <c r="C2442" t="s">
        <v>0</v>
      </c>
      <c r="D2442">
        <v>15441.34</v>
      </c>
      <c r="E2442">
        <v>15527.29</v>
      </c>
      <c r="F2442">
        <v>162.4</v>
      </c>
      <c r="G2442">
        <v>316.61</v>
      </c>
      <c r="H2442">
        <f>E2442*1000000/D2442</f>
        <v>1005566.2267652936</v>
      </c>
      <c r="I2442" t="str">
        <f>IF(AND(B2442&gt;=2018, B2442&lt;=2021), "2018-2021", IF(AND(B2442&gt;=2022, B2442&lt;=2024), "2022-2024", "Other"))</f>
        <v>2018-2021</v>
      </c>
    </row>
    <row r="2443" spans="1:9" x14ac:dyDescent="0.3">
      <c r="A2443" t="s">
        <v>20</v>
      </c>
      <c r="B2443">
        <v>2018</v>
      </c>
      <c r="C2443" t="s">
        <v>2</v>
      </c>
      <c r="D2443">
        <v>10770.99</v>
      </c>
      <c r="E2443">
        <v>11922.17</v>
      </c>
      <c r="F2443">
        <v>130.51</v>
      </c>
      <c r="G2443">
        <v>204.07</v>
      </c>
      <c r="H2443">
        <f>E2443*1000000/D2443</f>
        <v>1106877.8264579207</v>
      </c>
      <c r="I2443" t="str">
        <f>IF(AND(B2443&gt;=2018, B2443&lt;=2021), "2018-2021", IF(AND(B2443&gt;=2022, B2443&lt;=2024), "2022-2024", "Other"))</f>
        <v>2018-2021</v>
      </c>
    </row>
    <row r="2444" spans="1:9" x14ac:dyDescent="0.3">
      <c r="A2444" t="s">
        <v>19</v>
      </c>
      <c r="B2444">
        <v>2018</v>
      </c>
      <c r="C2444" t="s">
        <v>2</v>
      </c>
      <c r="D2444">
        <v>4273.51</v>
      </c>
      <c r="E2444">
        <v>4600.9799999999996</v>
      </c>
      <c r="F2444">
        <v>161.32</v>
      </c>
      <c r="G2444">
        <v>125.45</v>
      </c>
      <c r="H2444">
        <f>E2444*1000000/D2444</f>
        <v>1076627.8773186444</v>
      </c>
      <c r="I2444" t="str">
        <f>IF(AND(B2444&gt;=2018, B2444&lt;=2021), "2018-2021", IF(AND(B2444&gt;=2022, B2444&lt;=2024), "2022-2024", "Other"))</f>
        <v>2018-2021</v>
      </c>
    </row>
    <row r="2445" spans="1:9" x14ac:dyDescent="0.3">
      <c r="A2445" t="s">
        <v>20</v>
      </c>
      <c r="B2445">
        <v>2018</v>
      </c>
      <c r="C2445" t="s">
        <v>2</v>
      </c>
      <c r="D2445">
        <v>14960.97</v>
      </c>
      <c r="E2445">
        <v>16460.240000000002</v>
      </c>
      <c r="F2445">
        <v>94.82</v>
      </c>
      <c r="G2445">
        <v>1185.45</v>
      </c>
      <c r="H2445">
        <f>E2445*1000000/D2445</f>
        <v>1100212.0851789692</v>
      </c>
      <c r="I2445" t="str">
        <f>IF(AND(B2445&gt;=2018, B2445&lt;=2021), "2018-2021", IF(AND(B2445&gt;=2022, B2445&lt;=2024), "2022-2024", "Other"))</f>
        <v>2018-2021</v>
      </c>
    </row>
    <row r="2446" spans="1:9" x14ac:dyDescent="0.3">
      <c r="A2446" t="s">
        <v>1</v>
      </c>
      <c r="B2446">
        <v>2021</v>
      </c>
      <c r="C2446" t="s">
        <v>2</v>
      </c>
      <c r="D2446">
        <v>1313.25</v>
      </c>
      <c r="E2446">
        <v>1494.88</v>
      </c>
      <c r="F2446">
        <v>89.91</v>
      </c>
      <c r="G2446">
        <v>497.13</v>
      </c>
      <c r="H2446">
        <f>E2446*1000000/D2446</f>
        <v>1138305.7300590139</v>
      </c>
      <c r="I2446" t="str">
        <f>IF(AND(B2446&gt;=2018, B2446&lt;=2021), "2018-2021", IF(AND(B2446&gt;=2022, B2446&lt;=2024), "2022-2024", "Other"))</f>
        <v>2018-2021</v>
      </c>
    </row>
    <row r="2447" spans="1:9" x14ac:dyDescent="0.3">
      <c r="A2447" t="s">
        <v>10</v>
      </c>
      <c r="B2447">
        <v>2024</v>
      </c>
      <c r="C2447" t="s">
        <v>12</v>
      </c>
      <c r="D2447">
        <v>25000.06</v>
      </c>
      <c r="E2447">
        <v>24375.61</v>
      </c>
      <c r="F2447">
        <v>63.9</v>
      </c>
      <c r="G2447">
        <v>1311.95</v>
      </c>
      <c r="H2447">
        <f>E2447*1000000/D2447</f>
        <v>975022.05994705611</v>
      </c>
      <c r="I2447" t="str">
        <f>IF(AND(B2447&gt;=2018, B2447&lt;=2021), "2018-2021", IF(AND(B2447&gt;=2022, B2447&lt;=2024), "2022-2024", "Other"))</f>
        <v>2022-2024</v>
      </c>
    </row>
    <row r="2448" spans="1:9" x14ac:dyDescent="0.3">
      <c r="A2448" t="s">
        <v>1</v>
      </c>
      <c r="B2448">
        <v>2023</v>
      </c>
      <c r="C2448" t="s">
        <v>0</v>
      </c>
      <c r="D2448">
        <v>19860.939999999999</v>
      </c>
      <c r="E2448">
        <v>18002.13</v>
      </c>
      <c r="F2448">
        <v>197.47</v>
      </c>
      <c r="G2448">
        <v>1281.77</v>
      </c>
      <c r="H2448">
        <f>E2448*1000000/D2448</f>
        <v>906408.76010903821</v>
      </c>
      <c r="I2448" t="str">
        <f>IF(AND(B2448&gt;=2018, B2448&lt;=2021), "2018-2021", IF(AND(B2448&gt;=2022, B2448&lt;=2024), "2022-2024", "Other"))</f>
        <v>2022-2024</v>
      </c>
    </row>
    <row r="2449" spans="1:9" x14ac:dyDescent="0.3">
      <c r="A2449" t="s">
        <v>25</v>
      </c>
      <c r="B2449">
        <v>2018</v>
      </c>
      <c r="C2449" t="s">
        <v>8</v>
      </c>
      <c r="D2449">
        <v>10529.83</v>
      </c>
      <c r="E2449">
        <v>10207.94</v>
      </c>
      <c r="F2449">
        <v>123.53</v>
      </c>
      <c r="G2449">
        <v>1289.5899999999999</v>
      </c>
      <c r="H2449">
        <f>E2449*1000000/D2449</f>
        <v>969430.65557563608</v>
      </c>
      <c r="I2449" t="str">
        <f>IF(AND(B2449&gt;=2018, B2449&lt;=2021), "2018-2021", IF(AND(B2449&gt;=2022, B2449&lt;=2024), "2022-2024", "Other"))</f>
        <v>2018-2021</v>
      </c>
    </row>
    <row r="2450" spans="1:9" x14ac:dyDescent="0.3">
      <c r="A2450" t="s">
        <v>1</v>
      </c>
      <c r="B2450">
        <v>2024</v>
      </c>
      <c r="C2450" t="s">
        <v>12</v>
      </c>
      <c r="D2450">
        <v>10476.49</v>
      </c>
      <c r="E2450">
        <v>11197.17</v>
      </c>
      <c r="F2450">
        <v>129.51</v>
      </c>
      <c r="G2450">
        <v>543.04999999999995</v>
      </c>
      <c r="H2450">
        <f>E2450*1000000/D2450</f>
        <v>1068790.2150433972</v>
      </c>
      <c r="I2450" t="str">
        <f>IF(AND(B2450&gt;=2018, B2450&lt;=2021), "2018-2021", IF(AND(B2450&gt;=2022, B2450&lt;=2024), "2022-2024", "Other"))</f>
        <v>2022-2024</v>
      </c>
    </row>
    <row r="2451" spans="1:9" x14ac:dyDescent="0.3">
      <c r="A2451" t="s">
        <v>11</v>
      </c>
      <c r="B2451">
        <v>2019</v>
      </c>
      <c r="C2451" t="s">
        <v>0</v>
      </c>
      <c r="D2451">
        <v>13316.16</v>
      </c>
      <c r="E2451">
        <v>11647.55</v>
      </c>
      <c r="F2451">
        <v>144.88999999999999</v>
      </c>
      <c r="G2451">
        <v>898.32</v>
      </c>
      <c r="H2451">
        <f>E2451*1000000/D2451</f>
        <v>874692.85439646267</v>
      </c>
      <c r="I2451" t="str">
        <f>IF(AND(B2451&gt;=2018, B2451&lt;=2021), "2018-2021", IF(AND(B2451&gt;=2022, B2451&lt;=2024), "2022-2024", "Other"))</f>
        <v>2018-2021</v>
      </c>
    </row>
    <row r="2452" spans="1:9" x14ac:dyDescent="0.3">
      <c r="A2452" t="s">
        <v>3</v>
      </c>
      <c r="B2452">
        <v>2023</v>
      </c>
      <c r="C2452" t="s">
        <v>12</v>
      </c>
      <c r="D2452">
        <v>45663.39</v>
      </c>
      <c r="E2452">
        <v>52305.81</v>
      </c>
      <c r="F2452">
        <v>26.76</v>
      </c>
      <c r="G2452">
        <v>521.62</v>
      </c>
      <c r="H2452">
        <f>E2452*1000000/D2452</f>
        <v>1145464.8899260436</v>
      </c>
      <c r="I2452" t="str">
        <f>IF(AND(B2452&gt;=2018, B2452&lt;=2021), "2018-2021", IF(AND(B2452&gt;=2022, B2452&lt;=2024), "2022-2024", "Other"))</f>
        <v>2022-2024</v>
      </c>
    </row>
    <row r="2453" spans="1:9" x14ac:dyDescent="0.3">
      <c r="A2453" t="s">
        <v>16</v>
      </c>
      <c r="B2453">
        <v>2020</v>
      </c>
      <c r="C2453" t="s">
        <v>6</v>
      </c>
      <c r="D2453">
        <v>4142.66</v>
      </c>
      <c r="E2453">
        <v>4272.1099999999997</v>
      </c>
      <c r="F2453">
        <v>110.01</v>
      </c>
      <c r="G2453">
        <v>340.95</v>
      </c>
      <c r="H2453">
        <f>E2453*1000000/D2453</f>
        <v>1031248.0386997726</v>
      </c>
      <c r="I2453" t="str">
        <f>IF(AND(B2453&gt;=2018, B2453&lt;=2021), "2018-2021", IF(AND(B2453&gt;=2022, B2453&lt;=2024), "2022-2024", "Other"))</f>
        <v>2018-2021</v>
      </c>
    </row>
    <row r="2454" spans="1:9" x14ac:dyDescent="0.3">
      <c r="A2454" t="s">
        <v>17</v>
      </c>
      <c r="B2454">
        <v>2020</v>
      </c>
      <c r="C2454" t="s">
        <v>9</v>
      </c>
      <c r="D2454">
        <v>5599.71</v>
      </c>
      <c r="E2454">
        <v>6451.73</v>
      </c>
      <c r="F2454">
        <v>32.56</v>
      </c>
      <c r="G2454">
        <v>633.39</v>
      </c>
      <c r="H2454">
        <f>E2454*1000000/D2454</f>
        <v>1152154.3079909496</v>
      </c>
      <c r="I2454" t="str">
        <f>IF(AND(B2454&gt;=2018, B2454&lt;=2021), "2018-2021", IF(AND(B2454&gt;=2022, B2454&lt;=2024), "2022-2024", "Other"))</f>
        <v>2018-2021</v>
      </c>
    </row>
    <row r="2455" spans="1:9" x14ac:dyDescent="0.3">
      <c r="A2455" t="s">
        <v>17</v>
      </c>
      <c r="B2455">
        <v>2018</v>
      </c>
      <c r="C2455" t="s">
        <v>4</v>
      </c>
      <c r="D2455">
        <v>36810.089999999997</v>
      </c>
      <c r="E2455">
        <v>38564.99</v>
      </c>
      <c r="F2455">
        <v>54.73</v>
      </c>
      <c r="G2455">
        <v>1261.33</v>
      </c>
      <c r="H2455">
        <f>E2455*1000000/D2455</f>
        <v>1047674.428397214</v>
      </c>
      <c r="I2455" t="str">
        <f>IF(AND(B2455&gt;=2018, B2455&lt;=2021), "2018-2021", IF(AND(B2455&gt;=2022, B2455&lt;=2024), "2022-2024", "Other"))</f>
        <v>2018-2021</v>
      </c>
    </row>
    <row r="2456" spans="1:9" x14ac:dyDescent="0.3">
      <c r="A2456" t="s">
        <v>21</v>
      </c>
      <c r="B2456">
        <v>2023</v>
      </c>
      <c r="C2456" t="s">
        <v>8</v>
      </c>
      <c r="D2456">
        <v>8411.76</v>
      </c>
      <c r="E2456">
        <v>8059.49</v>
      </c>
      <c r="F2456">
        <v>73.430000000000007</v>
      </c>
      <c r="G2456">
        <v>475.88</v>
      </c>
      <c r="H2456">
        <f>E2456*1000000/D2456</f>
        <v>958121.72482334252</v>
      </c>
      <c r="I2456" t="str">
        <f>IF(AND(B2456&gt;=2018, B2456&lt;=2021), "2018-2021", IF(AND(B2456&gt;=2022, B2456&lt;=2024), "2022-2024", "Other"))</f>
        <v>2022-2024</v>
      </c>
    </row>
    <row r="2457" spans="1:9" x14ac:dyDescent="0.3">
      <c r="A2457" t="s">
        <v>13</v>
      </c>
      <c r="B2457">
        <v>2024</v>
      </c>
      <c r="C2457" t="s">
        <v>8</v>
      </c>
      <c r="D2457">
        <v>23330.7</v>
      </c>
      <c r="E2457">
        <v>24990.560000000001</v>
      </c>
      <c r="F2457">
        <v>104.52</v>
      </c>
      <c r="G2457">
        <v>135.38999999999999</v>
      </c>
      <c r="H2457">
        <f>E2457*1000000/D2457</f>
        <v>1071144.8863514597</v>
      </c>
      <c r="I2457" t="str">
        <f>IF(AND(B2457&gt;=2018, B2457&lt;=2021), "2018-2021", IF(AND(B2457&gt;=2022, B2457&lt;=2024), "2022-2024", "Other"))</f>
        <v>2022-2024</v>
      </c>
    </row>
    <row r="2458" spans="1:9" x14ac:dyDescent="0.3">
      <c r="A2458" t="s">
        <v>13</v>
      </c>
      <c r="B2458">
        <v>2019</v>
      </c>
      <c r="C2458" t="s">
        <v>2</v>
      </c>
      <c r="D2458">
        <v>15867.24</v>
      </c>
      <c r="E2458">
        <v>16358.67</v>
      </c>
      <c r="F2458">
        <v>160.22</v>
      </c>
      <c r="G2458">
        <v>604.54999999999995</v>
      </c>
      <c r="H2458">
        <f>E2458*1000000/D2458</f>
        <v>1030971.3598584253</v>
      </c>
      <c r="I2458" t="str">
        <f>IF(AND(B2458&gt;=2018, B2458&lt;=2021), "2018-2021", IF(AND(B2458&gt;=2022, B2458&lt;=2024), "2022-2024", "Other"))</f>
        <v>2018-2021</v>
      </c>
    </row>
    <row r="2459" spans="1:9" x14ac:dyDescent="0.3">
      <c r="A2459" t="s">
        <v>15</v>
      </c>
      <c r="B2459">
        <v>2024</v>
      </c>
      <c r="C2459" t="s">
        <v>9</v>
      </c>
      <c r="D2459">
        <v>33824.82</v>
      </c>
      <c r="E2459">
        <v>37275.06</v>
      </c>
      <c r="F2459">
        <v>151.76</v>
      </c>
      <c r="G2459">
        <v>608.36</v>
      </c>
      <c r="H2459">
        <f>E2459*1000000/D2459</f>
        <v>1102003.2035647195</v>
      </c>
      <c r="I2459" t="str">
        <f>IF(AND(B2459&gt;=2018, B2459&lt;=2021), "2018-2021", IF(AND(B2459&gt;=2022, B2459&lt;=2024), "2022-2024", "Other"))</f>
        <v>2022-2024</v>
      </c>
    </row>
    <row r="2460" spans="1:9" x14ac:dyDescent="0.3">
      <c r="A2460" t="s">
        <v>26</v>
      </c>
      <c r="B2460">
        <v>2021</v>
      </c>
      <c r="C2460" t="s">
        <v>0</v>
      </c>
      <c r="D2460">
        <v>31018.44</v>
      </c>
      <c r="E2460">
        <v>31061.98</v>
      </c>
      <c r="F2460">
        <v>70.3</v>
      </c>
      <c r="G2460">
        <v>1223.5</v>
      </c>
      <c r="H2460">
        <f>E2460*1000000/D2460</f>
        <v>1001403.6811651392</v>
      </c>
      <c r="I2460" t="str">
        <f>IF(AND(B2460&gt;=2018, B2460&lt;=2021), "2018-2021", IF(AND(B2460&gt;=2022, B2460&lt;=2024), "2022-2024", "Other"))</f>
        <v>2018-2021</v>
      </c>
    </row>
    <row r="2461" spans="1:9" x14ac:dyDescent="0.3">
      <c r="A2461" t="s">
        <v>7</v>
      </c>
      <c r="B2461">
        <v>2024</v>
      </c>
      <c r="C2461" t="s">
        <v>4</v>
      </c>
      <c r="D2461">
        <v>33443.550000000003</v>
      </c>
      <c r="E2461">
        <v>26894.7</v>
      </c>
      <c r="F2461">
        <v>118.46</v>
      </c>
      <c r="G2461">
        <v>170.33</v>
      </c>
      <c r="H2461">
        <f>E2461*1000000/D2461</f>
        <v>804181.97230856167</v>
      </c>
      <c r="I2461" t="str">
        <f>IF(AND(B2461&gt;=2018, B2461&lt;=2021), "2018-2021", IF(AND(B2461&gt;=2022, B2461&lt;=2024), "2022-2024", "Other"))</f>
        <v>2022-2024</v>
      </c>
    </row>
    <row r="2462" spans="1:9" x14ac:dyDescent="0.3">
      <c r="A2462" t="s">
        <v>26</v>
      </c>
      <c r="B2462">
        <v>2023</v>
      </c>
      <c r="C2462" t="s">
        <v>6</v>
      </c>
      <c r="D2462">
        <v>40030.58</v>
      </c>
      <c r="E2462">
        <v>42681.97</v>
      </c>
      <c r="F2462">
        <v>62.25</v>
      </c>
      <c r="G2462">
        <v>1202.78</v>
      </c>
      <c r="H2462">
        <f>E2462*1000000/D2462</f>
        <v>1066234.1140198319</v>
      </c>
      <c r="I2462" t="str">
        <f>IF(AND(B2462&gt;=2018, B2462&lt;=2021), "2018-2021", IF(AND(B2462&gt;=2022, B2462&lt;=2024), "2022-2024", "Other"))</f>
        <v>2022-2024</v>
      </c>
    </row>
    <row r="2463" spans="1:9" x14ac:dyDescent="0.3">
      <c r="A2463" t="s">
        <v>21</v>
      </c>
      <c r="B2463">
        <v>2024</v>
      </c>
      <c r="C2463" t="s">
        <v>2</v>
      </c>
      <c r="D2463">
        <v>25338.81</v>
      </c>
      <c r="E2463">
        <v>28773.74</v>
      </c>
      <c r="F2463">
        <v>61.82</v>
      </c>
      <c r="G2463">
        <v>697.92</v>
      </c>
      <c r="H2463">
        <f>E2463*1000000/D2463</f>
        <v>1135560.0361658656</v>
      </c>
      <c r="I2463" t="str">
        <f>IF(AND(B2463&gt;=2018, B2463&lt;=2021), "2018-2021", IF(AND(B2463&gt;=2022, B2463&lt;=2024), "2022-2024", "Other"))</f>
        <v>2022-2024</v>
      </c>
    </row>
    <row r="2464" spans="1:9" x14ac:dyDescent="0.3">
      <c r="A2464" t="s">
        <v>10</v>
      </c>
      <c r="B2464">
        <v>2022</v>
      </c>
      <c r="C2464" t="s">
        <v>6</v>
      </c>
      <c r="D2464">
        <v>4738.62</v>
      </c>
      <c r="E2464">
        <v>5043.42</v>
      </c>
      <c r="F2464">
        <v>99.09</v>
      </c>
      <c r="G2464">
        <v>629.72</v>
      </c>
      <c r="H2464">
        <f>E2464*1000000/D2464</f>
        <v>1064322.5242792205</v>
      </c>
      <c r="I2464" t="str">
        <f>IF(AND(B2464&gt;=2018, B2464&lt;=2021), "2018-2021", IF(AND(B2464&gt;=2022, B2464&lt;=2024), "2022-2024", "Other"))</f>
        <v>2022-2024</v>
      </c>
    </row>
    <row r="2465" spans="1:9" x14ac:dyDescent="0.3">
      <c r="A2465" t="s">
        <v>3</v>
      </c>
      <c r="B2465">
        <v>2021</v>
      </c>
      <c r="C2465" t="s">
        <v>0</v>
      </c>
      <c r="D2465">
        <v>41477.870000000003</v>
      </c>
      <c r="E2465">
        <v>37213.440000000002</v>
      </c>
      <c r="F2465">
        <v>138.22999999999999</v>
      </c>
      <c r="G2465">
        <v>1235.8499999999999</v>
      </c>
      <c r="H2465">
        <f>E2465*1000000/D2465</f>
        <v>897187.82570078934</v>
      </c>
      <c r="I2465" t="str">
        <f>IF(AND(B2465&gt;=2018, B2465&lt;=2021), "2018-2021", IF(AND(B2465&gt;=2022, B2465&lt;=2024), "2022-2024", "Other"))</f>
        <v>2018-2021</v>
      </c>
    </row>
    <row r="2466" spans="1:9" x14ac:dyDescent="0.3">
      <c r="A2466" t="s">
        <v>19</v>
      </c>
      <c r="B2466">
        <v>2022</v>
      </c>
      <c r="C2466" t="s">
        <v>12</v>
      </c>
      <c r="D2466">
        <v>20168.3</v>
      </c>
      <c r="E2466">
        <v>23300.52</v>
      </c>
      <c r="F2466">
        <v>150.91</v>
      </c>
      <c r="G2466">
        <v>941.01</v>
      </c>
      <c r="H2466">
        <f>E2466*1000000/D2466</f>
        <v>1155304.1158649961</v>
      </c>
      <c r="I2466" t="str">
        <f>IF(AND(B2466&gt;=2018, B2466&lt;=2021), "2018-2021", IF(AND(B2466&gt;=2022, B2466&lt;=2024), "2022-2024", "Other"))</f>
        <v>2022-2024</v>
      </c>
    </row>
    <row r="2467" spans="1:9" x14ac:dyDescent="0.3">
      <c r="A2467" t="s">
        <v>17</v>
      </c>
      <c r="B2467">
        <v>2023</v>
      </c>
      <c r="C2467" t="s">
        <v>2</v>
      </c>
      <c r="D2467">
        <v>35957.360000000001</v>
      </c>
      <c r="E2467">
        <v>41729.4</v>
      </c>
      <c r="F2467">
        <v>198.7</v>
      </c>
      <c r="G2467">
        <v>224.1</v>
      </c>
      <c r="H2467">
        <f>E2467*1000000/D2467</f>
        <v>1160524.5768877359</v>
      </c>
      <c r="I2467" t="str">
        <f>IF(AND(B2467&gt;=2018, B2467&lt;=2021), "2018-2021", IF(AND(B2467&gt;=2022, B2467&lt;=2024), "2022-2024", "Other"))</f>
        <v>2022-2024</v>
      </c>
    </row>
    <row r="2468" spans="1:9" x14ac:dyDescent="0.3">
      <c r="A2468" t="s">
        <v>5</v>
      </c>
      <c r="B2468">
        <v>2023</v>
      </c>
      <c r="C2468" t="s">
        <v>9</v>
      </c>
      <c r="D2468">
        <v>34737.440000000002</v>
      </c>
      <c r="E2468">
        <v>36898.57</v>
      </c>
      <c r="F2468">
        <v>156.25</v>
      </c>
      <c r="G2468">
        <v>347.41</v>
      </c>
      <c r="H2468">
        <f>E2468*1000000/D2468</f>
        <v>1062213.2776623722</v>
      </c>
      <c r="I2468" t="str">
        <f>IF(AND(B2468&gt;=2018, B2468&lt;=2021), "2018-2021", IF(AND(B2468&gt;=2022, B2468&lt;=2024), "2022-2024", "Other"))</f>
        <v>2022-2024</v>
      </c>
    </row>
    <row r="2469" spans="1:9" x14ac:dyDescent="0.3">
      <c r="A2469" t="s">
        <v>18</v>
      </c>
      <c r="B2469">
        <v>2023</v>
      </c>
      <c r="C2469" t="s">
        <v>4</v>
      </c>
      <c r="D2469">
        <v>832.45</v>
      </c>
      <c r="E2469">
        <v>735.25</v>
      </c>
      <c r="F2469">
        <v>98.17</v>
      </c>
      <c r="G2469">
        <v>718.86</v>
      </c>
      <c r="H2469">
        <f>E2469*1000000/D2469</f>
        <v>883236.23040422844</v>
      </c>
      <c r="I2469" t="str">
        <f>IF(AND(B2469&gt;=2018, B2469&lt;=2021), "2018-2021", IF(AND(B2469&gt;=2022, B2469&lt;=2024), "2022-2024", "Other"))</f>
        <v>2022-2024</v>
      </c>
    </row>
    <row r="2470" spans="1:9" x14ac:dyDescent="0.3">
      <c r="A2470" t="s">
        <v>23</v>
      </c>
      <c r="B2470">
        <v>2020</v>
      </c>
      <c r="C2470" t="s">
        <v>14</v>
      </c>
      <c r="D2470">
        <v>8577.52</v>
      </c>
      <c r="E2470">
        <v>6977.24</v>
      </c>
      <c r="F2470">
        <v>43.44</v>
      </c>
      <c r="G2470">
        <v>1170.83</v>
      </c>
      <c r="H2470">
        <f>E2470*1000000/D2470</f>
        <v>813433.2534345591</v>
      </c>
      <c r="I2470" t="str">
        <f>IF(AND(B2470&gt;=2018, B2470&lt;=2021), "2018-2021", IF(AND(B2470&gt;=2022, B2470&lt;=2024), "2022-2024", "Other"))</f>
        <v>2018-2021</v>
      </c>
    </row>
    <row r="2471" spans="1:9" x14ac:dyDescent="0.3">
      <c r="A2471" t="s">
        <v>22</v>
      </c>
      <c r="B2471">
        <v>2018</v>
      </c>
      <c r="C2471" t="s">
        <v>8</v>
      </c>
      <c r="D2471">
        <v>19266.63</v>
      </c>
      <c r="E2471">
        <v>17842.48</v>
      </c>
      <c r="F2471">
        <v>193.14</v>
      </c>
      <c r="G2471">
        <v>178.92</v>
      </c>
      <c r="H2471">
        <f>E2471*1000000/D2471</f>
        <v>926082.0392564761</v>
      </c>
      <c r="I2471" t="str">
        <f>IF(AND(B2471&gt;=2018, B2471&lt;=2021), "2018-2021", IF(AND(B2471&gt;=2022, B2471&lt;=2024), "2022-2024", "Other"))</f>
        <v>2018-2021</v>
      </c>
    </row>
    <row r="2472" spans="1:9" x14ac:dyDescent="0.3">
      <c r="A2472" t="s">
        <v>3</v>
      </c>
      <c r="B2472">
        <v>2024</v>
      </c>
      <c r="C2472" t="s">
        <v>8</v>
      </c>
      <c r="D2472">
        <v>7890.78</v>
      </c>
      <c r="E2472">
        <v>9058.16</v>
      </c>
      <c r="F2472">
        <v>115.83</v>
      </c>
      <c r="G2472">
        <v>812.29</v>
      </c>
      <c r="H2472">
        <f>E2472*1000000/D2472</f>
        <v>1147942.2820050742</v>
      </c>
      <c r="I2472" t="str">
        <f>IF(AND(B2472&gt;=2018, B2472&lt;=2021), "2018-2021", IF(AND(B2472&gt;=2022, B2472&lt;=2024), "2022-2024", "Other"))</f>
        <v>2022-2024</v>
      </c>
    </row>
    <row r="2473" spans="1:9" x14ac:dyDescent="0.3">
      <c r="A2473" t="s">
        <v>21</v>
      </c>
      <c r="B2473">
        <v>2021</v>
      </c>
      <c r="C2473" t="s">
        <v>6</v>
      </c>
      <c r="D2473">
        <v>30048.240000000002</v>
      </c>
      <c r="E2473">
        <v>25327.89</v>
      </c>
      <c r="F2473">
        <v>138.25</v>
      </c>
      <c r="G2473">
        <v>750.29</v>
      </c>
      <c r="H2473">
        <f>E2473*1000000/D2473</f>
        <v>842907.60457184841</v>
      </c>
      <c r="I2473" t="str">
        <f>IF(AND(B2473&gt;=2018, B2473&lt;=2021), "2018-2021", IF(AND(B2473&gt;=2022, B2473&lt;=2024), "2022-2024", "Other"))</f>
        <v>2018-2021</v>
      </c>
    </row>
    <row r="2474" spans="1:9" x14ac:dyDescent="0.3">
      <c r="A2474" t="s">
        <v>25</v>
      </c>
      <c r="B2474">
        <v>2022</v>
      </c>
      <c r="C2474" t="s">
        <v>0</v>
      </c>
      <c r="D2474">
        <v>14091.09</v>
      </c>
      <c r="E2474">
        <v>13971.36</v>
      </c>
      <c r="F2474">
        <v>167.9</v>
      </c>
      <c r="G2474">
        <v>899.81</v>
      </c>
      <c r="H2474">
        <f>E2474*1000000/D2474</f>
        <v>991503.14134676591</v>
      </c>
      <c r="I2474" t="str">
        <f>IF(AND(B2474&gt;=2018, B2474&lt;=2021), "2018-2021", IF(AND(B2474&gt;=2022, B2474&lt;=2024), "2022-2024", "Other"))</f>
        <v>2022-2024</v>
      </c>
    </row>
    <row r="2475" spans="1:9" x14ac:dyDescent="0.3">
      <c r="A2475" t="s">
        <v>18</v>
      </c>
      <c r="B2475">
        <v>2024</v>
      </c>
      <c r="C2475" t="s">
        <v>6</v>
      </c>
      <c r="D2475">
        <v>8845.75</v>
      </c>
      <c r="E2475">
        <v>8869.07</v>
      </c>
      <c r="F2475">
        <v>130.81</v>
      </c>
      <c r="G2475">
        <v>1133.9100000000001</v>
      </c>
      <c r="H2475">
        <f>E2475*1000000/D2475</f>
        <v>1002636.2942656077</v>
      </c>
      <c r="I2475" t="str">
        <f>IF(AND(B2475&gt;=2018, B2475&lt;=2021), "2018-2021", IF(AND(B2475&gt;=2022, B2475&lt;=2024), "2022-2024", "Other"))</f>
        <v>2022-2024</v>
      </c>
    </row>
    <row r="2476" spans="1:9" x14ac:dyDescent="0.3">
      <c r="A2476" t="s">
        <v>25</v>
      </c>
      <c r="B2476">
        <v>2018</v>
      </c>
      <c r="C2476" t="s">
        <v>0</v>
      </c>
      <c r="D2476">
        <v>37248.639999999999</v>
      </c>
      <c r="E2476">
        <v>38981.4</v>
      </c>
      <c r="F2476">
        <v>144.28</v>
      </c>
      <c r="G2476">
        <v>534.54</v>
      </c>
      <c r="H2476">
        <f>E2476*1000000/D2476</f>
        <v>1046518.7453823817</v>
      </c>
      <c r="I2476" t="str">
        <f>IF(AND(B2476&gt;=2018, B2476&lt;=2021), "2018-2021", IF(AND(B2476&gt;=2022, B2476&lt;=2024), "2022-2024", "Other"))</f>
        <v>2018-2021</v>
      </c>
    </row>
    <row r="2477" spans="1:9" x14ac:dyDescent="0.3">
      <c r="A2477" t="s">
        <v>22</v>
      </c>
      <c r="B2477">
        <v>2020</v>
      </c>
      <c r="C2477" t="s">
        <v>4</v>
      </c>
      <c r="D2477">
        <v>25693.360000000001</v>
      </c>
      <c r="E2477">
        <v>29526.58</v>
      </c>
      <c r="F2477">
        <v>171.41</v>
      </c>
      <c r="G2477">
        <v>161.61000000000001</v>
      </c>
      <c r="H2477">
        <f>E2477*1000000/D2477</f>
        <v>1149191.0750481836</v>
      </c>
      <c r="I2477" t="str">
        <f>IF(AND(B2477&gt;=2018, B2477&lt;=2021), "2018-2021", IF(AND(B2477&gt;=2022, B2477&lt;=2024), "2022-2024", "Other"))</f>
        <v>2018-2021</v>
      </c>
    </row>
    <row r="2478" spans="1:9" x14ac:dyDescent="0.3">
      <c r="A2478" t="s">
        <v>13</v>
      </c>
      <c r="B2478">
        <v>2023</v>
      </c>
      <c r="C2478" t="s">
        <v>0</v>
      </c>
      <c r="D2478">
        <v>46536.4</v>
      </c>
      <c r="E2478">
        <v>48535.68</v>
      </c>
      <c r="F2478">
        <v>153.28</v>
      </c>
      <c r="G2478">
        <v>820.64</v>
      </c>
      <c r="H2478">
        <f>E2478*1000000/D2478</f>
        <v>1042961.6386312649</v>
      </c>
      <c r="I2478" t="str">
        <f>IF(AND(B2478&gt;=2018, B2478&lt;=2021), "2018-2021", IF(AND(B2478&gt;=2022, B2478&lt;=2024), "2022-2024", "Other"))</f>
        <v>2022-2024</v>
      </c>
    </row>
    <row r="2479" spans="1:9" x14ac:dyDescent="0.3">
      <c r="A2479" t="s">
        <v>10</v>
      </c>
      <c r="B2479">
        <v>2020</v>
      </c>
      <c r="C2479" t="s">
        <v>2</v>
      </c>
      <c r="D2479">
        <v>39918.47</v>
      </c>
      <c r="E2479">
        <v>37023.660000000003</v>
      </c>
      <c r="F2479">
        <v>108.37</v>
      </c>
      <c r="G2479">
        <v>1066.3900000000001</v>
      </c>
      <c r="H2479">
        <f>E2479*1000000/D2479</f>
        <v>927481.94006433606</v>
      </c>
      <c r="I2479" t="str">
        <f>IF(AND(B2479&gt;=2018, B2479&lt;=2021), "2018-2021", IF(AND(B2479&gt;=2022, B2479&lt;=2024), "2022-2024", "Other"))</f>
        <v>2018-2021</v>
      </c>
    </row>
    <row r="2480" spans="1:9" x14ac:dyDescent="0.3">
      <c r="A2480" t="s">
        <v>19</v>
      </c>
      <c r="B2480">
        <v>2020</v>
      </c>
      <c r="C2480" t="s">
        <v>9</v>
      </c>
      <c r="D2480">
        <v>49885.5</v>
      </c>
      <c r="E2480">
        <v>43032.44</v>
      </c>
      <c r="F2480">
        <v>38.74</v>
      </c>
      <c r="G2480">
        <v>81.819999999999993</v>
      </c>
      <c r="H2480">
        <f>E2480*1000000/D2480</f>
        <v>862624.20943961677</v>
      </c>
      <c r="I2480" t="str">
        <f>IF(AND(B2480&gt;=2018, B2480&lt;=2021), "2018-2021", IF(AND(B2480&gt;=2022, B2480&lt;=2024), "2022-2024", "Other"))</f>
        <v>2018-2021</v>
      </c>
    </row>
    <row r="2481" spans="1:9" x14ac:dyDescent="0.3">
      <c r="A2481" t="s">
        <v>17</v>
      </c>
      <c r="B2481">
        <v>2024</v>
      </c>
      <c r="C2481" t="s">
        <v>8</v>
      </c>
      <c r="D2481">
        <v>17934.080000000002</v>
      </c>
      <c r="E2481">
        <v>14468.9</v>
      </c>
      <c r="F2481">
        <v>165.23</v>
      </c>
      <c r="G2481">
        <v>743.25</v>
      </c>
      <c r="H2481">
        <f>E2481*1000000/D2481</f>
        <v>806782.39419027895</v>
      </c>
      <c r="I2481" t="str">
        <f>IF(AND(B2481&gt;=2018, B2481&lt;=2021), "2018-2021", IF(AND(B2481&gt;=2022, B2481&lt;=2024), "2022-2024", "Other"))</f>
        <v>2022-2024</v>
      </c>
    </row>
    <row r="2482" spans="1:9" x14ac:dyDescent="0.3">
      <c r="A2482" t="s">
        <v>23</v>
      </c>
      <c r="B2482">
        <v>2021</v>
      </c>
      <c r="C2482" t="s">
        <v>9</v>
      </c>
      <c r="D2482">
        <v>32179.38</v>
      </c>
      <c r="E2482">
        <v>36712.400000000001</v>
      </c>
      <c r="F2482">
        <v>35.159999999999997</v>
      </c>
      <c r="G2482">
        <v>504.6</v>
      </c>
      <c r="H2482">
        <f>E2482*1000000/D2482</f>
        <v>1140867.2261553826</v>
      </c>
      <c r="I2482" t="str">
        <f>IF(AND(B2482&gt;=2018, B2482&lt;=2021), "2018-2021", IF(AND(B2482&gt;=2022, B2482&lt;=2024), "2022-2024", "Other"))</f>
        <v>2018-2021</v>
      </c>
    </row>
    <row r="2483" spans="1:9" x14ac:dyDescent="0.3">
      <c r="A2483" t="s">
        <v>17</v>
      </c>
      <c r="B2483">
        <v>2021</v>
      </c>
      <c r="C2483" t="s">
        <v>6</v>
      </c>
      <c r="D2483">
        <v>20962.66</v>
      </c>
      <c r="E2483">
        <v>17783.72</v>
      </c>
      <c r="F2483">
        <v>108.66</v>
      </c>
      <c r="G2483">
        <v>1107.48</v>
      </c>
      <c r="H2483">
        <f>E2483*1000000/D2483</f>
        <v>848352.26063867845</v>
      </c>
      <c r="I2483" t="str">
        <f>IF(AND(B2483&gt;=2018, B2483&lt;=2021), "2018-2021", IF(AND(B2483&gt;=2022, B2483&lt;=2024), "2022-2024", "Other"))</f>
        <v>2018-2021</v>
      </c>
    </row>
    <row r="2484" spans="1:9" x14ac:dyDescent="0.3">
      <c r="A2484" t="s">
        <v>23</v>
      </c>
      <c r="B2484">
        <v>2022</v>
      </c>
      <c r="C2484" t="s">
        <v>6</v>
      </c>
      <c r="D2484">
        <v>38549.89</v>
      </c>
      <c r="E2484">
        <v>39132.69</v>
      </c>
      <c r="F2484">
        <v>92.88</v>
      </c>
      <c r="G2484">
        <v>850.27</v>
      </c>
      <c r="H2484">
        <f>E2484*1000000/D2484</f>
        <v>1015118.0716728375</v>
      </c>
      <c r="I2484" t="str">
        <f>IF(AND(B2484&gt;=2018, B2484&lt;=2021), "2018-2021", IF(AND(B2484&gt;=2022, B2484&lt;=2024), "2022-2024", "Other"))</f>
        <v>2022-2024</v>
      </c>
    </row>
    <row r="2485" spans="1:9" x14ac:dyDescent="0.3">
      <c r="A2485" t="s">
        <v>5</v>
      </c>
      <c r="B2485">
        <v>2022</v>
      </c>
      <c r="C2485" t="s">
        <v>12</v>
      </c>
      <c r="D2485">
        <v>43181.63</v>
      </c>
      <c r="E2485">
        <v>46396.12</v>
      </c>
      <c r="F2485">
        <v>55.05</v>
      </c>
      <c r="G2485">
        <v>998.51</v>
      </c>
      <c r="H2485">
        <f>E2485*1000000/D2485</f>
        <v>1074441.1454593076</v>
      </c>
      <c r="I2485" t="str">
        <f>IF(AND(B2485&gt;=2018, B2485&lt;=2021), "2018-2021", IF(AND(B2485&gt;=2022, B2485&lt;=2024), "2022-2024", "Other"))</f>
        <v>2022-2024</v>
      </c>
    </row>
    <row r="2486" spans="1:9" x14ac:dyDescent="0.3">
      <c r="A2486" t="s">
        <v>11</v>
      </c>
      <c r="B2486">
        <v>2023</v>
      </c>
      <c r="C2486" t="s">
        <v>12</v>
      </c>
      <c r="D2486">
        <v>47213.86</v>
      </c>
      <c r="E2486">
        <v>55320.76</v>
      </c>
      <c r="F2486">
        <v>20.09</v>
      </c>
      <c r="G2486">
        <v>996.68</v>
      </c>
      <c r="H2486">
        <f>E2486*1000000/D2486</f>
        <v>1171705.9355028374</v>
      </c>
      <c r="I2486" t="str">
        <f>IF(AND(B2486&gt;=2018, B2486&lt;=2021), "2018-2021", IF(AND(B2486&gt;=2022, B2486&lt;=2024), "2022-2024", "Other"))</f>
        <v>2022-2024</v>
      </c>
    </row>
    <row r="2487" spans="1:9" x14ac:dyDescent="0.3">
      <c r="A2487" t="s">
        <v>7</v>
      </c>
      <c r="B2487">
        <v>2022</v>
      </c>
      <c r="C2487" t="s">
        <v>2</v>
      </c>
      <c r="D2487">
        <v>47089.75</v>
      </c>
      <c r="E2487">
        <v>51628.68</v>
      </c>
      <c r="F2487">
        <v>120.49</v>
      </c>
      <c r="G2487">
        <v>422.46</v>
      </c>
      <c r="H2487">
        <f>E2487*1000000/D2487</f>
        <v>1096388.9169086691</v>
      </c>
      <c r="I2487" t="str">
        <f>IF(AND(B2487&gt;=2018, B2487&lt;=2021), "2018-2021", IF(AND(B2487&gt;=2022, B2487&lt;=2024), "2022-2024", "Other"))</f>
        <v>2022-2024</v>
      </c>
    </row>
    <row r="2488" spans="1:9" x14ac:dyDescent="0.3">
      <c r="A2488" t="s">
        <v>25</v>
      </c>
      <c r="B2488">
        <v>2024</v>
      </c>
      <c r="C2488" t="s">
        <v>9</v>
      </c>
      <c r="D2488">
        <v>17773.96</v>
      </c>
      <c r="E2488">
        <v>14458.37</v>
      </c>
      <c r="F2488">
        <v>167.97</v>
      </c>
      <c r="G2488">
        <v>197.41</v>
      </c>
      <c r="H2488">
        <f>E2488*1000000/D2488</f>
        <v>813458.00260605966</v>
      </c>
      <c r="I2488" t="str">
        <f>IF(AND(B2488&gt;=2018, B2488&lt;=2021), "2018-2021", IF(AND(B2488&gt;=2022, B2488&lt;=2024), "2022-2024", "Other"))</f>
        <v>2022-2024</v>
      </c>
    </row>
    <row r="2489" spans="1:9" x14ac:dyDescent="0.3">
      <c r="A2489" t="s">
        <v>15</v>
      </c>
      <c r="B2489">
        <v>2020</v>
      </c>
      <c r="C2489" t="s">
        <v>12</v>
      </c>
      <c r="D2489">
        <v>45649.02</v>
      </c>
      <c r="E2489">
        <v>48828.17</v>
      </c>
      <c r="F2489">
        <v>57.92</v>
      </c>
      <c r="G2489">
        <v>626.28</v>
      </c>
      <c r="H2489">
        <f>E2489*1000000/D2489</f>
        <v>1069643.3351690792</v>
      </c>
      <c r="I2489" t="str">
        <f>IF(AND(B2489&gt;=2018, B2489&lt;=2021), "2018-2021", IF(AND(B2489&gt;=2022, B2489&lt;=2024), "2022-2024", "Other"))</f>
        <v>2018-2021</v>
      </c>
    </row>
    <row r="2490" spans="1:9" x14ac:dyDescent="0.3">
      <c r="A2490" t="s">
        <v>15</v>
      </c>
      <c r="B2490">
        <v>2023</v>
      </c>
      <c r="C2490" t="s">
        <v>6</v>
      </c>
      <c r="D2490">
        <v>9619.08</v>
      </c>
      <c r="E2490">
        <v>7756.08</v>
      </c>
      <c r="F2490">
        <v>34.24</v>
      </c>
      <c r="G2490">
        <v>76.2</v>
      </c>
      <c r="H2490">
        <f>E2490*1000000/D2490</f>
        <v>806322.43416210287</v>
      </c>
      <c r="I2490" t="str">
        <f>IF(AND(B2490&gt;=2018, B2490&lt;=2021), "2018-2021", IF(AND(B2490&gt;=2022, B2490&lt;=2024), "2022-2024", "Other"))</f>
        <v>2022-2024</v>
      </c>
    </row>
    <row r="2491" spans="1:9" x14ac:dyDescent="0.3">
      <c r="A2491" t="s">
        <v>15</v>
      </c>
      <c r="B2491">
        <v>2020</v>
      </c>
      <c r="C2491" t="s">
        <v>4</v>
      </c>
      <c r="D2491">
        <v>28072.58</v>
      </c>
      <c r="E2491">
        <v>27108.89</v>
      </c>
      <c r="F2491">
        <v>145.77000000000001</v>
      </c>
      <c r="G2491">
        <v>118.76</v>
      </c>
      <c r="H2491">
        <f>E2491*1000000/D2491</f>
        <v>965671.48441646609</v>
      </c>
      <c r="I2491" t="str">
        <f>IF(AND(B2491&gt;=2018, B2491&lt;=2021), "2018-2021", IF(AND(B2491&gt;=2022, B2491&lt;=2024), "2022-2024", "Other"))</f>
        <v>2018-2021</v>
      </c>
    </row>
    <row r="2492" spans="1:9" x14ac:dyDescent="0.3">
      <c r="A2492" t="s">
        <v>15</v>
      </c>
      <c r="B2492">
        <v>2022</v>
      </c>
      <c r="C2492" t="s">
        <v>0</v>
      </c>
      <c r="D2492">
        <v>23179.55</v>
      </c>
      <c r="E2492">
        <v>25727.14</v>
      </c>
      <c r="F2492">
        <v>172.19</v>
      </c>
      <c r="G2492">
        <v>1384.77</v>
      </c>
      <c r="H2492">
        <f>E2492*1000000/D2492</f>
        <v>1109906.7928411034</v>
      </c>
      <c r="I2492" t="str">
        <f>IF(AND(B2492&gt;=2018, B2492&lt;=2021), "2018-2021", IF(AND(B2492&gt;=2022, B2492&lt;=2024), "2022-2024", "Other"))</f>
        <v>2022-2024</v>
      </c>
    </row>
    <row r="2493" spans="1:9" x14ac:dyDescent="0.3">
      <c r="A2493" t="s">
        <v>5</v>
      </c>
      <c r="B2493">
        <v>2019</v>
      </c>
      <c r="C2493" t="s">
        <v>9</v>
      </c>
      <c r="D2493">
        <v>35645.74</v>
      </c>
      <c r="E2493">
        <v>40439.78</v>
      </c>
      <c r="F2493">
        <v>52.81</v>
      </c>
      <c r="G2493">
        <v>1070.18</v>
      </c>
      <c r="H2493">
        <f>E2493*1000000/D2493</f>
        <v>1134491.2463593127</v>
      </c>
      <c r="I2493" t="str">
        <f>IF(AND(B2493&gt;=2018, B2493&lt;=2021), "2018-2021", IF(AND(B2493&gt;=2022, B2493&lt;=2024), "2022-2024", "Other"))</f>
        <v>2018-2021</v>
      </c>
    </row>
    <row r="2494" spans="1:9" x14ac:dyDescent="0.3">
      <c r="A2494" t="s">
        <v>10</v>
      </c>
      <c r="B2494">
        <v>2019</v>
      </c>
      <c r="C2494" t="s">
        <v>2</v>
      </c>
      <c r="D2494">
        <v>696.06</v>
      </c>
      <c r="E2494">
        <v>558.64</v>
      </c>
      <c r="F2494">
        <v>141.66999999999999</v>
      </c>
      <c r="G2494">
        <v>221.5</v>
      </c>
      <c r="H2494">
        <f>E2494*1000000/D2494</f>
        <v>802574.49070482433</v>
      </c>
      <c r="I2494" t="str">
        <f>IF(AND(B2494&gt;=2018, B2494&lt;=2021), "2018-2021", IF(AND(B2494&gt;=2022, B2494&lt;=2024), "2022-2024", "Other"))</f>
        <v>2018-2021</v>
      </c>
    </row>
    <row r="2495" spans="1:9" x14ac:dyDescent="0.3">
      <c r="A2495" t="s">
        <v>16</v>
      </c>
      <c r="B2495">
        <v>2019</v>
      </c>
      <c r="C2495" t="s">
        <v>0</v>
      </c>
      <c r="D2495">
        <v>7678.1</v>
      </c>
      <c r="E2495">
        <v>6435.76</v>
      </c>
      <c r="F2495">
        <v>119.16</v>
      </c>
      <c r="G2495">
        <v>1179.95</v>
      </c>
      <c r="H2495">
        <f>E2495*1000000/D2495</f>
        <v>838196.9497662182</v>
      </c>
      <c r="I2495" t="str">
        <f>IF(AND(B2495&gt;=2018, B2495&lt;=2021), "2018-2021", IF(AND(B2495&gt;=2022, B2495&lt;=2024), "2022-2024", "Other"))</f>
        <v>2018-2021</v>
      </c>
    </row>
    <row r="2496" spans="1:9" x14ac:dyDescent="0.3">
      <c r="A2496" t="s">
        <v>24</v>
      </c>
      <c r="B2496">
        <v>2019</v>
      </c>
      <c r="C2496" t="s">
        <v>6</v>
      </c>
      <c r="D2496">
        <v>28703.66</v>
      </c>
      <c r="E2496">
        <v>31558.080000000002</v>
      </c>
      <c r="F2496">
        <v>164.79</v>
      </c>
      <c r="G2496">
        <v>1063.8599999999999</v>
      </c>
      <c r="H2496">
        <f>E2496*1000000/D2496</f>
        <v>1099444.4610896311</v>
      </c>
      <c r="I2496" t="str">
        <f>IF(AND(B2496&gt;=2018, B2496&lt;=2021), "2018-2021", IF(AND(B2496&gt;=2022, B2496&lt;=2024), "2022-2024", "Other"))</f>
        <v>2018-2021</v>
      </c>
    </row>
    <row r="2497" spans="1:9" x14ac:dyDescent="0.3">
      <c r="A2497" t="s">
        <v>5</v>
      </c>
      <c r="B2497">
        <v>2023</v>
      </c>
      <c r="C2497" t="s">
        <v>0</v>
      </c>
      <c r="D2497">
        <v>2853.19</v>
      </c>
      <c r="E2497">
        <v>2648.01</v>
      </c>
      <c r="F2497">
        <v>47.4</v>
      </c>
      <c r="G2497">
        <v>930.43</v>
      </c>
      <c r="H2497">
        <f>E2497*1000000/D2497</f>
        <v>928087.50906879664</v>
      </c>
      <c r="I2497" t="str">
        <f>IF(AND(B2497&gt;=2018, B2497&lt;=2021), "2018-2021", IF(AND(B2497&gt;=2022, B2497&lt;=2024), "2022-2024", "Other"))</f>
        <v>2022-2024</v>
      </c>
    </row>
    <row r="2498" spans="1:9" x14ac:dyDescent="0.3">
      <c r="A2498" t="s">
        <v>27</v>
      </c>
      <c r="B2498">
        <v>2018</v>
      </c>
      <c r="C2498" t="s">
        <v>2</v>
      </c>
      <c r="D2498">
        <v>48048.09</v>
      </c>
      <c r="E2498">
        <v>56577.4</v>
      </c>
      <c r="F2498">
        <v>51.76</v>
      </c>
      <c r="G2498">
        <v>1377.2</v>
      </c>
      <c r="H2498">
        <f>E2498*1000000/D2498</f>
        <v>1177516.1093812471</v>
      </c>
      <c r="I2498" t="str">
        <f>IF(AND(B2498&gt;=2018, B2498&lt;=2021), "2018-2021", IF(AND(B2498&gt;=2022, B2498&lt;=2024), "2022-2024", "Other"))</f>
        <v>2018-2021</v>
      </c>
    </row>
    <row r="2499" spans="1:9" x14ac:dyDescent="0.3">
      <c r="A2499" t="s">
        <v>26</v>
      </c>
      <c r="B2499">
        <v>2023</v>
      </c>
      <c r="C2499" t="s">
        <v>2</v>
      </c>
      <c r="D2499">
        <v>1697.55</v>
      </c>
      <c r="E2499">
        <v>1700.03</v>
      </c>
      <c r="F2499">
        <v>159.52000000000001</v>
      </c>
      <c r="G2499">
        <v>66.77</v>
      </c>
      <c r="H2499">
        <f>E2499*1000000/D2499</f>
        <v>1001460.9289858915</v>
      </c>
      <c r="I2499" t="str">
        <f>IF(AND(B2499&gt;=2018, B2499&lt;=2021), "2018-2021", IF(AND(B2499&gt;=2022, B2499&lt;=2024), "2022-2024", "Other"))</f>
        <v>2022-2024</v>
      </c>
    </row>
    <row r="2500" spans="1:9" x14ac:dyDescent="0.3">
      <c r="A2500" t="s">
        <v>25</v>
      </c>
      <c r="B2500">
        <v>2024</v>
      </c>
      <c r="C2500" t="s">
        <v>9</v>
      </c>
      <c r="D2500">
        <v>10539.7</v>
      </c>
      <c r="E2500">
        <v>9456.77</v>
      </c>
      <c r="F2500">
        <v>135.35</v>
      </c>
      <c r="G2500">
        <v>1013.08</v>
      </c>
      <c r="H2500">
        <f>E2500*1000000/D2500</f>
        <v>897252.29370854946</v>
      </c>
      <c r="I2500" t="str">
        <f>IF(AND(B2500&gt;=2018, B2500&lt;=2021), "2018-2021", IF(AND(B2500&gt;=2022, B2500&lt;=2024), "2022-2024", "Other"))</f>
        <v>2022-2024</v>
      </c>
    </row>
    <row r="2501" spans="1:9" x14ac:dyDescent="0.3">
      <c r="A2501" t="s">
        <v>20</v>
      </c>
      <c r="B2501">
        <v>2019</v>
      </c>
      <c r="C2501" t="s">
        <v>9</v>
      </c>
      <c r="D2501">
        <v>22476.79</v>
      </c>
      <c r="E2501">
        <v>23403.279999999999</v>
      </c>
      <c r="F2501">
        <v>132.16999999999999</v>
      </c>
      <c r="G2501">
        <v>582.77</v>
      </c>
      <c r="H2501">
        <f>E2501*1000000/D2501</f>
        <v>1041219.8539026257</v>
      </c>
      <c r="I2501" t="str">
        <f>IF(AND(B2501&gt;=2018, B2501&lt;=2021), "2018-2021", IF(AND(B2501&gt;=2022, B2501&lt;=2024), "2022-2024", "Other"))</f>
        <v>2018-2021</v>
      </c>
    </row>
    <row r="2502" spans="1:9" x14ac:dyDescent="0.3">
      <c r="A2502" t="s">
        <v>15</v>
      </c>
      <c r="B2502">
        <v>2021</v>
      </c>
      <c r="C2502" t="s">
        <v>12</v>
      </c>
      <c r="D2502">
        <v>39109.040000000001</v>
      </c>
      <c r="E2502">
        <v>34426.29</v>
      </c>
      <c r="F2502">
        <v>51.96</v>
      </c>
      <c r="G2502">
        <v>395.43</v>
      </c>
      <c r="H2502">
        <f>E2502*1000000/D2502</f>
        <v>880264.25603901292</v>
      </c>
      <c r="I2502" t="str">
        <f>IF(AND(B2502&gt;=2018, B2502&lt;=2021), "2018-2021", IF(AND(B2502&gt;=2022, B2502&lt;=2024), "2022-2024", "Other"))</f>
        <v>2018-2021</v>
      </c>
    </row>
    <row r="2503" spans="1:9" x14ac:dyDescent="0.3">
      <c r="A2503" t="s">
        <v>13</v>
      </c>
      <c r="B2503">
        <v>2020</v>
      </c>
      <c r="C2503" t="s">
        <v>0</v>
      </c>
      <c r="D2503">
        <v>16861.57</v>
      </c>
      <c r="E2503">
        <v>13640.07</v>
      </c>
      <c r="F2503">
        <v>58.37</v>
      </c>
      <c r="G2503">
        <v>673.13</v>
      </c>
      <c r="H2503">
        <f>E2503*1000000/D2503</f>
        <v>808944.24421925121</v>
      </c>
      <c r="I2503" t="str">
        <f>IF(AND(B2503&gt;=2018, B2503&lt;=2021), "2018-2021", IF(AND(B2503&gt;=2022, B2503&lt;=2024), "2022-2024", "Other"))</f>
        <v>2018-2021</v>
      </c>
    </row>
    <row r="2504" spans="1:9" x14ac:dyDescent="0.3">
      <c r="A2504" t="s">
        <v>21</v>
      </c>
      <c r="B2504">
        <v>2021</v>
      </c>
      <c r="C2504" t="s">
        <v>6</v>
      </c>
      <c r="D2504">
        <v>24650.97</v>
      </c>
      <c r="E2504">
        <v>25457.31</v>
      </c>
      <c r="F2504">
        <v>29.97</v>
      </c>
      <c r="G2504">
        <v>490.95</v>
      </c>
      <c r="H2504">
        <f>E2504*1000000/D2504</f>
        <v>1032710.2746869596</v>
      </c>
      <c r="I2504" t="str">
        <f>IF(AND(B2504&gt;=2018, B2504&lt;=2021), "2018-2021", IF(AND(B2504&gt;=2022, B2504&lt;=2024), "2022-2024", "Other"))</f>
        <v>2018-2021</v>
      </c>
    </row>
    <row r="2505" spans="1:9" x14ac:dyDescent="0.3">
      <c r="A2505" t="s">
        <v>19</v>
      </c>
      <c r="B2505">
        <v>2021</v>
      </c>
      <c r="C2505" t="s">
        <v>14</v>
      </c>
      <c r="D2505">
        <v>7749.46</v>
      </c>
      <c r="E2505">
        <v>8267.02</v>
      </c>
      <c r="F2505">
        <v>176.74</v>
      </c>
      <c r="G2505">
        <v>1070.98</v>
      </c>
      <c r="H2505">
        <f>E2505*1000000/D2505</f>
        <v>1066786.58900104</v>
      </c>
      <c r="I2505" t="str">
        <f>IF(AND(B2505&gt;=2018, B2505&lt;=2021), "2018-2021", IF(AND(B2505&gt;=2022, B2505&lt;=2024), "2022-2024", "Other"))</f>
        <v>2018-2021</v>
      </c>
    </row>
    <row r="2506" spans="1:9" x14ac:dyDescent="0.3">
      <c r="A2506" t="s">
        <v>7</v>
      </c>
      <c r="B2506">
        <v>2022</v>
      </c>
      <c r="C2506" t="s">
        <v>2</v>
      </c>
      <c r="D2506">
        <v>13677.6</v>
      </c>
      <c r="E2506">
        <v>11904.54</v>
      </c>
      <c r="F2506">
        <v>26.95</v>
      </c>
      <c r="G2506">
        <v>236.04</v>
      </c>
      <c r="H2506">
        <f>E2506*1000000/D2506</f>
        <v>870367.6083523425</v>
      </c>
      <c r="I2506" t="str">
        <f>IF(AND(B2506&gt;=2018, B2506&lt;=2021), "2018-2021", IF(AND(B2506&gt;=2022, B2506&lt;=2024), "2022-2024", "Other"))</f>
        <v>2022-2024</v>
      </c>
    </row>
    <row r="2507" spans="1:9" x14ac:dyDescent="0.3">
      <c r="A2507" t="s">
        <v>18</v>
      </c>
      <c r="B2507">
        <v>2018</v>
      </c>
      <c r="C2507" t="s">
        <v>6</v>
      </c>
      <c r="D2507">
        <v>16389.169999999998</v>
      </c>
      <c r="E2507">
        <v>14527.18</v>
      </c>
      <c r="F2507">
        <v>164.29</v>
      </c>
      <c r="G2507">
        <v>265.5</v>
      </c>
      <c r="H2507">
        <f>E2507*1000000/D2507</f>
        <v>886388.99956495676</v>
      </c>
      <c r="I2507" t="str">
        <f>IF(AND(B2507&gt;=2018, B2507&lt;=2021), "2018-2021", IF(AND(B2507&gt;=2022, B2507&lt;=2024), "2022-2024", "Other"))</f>
        <v>2018-2021</v>
      </c>
    </row>
    <row r="2508" spans="1:9" x14ac:dyDescent="0.3">
      <c r="A2508" t="s">
        <v>26</v>
      </c>
      <c r="B2508">
        <v>2021</v>
      </c>
      <c r="C2508" t="s">
        <v>6</v>
      </c>
      <c r="D2508">
        <v>25316.54</v>
      </c>
      <c r="E2508">
        <v>25586.17</v>
      </c>
      <c r="F2508">
        <v>35.159999999999997</v>
      </c>
      <c r="G2508">
        <v>219.4</v>
      </c>
      <c r="H2508">
        <f>E2508*1000000/D2508</f>
        <v>1010650.349534336</v>
      </c>
      <c r="I2508" t="str">
        <f>IF(AND(B2508&gt;=2018, B2508&lt;=2021), "2018-2021", IF(AND(B2508&gt;=2022, B2508&lt;=2024), "2022-2024", "Other"))</f>
        <v>2018-2021</v>
      </c>
    </row>
    <row r="2509" spans="1:9" x14ac:dyDescent="0.3">
      <c r="A2509" t="s">
        <v>5</v>
      </c>
      <c r="B2509">
        <v>2021</v>
      </c>
      <c r="C2509" t="s">
        <v>4</v>
      </c>
      <c r="D2509">
        <v>9401.08</v>
      </c>
      <c r="E2509">
        <v>10406.23</v>
      </c>
      <c r="F2509">
        <v>72.06</v>
      </c>
      <c r="G2509">
        <v>483.18</v>
      </c>
      <c r="H2509">
        <f>E2509*1000000/D2509</f>
        <v>1106918.5668029631</v>
      </c>
      <c r="I2509" t="str">
        <f>IF(AND(B2509&gt;=2018, B2509&lt;=2021), "2018-2021", IF(AND(B2509&gt;=2022, B2509&lt;=2024), "2022-2024", "Other"))</f>
        <v>2018-2021</v>
      </c>
    </row>
    <row r="2510" spans="1:9" x14ac:dyDescent="0.3">
      <c r="A2510" t="s">
        <v>17</v>
      </c>
      <c r="B2510">
        <v>2019</v>
      </c>
      <c r="C2510" t="s">
        <v>14</v>
      </c>
      <c r="D2510">
        <v>43100.17</v>
      </c>
      <c r="E2510">
        <v>43888.639999999999</v>
      </c>
      <c r="F2510">
        <v>188.15</v>
      </c>
      <c r="G2510">
        <v>791.26</v>
      </c>
      <c r="H2510">
        <f>E2510*1000000/D2510</f>
        <v>1018293.8953605056</v>
      </c>
      <c r="I2510" t="str">
        <f>IF(AND(B2510&gt;=2018, B2510&lt;=2021), "2018-2021", IF(AND(B2510&gt;=2022, B2510&lt;=2024), "2022-2024", "Other"))</f>
        <v>2018-2021</v>
      </c>
    </row>
    <row r="2511" spans="1:9" x14ac:dyDescent="0.3">
      <c r="A2511" t="s">
        <v>1</v>
      </c>
      <c r="B2511">
        <v>2019</v>
      </c>
      <c r="C2511" t="s">
        <v>2</v>
      </c>
      <c r="D2511">
        <v>23278.080000000002</v>
      </c>
      <c r="E2511">
        <v>18634.849999999999</v>
      </c>
      <c r="F2511">
        <v>29.46</v>
      </c>
      <c r="G2511">
        <v>279.01</v>
      </c>
      <c r="H2511">
        <f>E2511*1000000/D2511</f>
        <v>800532.08855713182</v>
      </c>
      <c r="I2511" t="str">
        <f>IF(AND(B2511&gt;=2018, B2511&lt;=2021), "2018-2021", IF(AND(B2511&gt;=2022, B2511&lt;=2024), "2022-2024", "Other"))</f>
        <v>2018-2021</v>
      </c>
    </row>
    <row r="2512" spans="1:9" x14ac:dyDescent="0.3">
      <c r="A2512" t="s">
        <v>11</v>
      </c>
      <c r="B2512">
        <v>2024</v>
      </c>
      <c r="C2512" t="s">
        <v>2</v>
      </c>
      <c r="D2512">
        <v>35210.400000000001</v>
      </c>
      <c r="E2512">
        <v>33667.68</v>
      </c>
      <c r="F2512">
        <v>125.58</v>
      </c>
      <c r="G2512">
        <v>487.37</v>
      </c>
      <c r="H2512">
        <f>E2512*1000000/D2512</f>
        <v>956185.67241496826</v>
      </c>
      <c r="I2512" t="str">
        <f>IF(AND(B2512&gt;=2018, B2512&lt;=2021), "2018-2021", IF(AND(B2512&gt;=2022, B2512&lt;=2024), "2022-2024", "Other"))</f>
        <v>2022-2024</v>
      </c>
    </row>
    <row r="2513" spans="1:9" x14ac:dyDescent="0.3">
      <c r="A2513" t="s">
        <v>15</v>
      </c>
      <c r="B2513">
        <v>2020</v>
      </c>
      <c r="C2513" t="s">
        <v>8</v>
      </c>
      <c r="D2513">
        <v>32182.02</v>
      </c>
      <c r="E2513">
        <v>31669.51</v>
      </c>
      <c r="F2513">
        <v>59.56</v>
      </c>
      <c r="G2513">
        <v>134.96</v>
      </c>
      <c r="H2513">
        <f>E2513*1000000/D2513</f>
        <v>984074.64789345104</v>
      </c>
      <c r="I2513" t="str">
        <f>IF(AND(B2513&gt;=2018, B2513&lt;=2021), "2018-2021", IF(AND(B2513&gt;=2022, B2513&lt;=2024), "2022-2024", "Other"))</f>
        <v>2018-2021</v>
      </c>
    </row>
    <row r="2514" spans="1:9" x14ac:dyDescent="0.3">
      <c r="A2514" t="s">
        <v>25</v>
      </c>
      <c r="B2514">
        <v>2018</v>
      </c>
      <c r="C2514" t="s">
        <v>8</v>
      </c>
      <c r="D2514">
        <v>39229.589999999997</v>
      </c>
      <c r="E2514">
        <v>43918.48</v>
      </c>
      <c r="F2514">
        <v>108.31</v>
      </c>
      <c r="G2514">
        <v>308.27999999999997</v>
      </c>
      <c r="H2514">
        <f>E2514*1000000/D2514</f>
        <v>1119524.318250586</v>
      </c>
      <c r="I2514" t="str">
        <f>IF(AND(B2514&gt;=2018, B2514&lt;=2021), "2018-2021", IF(AND(B2514&gt;=2022, B2514&lt;=2024), "2022-2024", "Other"))</f>
        <v>2018-2021</v>
      </c>
    </row>
    <row r="2515" spans="1:9" x14ac:dyDescent="0.3">
      <c r="A2515" t="s">
        <v>16</v>
      </c>
      <c r="B2515">
        <v>2020</v>
      </c>
      <c r="C2515" t="s">
        <v>12</v>
      </c>
      <c r="D2515">
        <v>22188.400000000001</v>
      </c>
      <c r="E2515">
        <v>19991.37</v>
      </c>
      <c r="F2515">
        <v>56.97</v>
      </c>
      <c r="G2515">
        <v>49.43</v>
      </c>
      <c r="H2515">
        <f>E2515*1000000/D2515</f>
        <v>900982.94604387868</v>
      </c>
      <c r="I2515" t="str">
        <f>IF(AND(B2515&gt;=2018, B2515&lt;=2021), "2018-2021", IF(AND(B2515&gt;=2022, B2515&lt;=2024), "2022-2024", "Other"))</f>
        <v>2018-2021</v>
      </c>
    </row>
    <row r="2516" spans="1:9" x14ac:dyDescent="0.3">
      <c r="A2516" t="s">
        <v>25</v>
      </c>
      <c r="B2516">
        <v>2024</v>
      </c>
      <c r="C2516" t="s">
        <v>12</v>
      </c>
      <c r="D2516">
        <v>32340.21</v>
      </c>
      <c r="E2516">
        <v>31002.78</v>
      </c>
      <c r="F2516">
        <v>171.31</v>
      </c>
      <c r="G2516">
        <v>394.82</v>
      </c>
      <c r="H2516">
        <f>E2516*1000000/D2516</f>
        <v>958644.98096951132</v>
      </c>
      <c r="I2516" t="str">
        <f>IF(AND(B2516&gt;=2018, B2516&lt;=2021), "2018-2021", IF(AND(B2516&gt;=2022, B2516&lt;=2024), "2022-2024", "Other"))</f>
        <v>2022-2024</v>
      </c>
    </row>
    <row r="2517" spans="1:9" x14ac:dyDescent="0.3">
      <c r="A2517" t="s">
        <v>22</v>
      </c>
      <c r="B2517">
        <v>2019</v>
      </c>
      <c r="C2517" t="s">
        <v>14</v>
      </c>
      <c r="D2517">
        <v>10277.58</v>
      </c>
      <c r="E2517">
        <v>10227.700000000001</v>
      </c>
      <c r="F2517">
        <v>123.39</v>
      </c>
      <c r="G2517">
        <v>1394.07</v>
      </c>
      <c r="H2517">
        <f>E2517*1000000/D2517</f>
        <v>995146.71741791361</v>
      </c>
      <c r="I2517" t="str">
        <f>IF(AND(B2517&gt;=2018, B2517&lt;=2021), "2018-2021", IF(AND(B2517&gt;=2022, B2517&lt;=2024), "2022-2024", "Other"))</f>
        <v>2018-2021</v>
      </c>
    </row>
    <row r="2518" spans="1:9" x14ac:dyDescent="0.3">
      <c r="A2518" t="s">
        <v>5</v>
      </c>
      <c r="B2518">
        <v>2021</v>
      </c>
      <c r="C2518" t="s">
        <v>14</v>
      </c>
      <c r="D2518">
        <v>23923.65</v>
      </c>
      <c r="E2518">
        <v>25296.74</v>
      </c>
      <c r="F2518">
        <v>128.47999999999999</v>
      </c>
      <c r="G2518">
        <v>1001.48</v>
      </c>
      <c r="H2518">
        <f>E2518*1000000/D2518</f>
        <v>1057394.670127677</v>
      </c>
      <c r="I2518" t="str">
        <f>IF(AND(B2518&gt;=2018, B2518&lt;=2021), "2018-2021", IF(AND(B2518&gt;=2022, B2518&lt;=2024), "2022-2024", "Other"))</f>
        <v>2018-2021</v>
      </c>
    </row>
    <row r="2519" spans="1:9" x14ac:dyDescent="0.3">
      <c r="A2519" t="s">
        <v>3</v>
      </c>
      <c r="B2519">
        <v>2023</v>
      </c>
      <c r="C2519" t="s">
        <v>0</v>
      </c>
      <c r="D2519">
        <v>45157</v>
      </c>
      <c r="E2519">
        <v>53564.49</v>
      </c>
      <c r="F2519">
        <v>115.23</v>
      </c>
      <c r="G2519">
        <v>812.87</v>
      </c>
      <c r="H2519">
        <f>E2519*1000000/D2519</f>
        <v>1186183.5374360564</v>
      </c>
      <c r="I2519" t="str">
        <f>IF(AND(B2519&gt;=2018, B2519&lt;=2021), "2018-2021", IF(AND(B2519&gt;=2022, B2519&lt;=2024), "2022-2024", "Other"))</f>
        <v>2022-2024</v>
      </c>
    </row>
    <row r="2520" spans="1:9" x14ac:dyDescent="0.3">
      <c r="A2520" t="s">
        <v>23</v>
      </c>
      <c r="B2520">
        <v>2019</v>
      </c>
      <c r="C2520" t="s">
        <v>8</v>
      </c>
      <c r="D2520">
        <v>11183.22</v>
      </c>
      <c r="E2520">
        <v>13039.17</v>
      </c>
      <c r="F2520">
        <v>85.35</v>
      </c>
      <c r="G2520">
        <v>689.37</v>
      </c>
      <c r="H2520">
        <f>E2520*1000000/D2520</f>
        <v>1165958.4627683263</v>
      </c>
      <c r="I2520" t="str">
        <f>IF(AND(B2520&gt;=2018, B2520&lt;=2021), "2018-2021", IF(AND(B2520&gt;=2022, B2520&lt;=2024), "2022-2024", "Other"))</f>
        <v>2018-2021</v>
      </c>
    </row>
    <row r="2521" spans="1:9" x14ac:dyDescent="0.3">
      <c r="A2521" t="s">
        <v>1</v>
      </c>
      <c r="B2521">
        <v>2022</v>
      </c>
      <c r="C2521" t="s">
        <v>9</v>
      </c>
      <c r="D2521">
        <v>15594.99</v>
      </c>
      <c r="E2521">
        <v>14825.92</v>
      </c>
      <c r="F2521">
        <v>78.92</v>
      </c>
      <c r="G2521">
        <v>202.99</v>
      </c>
      <c r="H2521">
        <f>E2521*1000000/D2521</f>
        <v>950684.8032605343</v>
      </c>
      <c r="I2521" t="str">
        <f>IF(AND(B2521&gt;=2018, B2521&lt;=2021), "2018-2021", IF(AND(B2521&gt;=2022, B2521&lt;=2024), "2022-2024", "Other"))</f>
        <v>2022-2024</v>
      </c>
    </row>
    <row r="2522" spans="1:9" x14ac:dyDescent="0.3">
      <c r="A2522" t="s">
        <v>20</v>
      </c>
      <c r="B2522">
        <v>2019</v>
      </c>
      <c r="C2522" t="s">
        <v>0</v>
      </c>
      <c r="D2522">
        <v>26313.17</v>
      </c>
      <c r="E2522">
        <v>21587.83</v>
      </c>
      <c r="F2522">
        <v>102.04</v>
      </c>
      <c r="G2522">
        <v>154.1</v>
      </c>
      <c r="H2522">
        <f>E2522*1000000/D2522</f>
        <v>820419.20452761871</v>
      </c>
      <c r="I2522" t="str">
        <f>IF(AND(B2522&gt;=2018, B2522&lt;=2021), "2018-2021", IF(AND(B2522&gt;=2022, B2522&lt;=2024), "2022-2024", "Other"))</f>
        <v>2018-2021</v>
      </c>
    </row>
    <row r="2523" spans="1:9" x14ac:dyDescent="0.3">
      <c r="A2523" t="s">
        <v>25</v>
      </c>
      <c r="B2523">
        <v>2024</v>
      </c>
      <c r="C2523" t="s">
        <v>6</v>
      </c>
      <c r="D2523">
        <v>917.16</v>
      </c>
      <c r="E2523">
        <v>983.12</v>
      </c>
      <c r="F2523">
        <v>151.18</v>
      </c>
      <c r="G2523">
        <v>241.65</v>
      </c>
      <c r="H2523">
        <f>E2523*1000000/D2523</f>
        <v>1071917.6588599591</v>
      </c>
      <c r="I2523" t="str">
        <f>IF(AND(B2523&gt;=2018, B2523&lt;=2021), "2018-2021", IF(AND(B2523&gt;=2022, B2523&lt;=2024), "2022-2024", "Other"))</f>
        <v>2022-2024</v>
      </c>
    </row>
    <row r="2524" spans="1:9" x14ac:dyDescent="0.3">
      <c r="A2524" t="s">
        <v>23</v>
      </c>
      <c r="B2524">
        <v>2019</v>
      </c>
      <c r="C2524" t="s">
        <v>4</v>
      </c>
      <c r="D2524">
        <v>27755.59</v>
      </c>
      <c r="E2524">
        <v>30296.11</v>
      </c>
      <c r="F2524">
        <v>77.78</v>
      </c>
      <c r="G2524">
        <v>942.96</v>
      </c>
      <c r="H2524">
        <f>E2524*1000000/D2524</f>
        <v>1091531.8319661012</v>
      </c>
      <c r="I2524" t="str">
        <f>IF(AND(B2524&gt;=2018, B2524&lt;=2021), "2018-2021", IF(AND(B2524&gt;=2022, B2524&lt;=2024), "2022-2024", "Other"))</f>
        <v>2018-2021</v>
      </c>
    </row>
    <row r="2525" spans="1:9" x14ac:dyDescent="0.3">
      <c r="A2525" t="s">
        <v>24</v>
      </c>
      <c r="B2525">
        <v>2024</v>
      </c>
      <c r="C2525" t="s">
        <v>2</v>
      </c>
      <c r="D2525">
        <v>37067.86</v>
      </c>
      <c r="E2525">
        <v>41505.39</v>
      </c>
      <c r="F2525">
        <v>100.67</v>
      </c>
      <c r="G2525">
        <v>978.64</v>
      </c>
      <c r="H2525">
        <f>E2525*1000000/D2525</f>
        <v>1119713.6818796662</v>
      </c>
      <c r="I2525" t="str">
        <f>IF(AND(B2525&gt;=2018, B2525&lt;=2021), "2018-2021", IF(AND(B2525&gt;=2022, B2525&lt;=2024), "2022-2024", "Other"))</f>
        <v>2022-2024</v>
      </c>
    </row>
    <row r="2526" spans="1:9" x14ac:dyDescent="0.3">
      <c r="A2526" t="s">
        <v>24</v>
      </c>
      <c r="B2526">
        <v>2021</v>
      </c>
      <c r="C2526" t="s">
        <v>9</v>
      </c>
      <c r="D2526">
        <v>42752.86</v>
      </c>
      <c r="E2526">
        <v>44995.09</v>
      </c>
      <c r="F2526">
        <v>131.88</v>
      </c>
      <c r="G2526">
        <v>521.78</v>
      </c>
      <c r="H2526">
        <f>E2526*1000000/D2526</f>
        <v>1052446.3158722012</v>
      </c>
      <c r="I2526" t="str">
        <f>IF(AND(B2526&gt;=2018, B2526&lt;=2021), "2018-2021", IF(AND(B2526&gt;=2022, B2526&lt;=2024), "2022-2024", "Other"))</f>
        <v>2018-2021</v>
      </c>
    </row>
    <row r="2527" spans="1:9" x14ac:dyDescent="0.3">
      <c r="A2527" t="s">
        <v>19</v>
      </c>
      <c r="B2527">
        <v>2021</v>
      </c>
      <c r="C2527" t="s">
        <v>2</v>
      </c>
      <c r="D2527">
        <v>47607.95</v>
      </c>
      <c r="E2527">
        <v>43821.9</v>
      </c>
      <c r="F2527">
        <v>130.47999999999999</v>
      </c>
      <c r="G2527">
        <v>53.93</v>
      </c>
      <c r="H2527">
        <f>E2527*1000000/D2527</f>
        <v>920474.41656278004</v>
      </c>
      <c r="I2527" t="str">
        <f>IF(AND(B2527&gt;=2018, B2527&lt;=2021), "2018-2021", IF(AND(B2527&gt;=2022, B2527&lt;=2024), "2022-2024", "Other"))</f>
        <v>2018-2021</v>
      </c>
    </row>
    <row r="2528" spans="1:9" x14ac:dyDescent="0.3">
      <c r="A2528" t="s">
        <v>27</v>
      </c>
      <c r="B2528">
        <v>2022</v>
      </c>
      <c r="C2528" t="s">
        <v>8</v>
      </c>
      <c r="D2528">
        <v>22942.38</v>
      </c>
      <c r="E2528">
        <v>19277.509999999998</v>
      </c>
      <c r="F2528">
        <v>113.71</v>
      </c>
      <c r="G2528">
        <v>522.25</v>
      </c>
      <c r="H2528">
        <f>E2528*1000000/D2528</f>
        <v>840257.63674039044</v>
      </c>
      <c r="I2528" t="str">
        <f>IF(AND(B2528&gt;=2018, B2528&lt;=2021), "2018-2021", IF(AND(B2528&gt;=2022, B2528&lt;=2024), "2022-2024", "Other"))</f>
        <v>2022-2024</v>
      </c>
    </row>
    <row r="2529" spans="1:9" x14ac:dyDescent="0.3">
      <c r="A2529" t="s">
        <v>10</v>
      </c>
      <c r="B2529">
        <v>2021</v>
      </c>
      <c r="C2529" t="s">
        <v>6</v>
      </c>
      <c r="D2529">
        <v>31516.720000000001</v>
      </c>
      <c r="E2529">
        <v>37095.599999999999</v>
      </c>
      <c r="F2529">
        <v>174.72</v>
      </c>
      <c r="G2529">
        <v>928.38</v>
      </c>
      <c r="H2529">
        <f>E2529*1000000/D2529</f>
        <v>1177013.3440281856</v>
      </c>
      <c r="I2529" t="str">
        <f>IF(AND(B2529&gt;=2018, B2529&lt;=2021), "2018-2021", IF(AND(B2529&gt;=2022, B2529&lt;=2024), "2022-2024", "Other"))</f>
        <v>2018-2021</v>
      </c>
    </row>
    <row r="2530" spans="1:9" x14ac:dyDescent="0.3">
      <c r="A2530" t="s">
        <v>18</v>
      </c>
      <c r="B2530">
        <v>2020</v>
      </c>
      <c r="C2530" t="s">
        <v>4</v>
      </c>
      <c r="D2530">
        <v>2173.71</v>
      </c>
      <c r="E2530">
        <v>2153.3000000000002</v>
      </c>
      <c r="F2530">
        <v>189.77</v>
      </c>
      <c r="G2530">
        <v>1191.1300000000001</v>
      </c>
      <c r="H2530">
        <f>E2530*1000000/D2530</f>
        <v>990610.52302285028</v>
      </c>
      <c r="I2530" t="str">
        <f>IF(AND(B2530&gt;=2018, B2530&lt;=2021), "2018-2021", IF(AND(B2530&gt;=2022, B2530&lt;=2024), "2022-2024", "Other"))</f>
        <v>2018-2021</v>
      </c>
    </row>
    <row r="2531" spans="1:9" x14ac:dyDescent="0.3">
      <c r="A2531" t="s">
        <v>11</v>
      </c>
      <c r="B2531">
        <v>2023</v>
      </c>
      <c r="C2531" t="s">
        <v>0</v>
      </c>
      <c r="D2531">
        <v>19958</v>
      </c>
      <c r="E2531">
        <v>17988.28</v>
      </c>
      <c r="F2531">
        <v>191.19</v>
      </c>
      <c r="G2531">
        <v>1167.48</v>
      </c>
      <c r="H2531">
        <f>E2531*1000000/D2531</f>
        <v>901306.74416274182</v>
      </c>
      <c r="I2531" t="str">
        <f>IF(AND(B2531&gt;=2018, B2531&lt;=2021), "2018-2021", IF(AND(B2531&gt;=2022, B2531&lt;=2024), "2022-2024", "Other"))</f>
        <v>2022-2024</v>
      </c>
    </row>
    <row r="2532" spans="1:9" x14ac:dyDescent="0.3">
      <c r="A2532" t="s">
        <v>10</v>
      </c>
      <c r="B2532">
        <v>2021</v>
      </c>
      <c r="C2532" t="s">
        <v>9</v>
      </c>
      <c r="D2532">
        <v>33407.800000000003</v>
      </c>
      <c r="E2532">
        <v>37966.92</v>
      </c>
      <c r="F2532">
        <v>169.23</v>
      </c>
      <c r="G2532">
        <v>368.13</v>
      </c>
      <c r="H2532">
        <f>E2532*1000000/D2532</f>
        <v>1136468.7288597273</v>
      </c>
      <c r="I2532" t="str">
        <f>IF(AND(B2532&gt;=2018, B2532&lt;=2021), "2018-2021", IF(AND(B2532&gt;=2022, B2532&lt;=2024), "2022-2024", "Other"))</f>
        <v>2018-2021</v>
      </c>
    </row>
    <row r="2533" spans="1:9" x14ac:dyDescent="0.3">
      <c r="A2533" t="s">
        <v>1</v>
      </c>
      <c r="B2533">
        <v>2023</v>
      </c>
      <c r="C2533" t="s">
        <v>6</v>
      </c>
      <c r="D2533">
        <v>1329.78</v>
      </c>
      <c r="E2533">
        <v>1241.1300000000001</v>
      </c>
      <c r="F2533">
        <v>197.64</v>
      </c>
      <c r="G2533">
        <v>1122.05</v>
      </c>
      <c r="H2533">
        <f>E2533*1000000/D2533</f>
        <v>933334.83734151511</v>
      </c>
      <c r="I2533" t="str">
        <f>IF(AND(B2533&gt;=2018, B2533&lt;=2021), "2018-2021", IF(AND(B2533&gt;=2022, B2533&lt;=2024), "2022-2024", "Other"))</f>
        <v>2022-2024</v>
      </c>
    </row>
    <row r="2534" spans="1:9" x14ac:dyDescent="0.3">
      <c r="A2534" t="s">
        <v>16</v>
      </c>
      <c r="B2534">
        <v>2023</v>
      </c>
      <c r="C2534" t="s">
        <v>4</v>
      </c>
      <c r="D2534">
        <v>40075.57</v>
      </c>
      <c r="E2534">
        <v>42113.39</v>
      </c>
      <c r="F2534">
        <v>86.45</v>
      </c>
      <c r="G2534">
        <v>1316.48</v>
      </c>
      <c r="H2534">
        <f>E2534*1000000/D2534</f>
        <v>1050849.4327092541</v>
      </c>
      <c r="I2534" t="str">
        <f>IF(AND(B2534&gt;=2018, B2534&lt;=2021), "2018-2021", IF(AND(B2534&gt;=2022, B2534&lt;=2024), "2022-2024", "Other"))</f>
        <v>2022-2024</v>
      </c>
    </row>
    <row r="2535" spans="1:9" x14ac:dyDescent="0.3">
      <c r="A2535" t="s">
        <v>22</v>
      </c>
      <c r="B2535">
        <v>2020</v>
      </c>
      <c r="C2535" t="s">
        <v>4</v>
      </c>
      <c r="D2535">
        <v>14300.86</v>
      </c>
      <c r="E2535">
        <v>16682.72</v>
      </c>
      <c r="F2535">
        <v>138.84</v>
      </c>
      <c r="G2535">
        <v>1394.7</v>
      </c>
      <c r="H2535">
        <f>E2535*1000000/D2535</f>
        <v>1166553.6198522327</v>
      </c>
      <c r="I2535" t="str">
        <f>IF(AND(B2535&gt;=2018, B2535&lt;=2021), "2018-2021", IF(AND(B2535&gt;=2022, B2535&lt;=2024), "2022-2024", "Other"))</f>
        <v>2018-2021</v>
      </c>
    </row>
    <row r="2536" spans="1:9" x14ac:dyDescent="0.3">
      <c r="A2536" t="s">
        <v>5</v>
      </c>
      <c r="B2536">
        <v>2018</v>
      </c>
      <c r="C2536" t="s">
        <v>12</v>
      </c>
      <c r="D2536">
        <v>34565.339999999997</v>
      </c>
      <c r="E2536">
        <v>39768.46</v>
      </c>
      <c r="F2536">
        <v>117.99</v>
      </c>
      <c r="G2536">
        <v>1266.0999999999999</v>
      </c>
      <c r="H2536">
        <f>E2536*1000000/D2536</f>
        <v>1150529.9817678635</v>
      </c>
      <c r="I2536" t="str">
        <f>IF(AND(B2536&gt;=2018, B2536&lt;=2021), "2018-2021", IF(AND(B2536&gt;=2022, B2536&lt;=2024), "2022-2024", "Other"))</f>
        <v>2018-2021</v>
      </c>
    </row>
    <row r="2537" spans="1:9" x14ac:dyDescent="0.3">
      <c r="A2537" t="s">
        <v>17</v>
      </c>
      <c r="B2537">
        <v>2022</v>
      </c>
      <c r="C2537" t="s">
        <v>8</v>
      </c>
      <c r="D2537">
        <v>19540.97</v>
      </c>
      <c r="E2537">
        <v>17882.5</v>
      </c>
      <c r="F2537">
        <v>183.25</v>
      </c>
      <c r="G2537">
        <v>214.17</v>
      </c>
      <c r="H2537">
        <f>E2537*1000000/D2537</f>
        <v>915128.57345362077</v>
      </c>
      <c r="I2537" t="str">
        <f>IF(AND(B2537&gt;=2018, B2537&lt;=2021), "2018-2021", IF(AND(B2537&gt;=2022, B2537&lt;=2024), "2022-2024", "Other"))</f>
        <v>2022-2024</v>
      </c>
    </row>
    <row r="2538" spans="1:9" x14ac:dyDescent="0.3">
      <c r="A2538" t="s">
        <v>13</v>
      </c>
      <c r="B2538">
        <v>2023</v>
      </c>
      <c r="C2538" t="s">
        <v>12</v>
      </c>
      <c r="D2538">
        <v>7865.27</v>
      </c>
      <c r="E2538">
        <v>7212.47</v>
      </c>
      <c r="F2538">
        <v>41.79</v>
      </c>
      <c r="G2538">
        <v>1300.76</v>
      </c>
      <c r="H2538">
        <f>E2538*1000000/D2538</f>
        <v>917002.2135285883</v>
      </c>
      <c r="I2538" t="str">
        <f>IF(AND(B2538&gt;=2018, B2538&lt;=2021), "2018-2021", IF(AND(B2538&gt;=2022, B2538&lt;=2024), "2022-2024", "Other"))</f>
        <v>2022-2024</v>
      </c>
    </row>
    <row r="2539" spans="1:9" x14ac:dyDescent="0.3">
      <c r="A2539" t="s">
        <v>19</v>
      </c>
      <c r="B2539">
        <v>2021</v>
      </c>
      <c r="C2539" t="s">
        <v>0</v>
      </c>
      <c r="D2539">
        <v>25685.9</v>
      </c>
      <c r="E2539">
        <v>22671.47</v>
      </c>
      <c r="F2539">
        <v>141.24</v>
      </c>
      <c r="G2539">
        <v>1272.07</v>
      </c>
      <c r="H2539">
        <f>E2539*1000000/D2539</f>
        <v>882642.61715571571</v>
      </c>
      <c r="I2539" t="str">
        <f>IF(AND(B2539&gt;=2018, B2539&lt;=2021), "2018-2021", IF(AND(B2539&gt;=2022, B2539&lt;=2024), "2022-2024", "Other"))</f>
        <v>2018-2021</v>
      </c>
    </row>
    <row r="2540" spans="1:9" x14ac:dyDescent="0.3">
      <c r="A2540" t="s">
        <v>11</v>
      </c>
      <c r="B2540">
        <v>2018</v>
      </c>
      <c r="C2540" t="s">
        <v>9</v>
      </c>
      <c r="D2540">
        <v>11519.01</v>
      </c>
      <c r="E2540">
        <v>11225.03</v>
      </c>
      <c r="F2540">
        <v>175.83</v>
      </c>
      <c r="G2540">
        <v>783.23</v>
      </c>
      <c r="H2540">
        <f>E2540*1000000/D2540</f>
        <v>974478.70954187901</v>
      </c>
      <c r="I2540" t="str">
        <f>IF(AND(B2540&gt;=2018, B2540&lt;=2021), "2018-2021", IF(AND(B2540&gt;=2022, B2540&lt;=2024), "2022-2024", "Other"))</f>
        <v>2018-2021</v>
      </c>
    </row>
    <row r="2541" spans="1:9" x14ac:dyDescent="0.3">
      <c r="A2541" t="s">
        <v>3</v>
      </c>
      <c r="B2541">
        <v>2018</v>
      </c>
      <c r="C2541" t="s">
        <v>6</v>
      </c>
      <c r="D2541">
        <v>28963.8</v>
      </c>
      <c r="E2541">
        <v>28028.78</v>
      </c>
      <c r="F2541">
        <v>51.95</v>
      </c>
      <c r="G2541">
        <v>1207.99</v>
      </c>
      <c r="H2541">
        <f>E2541*1000000/D2541</f>
        <v>967717.63373590482</v>
      </c>
      <c r="I2541" t="str">
        <f>IF(AND(B2541&gt;=2018, B2541&lt;=2021), "2018-2021", IF(AND(B2541&gt;=2022, B2541&lt;=2024), "2022-2024", "Other"))</f>
        <v>2018-2021</v>
      </c>
    </row>
    <row r="2542" spans="1:9" x14ac:dyDescent="0.3">
      <c r="A2542" t="s">
        <v>23</v>
      </c>
      <c r="B2542">
        <v>2021</v>
      </c>
      <c r="C2542" t="s">
        <v>14</v>
      </c>
      <c r="D2542">
        <v>6591.96</v>
      </c>
      <c r="E2542">
        <v>5430.54</v>
      </c>
      <c r="F2542">
        <v>47.72</v>
      </c>
      <c r="G2542">
        <v>917.23</v>
      </c>
      <c r="H2542">
        <f>E2542*1000000/D2542</f>
        <v>823812.64449420199</v>
      </c>
      <c r="I2542" t="str">
        <f>IF(AND(B2542&gt;=2018, B2542&lt;=2021), "2018-2021", IF(AND(B2542&gt;=2022, B2542&lt;=2024), "2022-2024", "Other"))</f>
        <v>2018-2021</v>
      </c>
    </row>
    <row r="2543" spans="1:9" x14ac:dyDescent="0.3">
      <c r="A2543" t="s">
        <v>5</v>
      </c>
      <c r="B2543">
        <v>2020</v>
      </c>
      <c r="C2543" t="s">
        <v>4</v>
      </c>
      <c r="D2543">
        <v>5400.45</v>
      </c>
      <c r="E2543">
        <v>5284.17</v>
      </c>
      <c r="F2543">
        <v>138.18</v>
      </c>
      <c r="G2543">
        <v>70.25</v>
      </c>
      <c r="H2543">
        <f>E2543*1000000/D2543</f>
        <v>978468.46096158656</v>
      </c>
      <c r="I2543" t="str">
        <f>IF(AND(B2543&gt;=2018, B2543&lt;=2021), "2018-2021", IF(AND(B2543&gt;=2022, B2543&lt;=2024), "2022-2024", "Other"))</f>
        <v>2018-2021</v>
      </c>
    </row>
    <row r="2544" spans="1:9" x14ac:dyDescent="0.3">
      <c r="A2544" t="s">
        <v>19</v>
      </c>
      <c r="B2544">
        <v>2024</v>
      </c>
      <c r="C2544" t="s">
        <v>4</v>
      </c>
      <c r="D2544">
        <v>30861.439999999999</v>
      </c>
      <c r="E2544">
        <v>33051.89</v>
      </c>
      <c r="F2544">
        <v>51.45</v>
      </c>
      <c r="G2544">
        <v>1081.1300000000001</v>
      </c>
      <c r="H2544">
        <f>E2544*1000000/D2544</f>
        <v>1070976.9213620622</v>
      </c>
      <c r="I2544" t="str">
        <f>IF(AND(B2544&gt;=2018, B2544&lt;=2021), "2018-2021", IF(AND(B2544&gt;=2022, B2544&lt;=2024), "2022-2024", "Other"))</f>
        <v>2022-2024</v>
      </c>
    </row>
    <row r="2545" spans="1:9" x14ac:dyDescent="0.3">
      <c r="A2545" t="s">
        <v>21</v>
      </c>
      <c r="B2545">
        <v>2021</v>
      </c>
      <c r="C2545" t="s">
        <v>6</v>
      </c>
      <c r="D2545">
        <v>26637.65</v>
      </c>
      <c r="E2545">
        <v>26863.99</v>
      </c>
      <c r="F2545">
        <v>76.790000000000006</v>
      </c>
      <c r="G2545">
        <v>396.8</v>
      </c>
      <c r="H2545">
        <f>E2545*1000000/D2545</f>
        <v>1008496.9957935478</v>
      </c>
      <c r="I2545" t="str">
        <f>IF(AND(B2545&gt;=2018, B2545&lt;=2021), "2018-2021", IF(AND(B2545&gt;=2022, B2545&lt;=2024), "2022-2024", "Other"))</f>
        <v>2018-2021</v>
      </c>
    </row>
    <row r="2546" spans="1:9" x14ac:dyDescent="0.3">
      <c r="A2546" t="s">
        <v>18</v>
      </c>
      <c r="B2546">
        <v>2020</v>
      </c>
      <c r="C2546" t="s">
        <v>14</v>
      </c>
      <c r="D2546">
        <v>39942.639999999999</v>
      </c>
      <c r="E2546">
        <v>38567.82</v>
      </c>
      <c r="F2546">
        <v>89.26</v>
      </c>
      <c r="G2546">
        <v>95.85</v>
      </c>
      <c r="H2546">
        <f>E2546*1000000/D2546</f>
        <v>965580.14192351839</v>
      </c>
      <c r="I2546" t="str">
        <f>IF(AND(B2546&gt;=2018, B2546&lt;=2021), "2018-2021", IF(AND(B2546&gt;=2022, B2546&lt;=2024), "2022-2024", "Other"))</f>
        <v>2018-2021</v>
      </c>
    </row>
    <row r="2547" spans="1:9" x14ac:dyDescent="0.3">
      <c r="A2547" t="s">
        <v>7</v>
      </c>
      <c r="B2547">
        <v>2019</v>
      </c>
      <c r="C2547" t="s">
        <v>14</v>
      </c>
      <c r="D2547">
        <v>20608.88</v>
      </c>
      <c r="E2547">
        <v>22193.89</v>
      </c>
      <c r="F2547">
        <v>33.9</v>
      </c>
      <c r="G2547">
        <v>1241.78</v>
      </c>
      <c r="H2547">
        <f>E2547*1000000/D2547</f>
        <v>1076909.0799694113</v>
      </c>
      <c r="I2547" t="str">
        <f>IF(AND(B2547&gt;=2018, B2547&lt;=2021), "2018-2021", IF(AND(B2547&gt;=2022, B2547&lt;=2024), "2022-2024", "Other"))</f>
        <v>2018-2021</v>
      </c>
    </row>
    <row r="2548" spans="1:9" x14ac:dyDescent="0.3">
      <c r="A2548" t="s">
        <v>21</v>
      </c>
      <c r="B2548">
        <v>2019</v>
      </c>
      <c r="C2548" t="s">
        <v>6</v>
      </c>
      <c r="D2548">
        <v>3212.13</v>
      </c>
      <c r="E2548">
        <v>3440.46</v>
      </c>
      <c r="F2548">
        <v>21.95</v>
      </c>
      <c r="G2548">
        <v>1152.71</v>
      </c>
      <c r="H2548">
        <f>E2548*1000000/D2548</f>
        <v>1071083.6734503272</v>
      </c>
      <c r="I2548" t="str">
        <f>IF(AND(B2548&gt;=2018, B2548&lt;=2021), "2018-2021", IF(AND(B2548&gt;=2022, B2548&lt;=2024), "2022-2024", "Other"))</f>
        <v>2018-2021</v>
      </c>
    </row>
    <row r="2549" spans="1:9" x14ac:dyDescent="0.3">
      <c r="A2549" t="s">
        <v>10</v>
      </c>
      <c r="B2549">
        <v>2019</v>
      </c>
      <c r="C2549" t="s">
        <v>8</v>
      </c>
      <c r="D2549">
        <v>15409.64</v>
      </c>
      <c r="E2549">
        <v>12563.66</v>
      </c>
      <c r="F2549">
        <v>40.58</v>
      </c>
      <c r="G2549">
        <v>203.57</v>
      </c>
      <c r="H2549">
        <f>E2549*1000000/D2549</f>
        <v>815311.71396606287</v>
      </c>
      <c r="I2549" t="str">
        <f>IF(AND(B2549&gt;=2018, B2549&lt;=2021), "2018-2021", IF(AND(B2549&gt;=2022, B2549&lt;=2024), "2022-2024", "Other"))</f>
        <v>2018-2021</v>
      </c>
    </row>
    <row r="2550" spans="1:9" x14ac:dyDescent="0.3">
      <c r="A2550" t="s">
        <v>22</v>
      </c>
      <c r="B2550">
        <v>2021</v>
      </c>
      <c r="C2550" t="s">
        <v>12</v>
      </c>
      <c r="D2550">
        <v>41860.94</v>
      </c>
      <c r="E2550">
        <v>39019.300000000003</v>
      </c>
      <c r="F2550">
        <v>53.66</v>
      </c>
      <c r="G2550">
        <v>706.4</v>
      </c>
      <c r="H2550">
        <f>E2550*1000000/D2550</f>
        <v>932117.14787102246</v>
      </c>
      <c r="I2550" t="str">
        <f>IF(AND(B2550&gt;=2018, B2550&lt;=2021), "2018-2021", IF(AND(B2550&gt;=2022, B2550&lt;=2024), "2022-2024", "Other"))</f>
        <v>2018-2021</v>
      </c>
    </row>
    <row r="2551" spans="1:9" x14ac:dyDescent="0.3">
      <c r="A2551" t="s">
        <v>21</v>
      </c>
      <c r="B2551">
        <v>2021</v>
      </c>
      <c r="C2551" t="s">
        <v>9</v>
      </c>
      <c r="D2551">
        <v>4571.25</v>
      </c>
      <c r="E2551">
        <v>4641.71</v>
      </c>
      <c r="F2551">
        <v>29.11</v>
      </c>
      <c r="G2551">
        <v>585.23</v>
      </c>
      <c r="H2551">
        <f>E2551*1000000/D2551</f>
        <v>1015413.7270987148</v>
      </c>
      <c r="I2551" t="str">
        <f>IF(AND(B2551&gt;=2018, B2551&lt;=2021), "2018-2021", IF(AND(B2551&gt;=2022, B2551&lt;=2024), "2022-2024", "Other"))</f>
        <v>2018-2021</v>
      </c>
    </row>
    <row r="2552" spans="1:9" x14ac:dyDescent="0.3">
      <c r="A2552" t="s">
        <v>11</v>
      </c>
      <c r="B2552">
        <v>2021</v>
      </c>
      <c r="C2552" t="s">
        <v>4</v>
      </c>
      <c r="D2552">
        <v>31789.17</v>
      </c>
      <c r="E2552">
        <v>32620.18</v>
      </c>
      <c r="F2552">
        <v>103.68</v>
      </c>
      <c r="G2552">
        <v>898.11</v>
      </c>
      <c r="H2552">
        <f>E2552*1000000/D2552</f>
        <v>1026141.2927736081</v>
      </c>
      <c r="I2552" t="str">
        <f>IF(AND(B2552&gt;=2018, B2552&lt;=2021), "2018-2021", IF(AND(B2552&gt;=2022, B2552&lt;=2024), "2022-2024", "Other"))</f>
        <v>2018-2021</v>
      </c>
    </row>
    <row r="2553" spans="1:9" x14ac:dyDescent="0.3">
      <c r="A2553" t="s">
        <v>19</v>
      </c>
      <c r="B2553">
        <v>2021</v>
      </c>
      <c r="C2553" t="s">
        <v>6</v>
      </c>
      <c r="D2553">
        <v>34210.269999999997</v>
      </c>
      <c r="E2553">
        <v>38932.639999999999</v>
      </c>
      <c r="F2553">
        <v>34.049999999999997</v>
      </c>
      <c r="G2553">
        <v>699.58</v>
      </c>
      <c r="H2553">
        <f>E2553*1000000/D2553</f>
        <v>1138039.5419270296</v>
      </c>
      <c r="I2553" t="str">
        <f>IF(AND(B2553&gt;=2018, B2553&lt;=2021), "2018-2021", IF(AND(B2553&gt;=2022, B2553&lt;=2024), "2022-2024", "Other"))</f>
        <v>2018-2021</v>
      </c>
    </row>
    <row r="2554" spans="1:9" x14ac:dyDescent="0.3">
      <c r="A2554" t="s">
        <v>10</v>
      </c>
      <c r="B2554">
        <v>2022</v>
      </c>
      <c r="C2554" t="s">
        <v>12</v>
      </c>
      <c r="D2554">
        <v>24194.55</v>
      </c>
      <c r="E2554">
        <v>24007</v>
      </c>
      <c r="F2554">
        <v>72.430000000000007</v>
      </c>
      <c r="G2554">
        <v>703.37</v>
      </c>
      <c r="H2554">
        <f>E2554*1000000/D2554</f>
        <v>992248.25425560714</v>
      </c>
      <c r="I2554" t="str">
        <f>IF(AND(B2554&gt;=2018, B2554&lt;=2021), "2018-2021", IF(AND(B2554&gt;=2022, B2554&lt;=2024), "2022-2024", "Other"))</f>
        <v>2022-2024</v>
      </c>
    </row>
    <row r="2555" spans="1:9" x14ac:dyDescent="0.3">
      <c r="A2555" t="s">
        <v>16</v>
      </c>
      <c r="B2555">
        <v>2020</v>
      </c>
      <c r="C2555" t="s">
        <v>8</v>
      </c>
      <c r="D2555">
        <v>1507.01</v>
      </c>
      <c r="E2555">
        <v>1665.67</v>
      </c>
      <c r="F2555">
        <v>23.29</v>
      </c>
      <c r="G2555">
        <v>884.81</v>
      </c>
      <c r="H2555">
        <f>E2555*1000000/D2555</f>
        <v>1105281.3186375671</v>
      </c>
      <c r="I2555" t="str">
        <f>IF(AND(B2555&gt;=2018, B2555&lt;=2021), "2018-2021", IF(AND(B2555&gt;=2022, B2555&lt;=2024), "2022-2024", "Other"))</f>
        <v>2018-2021</v>
      </c>
    </row>
    <row r="2556" spans="1:9" x14ac:dyDescent="0.3">
      <c r="A2556" t="s">
        <v>24</v>
      </c>
      <c r="B2556">
        <v>2024</v>
      </c>
      <c r="C2556" t="s">
        <v>6</v>
      </c>
      <c r="D2556">
        <v>17666.7</v>
      </c>
      <c r="E2556">
        <v>18290.14</v>
      </c>
      <c r="F2556">
        <v>179.48</v>
      </c>
      <c r="G2556">
        <v>609.34</v>
      </c>
      <c r="H2556">
        <f>E2556*1000000/D2556</f>
        <v>1035288.9900207735</v>
      </c>
      <c r="I2556" t="str">
        <f>IF(AND(B2556&gt;=2018, B2556&lt;=2021), "2018-2021", IF(AND(B2556&gt;=2022, B2556&lt;=2024), "2022-2024", "Other"))</f>
        <v>2022-2024</v>
      </c>
    </row>
    <row r="2557" spans="1:9" x14ac:dyDescent="0.3">
      <c r="A2557" t="s">
        <v>26</v>
      </c>
      <c r="B2557">
        <v>2022</v>
      </c>
      <c r="C2557" t="s">
        <v>14</v>
      </c>
      <c r="D2557">
        <v>28166.03</v>
      </c>
      <c r="E2557">
        <v>32064.33</v>
      </c>
      <c r="F2557">
        <v>135.33000000000001</v>
      </c>
      <c r="G2557">
        <v>73.53</v>
      </c>
      <c r="H2557">
        <f>E2557*1000000/D2557</f>
        <v>1138404.311860777</v>
      </c>
      <c r="I2557" t="str">
        <f>IF(AND(B2557&gt;=2018, B2557&lt;=2021), "2018-2021", IF(AND(B2557&gt;=2022, B2557&lt;=2024), "2022-2024", "Other"))</f>
        <v>2022-2024</v>
      </c>
    </row>
    <row r="2558" spans="1:9" x14ac:dyDescent="0.3">
      <c r="A2558" t="s">
        <v>20</v>
      </c>
      <c r="B2558">
        <v>2023</v>
      </c>
      <c r="C2558" t="s">
        <v>4</v>
      </c>
      <c r="D2558">
        <v>22068.06</v>
      </c>
      <c r="E2558">
        <v>25370.79</v>
      </c>
      <c r="F2558">
        <v>125.75</v>
      </c>
      <c r="G2558">
        <v>1204.48</v>
      </c>
      <c r="H2558">
        <f>E2558*1000000/D2558</f>
        <v>1149661.0939067593</v>
      </c>
      <c r="I2558" t="str">
        <f>IF(AND(B2558&gt;=2018, B2558&lt;=2021), "2018-2021", IF(AND(B2558&gt;=2022, B2558&lt;=2024), "2022-2024", "Other"))</f>
        <v>2022-2024</v>
      </c>
    </row>
    <row r="2559" spans="1:9" x14ac:dyDescent="0.3">
      <c r="A2559" t="s">
        <v>20</v>
      </c>
      <c r="B2559">
        <v>2018</v>
      </c>
      <c r="C2559" t="s">
        <v>4</v>
      </c>
      <c r="D2559">
        <v>14117.67</v>
      </c>
      <c r="E2559">
        <v>15947.33</v>
      </c>
      <c r="F2559">
        <v>58.77</v>
      </c>
      <c r="G2559">
        <v>450.71</v>
      </c>
      <c r="H2559">
        <f>E2559*1000000/D2559</f>
        <v>1129600.7060655192</v>
      </c>
      <c r="I2559" t="str">
        <f>IF(AND(B2559&gt;=2018, B2559&lt;=2021), "2018-2021", IF(AND(B2559&gt;=2022, B2559&lt;=2024), "2022-2024", "Other"))</f>
        <v>2018-2021</v>
      </c>
    </row>
    <row r="2560" spans="1:9" x14ac:dyDescent="0.3">
      <c r="A2560" t="s">
        <v>11</v>
      </c>
      <c r="B2560">
        <v>2020</v>
      </c>
      <c r="C2560" t="s">
        <v>4</v>
      </c>
      <c r="D2560">
        <v>35550.5</v>
      </c>
      <c r="E2560">
        <v>28691.26</v>
      </c>
      <c r="F2560">
        <v>75.11</v>
      </c>
      <c r="G2560">
        <v>652.95000000000005</v>
      </c>
      <c r="H2560">
        <f>E2560*1000000/D2560</f>
        <v>807056.44083768164</v>
      </c>
      <c r="I2560" t="str">
        <f>IF(AND(B2560&gt;=2018, B2560&lt;=2021), "2018-2021", IF(AND(B2560&gt;=2022, B2560&lt;=2024), "2022-2024", "Other"))</f>
        <v>2018-2021</v>
      </c>
    </row>
    <row r="2561" spans="1:9" x14ac:dyDescent="0.3">
      <c r="A2561" t="s">
        <v>13</v>
      </c>
      <c r="B2561">
        <v>2018</v>
      </c>
      <c r="C2561" t="s">
        <v>14</v>
      </c>
      <c r="D2561">
        <v>18397.259999999998</v>
      </c>
      <c r="E2561">
        <v>18345.47</v>
      </c>
      <c r="F2561">
        <v>196.15</v>
      </c>
      <c r="G2561">
        <v>1350.54</v>
      </c>
      <c r="H2561">
        <f>E2561*1000000/D2561</f>
        <v>997184.9068828728</v>
      </c>
      <c r="I2561" t="str">
        <f>IF(AND(B2561&gt;=2018, B2561&lt;=2021), "2018-2021", IF(AND(B2561&gt;=2022, B2561&lt;=2024), "2022-2024", "Other"))</f>
        <v>2018-2021</v>
      </c>
    </row>
    <row r="2562" spans="1:9" x14ac:dyDescent="0.3">
      <c r="A2562" t="s">
        <v>27</v>
      </c>
      <c r="B2562">
        <v>2024</v>
      </c>
      <c r="C2562" t="s">
        <v>8</v>
      </c>
      <c r="D2562">
        <v>18182.490000000002</v>
      </c>
      <c r="E2562">
        <v>17421.64</v>
      </c>
      <c r="F2562">
        <v>120.88</v>
      </c>
      <c r="G2562">
        <v>459.86</v>
      </c>
      <c r="H2562">
        <f>E2562*1000000/D2562</f>
        <v>958154.79618028109</v>
      </c>
      <c r="I2562" t="str">
        <f>IF(AND(B2562&gt;=2018, B2562&lt;=2021), "2018-2021", IF(AND(B2562&gt;=2022, B2562&lt;=2024), "2022-2024", "Other"))</f>
        <v>2022-2024</v>
      </c>
    </row>
    <row r="2563" spans="1:9" x14ac:dyDescent="0.3">
      <c r="A2563" t="s">
        <v>1</v>
      </c>
      <c r="B2563">
        <v>2024</v>
      </c>
      <c r="C2563" t="s">
        <v>0</v>
      </c>
      <c r="D2563">
        <v>33678.99</v>
      </c>
      <c r="E2563">
        <v>37845.96</v>
      </c>
      <c r="F2563">
        <v>182.7</v>
      </c>
      <c r="G2563">
        <v>1010.87</v>
      </c>
      <c r="H2563">
        <f>E2563*1000000/D2563</f>
        <v>1123726.0974868902</v>
      </c>
      <c r="I2563" t="str">
        <f>IF(AND(B2563&gt;=2018, B2563&lt;=2021), "2018-2021", IF(AND(B2563&gt;=2022, B2563&lt;=2024), "2022-2024", "Other"))</f>
        <v>2022-2024</v>
      </c>
    </row>
    <row r="2564" spans="1:9" x14ac:dyDescent="0.3">
      <c r="A2564" t="s">
        <v>16</v>
      </c>
      <c r="B2564">
        <v>2018</v>
      </c>
      <c r="C2564" t="s">
        <v>4</v>
      </c>
      <c r="D2564">
        <v>49725.48</v>
      </c>
      <c r="E2564">
        <v>39791.279999999999</v>
      </c>
      <c r="F2564">
        <v>179.25</v>
      </c>
      <c r="G2564">
        <v>825.15</v>
      </c>
      <c r="H2564">
        <f>E2564*1000000/D2564</f>
        <v>800219.12307332177</v>
      </c>
      <c r="I2564" t="str">
        <f>IF(AND(B2564&gt;=2018, B2564&lt;=2021), "2018-2021", IF(AND(B2564&gt;=2022, B2564&lt;=2024), "2022-2024", "Other"))</f>
        <v>2018-2021</v>
      </c>
    </row>
    <row r="2565" spans="1:9" x14ac:dyDescent="0.3">
      <c r="A2565" t="s">
        <v>24</v>
      </c>
      <c r="B2565">
        <v>2018</v>
      </c>
      <c r="C2565" t="s">
        <v>0</v>
      </c>
      <c r="D2565">
        <v>43718.87</v>
      </c>
      <c r="E2565">
        <v>46546.15</v>
      </c>
      <c r="F2565">
        <v>63.86</v>
      </c>
      <c r="G2565">
        <v>302.83</v>
      </c>
      <c r="H2565">
        <f>E2565*1000000/D2565</f>
        <v>1064669.558019226</v>
      </c>
      <c r="I2565" t="str">
        <f>IF(AND(B2565&gt;=2018, B2565&lt;=2021), "2018-2021", IF(AND(B2565&gt;=2022, B2565&lt;=2024), "2022-2024", "Other"))</f>
        <v>2018-2021</v>
      </c>
    </row>
    <row r="2566" spans="1:9" x14ac:dyDescent="0.3">
      <c r="A2566" t="s">
        <v>20</v>
      </c>
      <c r="B2566">
        <v>2018</v>
      </c>
      <c r="C2566" t="s">
        <v>6</v>
      </c>
      <c r="D2566">
        <v>18178.169999999998</v>
      </c>
      <c r="E2566">
        <v>20882.560000000001</v>
      </c>
      <c r="F2566">
        <v>103.45</v>
      </c>
      <c r="G2566">
        <v>1087.47</v>
      </c>
      <c r="H2566">
        <f>E2566*1000000/D2566</f>
        <v>1148771.300961538</v>
      </c>
      <c r="I2566" t="str">
        <f>IF(AND(B2566&gt;=2018, B2566&lt;=2021), "2018-2021", IF(AND(B2566&gt;=2022, B2566&lt;=2024), "2022-2024", "Other"))</f>
        <v>2018-2021</v>
      </c>
    </row>
    <row r="2567" spans="1:9" x14ac:dyDescent="0.3">
      <c r="A2567" t="s">
        <v>22</v>
      </c>
      <c r="B2567">
        <v>2019</v>
      </c>
      <c r="C2567" t="s">
        <v>6</v>
      </c>
      <c r="D2567">
        <v>2361.7800000000002</v>
      </c>
      <c r="E2567">
        <v>2447.6799999999998</v>
      </c>
      <c r="F2567">
        <v>114.16</v>
      </c>
      <c r="G2567">
        <v>304.01</v>
      </c>
      <c r="H2567">
        <f>E2567*1000000/D2567</f>
        <v>1036370.8728162656</v>
      </c>
      <c r="I2567" t="str">
        <f>IF(AND(B2567&gt;=2018, B2567&lt;=2021), "2018-2021", IF(AND(B2567&gt;=2022, B2567&lt;=2024), "2022-2024", "Other"))</f>
        <v>2018-2021</v>
      </c>
    </row>
    <row r="2568" spans="1:9" x14ac:dyDescent="0.3">
      <c r="A2568" t="s">
        <v>11</v>
      </c>
      <c r="B2568">
        <v>2021</v>
      </c>
      <c r="C2568" t="s">
        <v>9</v>
      </c>
      <c r="D2568">
        <v>22518.1</v>
      </c>
      <c r="E2568">
        <v>22926.93</v>
      </c>
      <c r="F2568">
        <v>132.46</v>
      </c>
      <c r="G2568">
        <v>794.3</v>
      </c>
      <c r="H2568">
        <f>E2568*1000000/D2568</f>
        <v>1018155.6170369615</v>
      </c>
      <c r="I2568" t="str">
        <f>IF(AND(B2568&gt;=2018, B2568&lt;=2021), "2018-2021", IF(AND(B2568&gt;=2022, B2568&lt;=2024), "2022-2024", "Other"))</f>
        <v>2018-2021</v>
      </c>
    </row>
    <row r="2569" spans="1:9" x14ac:dyDescent="0.3">
      <c r="A2569" t="s">
        <v>7</v>
      </c>
      <c r="B2569">
        <v>2019</v>
      </c>
      <c r="C2569" t="s">
        <v>12</v>
      </c>
      <c r="D2569">
        <v>6573.61</v>
      </c>
      <c r="E2569">
        <v>7409.16</v>
      </c>
      <c r="F2569">
        <v>139.21</v>
      </c>
      <c r="G2569">
        <v>205.93</v>
      </c>
      <c r="H2569">
        <f>E2569*1000000/D2569</f>
        <v>1127106.7191391033</v>
      </c>
      <c r="I2569" t="str">
        <f>IF(AND(B2569&gt;=2018, B2569&lt;=2021), "2018-2021", IF(AND(B2569&gt;=2022, B2569&lt;=2024), "2022-2024", "Other"))</f>
        <v>2018-2021</v>
      </c>
    </row>
    <row r="2570" spans="1:9" x14ac:dyDescent="0.3">
      <c r="A2570" t="s">
        <v>22</v>
      </c>
      <c r="B2570">
        <v>2023</v>
      </c>
      <c r="C2570" t="s">
        <v>12</v>
      </c>
      <c r="D2570">
        <v>7728.67</v>
      </c>
      <c r="E2570">
        <v>6610.72</v>
      </c>
      <c r="F2570">
        <v>77.94</v>
      </c>
      <c r="G2570">
        <v>1000.73</v>
      </c>
      <c r="H2570">
        <f>E2570*1000000/D2570</f>
        <v>855350.27372109296</v>
      </c>
      <c r="I2570" t="str">
        <f>IF(AND(B2570&gt;=2018, B2570&lt;=2021), "2018-2021", IF(AND(B2570&gt;=2022, B2570&lt;=2024), "2022-2024", "Other"))</f>
        <v>2022-2024</v>
      </c>
    </row>
    <row r="2571" spans="1:9" x14ac:dyDescent="0.3">
      <c r="A2571" t="s">
        <v>7</v>
      </c>
      <c r="B2571">
        <v>2024</v>
      </c>
      <c r="C2571" t="s">
        <v>14</v>
      </c>
      <c r="D2571">
        <v>16939.91</v>
      </c>
      <c r="E2571">
        <v>16626.25</v>
      </c>
      <c r="F2571">
        <v>173.64</v>
      </c>
      <c r="G2571">
        <v>222.19</v>
      </c>
      <c r="H2571">
        <f>E2571*1000000/D2571</f>
        <v>981483.96301987441</v>
      </c>
      <c r="I2571" t="str">
        <f>IF(AND(B2571&gt;=2018, B2571&lt;=2021), "2018-2021", IF(AND(B2571&gt;=2022, B2571&lt;=2024), "2022-2024", "Other"))</f>
        <v>2022-2024</v>
      </c>
    </row>
    <row r="2572" spans="1:9" x14ac:dyDescent="0.3">
      <c r="A2572" t="s">
        <v>16</v>
      </c>
      <c r="B2572">
        <v>2023</v>
      </c>
      <c r="C2572" t="s">
        <v>2</v>
      </c>
      <c r="D2572">
        <v>44859.73</v>
      </c>
      <c r="E2572">
        <v>53743.68</v>
      </c>
      <c r="F2572">
        <v>126.17</v>
      </c>
      <c r="G2572">
        <v>611.76</v>
      </c>
      <c r="H2572">
        <f>E2572*1000000/D2572</f>
        <v>1198038.4188669883</v>
      </c>
      <c r="I2572" t="str">
        <f>IF(AND(B2572&gt;=2018, B2572&lt;=2021), "2018-2021", IF(AND(B2572&gt;=2022, B2572&lt;=2024), "2022-2024", "Other"))</f>
        <v>2022-2024</v>
      </c>
    </row>
    <row r="2573" spans="1:9" x14ac:dyDescent="0.3">
      <c r="A2573" t="s">
        <v>13</v>
      </c>
      <c r="B2573">
        <v>2019</v>
      </c>
      <c r="C2573" t="s">
        <v>9</v>
      </c>
      <c r="D2573">
        <v>45282.57</v>
      </c>
      <c r="E2573">
        <v>39853.279999999999</v>
      </c>
      <c r="F2573">
        <v>151.43</v>
      </c>
      <c r="G2573">
        <v>828.24</v>
      </c>
      <c r="H2573">
        <f>E2573*1000000/D2573</f>
        <v>880101.99067764927</v>
      </c>
      <c r="I2573" t="str">
        <f>IF(AND(B2573&gt;=2018, B2573&lt;=2021), "2018-2021", IF(AND(B2573&gt;=2022, B2573&lt;=2024), "2022-2024", "Other"))</f>
        <v>2018-2021</v>
      </c>
    </row>
    <row r="2574" spans="1:9" x14ac:dyDescent="0.3">
      <c r="A2574" t="s">
        <v>27</v>
      </c>
      <c r="B2574">
        <v>2023</v>
      </c>
      <c r="C2574" t="s">
        <v>4</v>
      </c>
      <c r="D2574">
        <v>39542.720000000001</v>
      </c>
      <c r="E2574">
        <v>41554.81</v>
      </c>
      <c r="F2574">
        <v>30.7</v>
      </c>
      <c r="G2574">
        <v>1155.3800000000001</v>
      </c>
      <c r="H2574">
        <f>E2574*1000000/D2574</f>
        <v>1050883.9553778798</v>
      </c>
      <c r="I2574" t="str">
        <f>IF(AND(B2574&gt;=2018, B2574&lt;=2021), "2018-2021", IF(AND(B2574&gt;=2022, B2574&lt;=2024), "2022-2024", "Other"))</f>
        <v>2022-2024</v>
      </c>
    </row>
    <row r="2575" spans="1:9" x14ac:dyDescent="0.3">
      <c r="A2575" t="s">
        <v>26</v>
      </c>
      <c r="B2575">
        <v>2024</v>
      </c>
      <c r="C2575" t="s">
        <v>9</v>
      </c>
      <c r="D2575">
        <v>2136.04</v>
      </c>
      <c r="E2575">
        <v>2213.5700000000002</v>
      </c>
      <c r="F2575">
        <v>24.64</v>
      </c>
      <c r="G2575">
        <v>1299.3</v>
      </c>
      <c r="H2575">
        <f>E2575*1000000/D2575</f>
        <v>1036296.1367764649</v>
      </c>
      <c r="I2575" t="str">
        <f>IF(AND(B2575&gt;=2018, B2575&lt;=2021), "2018-2021", IF(AND(B2575&gt;=2022, B2575&lt;=2024), "2022-2024", "Other"))</f>
        <v>2022-2024</v>
      </c>
    </row>
    <row r="2576" spans="1:9" x14ac:dyDescent="0.3">
      <c r="A2576" t="s">
        <v>5</v>
      </c>
      <c r="B2576">
        <v>2020</v>
      </c>
      <c r="C2576" t="s">
        <v>12</v>
      </c>
      <c r="D2576">
        <v>15558.69</v>
      </c>
      <c r="E2576">
        <v>18531.009999999998</v>
      </c>
      <c r="F2576">
        <v>140.22999999999999</v>
      </c>
      <c r="G2576">
        <v>205.45</v>
      </c>
      <c r="H2576">
        <f>E2576*1000000/D2576</f>
        <v>1191039.2198829078</v>
      </c>
      <c r="I2576" t="str">
        <f>IF(AND(B2576&gt;=2018, B2576&lt;=2021), "2018-2021", IF(AND(B2576&gt;=2022, B2576&lt;=2024), "2022-2024", "Other"))</f>
        <v>2018-2021</v>
      </c>
    </row>
    <row r="2577" spans="1:9" x14ac:dyDescent="0.3">
      <c r="A2577" t="s">
        <v>25</v>
      </c>
      <c r="B2577">
        <v>2019</v>
      </c>
      <c r="C2577" t="s">
        <v>6</v>
      </c>
      <c r="D2577">
        <v>30862.47</v>
      </c>
      <c r="E2577">
        <v>26345.71</v>
      </c>
      <c r="F2577">
        <v>52.53</v>
      </c>
      <c r="G2577">
        <v>440.76</v>
      </c>
      <c r="H2577">
        <f>E2577*1000000/D2577</f>
        <v>853648.78442976205</v>
      </c>
      <c r="I2577" t="str">
        <f>IF(AND(B2577&gt;=2018, B2577&lt;=2021), "2018-2021", IF(AND(B2577&gt;=2022, B2577&lt;=2024), "2022-2024", "Other"))</f>
        <v>2018-2021</v>
      </c>
    </row>
    <row r="2578" spans="1:9" x14ac:dyDescent="0.3">
      <c r="A2578" t="s">
        <v>24</v>
      </c>
      <c r="B2578">
        <v>2024</v>
      </c>
      <c r="C2578" t="s">
        <v>4</v>
      </c>
      <c r="D2578">
        <v>30474.95</v>
      </c>
      <c r="E2578">
        <v>34692.400000000001</v>
      </c>
      <c r="F2578">
        <v>21.06</v>
      </c>
      <c r="G2578">
        <v>1315.27</v>
      </c>
      <c r="H2578">
        <f>E2578*1000000/D2578</f>
        <v>1138390.7110594111</v>
      </c>
      <c r="I2578" t="str">
        <f>IF(AND(B2578&gt;=2018, B2578&lt;=2021), "2018-2021", IF(AND(B2578&gt;=2022, B2578&lt;=2024), "2022-2024", "Other"))</f>
        <v>2022-2024</v>
      </c>
    </row>
    <row r="2579" spans="1:9" x14ac:dyDescent="0.3">
      <c r="A2579" t="s">
        <v>27</v>
      </c>
      <c r="B2579">
        <v>2020</v>
      </c>
      <c r="C2579" t="s">
        <v>9</v>
      </c>
      <c r="D2579">
        <v>27722.41</v>
      </c>
      <c r="E2579">
        <v>29609.5</v>
      </c>
      <c r="F2579">
        <v>55.95</v>
      </c>
      <c r="G2579">
        <v>368.49</v>
      </c>
      <c r="H2579">
        <f>E2579*1000000/D2579</f>
        <v>1068070.9216839373</v>
      </c>
      <c r="I2579" t="str">
        <f>IF(AND(B2579&gt;=2018, B2579&lt;=2021), "2018-2021", IF(AND(B2579&gt;=2022, B2579&lt;=2024), "2022-2024", "Other"))</f>
        <v>2018-2021</v>
      </c>
    </row>
    <row r="2580" spans="1:9" x14ac:dyDescent="0.3">
      <c r="A2580" t="s">
        <v>20</v>
      </c>
      <c r="B2580">
        <v>2021</v>
      </c>
      <c r="C2580" t="s">
        <v>8</v>
      </c>
      <c r="D2580">
        <v>1269.0899999999999</v>
      </c>
      <c r="E2580">
        <v>1405.35</v>
      </c>
      <c r="F2580">
        <v>178.23</v>
      </c>
      <c r="G2580">
        <v>192.26</v>
      </c>
      <c r="H2580">
        <f>E2580*1000000/D2580</f>
        <v>1107368.2717537764</v>
      </c>
      <c r="I2580" t="str">
        <f>IF(AND(B2580&gt;=2018, B2580&lt;=2021), "2018-2021", IF(AND(B2580&gt;=2022, B2580&lt;=2024), "2022-2024", "Other"))</f>
        <v>2018-2021</v>
      </c>
    </row>
    <row r="2581" spans="1:9" x14ac:dyDescent="0.3">
      <c r="A2581" t="s">
        <v>17</v>
      </c>
      <c r="B2581">
        <v>2024</v>
      </c>
      <c r="C2581" t="s">
        <v>0</v>
      </c>
      <c r="D2581">
        <v>28800.97</v>
      </c>
      <c r="E2581">
        <v>25638.14</v>
      </c>
      <c r="F2581">
        <v>116.79</v>
      </c>
      <c r="G2581">
        <v>574.23</v>
      </c>
      <c r="H2581">
        <f>E2581*1000000/D2581</f>
        <v>890183.21257929853</v>
      </c>
      <c r="I2581" t="str">
        <f>IF(AND(B2581&gt;=2018, B2581&lt;=2021), "2018-2021", IF(AND(B2581&gt;=2022, B2581&lt;=2024), "2022-2024", "Other"))</f>
        <v>2022-2024</v>
      </c>
    </row>
    <row r="2582" spans="1:9" x14ac:dyDescent="0.3">
      <c r="A2582" t="s">
        <v>13</v>
      </c>
      <c r="B2582">
        <v>2021</v>
      </c>
      <c r="C2582" t="s">
        <v>6</v>
      </c>
      <c r="D2582">
        <v>23699.25</v>
      </c>
      <c r="E2582">
        <v>23056.02</v>
      </c>
      <c r="F2582">
        <v>80.209999999999994</v>
      </c>
      <c r="G2582">
        <v>221.33</v>
      </c>
      <c r="H2582">
        <f>E2582*1000000/D2582</f>
        <v>972858.63476692303</v>
      </c>
      <c r="I2582" t="str">
        <f>IF(AND(B2582&gt;=2018, B2582&lt;=2021), "2018-2021", IF(AND(B2582&gt;=2022, B2582&lt;=2024), "2022-2024", "Other"))</f>
        <v>2018-2021</v>
      </c>
    </row>
    <row r="2583" spans="1:9" x14ac:dyDescent="0.3">
      <c r="A2583" t="s">
        <v>18</v>
      </c>
      <c r="B2583">
        <v>2022</v>
      </c>
      <c r="C2583" t="s">
        <v>0</v>
      </c>
      <c r="D2583">
        <v>49442.91</v>
      </c>
      <c r="E2583">
        <v>42866.87</v>
      </c>
      <c r="F2583">
        <v>69.150000000000006</v>
      </c>
      <c r="G2583">
        <v>144.79</v>
      </c>
      <c r="H2583">
        <f>E2583*1000000/D2583</f>
        <v>866997.31063564017</v>
      </c>
      <c r="I2583" t="str">
        <f>IF(AND(B2583&gt;=2018, B2583&lt;=2021), "2018-2021", IF(AND(B2583&gt;=2022, B2583&lt;=2024), "2022-2024", "Other"))</f>
        <v>2022-2024</v>
      </c>
    </row>
    <row r="2584" spans="1:9" x14ac:dyDescent="0.3">
      <c r="A2584" t="s">
        <v>21</v>
      </c>
      <c r="B2584">
        <v>2023</v>
      </c>
      <c r="C2584" t="s">
        <v>2</v>
      </c>
      <c r="D2584">
        <v>17577.599999999999</v>
      </c>
      <c r="E2584">
        <v>21040.48</v>
      </c>
      <c r="F2584">
        <v>173.11</v>
      </c>
      <c r="G2584">
        <v>258.5</v>
      </c>
      <c r="H2584">
        <f>E2584*1000000/D2584</f>
        <v>1197005.2794465686</v>
      </c>
      <c r="I2584" t="str">
        <f>IF(AND(B2584&gt;=2018, B2584&lt;=2021), "2018-2021", IF(AND(B2584&gt;=2022, B2584&lt;=2024), "2022-2024", "Other"))</f>
        <v>2022-2024</v>
      </c>
    </row>
    <row r="2585" spans="1:9" x14ac:dyDescent="0.3">
      <c r="A2585" t="s">
        <v>24</v>
      </c>
      <c r="B2585">
        <v>2024</v>
      </c>
      <c r="C2585" t="s">
        <v>6</v>
      </c>
      <c r="D2585">
        <v>44829.03</v>
      </c>
      <c r="E2585">
        <v>51182.3</v>
      </c>
      <c r="F2585">
        <v>105.46</v>
      </c>
      <c r="G2585">
        <v>188.33</v>
      </c>
      <c r="H2585">
        <f>E2585*1000000/D2585</f>
        <v>1141722.2277617874</v>
      </c>
      <c r="I2585" t="str">
        <f>IF(AND(B2585&gt;=2018, B2585&lt;=2021), "2018-2021", IF(AND(B2585&gt;=2022, B2585&lt;=2024), "2022-2024", "Other"))</f>
        <v>2022-2024</v>
      </c>
    </row>
    <row r="2586" spans="1:9" x14ac:dyDescent="0.3">
      <c r="A2586" t="s">
        <v>5</v>
      </c>
      <c r="B2586">
        <v>2020</v>
      </c>
      <c r="C2586" t="s">
        <v>9</v>
      </c>
      <c r="D2586">
        <v>47767.96</v>
      </c>
      <c r="E2586">
        <v>46986.38</v>
      </c>
      <c r="F2586">
        <v>53.5</v>
      </c>
      <c r="G2586">
        <v>448.82</v>
      </c>
      <c r="H2586">
        <f>E2586*1000000/D2586</f>
        <v>983637.98663371848</v>
      </c>
      <c r="I2586" t="str">
        <f>IF(AND(B2586&gt;=2018, B2586&lt;=2021), "2018-2021", IF(AND(B2586&gt;=2022, B2586&lt;=2024), "2022-2024", "Other"))</f>
        <v>2018-2021</v>
      </c>
    </row>
    <row r="2587" spans="1:9" x14ac:dyDescent="0.3">
      <c r="A2587" t="s">
        <v>26</v>
      </c>
      <c r="B2587">
        <v>2023</v>
      </c>
      <c r="C2587" t="s">
        <v>0</v>
      </c>
      <c r="D2587">
        <v>38587.949999999997</v>
      </c>
      <c r="E2587">
        <v>36062.720000000001</v>
      </c>
      <c r="F2587">
        <v>27.36</v>
      </c>
      <c r="G2587">
        <v>346.48</v>
      </c>
      <c r="H2587">
        <f>E2587*1000000/D2587</f>
        <v>934559.10459094099</v>
      </c>
      <c r="I2587" t="str">
        <f>IF(AND(B2587&gt;=2018, B2587&lt;=2021), "2018-2021", IF(AND(B2587&gt;=2022, B2587&lt;=2024), "2022-2024", "Other"))</f>
        <v>2022-2024</v>
      </c>
    </row>
    <row r="2588" spans="1:9" x14ac:dyDescent="0.3">
      <c r="A2588" t="s">
        <v>7</v>
      </c>
      <c r="B2588">
        <v>2022</v>
      </c>
      <c r="C2588" t="s">
        <v>8</v>
      </c>
      <c r="D2588">
        <v>48773.09</v>
      </c>
      <c r="E2588">
        <v>49979.19</v>
      </c>
      <c r="F2588">
        <v>110.86</v>
      </c>
      <c r="G2588">
        <v>885.95</v>
      </c>
      <c r="H2588">
        <f>E2588*1000000/D2588</f>
        <v>1024728.8002462015</v>
      </c>
      <c r="I2588" t="str">
        <f>IF(AND(B2588&gt;=2018, B2588&lt;=2021), "2018-2021", IF(AND(B2588&gt;=2022, B2588&lt;=2024), "2022-2024", "Other"))</f>
        <v>2022-2024</v>
      </c>
    </row>
    <row r="2589" spans="1:9" x14ac:dyDescent="0.3">
      <c r="A2589" t="s">
        <v>19</v>
      </c>
      <c r="B2589">
        <v>2019</v>
      </c>
      <c r="C2589" t="s">
        <v>12</v>
      </c>
      <c r="D2589">
        <v>35769.230000000003</v>
      </c>
      <c r="E2589">
        <v>42188.36</v>
      </c>
      <c r="F2589">
        <v>44.51</v>
      </c>
      <c r="G2589">
        <v>75</v>
      </c>
      <c r="H2589">
        <f>E2589*1000000/D2589</f>
        <v>1179459.5522464418</v>
      </c>
      <c r="I2589" t="str">
        <f>IF(AND(B2589&gt;=2018, B2589&lt;=2021), "2018-2021", IF(AND(B2589&gt;=2022, B2589&lt;=2024), "2022-2024", "Other"))</f>
        <v>2018-2021</v>
      </c>
    </row>
    <row r="2590" spans="1:9" x14ac:dyDescent="0.3">
      <c r="A2590" t="s">
        <v>17</v>
      </c>
      <c r="B2590">
        <v>2023</v>
      </c>
      <c r="C2590" t="s">
        <v>2</v>
      </c>
      <c r="D2590">
        <v>4411.22</v>
      </c>
      <c r="E2590">
        <v>4831.53</v>
      </c>
      <c r="F2590">
        <v>94.76</v>
      </c>
      <c r="G2590">
        <v>1142.3699999999999</v>
      </c>
      <c r="H2590">
        <f>E2590*1000000/D2590</f>
        <v>1095282.0308214054</v>
      </c>
      <c r="I2590" t="str">
        <f>IF(AND(B2590&gt;=2018, B2590&lt;=2021), "2018-2021", IF(AND(B2590&gt;=2022, B2590&lt;=2024), "2022-2024", "Other"))</f>
        <v>2022-2024</v>
      </c>
    </row>
    <row r="2591" spans="1:9" x14ac:dyDescent="0.3">
      <c r="A2591" t="s">
        <v>5</v>
      </c>
      <c r="B2591">
        <v>2023</v>
      </c>
      <c r="C2591" t="s">
        <v>9</v>
      </c>
      <c r="D2591">
        <v>2117.79</v>
      </c>
      <c r="E2591">
        <v>2145.5500000000002</v>
      </c>
      <c r="F2591">
        <v>127.54</v>
      </c>
      <c r="G2591">
        <v>1034.96</v>
      </c>
      <c r="H2591">
        <f>E2591*1000000/D2591</f>
        <v>1013108.0040986123</v>
      </c>
      <c r="I2591" t="str">
        <f>IF(AND(B2591&gt;=2018, B2591&lt;=2021), "2018-2021", IF(AND(B2591&gt;=2022, B2591&lt;=2024), "2022-2024", "Other"))</f>
        <v>2022-2024</v>
      </c>
    </row>
    <row r="2592" spans="1:9" x14ac:dyDescent="0.3">
      <c r="A2592" t="s">
        <v>17</v>
      </c>
      <c r="B2592">
        <v>2020</v>
      </c>
      <c r="C2592" t="s">
        <v>2</v>
      </c>
      <c r="D2592">
        <v>31203.21</v>
      </c>
      <c r="E2592">
        <v>35795.47</v>
      </c>
      <c r="F2592">
        <v>151.41</v>
      </c>
      <c r="G2592">
        <v>29.97</v>
      </c>
      <c r="H2592">
        <f>E2592*1000000/D2592</f>
        <v>1147172.6787083766</v>
      </c>
      <c r="I2592" t="str">
        <f>IF(AND(B2592&gt;=2018, B2592&lt;=2021), "2018-2021", IF(AND(B2592&gt;=2022, B2592&lt;=2024), "2022-2024", "Other"))</f>
        <v>2018-2021</v>
      </c>
    </row>
    <row r="2593" spans="1:9" x14ac:dyDescent="0.3">
      <c r="A2593" t="s">
        <v>16</v>
      </c>
      <c r="B2593">
        <v>2018</v>
      </c>
      <c r="C2593" t="s">
        <v>8</v>
      </c>
      <c r="D2593">
        <v>2750.6</v>
      </c>
      <c r="E2593">
        <v>2443.2399999999998</v>
      </c>
      <c r="F2593">
        <v>95.25</v>
      </c>
      <c r="G2593">
        <v>655.47</v>
      </c>
      <c r="H2593">
        <f>E2593*1000000/D2593</f>
        <v>888257.10754017311</v>
      </c>
      <c r="I2593" t="str">
        <f>IF(AND(B2593&gt;=2018, B2593&lt;=2021), "2018-2021", IF(AND(B2593&gt;=2022, B2593&lt;=2024), "2022-2024", "Other"))</f>
        <v>2018-2021</v>
      </c>
    </row>
    <row r="2594" spans="1:9" x14ac:dyDescent="0.3">
      <c r="A2594" t="s">
        <v>5</v>
      </c>
      <c r="B2594">
        <v>2022</v>
      </c>
      <c r="C2594" t="s">
        <v>4</v>
      </c>
      <c r="D2594">
        <v>7481.55</v>
      </c>
      <c r="E2594">
        <v>7570.6</v>
      </c>
      <c r="F2594">
        <v>100.16</v>
      </c>
      <c r="G2594">
        <v>148.58000000000001</v>
      </c>
      <c r="H2594">
        <f>E2594*1000000/D2594</f>
        <v>1011902.6137631908</v>
      </c>
      <c r="I2594" t="str">
        <f>IF(AND(B2594&gt;=2018, B2594&lt;=2021), "2018-2021", IF(AND(B2594&gt;=2022, B2594&lt;=2024), "2022-2024", "Other"))</f>
        <v>2022-2024</v>
      </c>
    </row>
    <row r="2595" spans="1:9" x14ac:dyDescent="0.3">
      <c r="A2595" t="s">
        <v>17</v>
      </c>
      <c r="B2595">
        <v>2020</v>
      </c>
      <c r="C2595" t="s">
        <v>4</v>
      </c>
      <c r="D2595">
        <v>40196.660000000003</v>
      </c>
      <c r="E2595">
        <v>44387.040000000001</v>
      </c>
      <c r="F2595">
        <v>132.11000000000001</v>
      </c>
      <c r="G2595">
        <v>871.82</v>
      </c>
      <c r="H2595">
        <f>E2595*1000000/D2595</f>
        <v>1104246.9697731105</v>
      </c>
      <c r="I2595" t="str">
        <f>IF(AND(B2595&gt;=2018, B2595&lt;=2021), "2018-2021", IF(AND(B2595&gt;=2022, B2595&lt;=2024), "2022-2024", "Other"))</f>
        <v>2018-2021</v>
      </c>
    </row>
    <row r="2596" spans="1:9" x14ac:dyDescent="0.3">
      <c r="A2596" t="s">
        <v>15</v>
      </c>
      <c r="B2596">
        <v>2023</v>
      </c>
      <c r="C2596" t="s">
        <v>9</v>
      </c>
      <c r="D2596">
        <v>35756.15</v>
      </c>
      <c r="E2596">
        <v>38283.129999999997</v>
      </c>
      <c r="F2596">
        <v>30.97</v>
      </c>
      <c r="G2596">
        <v>230.68</v>
      </c>
      <c r="H2596">
        <f>E2596*1000000/D2596</f>
        <v>1070672.5975811153</v>
      </c>
      <c r="I2596" t="str">
        <f>IF(AND(B2596&gt;=2018, B2596&lt;=2021), "2018-2021", IF(AND(B2596&gt;=2022, B2596&lt;=2024), "2022-2024", "Other"))</f>
        <v>2022-2024</v>
      </c>
    </row>
    <row r="2597" spans="1:9" x14ac:dyDescent="0.3">
      <c r="A2597" t="s">
        <v>15</v>
      </c>
      <c r="B2597">
        <v>2023</v>
      </c>
      <c r="C2597" t="s">
        <v>6</v>
      </c>
      <c r="D2597">
        <v>20786.5</v>
      </c>
      <c r="E2597">
        <v>17814.84</v>
      </c>
      <c r="F2597">
        <v>142.72</v>
      </c>
      <c r="G2597">
        <v>106.31</v>
      </c>
      <c r="H2597">
        <f>E2597*1000000/D2597</f>
        <v>857038.94354508934</v>
      </c>
      <c r="I2597" t="str">
        <f>IF(AND(B2597&gt;=2018, B2597&lt;=2021), "2018-2021", IF(AND(B2597&gt;=2022, B2597&lt;=2024), "2022-2024", "Other"))</f>
        <v>2022-2024</v>
      </c>
    </row>
    <row r="2598" spans="1:9" x14ac:dyDescent="0.3">
      <c r="A2598" t="s">
        <v>1</v>
      </c>
      <c r="B2598">
        <v>2021</v>
      </c>
      <c r="C2598" t="s">
        <v>8</v>
      </c>
      <c r="D2598">
        <v>33531.230000000003</v>
      </c>
      <c r="E2598">
        <v>26864.95</v>
      </c>
      <c r="F2598">
        <v>132.44</v>
      </c>
      <c r="G2598">
        <v>542.48</v>
      </c>
      <c r="H2598">
        <f>E2598*1000000/D2598</f>
        <v>801191.90378641034</v>
      </c>
      <c r="I2598" t="str">
        <f>IF(AND(B2598&gt;=2018, B2598&lt;=2021), "2018-2021", IF(AND(B2598&gt;=2022, B2598&lt;=2024), "2022-2024", "Other"))</f>
        <v>2018-2021</v>
      </c>
    </row>
    <row r="2599" spans="1:9" x14ac:dyDescent="0.3">
      <c r="A2599" t="s">
        <v>27</v>
      </c>
      <c r="B2599">
        <v>2020</v>
      </c>
      <c r="C2599" t="s">
        <v>6</v>
      </c>
      <c r="D2599">
        <v>11862.8</v>
      </c>
      <c r="E2599">
        <v>12059.54</v>
      </c>
      <c r="F2599">
        <v>167.53</v>
      </c>
      <c r="G2599">
        <v>64.819999999999993</v>
      </c>
      <c r="H2599">
        <f>E2599*1000000/D2599</f>
        <v>1016584.6174596217</v>
      </c>
      <c r="I2599" t="str">
        <f>IF(AND(B2599&gt;=2018, B2599&lt;=2021), "2018-2021", IF(AND(B2599&gt;=2022, B2599&lt;=2024), "2022-2024", "Other"))</f>
        <v>2018-2021</v>
      </c>
    </row>
    <row r="2600" spans="1:9" x14ac:dyDescent="0.3">
      <c r="A2600" t="s">
        <v>18</v>
      </c>
      <c r="B2600">
        <v>2019</v>
      </c>
      <c r="C2600" t="s">
        <v>12</v>
      </c>
      <c r="D2600">
        <v>44841.19</v>
      </c>
      <c r="E2600">
        <v>40377.25</v>
      </c>
      <c r="F2600">
        <v>160.5</v>
      </c>
      <c r="G2600">
        <v>379.61</v>
      </c>
      <c r="H2600">
        <f>E2600*1000000/D2600</f>
        <v>900450.01035877946</v>
      </c>
      <c r="I2600" t="str">
        <f>IF(AND(B2600&gt;=2018, B2600&lt;=2021), "2018-2021", IF(AND(B2600&gt;=2022, B2600&lt;=2024), "2022-2024", "Other"))</f>
        <v>2018-2021</v>
      </c>
    </row>
    <row r="2601" spans="1:9" x14ac:dyDescent="0.3">
      <c r="A2601" t="s">
        <v>25</v>
      </c>
      <c r="B2601">
        <v>2022</v>
      </c>
      <c r="C2601" t="s">
        <v>9</v>
      </c>
      <c r="D2601">
        <v>46634.87</v>
      </c>
      <c r="E2601">
        <v>45070.38</v>
      </c>
      <c r="F2601">
        <v>26.42</v>
      </c>
      <c r="G2601">
        <v>1124.1300000000001</v>
      </c>
      <c r="H2601">
        <f>E2601*1000000/D2601</f>
        <v>966452.35635909345</v>
      </c>
      <c r="I2601" t="str">
        <f>IF(AND(B2601&gt;=2018, B2601&lt;=2021), "2018-2021", IF(AND(B2601&gt;=2022, B2601&lt;=2024), "2022-2024", "Other"))</f>
        <v>2022-2024</v>
      </c>
    </row>
    <row r="2602" spans="1:9" x14ac:dyDescent="0.3">
      <c r="A2602" t="s">
        <v>25</v>
      </c>
      <c r="B2602">
        <v>2023</v>
      </c>
      <c r="C2602" t="s">
        <v>2</v>
      </c>
      <c r="D2602">
        <v>14758.58</v>
      </c>
      <c r="E2602">
        <v>13338.75</v>
      </c>
      <c r="F2602">
        <v>33.56</v>
      </c>
      <c r="G2602">
        <v>160.52000000000001</v>
      </c>
      <c r="H2602">
        <f>E2602*1000000/D2602</f>
        <v>903796.3001860613</v>
      </c>
      <c r="I2602" t="str">
        <f>IF(AND(B2602&gt;=2018, B2602&lt;=2021), "2018-2021", IF(AND(B2602&gt;=2022, B2602&lt;=2024), "2022-2024", "Other"))</f>
        <v>2022-2024</v>
      </c>
    </row>
    <row r="2603" spans="1:9" x14ac:dyDescent="0.3">
      <c r="A2603" t="s">
        <v>18</v>
      </c>
      <c r="B2603">
        <v>2021</v>
      </c>
      <c r="C2603" t="s">
        <v>8</v>
      </c>
      <c r="D2603">
        <v>3687.31</v>
      </c>
      <c r="E2603">
        <v>4089.97</v>
      </c>
      <c r="F2603">
        <v>135.36000000000001</v>
      </c>
      <c r="G2603">
        <v>253.6</v>
      </c>
      <c r="H2603">
        <f>E2603*1000000/D2603</f>
        <v>1109201.5588599821</v>
      </c>
      <c r="I2603" t="str">
        <f>IF(AND(B2603&gt;=2018, B2603&lt;=2021), "2018-2021", IF(AND(B2603&gt;=2022, B2603&lt;=2024), "2022-2024", "Other"))</f>
        <v>2018-2021</v>
      </c>
    </row>
    <row r="2604" spans="1:9" x14ac:dyDescent="0.3">
      <c r="A2604" t="s">
        <v>20</v>
      </c>
      <c r="B2604">
        <v>2024</v>
      </c>
      <c r="C2604" t="s">
        <v>8</v>
      </c>
      <c r="D2604">
        <v>19189.669999999998</v>
      </c>
      <c r="E2604">
        <v>20150.25</v>
      </c>
      <c r="F2604">
        <v>156.62</v>
      </c>
      <c r="G2604">
        <v>1231.21</v>
      </c>
      <c r="H2604">
        <f>E2604*1000000/D2604</f>
        <v>1050057.1401175738</v>
      </c>
      <c r="I2604" t="str">
        <f>IF(AND(B2604&gt;=2018, B2604&lt;=2021), "2018-2021", IF(AND(B2604&gt;=2022, B2604&lt;=2024), "2022-2024", "Other"))</f>
        <v>2022-2024</v>
      </c>
    </row>
    <row r="2605" spans="1:9" x14ac:dyDescent="0.3">
      <c r="A2605" t="s">
        <v>24</v>
      </c>
      <c r="B2605">
        <v>2021</v>
      </c>
      <c r="C2605" t="s">
        <v>2</v>
      </c>
      <c r="D2605">
        <v>21845.55</v>
      </c>
      <c r="E2605">
        <v>25175.78</v>
      </c>
      <c r="F2605">
        <v>155.54</v>
      </c>
      <c r="G2605">
        <v>550.23</v>
      </c>
      <c r="H2605">
        <f>E2605*1000000/D2605</f>
        <v>1152444.3193236152</v>
      </c>
      <c r="I2605" t="str">
        <f>IF(AND(B2605&gt;=2018, B2605&lt;=2021), "2018-2021", IF(AND(B2605&gt;=2022, B2605&lt;=2024), "2022-2024", "Other"))</f>
        <v>2018-2021</v>
      </c>
    </row>
    <row r="2606" spans="1:9" x14ac:dyDescent="0.3">
      <c r="A2606" t="s">
        <v>25</v>
      </c>
      <c r="B2606">
        <v>2022</v>
      </c>
      <c r="C2606" t="s">
        <v>14</v>
      </c>
      <c r="D2606">
        <v>40407.94</v>
      </c>
      <c r="E2606">
        <v>46063.83</v>
      </c>
      <c r="F2606">
        <v>141.29</v>
      </c>
      <c r="G2606">
        <v>716.07</v>
      </c>
      <c r="H2606">
        <f>E2606*1000000/D2606</f>
        <v>1139969.7683178107</v>
      </c>
      <c r="I2606" t="str">
        <f>IF(AND(B2606&gt;=2018, B2606&lt;=2021), "2018-2021", IF(AND(B2606&gt;=2022, B2606&lt;=2024), "2022-2024", "Other"))</f>
        <v>2022-2024</v>
      </c>
    </row>
    <row r="2607" spans="1:9" x14ac:dyDescent="0.3">
      <c r="A2607" t="s">
        <v>16</v>
      </c>
      <c r="B2607">
        <v>2023</v>
      </c>
      <c r="C2607" t="s">
        <v>8</v>
      </c>
      <c r="D2607">
        <v>2487.2199999999998</v>
      </c>
      <c r="E2607">
        <v>2017.79</v>
      </c>
      <c r="F2607">
        <v>112.9</v>
      </c>
      <c r="G2607">
        <v>1227.1199999999999</v>
      </c>
      <c r="H2607">
        <f>E2607*1000000/D2607</f>
        <v>811263.17736267811</v>
      </c>
      <c r="I2607" t="str">
        <f>IF(AND(B2607&gt;=2018, B2607&lt;=2021), "2018-2021", IF(AND(B2607&gt;=2022, B2607&lt;=2024), "2022-2024", "Other"))</f>
        <v>2022-2024</v>
      </c>
    </row>
    <row r="2608" spans="1:9" x14ac:dyDescent="0.3">
      <c r="A2608" t="s">
        <v>20</v>
      </c>
      <c r="B2608">
        <v>2018</v>
      </c>
      <c r="C2608" t="s">
        <v>9</v>
      </c>
      <c r="D2608">
        <v>30403.05</v>
      </c>
      <c r="E2608">
        <v>35788.550000000003</v>
      </c>
      <c r="F2608">
        <v>90.2</v>
      </c>
      <c r="G2608">
        <v>453.71</v>
      </c>
      <c r="H2608">
        <f>E2608*1000000/D2608</f>
        <v>1177136.8333111317</v>
      </c>
      <c r="I2608" t="str">
        <f>IF(AND(B2608&gt;=2018, B2608&lt;=2021), "2018-2021", IF(AND(B2608&gt;=2022, B2608&lt;=2024), "2022-2024", "Other"))</f>
        <v>2018-2021</v>
      </c>
    </row>
    <row r="2609" spans="1:9" x14ac:dyDescent="0.3">
      <c r="A2609" t="s">
        <v>21</v>
      </c>
      <c r="B2609">
        <v>2019</v>
      </c>
      <c r="C2609" t="s">
        <v>2</v>
      </c>
      <c r="D2609">
        <v>12515.84</v>
      </c>
      <c r="E2609">
        <v>10747.91</v>
      </c>
      <c r="F2609">
        <v>104.54</v>
      </c>
      <c r="G2609">
        <v>62.57</v>
      </c>
      <c r="H2609">
        <f>E2609*1000000/D2609</f>
        <v>858744.59884434449</v>
      </c>
      <c r="I2609" t="str">
        <f>IF(AND(B2609&gt;=2018, B2609&lt;=2021), "2018-2021", IF(AND(B2609&gt;=2022, B2609&lt;=2024), "2022-2024", "Other"))</f>
        <v>2018-2021</v>
      </c>
    </row>
    <row r="2610" spans="1:9" x14ac:dyDescent="0.3">
      <c r="A2610" t="s">
        <v>27</v>
      </c>
      <c r="B2610">
        <v>2021</v>
      </c>
      <c r="C2610" t="s">
        <v>8</v>
      </c>
      <c r="D2610">
        <v>31577.08</v>
      </c>
      <c r="E2610">
        <v>25907.34</v>
      </c>
      <c r="F2610">
        <v>148.49</v>
      </c>
      <c r="G2610">
        <v>928.27</v>
      </c>
      <c r="H2610">
        <f>E2610*1000000/D2610</f>
        <v>820447.61580234778</v>
      </c>
      <c r="I2610" t="str">
        <f>IF(AND(B2610&gt;=2018, B2610&lt;=2021), "2018-2021", IF(AND(B2610&gt;=2022, B2610&lt;=2024), "2022-2024", "Other"))</f>
        <v>2018-2021</v>
      </c>
    </row>
    <row r="2611" spans="1:9" x14ac:dyDescent="0.3">
      <c r="A2611" t="s">
        <v>20</v>
      </c>
      <c r="B2611">
        <v>2020</v>
      </c>
      <c r="C2611" t="s">
        <v>14</v>
      </c>
      <c r="D2611">
        <v>33087.68</v>
      </c>
      <c r="E2611">
        <v>36448.18</v>
      </c>
      <c r="F2611">
        <v>136.76</v>
      </c>
      <c r="G2611">
        <v>1078.22</v>
      </c>
      <c r="H2611">
        <f>E2611*1000000/D2611</f>
        <v>1101563.4822387064</v>
      </c>
      <c r="I2611" t="str">
        <f>IF(AND(B2611&gt;=2018, B2611&lt;=2021), "2018-2021", IF(AND(B2611&gt;=2022, B2611&lt;=2024), "2022-2024", "Other"))</f>
        <v>2018-2021</v>
      </c>
    </row>
    <row r="2612" spans="1:9" x14ac:dyDescent="0.3">
      <c r="A2612" t="s">
        <v>16</v>
      </c>
      <c r="B2612">
        <v>2021</v>
      </c>
      <c r="C2612" t="s">
        <v>6</v>
      </c>
      <c r="D2612">
        <v>6845.89</v>
      </c>
      <c r="E2612">
        <v>7445.35</v>
      </c>
      <c r="F2612">
        <v>64.099999999999994</v>
      </c>
      <c r="G2612">
        <v>186.61</v>
      </c>
      <c r="H2612">
        <f>E2612*1000000/D2612</f>
        <v>1087564.9477277608</v>
      </c>
      <c r="I2612" t="str">
        <f>IF(AND(B2612&gt;=2018, B2612&lt;=2021), "2018-2021", IF(AND(B2612&gt;=2022, B2612&lt;=2024), "2022-2024", "Other"))</f>
        <v>2018-2021</v>
      </c>
    </row>
    <row r="2613" spans="1:9" x14ac:dyDescent="0.3">
      <c r="A2613" t="s">
        <v>11</v>
      </c>
      <c r="B2613">
        <v>2021</v>
      </c>
      <c r="C2613" t="s">
        <v>8</v>
      </c>
      <c r="D2613">
        <v>15473.61</v>
      </c>
      <c r="E2613">
        <v>17069.63</v>
      </c>
      <c r="F2613">
        <v>174.09</v>
      </c>
      <c r="G2613">
        <v>467.09</v>
      </c>
      <c r="H2613">
        <f>E2613*1000000/D2613</f>
        <v>1103144.6443331584</v>
      </c>
      <c r="I2613" t="str">
        <f>IF(AND(B2613&gt;=2018, B2613&lt;=2021), "2018-2021", IF(AND(B2613&gt;=2022, B2613&lt;=2024), "2022-2024", "Other"))</f>
        <v>2018-2021</v>
      </c>
    </row>
    <row r="2614" spans="1:9" x14ac:dyDescent="0.3">
      <c r="A2614" t="s">
        <v>18</v>
      </c>
      <c r="B2614">
        <v>2018</v>
      </c>
      <c r="C2614" t="s">
        <v>6</v>
      </c>
      <c r="D2614">
        <v>40785.480000000003</v>
      </c>
      <c r="E2614">
        <v>40152.980000000003</v>
      </c>
      <c r="F2614">
        <v>165.14</v>
      </c>
      <c r="G2614">
        <v>557.22</v>
      </c>
      <c r="H2614">
        <f>E2614*1000000/D2614</f>
        <v>984492.03000675724</v>
      </c>
      <c r="I2614" t="str">
        <f>IF(AND(B2614&gt;=2018, B2614&lt;=2021), "2018-2021", IF(AND(B2614&gt;=2022, B2614&lt;=2024), "2022-2024", "Other"))</f>
        <v>2018-2021</v>
      </c>
    </row>
    <row r="2615" spans="1:9" x14ac:dyDescent="0.3">
      <c r="A2615" t="s">
        <v>21</v>
      </c>
      <c r="B2615">
        <v>2019</v>
      </c>
      <c r="C2615" t="s">
        <v>9</v>
      </c>
      <c r="D2615">
        <v>32130.75</v>
      </c>
      <c r="E2615">
        <v>28091.89</v>
      </c>
      <c r="F2615">
        <v>126.23</v>
      </c>
      <c r="G2615">
        <v>1309.47</v>
      </c>
      <c r="H2615">
        <f>E2615*1000000/D2615</f>
        <v>874299.23048792826</v>
      </c>
      <c r="I2615" t="str">
        <f>IF(AND(B2615&gt;=2018, B2615&lt;=2021), "2018-2021", IF(AND(B2615&gt;=2022, B2615&lt;=2024), "2022-2024", "Other"))</f>
        <v>2018-2021</v>
      </c>
    </row>
    <row r="2616" spans="1:9" x14ac:dyDescent="0.3">
      <c r="A2616" t="s">
        <v>22</v>
      </c>
      <c r="B2616">
        <v>2018</v>
      </c>
      <c r="C2616" t="s">
        <v>2</v>
      </c>
      <c r="D2616">
        <v>30732.39</v>
      </c>
      <c r="E2616">
        <v>30844.46</v>
      </c>
      <c r="F2616">
        <v>176.13</v>
      </c>
      <c r="G2616">
        <v>1153.5999999999999</v>
      </c>
      <c r="H2616">
        <f>E2616*1000000/D2616</f>
        <v>1003646.6412146924</v>
      </c>
      <c r="I2616" t="str">
        <f>IF(AND(B2616&gt;=2018, B2616&lt;=2021), "2018-2021", IF(AND(B2616&gt;=2022, B2616&lt;=2024), "2022-2024", "Other"))</f>
        <v>2018-2021</v>
      </c>
    </row>
    <row r="2617" spans="1:9" x14ac:dyDescent="0.3">
      <c r="A2617" t="s">
        <v>1</v>
      </c>
      <c r="B2617">
        <v>2019</v>
      </c>
      <c r="C2617" t="s">
        <v>2</v>
      </c>
      <c r="D2617">
        <v>25686.02</v>
      </c>
      <c r="E2617">
        <v>20759.04</v>
      </c>
      <c r="F2617">
        <v>183.3</v>
      </c>
      <c r="G2617">
        <v>397.36</v>
      </c>
      <c r="H2617">
        <f>E2617*1000000/D2617</f>
        <v>808184.37422379956</v>
      </c>
      <c r="I2617" t="str">
        <f>IF(AND(B2617&gt;=2018, B2617&lt;=2021), "2018-2021", IF(AND(B2617&gt;=2022, B2617&lt;=2024), "2022-2024", "Other"))</f>
        <v>2018-2021</v>
      </c>
    </row>
    <row r="2618" spans="1:9" x14ac:dyDescent="0.3">
      <c r="A2618" t="s">
        <v>13</v>
      </c>
      <c r="B2618">
        <v>2019</v>
      </c>
      <c r="C2618" t="s">
        <v>2</v>
      </c>
      <c r="D2618">
        <v>29673.25</v>
      </c>
      <c r="E2618">
        <v>35097.54</v>
      </c>
      <c r="F2618">
        <v>50.37</v>
      </c>
      <c r="G2618">
        <v>1360.51</v>
      </c>
      <c r="H2618">
        <f>E2618*1000000/D2618</f>
        <v>1182800.6706376956</v>
      </c>
      <c r="I2618" t="str">
        <f>IF(AND(B2618&gt;=2018, B2618&lt;=2021), "2018-2021", IF(AND(B2618&gt;=2022, B2618&lt;=2024), "2022-2024", "Other"))</f>
        <v>2018-2021</v>
      </c>
    </row>
    <row r="2619" spans="1:9" x14ac:dyDescent="0.3">
      <c r="A2619" t="s">
        <v>24</v>
      </c>
      <c r="B2619">
        <v>2023</v>
      </c>
      <c r="C2619" t="s">
        <v>0</v>
      </c>
      <c r="D2619">
        <v>3960.36</v>
      </c>
      <c r="E2619">
        <v>4234.4399999999996</v>
      </c>
      <c r="F2619">
        <v>167.1</v>
      </c>
      <c r="G2619">
        <v>1089.6400000000001</v>
      </c>
      <c r="H2619">
        <f>E2619*1000000/D2619</f>
        <v>1069205.8297730507</v>
      </c>
      <c r="I2619" t="str">
        <f>IF(AND(B2619&gt;=2018, B2619&lt;=2021), "2018-2021", IF(AND(B2619&gt;=2022, B2619&lt;=2024), "2022-2024", "Other"))</f>
        <v>2022-2024</v>
      </c>
    </row>
    <row r="2620" spans="1:9" x14ac:dyDescent="0.3">
      <c r="A2620" t="s">
        <v>22</v>
      </c>
      <c r="B2620">
        <v>2024</v>
      </c>
      <c r="C2620" t="s">
        <v>6</v>
      </c>
      <c r="D2620">
        <v>8866.9</v>
      </c>
      <c r="E2620">
        <v>9119.73</v>
      </c>
      <c r="F2620">
        <v>128.34</v>
      </c>
      <c r="G2620">
        <v>352.17</v>
      </c>
      <c r="H2620">
        <f>E2620*1000000/D2620</f>
        <v>1028513.9112880488</v>
      </c>
      <c r="I2620" t="str">
        <f>IF(AND(B2620&gt;=2018, B2620&lt;=2021), "2018-2021", IF(AND(B2620&gt;=2022, B2620&lt;=2024), "2022-2024", "Other"))</f>
        <v>2022-2024</v>
      </c>
    </row>
    <row r="2621" spans="1:9" x14ac:dyDescent="0.3">
      <c r="A2621" t="s">
        <v>18</v>
      </c>
      <c r="B2621">
        <v>2021</v>
      </c>
      <c r="C2621" t="s">
        <v>14</v>
      </c>
      <c r="D2621">
        <v>2503.54</v>
      </c>
      <c r="E2621">
        <v>2471.67</v>
      </c>
      <c r="F2621">
        <v>166.63</v>
      </c>
      <c r="G2621">
        <v>884.15</v>
      </c>
      <c r="H2621">
        <f>E2621*1000000/D2621</f>
        <v>987270.02564368851</v>
      </c>
      <c r="I2621" t="str">
        <f>IF(AND(B2621&gt;=2018, B2621&lt;=2021), "2018-2021", IF(AND(B2621&gt;=2022, B2621&lt;=2024), "2022-2024", "Other"))</f>
        <v>2018-2021</v>
      </c>
    </row>
    <row r="2622" spans="1:9" x14ac:dyDescent="0.3">
      <c r="A2622" t="s">
        <v>15</v>
      </c>
      <c r="B2622">
        <v>2021</v>
      </c>
      <c r="C2622" t="s">
        <v>0</v>
      </c>
      <c r="D2622">
        <v>2865.9</v>
      </c>
      <c r="E2622">
        <v>2577.98</v>
      </c>
      <c r="F2622">
        <v>94.54</v>
      </c>
      <c r="G2622">
        <v>1170.48</v>
      </c>
      <c r="H2622">
        <f>E2622*1000000/D2622</f>
        <v>899535.92239785055</v>
      </c>
      <c r="I2622" t="str">
        <f>IF(AND(B2622&gt;=2018, B2622&lt;=2021), "2018-2021", IF(AND(B2622&gt;=2022, B2622&lt;=2024), "2022-2024", "Other"))</f>
        <v>2018-2021</v>
      </c>
    </row>
    <row r="2623" spans="1:9" x14ac:dyDescent="0.3">
      <c r="A2623" t="s">
        <v>22</v>
      </c>
      <c r="B2623">
        <v>2020</v>
      </c>
      <c r="C2623" t="s">
        <v>9</v>
      </c>
      <c r="D2623">
        <v>49093.39</v>
      </c>
      <c r="E2623">
        <v>57505.79</v>
      </c>
      <c r="F2623">
        <v>182.36</v>
      </c>
      <c r="G2623">
        <v>46.14</v>
      </c>
      <c r="H2623">
        <f>E2623*1000000/D2623</f>
        <v>1171355.0439275024</v>
      </c>
      <c r="I2623" t="str">
        <f>IF(AND(B2623&gt;=2018, B2623&lt;=2021), "2018-2021", IF(AND(B2623&gt;=2022, B2623&lt;=2024), "2022-2024", "Other"))</f>
        <v>2018-2021</v>
      </c>
    </row>
    <row r="2624" spans="1:9" x14ac:dyDescent="0.3">
      <c r="A2624" t="s">
        <v>18</v>
      </c>
      <c r="B2624">
        <v>2018</v>
      </c>
      <c r="C2624" t="s">
        <v>0</v>
      </c>
      <c r="D2624">
        <v>20022.849999999999</v>
      </c>
      <c r="E2624">
        <v>17449.05</v>
      </c>
      <c r="F2624">
        <v>172.55</v>
      </c>
      <c r="G2624">
        <v>806.04</v>
      </c>
      <c r="H2624">
        <f>E2624*1000000/D2624</f>
        <v>871456.86053683667</v>
      </c>
      <c r="I2624" t="str">
        <f>IF(AND(B2624&gt;=2018, B2624&lt;=2021), "2018-2021", IF(AND(B2624&gt;=2022, B2624&lt;=2024), "2022-2024", "Other"))</f>
        <v>2018-2021</v>
      </c>
    </row>
    <row r="2625" spans="1:9" x14ac:dyDescent="0.3">
      <c r="A2625" t="s">
        <v>24</v>
      </c>
      <c r="B2625">
        <v>2019</v>
      </c>
      <c r="C2625" t="s">
        <v>14</v>
      </c>
      <c r="D2625">
        <v>30608.17</v>
      </c>
      <c r="E2625">
        <v>28246.27</v>
      </c>
      <c r="F2625">
        <v>64.27</v>
      </c>
      <c r="G2625">
        <v>1103.49</v>
      </c>
      <c r="H2625">
        <f>E2625*1000000/D2625</f>
        <v>922834.3282202105</v>
      </c>
      <c r="I2625" t="str">
        <f>IF(AND(B2625&gt;=2018, B2625&lt;=2021), "2018-2021", IF(AND(B2625&gt;=2022, B2625&lt;=2024), "2022-2024", "Other"))</f>
        <v>2018-2021</v>
      </c>
    </row>
    <row r="2626" spans="1:9" x14ac:dyDescent="0.3">
      <c r="A2626" t="s">
        <v>21</v>
      </c>
      <c r="B2626">
        <v>2019</v>
      </c>
      <c r="C2626" t="s">
        <v>0</v>
      </c>
      <c r="D2626">
        <v>29368.59</v>
      </c>
      <c r="E2626">
        <v>24513.39</v>
      </c>
      <c r="F2626">
        <v>68.42</v>
      </c>
      <c r="G2626">
        <v>639.29999999999995</v>
      </c>
      <c r="H2626">
        <f>E2626*1000000/D2626</f>
        <v>834680.52092388505</v>
      </c>
      <c r="I2626" t="str">
        <f>IF(AND(B2626&gt;=2018, B2626&lt;=2021), "2018-2021", IF(AND(B2626&gt;=2022, B2626&lt;=2024), "2022-2024", "Other"))</f>
        <v>2018-2021</v>
      </c>
    </row>
    <row r="2627" spans="1:9" x14ac:dyDescent="0.3">
      <c r="A2627" t="s">
        <v>10</v>
      </c>
      <c r="B2627">
        <v>2024</v>
      </c>
      <c r="C2627" t="s">
        <v>14</v>
      </c>
      <c r="D2627">
        <v>36564.400000000001</v>
      </c>
      <c r="E2627">
        <v>33677.47</v>
      </c>
      <c r="F2627">
        <v>64.34</v>
      </c>
      <c r="G2627">
        <v>992.44</v>
      </c>
      <c r="H2627">
        <f>E2627*1000000/D2627</f>
        <v>921045.33371257281</v>
      </c>
      <c r="I2627" t="str">
        <f>IF(AND(B2627&gt;=2018, B2627&lt;=2021), "2018-2021", IF(AND(B2627&gt;=2022, B2627&lt;=2024), "2022-2024", "Other"))</f>
        <v>2022-2024</v>
      </c>
    </row>
    <row r="2628" spans="1:9" x14ac:dyDescent="0.3">
      <c r="A2628" t="s">
        <v>22</v>
      </c>
      <c r="B2628">
        <v>2021</v>
      </c>
      <c r="C2628" t="s">
        <v>4</v>
      </c>
      <c r="D2628">
        <v>18697.88</v>
      </c>
      <c r="E2628">
        <v>14961.35</v>
      </c>
      <c r="F2628">
        <v>196.27</v>
      </c>
      <c r="G2628">
        <v>735.46</v>
      </c>
      <c r="H2628">
        <f>E2628*1000000/D2628</f>
        <v>800162.90616904153</v>
      </c>
      <c r="I2628" t="str">
        <f>IF(AND(B2628&gt;=2018, B2628&lt;=2021), "2018-2021", IF(AND(B2628&gt;=2022, B2628&lt;=2024), "2022-2024", "Other"))</f>
        <v>2018-2021</v>
      </c>
    </row>
    <row r="2629" spans="1:9" x14ac:dyDescent="0.3">
      <c r="A2629" t="s">
        <v>11</v>
      </c>
      <c r="B2629">
        <v>2021</v>
      </c>
      <c r="C2629" t="s">
        <v>2</v>
      </c>
      <c r="D2629">
        <v>22881.09</v>
      </c>
      <c r="E2629">
        <v>20935.23</v>
      </c>
      <c r="F2629">
        <v>184.63</v>
      </c>
      <c r="G2629">
        <v>657.99</v>
      </c>
      <c r="H2629">
        <f>E2629*1000000/D2629</f>
        <v>914957.7227308664</v>
      </c>
      <c r="I2629" t="str">
        <f>IF(AND(B2629&gt;=2018, B2629&lt;=2021), "2018-2021", IF(AND(B2629&gt;=2022, B2629&lt;=2024), "2022-2024", "Other"))</f>
        <v>2018-2021</v>
      </c>
    </row>
    <row r="2630" spans="1:9" x14ac:dyDescent="0.3">
      <c r="A2630" t="s">
        <v>10</v>
      </c>
      <c r="B2630">
        <v>2022</v>
      </c>
      <c r="C2630" t="s">
        <v>6</v>
      </c>
      <c r="D2630">
        <v>21406.41</v>
      </c>
      <c r="E2630">
        <v>22080.12</v>
      </c>
      <c r="F2630">
        <v>179.61</v>
      </c>
      <c r="G2630">
        <v>100.57</v>
      </c>
      <c r="H2630">
        <f>E2630*1000000/D2630</f>
        <v>1031472.3487030286</v>
      </c>
      <c r="I2630" t="str">
        <f>IF(AND(B2630&gt;=2018, B2630&lt;=2021), "2018-2021", IF(AND(B2630&gt;=2022, B2630&lt;=2024), "2022-2024", "Other"))</f>
        <v>2022-2024</v>
      </c>
    </row>
    <row r="2631" spans="1:9" x14ac:dyDescent="0.3">
      <c r="A2631" t="s">
        <v>26</v>
      </c>
      <c r="B2631">
        <v>2023</v>
      </c>
      <c r="C2631" t="s">
        <v>14</v>
      </c>
      <c r="D2631">
        <v>43481.64</v>
      </c>
      <c r="E2631">
        <v>40283.379999999997</v>
      </c>
      <c r="F2631">
        <v>144.86000000000001</v>
      </c>
      <c r="G2631">
        <v>651.66999999999996</v>
      </c>
      <c r="H2631">
        <f>E2631*1000000/D2631</f>
        <v>926445.73663734854</v>
      </c>
      <c r="I2631" t="str">
        <f>IF(AND(B2631&gt;=2018, B2631&lt;=2021), "2018-2021", IF(AND(B2631&gt;=2022, B2631&lt;=2024), "2022-2024", "Other"))</f>
        <v>2022-2024</v>
      </c>
    </row>
    <row r="2632" spans="1:9" x14ac:dyDescent="0.3">
      <c r="A2632" t="s">
        <v>11</v>
      </c>
      <c r="B2632">
        <v>2024</v>
      </c>
      <c r="C2632" t="s">
        <v>2</v>
      </c>
      <c r="D2632">
        <v>33624.81</v>
      </c>
      <c r="E2632">
        <v>30426.47</v>
      </c>
      <c r="F2632">
        <v>35.770000000000003</v>
      </c>
      <c r="G2632">
        <v>1198.18</v>
      </c>
      <c r="H2632">
        <f>E2632*1000000/D2632</f>
        <v>904881.54431207199</v>
      </c>
      <c r="I2632" t="str">
        <f>IF(AND(B2632&gt;=2018, B2632&lt;=2021), "2018-2021", IF(AND(B2632&gt;=2022, B2632&lt;=2024), "2022-2024", "Other"))</f>
        <v>2022-2024</v>
      </c>
    </row>
    <row r="2633" spans="1:9" x14ac:dyDescent="0.3">
      <c r="A2633" t="s">
        <v>10</v>
      </c>
      <c r="B2633">
        <v>2022</v>
      </c>
      <c r="C2633" t="s">
        <v>4</v>
      </c>
      <c r="D2633">
        <v>20915.43</v>
      </c>
      <c r="E2633">
        <v>16804.55</v>
      </c>
      <c r="F2633">
        <v>63.75</v>
      </c>
      <c r="G2633">
        <v>1254.72</v>
      </c>
      <c r="H2633">
        <f>E2633*1000000/D2633</f>
        <v>803452.28379239631</v>
      </c>
      <c r="I2633" t="str">
        <f>IF(AND(B2633&gt;=2018, B2633&lt;=2021), "2018-2021", IF(AND(B2633&gt;=2022, B2633&lt;=2024), "2022-2024", "Other"))</f>
        <v>2022-2024</v>
      </c>
    </row>
    <row r="2634" spans="1:9" x14ac:dyDescent="0.3">
      <c r="A2634" t="s">
        <v>15</v>
      </c>
      <c r="B2634">
        <v>2019</v>
      </c>
      <c r="C2634" t="s">
        <v>9</v>
      </c>
      <c r="D2634">
        <v>9078.11</v>
      </c>
      <c r="E2634">
        <v>8062.12</v>
      </c>
      <c r="F2634">
        <v>27.28</v>
      </c>
      <c r="G2634">
        <v>719.55</v>
      </c>
      <c r="H2634">
        <f>E2634*1000000/D2634</f>
        <v>888083.53280583723</v>
      </c>
      <c r="I2634" t="str">
        <f>IF(AND(B2634&gt;=2018, B2634&lt;=2021), "2018-2021", IF(AND(B2634&gt;=2022, B2634&lt;=2024), "2022-2024", "Other"))</f>
        <v>2018-2021</v>
      </c>
    </row>
    <row r="2635" spans="1:9" x14ac:dyDescent="0.3">
      <c r="A2635" t="s">
        <v>17</v>
      </c>
      <c r="B2635">
        <v>2020</v>
      </c>
      <c r="C2635" t="s">
        <v>14</v>
      </c>
      <c r="D2635">
        <v>9156.2199999999993</v>
      </c>
      <c r="E2635">
        <v>10680.97</v>
      </c>
      <c r="F2635">
        <v>93.56</v>
      </c>
      <c r="G2635">
        <v>939.57</v>
      </c>
      <c r="H2635">
        <f>E2635*1000000/D2635</f>
        <v>1166526.1428842908</v>
      </c>
      <c r="I2635" t="str">
        <f>IF(AND(B2635&gt;=2018, B2635&lt;=2021), "2018-2021", IF(AND(B2635&gt;=2022, B2635&lt;=2024), "2022-2024", "Other"))</f>
        <v>2018-2021</v>
      </c>
    </row>
    <row r="2636" spans="1:9" x14ac:dyDescent="0.3">
      <c r="A2636" t="s">
        <v>7</v>
      </c>
      <c r="B2636">
        <v>2023</v>
      </c>
      <c r="C2636" t="s">
        <v>9</v>
      </c>
      <c r="D2636">
        <v>8867.9</v>
      </c>
      <c r="E2636">
        <v>7222.47</v>
      </c>
      <c r="F2636">
        <v>137.47999999999999</v>
      </c>
      <c r="G2636">
        <v>857.62</v>
      </c>
      <c r="H2636">
        <f>E2636*1000000/D2636</f>
        <v>814450.99741765251</v>
      </c>
      <c r="I2636" t="str">
        <f>IF(AND(B2636&gt;=2018, B2636&lt;=2021), "2018-2021", IF(AND(B2636&gt;=2022, B2636&lt;=2024), "2022-2024", "Other"))</f>
        <v>2022-2024</v>
      </c>
    </row>
    <row r="2637" spans="1:9" x14ac:dyDescent="0.3">
      <c r="A2637" t="s">
        <v>11</v>
      </c>
      <c r="B2637">
        <v>2018</v>
      </c>
      <c r="C2637" t="s">
        <v>0</v>
      </c>
      <c r="D2637">
        <v>2376.86</v>
      </c>
      <c r="E2637">
        <v>2333.8200000000002</v>
      </c>
      <c r="F2637">
        <v>37.21</v>
      </c>
      <c r="G2637">
        <v>419.81</v>
      </c>
      <c r="H2637">
        <f>E2637*1000000/D2637</f>
        <v>981892.07610040135</v>
      </c>
      <c r="I2637" t="str">
        <f>IF(AND(B2637&gt;=2018, B2637&lt;=2021), "2018-2021", IF(AND(B2637&gt;=2022, B2637&lt;=2024), "2022-2024", "Other"))</f>
        <v>2018-2021</v>
      </c>
    </row>
    <row r="2638" spans="1:9" x14ac:dyDescent="0.3">
      <c r="A2638" t="s">
        <v>15</v>
      </c>
      <c r="B2638">
        <v>2022</v>
      </c>
      <c r="C2638" t="s">
        <v>2</v>
      </c>
      <c r="D2638">
        <v>16954.84</v>
      </c>
      <c r="E2638">
        <v>15739.66</v>
      </c>
      <c r="F2638">
        <v>72.94</v>
      </c>
      <c r="G2638">
        <v>61.59</v>
      </c>
      <c r="H2638">
        <f>E2638*1000000/D2638</f>
        <v>928328.43011199159</v>
      </c>
      <c r="I2638" t="str">
        <f>IF(AND(B2638&gt;=2018, B2638&lt;=2021), "2018-2021", IF(AND(B2638&gt;=2022, B2638&lt;=2024), "2022-2024", "Other"))</f>
        <v>2022-2024</v>
      </c>
    </row>
    <row r="2639" spans="1:9" x14ac:dyDescent="0.3">
      <c r="A2639" t="s">
        <v>7</v>
      </c>
      <c r="B2639">
        <v>2020</v>
      </c>
      <c r="C2639" t="s">
        <v>8</v>
      </c>
      <c r="D2639">
        <v>26099.26</v>
      </c>
      <c r="E2639">
        <v>29912.39</v>
      </c>
      <c r="F2639">
        <v>176.21</v>
      </c>
      <c r="G2639">
        <v>508.27</v>
      </c>
      <c r="H2639">
        <f>E2639*1000000/D2639</f>
        <v>1146101.0771952921</v>
      </c>
      <c r="I2639" t="str">
        <f>IF(AND(B2639&gt;=2018, B2639&lt;=2021), "2018-2021", IF(AND(B2639&gt;=2022, B2639&lt;=2024), "2022-2024", "Other"))</f>
        <v>2018-2021</v>
      </c>
    </row>
    <row r="2640" spans="1:9" x14ac:dyDescent="0.3">
      <c r="A2640" t="s">
        <v>25</v>
      </c>
      <c r="B2640">
        <v>2019</v>
      </c>
      <c r="C2640" t="s">
        <v>12</v>
      </c>
      <c r="D2640">
        <v>49306.78</v>
      </c>
      <c r="E2640">
        <v>57631.72</v>
      </c>
      <c r="F2640">
        <v>198.34</v>
      </c>
      <c r="G2640">
        <v>167.76</v>
      </c>
      <c r="H2640">
        <f>E2640*1000000/D2640</f>
        <v>1168839.660590288</v>
      </c>
      <c r="I2640" t="str">
        <f>IF(AND(B2640&gt;=2018, B2640&lt;=2021), "2018-2021", IF(AND(B2640&gt;=2022, B2640&lt;=2024), "2022-2024", "Other"))</f>
        <v>2018-2021</v>
      </c>
    </row>
    <row r="2641" spans="1:9" x14ac:dyDescent="0.3">
      <c r="A2641" t="s">
        <v>1</v>
      </c>
      <c r="B2641">
        <v>2021</v>
      </c>
      <c r="C2641" t="s">
        <v>14</v>
      </c>
      <c r="D2641">
        <v>28394.92</v>
      </c>
      <c r="E2641">
        <v>24645.17</v>
      </c>
      <c r="F2641">
        <v>94.05</v>
      </c>
      <c r="G2641">
        <v>346.78</v>
      </c>
      <c r="H2641">
        <f>E2641*1000000/D2641</f>
        <v>867942.92781948321</v>
      </c>
      <c r="I2641" t="str">
        <f>IF(AND(B2641&gt;=2018, B2641&lt;=2021), "2018-2021", IF(AND(B2641&gt;=2022, B2641&lt;=2024), "2022-2024", "Other"))</f>
        <v>2018-2021</v>
      </c>
    </row>
    <row r="2642" spans="1:9" x14ac:dyDescent="0.3">
      <c r="A2642" t="s">
        <v>21</v>
      </c>
      <c r="B2642">
        <v>2018</v>
      </c>
      <c r="C2642" t="s">
        <v>0</v>
      </c>
      <c r="D2642">
        <v>992.15</v>
      </c>
      <c r="E2642">
        <v>870.66</v>
      </c>
      <c r="F2642">
        <v>125.51</v>
      </c>
      <c r="G2642">
        <v>103.62</v>
      </c>
      <c r="H2642">
        <f>E2642*1000000/D2642</f>
        <v>877548.75774832442</v>
      </c>
      <c r="I2642" t="str">
        <f>IF(AND(B2642&gt;=2018, B2642&lt;=2021), "2018-2021", IF(AND(B2642&gt;=2022, B2642&lt;=2024), "2022-2024", "Other"))</f>
        <v>2018-2021</v>
      </c>
    </row>
    <row r="2643" spans="1:9" x14ac:dyDescent="0.3">
      <c r="A2643" t="s">
        <v>23</v>
      </c>
      <c r="B2643">
        <v>2021</v>
      </c>
      <c r="C2643" t="s">
        <v>14</v>
      </c>
      <c r="D2643">
        <v>14904.88</v>
      </c>
      <c r="E2643">
        <v>13074.99</v>
      </c>
      <c r="F2643">
        <v>175.52</v>
      </c>
      <c r="G2643">
        <v>511.82</v>
      </c>
      <c r="H2643">
        <f>E2643*1000000/D2643</f>
        <v>877228.80023187038</v>
      </c>
      <c r="I2643" t="str">
        <f>IF(AND(B2643&gt;=2018, B2643&lt;=2021), "2018-2021", IF(AND(B2643&gt;=2022, B2643&lt;=2024), "2022-2024", "Other"))</f>
        <v>2018-2021</v>
      </c>
    </row>
    <row r="2644" spans="1:9" x14ac:dyDescent="0.3">
      <c r="A2644" t="s">
        <v>7</v>
      </c>
      <c r="B2644">
        <v>2023</v>
      </c>
      <c r="C2644" t="s">
        <v>0</v>
      </c>
      <c r="D2644">
        <v>18588.87</v>
      </c>
      <c r="E2644">
        <v>18061.900000000001</v>
      </c>
      <c r="F2644">
        <v>25.23</v>
      </c>
      <c r="G2644">
        <v>1249.78</v>
      </c>
      <c r="H2644">
        <f>E2644*1000000/D2644</f>
        <v>971651.31608322624</v>
      </c>
      <c r="I2644" t="str">
        <f>IF(AND(B2644&gt;=2018, B2644&lt;=2021), "2018-2021", IF(AND(B2644&gt;=2022, B2644&lt;=2024), "2022-2024", "Other"))</f>
        <v>2022-2024</v>
      </c>
    </row>
    <row r="2645" spans="1:9" x14ac:dyDescent="0.3">
      <c r="A2645" t="s">
        <v>13</v>
      </c>
      <c r="B2645">
        <v>2020</v>
      </c>
      <c r="C2645" t="s">
        <v>8</v>
      </c>
      <c r="D2645">
        <v>26900.81</v>
      </c>
      <c r="E2645">
        <v>30135.75</v>
      </c>
      <c r="F2645">
        <v>117.2</v>
      </c>
      <c r="G2645">
        <v>84.83</v>
      </c>
      <c r="H2645">
        <f>E2645*1000000/D2645</f>
        <v>1120254.3715226417</v>
      </c>
      <c r="I2645" t="str">
        <f>IF(AND(B2645&gt;=2018, B2645&lt;=2021), "2018-2021", IF(AND(B2645&gt;=2022, B2645&lt;=2024), "2022-2024", "Other"))</f>
        <v>2018-2021</v>
      </c>
    </row>
    <row r="2646" spans="1:9" x14ac:dyDescent="0.3">
      <c r="A2646" t="s">
        <v>18</v>
      </c>
      <c r="B2646">
        <v>2023</v>
      </c>
      <c r="C2646" t="s">
        <v>14</v>
      </c>
      <c r="D2646">
        <v>15200.39</v>
      </c>
      <c r="E2646">
        <v>16119.67</v>
      </c>
      <c r="F2646">
        <v>132.72</v>
      </c>
      <c r="G2646">
        <v>125.67</v>
      </c>
      <c r="H2646">
        <f>E2646*1000000/D2646</f>
        <v>1060477.3956457695</v>
      </c>
      <c r="I2646" t="str">
        <f>IF(AND(B2646&gt;=2018, B2646&lt;=2021), "2018-2021", IF(AND(B2646&gt;=2022, B2646&lt;=2024), "2022-2024", "Other"))</f>
        <v>2022-2024</v>
      </c>
    </row>
    <row r="2647" spans="1:9" x14ac:dyDescent="0.3">
      <c r="A2647" t="s">
        <v>13</v>
      </c>
      <c r="B2647">
        <v>2018</v>
      </c>
      <c r="C2647" t="s">
        <v>12</v>
      </c>
      <c r="D2647">
        <v>2855.39</v>
      </c>
      <c r="E2647">
        <v>2686.43</v>
      </c>
      <c r="F2647">
        <v>108.58</v>
      </c>
      <c r="G2647">
        <v>232.71</v>
      </c>
      <c r="H2647">
        <f>E2647*1000000/D2647</f>
        <v>940827.69779259583</v>
      </c>
      <c r="I2647" t="str">
        <f>IF(AND(B2647&gt;=2018, B2647&lt;=2021), "2018-2021", IF(AND(B2647&gt;=2022, B2647&lt;=2024), "2022-2024", "Other"))</f>
        <v>2018-2021</v>
      </c>
    </row>
    <row r="2648" spans="1:9" x14ac:dyDescent="0.3">
      <c r="A2648" t="s">
        <v>18</v>
      </c>
      <c r="B2648">
        <v>2024</v>
      </c>
      <c r="C2648" t="s">
        <v>12</v>
      </c>
      <c r="D2648">
        <v>18787.07</v>
      </c>
      <c r="E2648">
        <v>15252.67</v>
      </c>
      <c r="F2648">
        <v>89.87</v>
      </c>
      <c r="G2648">
        <v>855.05</v>
      </c>
      <c r="H2648">
        <f>E2648*1000000/D2648</f>
        <v>811870.61101065786</v>
      </c>
      <c r="I2648" t="str">
        <f>IF(AND(B2648&gt;=2018, B2648&lt;=2021), "2018-2021", IF(AND(B2648&gt;=2022, B2648&lt;=2024), "2022-2024", "Other"))</f>
        <v>2022-2024</v>
      </c>
    </row>
    <row r="2649" spans="1:9" x14ac:dyDescent="0.3">
      <c r="A2649" t="s">
        <v>22</v>
      </c>
      <c r="B2649">
        <v>2023</v>
      </c>
      <c r="C2649" t="s">
        <v>8</v>
      </c>
      <c r="D2649">
        <v>34994.120000000003</v>
      </c>
      <c r="E2649">
        <v>40971.97</v>
      </c>
      <c r="F2649">
        <v>35.19</v>
      </c>
      <c r="G2649">
        <v>984.94</v>
      </c>
      <c r="H2649">
        <f>E2649*1000000/D2649</f>
        <v>1170824.4127870623</v>
      </c>
      <c r="I2649" t="str">
        <f>IF(AND(B2649&gt;=2018, B2649&lt;=2021), "2018-2021", IF(AND(B2649&gt;=2022, B2649&lt;=2024), "2022-2024", "Other"))</f>
        <v>2022-2024</v>
      </c>
    </row>
    <row r="2650" spans="1:9" x14ac:dyDescent="0.3">
      <c r="A2650" t="s">
        <v>19</v>
      </c>
      <c r="B2650">
        <v>2022</v>
      </c>
      <c r="C2650" t="s">
        <v>6</v>
      </c>
      <c r="D2650">
        <v>16761.78</v>
      </c>
      <c r="E2650">
        <v>15154.43</v>
      </c>
      <c r="F2650">
        <v>124.14</v>
      </c>
      <c r="G2650">
        <v>580.61</v>
      </c>
      <c r="H2650">
        <f>E2650*1000000/D2650</f>
        <v>904106.24647263007</v>
      </c>
      <c r="I2650" t="str">
        <f>IF(AND(B2650&gt;=2018, B2650&lt;=2021), "2018-2021", IF(AND(B2650&gt;=2022, B2650&lt;=2024), "2022-2024", "Other"))</f>
        <v>2022-2024</v>
      </c>
    </row>
    <row r="2651" spans="1:9" x14ac:dyDescent="0.3">
      <c r="A2651" t="s">
        <v>22</v>
      </c>
      <c r="B2651">
        <v>2021</v>
      </c>
      <c r="C2651" t="s">
        <v>9</v>
      </c>
      <c r="D2651">
        <v>5205.71</v>
      </c>
      <c r="E2651">
        <v>4364.1099999999997</v>
      </c>
      <c r="F2651">
        <v>23.18</v>
      </c>
      <c r="G2651">
        <v>839.59</v>
      </c>
      <c r="H2651">
        <f>E2651*1000000/D2651</f>
        <v>838331.37074481673</v>
      </c>
      <c r="I2651" t="str">
        <f>IF(AND(B2651&gt;=2018, B2651&lt;=2021), "2018-2021", IF(AND(B2651&gt;=2022, B2651&lt;=2024), "2022-2024", "Other"))</f>
        <v>2018-2021</v>
      </c>
    </row>
    <row r="2652" spans="1:9" x14ac:dyDescent="0.3">
      <c r="A2652" t="s">
        <v>15</v>
      </c>
      <c r="B2652">
        <v>2019</v>
      </c>
      <c r="C2652" t="s">
        <v>4</v>
      </c>
      <c r="D2652">
        <v>33806.14</v>
      </c>
      <c r="E2652">
        <v>37805.910000000003</v>
      </c>
      <c r="F2652">
        <v>177.13</v>
      </c>
      <c r="G2652">
        <v>1097.83</v>
      </c>
      <c r="H2652">
        <f>E2652*1000000/D2652</f>
        <v>1118314.897826253</v>
      </c>
      <c r="I2652" t="str">
        <f>IF(AND(B2652&gt;=2018, B2652&lt;=2021), "2018-2021", IF(AND(B2652&gt;=2022, B2652&lt;=2024), "2022-2024", "Other"))</f>
        <v>2018-2021</v>
      </c>
    </row>
    <row r="2653" spans="1:9" x14ac:dyDescent="0.3">
      <c r="A2653" t="s">
        <v>20</v>
      </c>
      <c r="B2653">
        <v>2022</v>
      </c>
      <c r="C2653" t="s">
        <v>2</v>
      </c>
      <c r="D2653">
        <v>4353.59</v>
      </c>
      <c r="E2653">
        <v>4874.66</v>
      </c>
      <c r="F2653">
        <v>28.05</v>
      </c>
      <c r="G2653">
        <v>1152.48</v>
      </c>
      <c r="H2653">
        <f>E2653*1000000/D2653</f>
        <v>1119687.4303735537</v>
      </c>
      <c r="I2653" t="str">
        <f>IF(AND(B2653&gt;=2018, B2653&lt;=2021), "2018-2021", IF(AND(B2653&gt;=2022, B2653&lt;=2024), "2022-2024", "Other"))</f>
        <v>2022-2024</v>
      </c>
    </row>
    <row r="2654" spans="1:9" x14ac:dyDescent="0.3">
      <c r="A2654" t="s">
        <v>22</v>
      </c>
      <c r="B2654">
        <v>2020</v>
      </c>
      <c r="C2654" t="s">
        <v>6</v>
      </c>
      <c r="D2654">
        <v>37147.39</v>
      </c>
      <c r="E2654">
        <v>38758.089999999997</v>
      </c>
      <c r="F2654">
        <v>155.65</v>
      </c>
      <c r="G2654">
        <v>1099.6500000000001</v>
      </c>
      <c r="H2654">
        <f>E2654*1000000/D2654</f>
        <v>1043359.7084478883</v>
      </c>
      <c r="I2654" t="str">
        <f>IF(AND(B2654&gt;=2018, B2654&lt;=2021), "2018-2021", IF(AND(B2654&gt;=2022, B2654&lt;=2024), "2022-2024", "Other"))</f>
        <v>2018-2021</v>
      </c>
    </row>
    <row r="2655" spans="1:9" x14ac:dyDescent="0.3">
      <c r="A2655" t="s">
        <v>24</v>
      </c>
      <c r="B2655">
        <v>2022</v>
      </c>
      <c r="C2655" t="s">
        <v>12</v>
      </c>
      <c r="D2655">
        <v>13381.14</v>
      </c>
      <c r="E2655">
        <v>15056.57</v>
      </c>
      <c r="F2655">
        <v>131.13</v>
      </c>
      <c r="G2655">
        <v>603.48</v>
      </c>
      <c r="H2655">
        <f>E2655*1000000/D2655</f>
        <v>1125208.3155844719</v>
      </c>
      <c r="I2655" t="str">
        <f>IF(AND(B2655&gt;=2018, B2655&lt;=2021), "2018-2021", IF(AND(B2655&gt;=2022, B2655&lt;=2024), "2022-2024", "Other"))</f>
        <v>2022-2024</v>
      </c>
    </row>
    <row r="2656" spans="1:9" x14ac:dyDescent="0.3">
      <c r="A2656" t="s">
        <v>24</v>
      </c>
      <c r="B2656">
        <v>2022</v>
      </c>
      <c r="C2656" t="s">
        <v>9</v>
      </c>
      <c r="D2656">
        <v>12188.72</v>
      </c>
      <c r="E2656">
        <v>14306.6</v>
      </c>
      <c r="F2656">
        <v>74.88</v>
      </c>
      <c r="G2656">
        <v>241.25</v>
      </c>
      <c r="H2656">
        <f>E2656*1000000/D2656</f>
        <v>1173757.3756719327</v>
      </c>
      <c r="I2656" t="str">
        <f>IF(AND(B2656&gt;=2018, B2656&lt;=2021), "2018-2021", IF(AND(B2656&gt;=2022, B2656&lt;=2024), "2022-2024", "Other"))</f>
        <v>2022-2024</v>
      </c>
    </row>
    <row r="2657" spans="1:9" x14ac:dyDescent="0.3">
      <c r="A2657" t="s">
        <v>21</v>
      </c>
      <c r="B2657">
        <v>2022</v>
      </c>
      <c r="C2657" t="s">
        <v>6</v>
      </c>
      <c r="D2657">
        <v>8753.69</v>
      </c>
      <c r="E2657">
        <v>7156.15</v>
      </c>
      <c r="F2657">
        <v>194.2</v>
      </c>
      <c r="G2657">
        <v>1126.43</v>
      </c>
      <c r="H2657">
        <f>E2657*1000000/D2657</f>
        <v>817500.96245126333</v>
      </c>
      <c r="I2657" t="str">
        <f>IF(AND(B2657&gt;=2018, B2657&lt;=2021), "2018-2021", IF(AND(B2657&gt;=2022, B2657&lt;=2024), "2022-2024", "Other"))</f>
        <v>2022-2024</v>
      </c>
    </row>
    <row r="2658" spans="1:9" x14ac:dyDescent="0.3">
      <c r="A2658" t="s">
        <v>3</v>
      </c>
      <c r="B2658">
        <v>2018</v>
      </c>
      <c r="C2658" t="s">
        <v>12</v>
      </c>
      <c r="D2658">
        <v>21092.23</v>
      </c>
      <c r="E2658">
        <v>24887.11</v>
      </c>
      <c r="F2658">
        <v>41.43</v>
      </c>
      <c r="G2658">
        <v>802.8</v>
      </c>
      <c r="H2658">
        <f>E2658*1000000/D2658</f>
        <v>1179918.387007917</v>
      </c>
      <c r="I2658" t="str">
        <f>IF(AND(B2658&gt;=2018, B2658&lt;=2021), "2018-2021", IF(AND(B2658&gt;=2022, B2658&lt;=2024), "2022-2024", "Other"))</f>
        <v>2018-2021</v>
      </c>
    </row>
    <row r="2659" spans="1:9" x14ac:dyDescent="0.3">
      <c r="A2659" t="s">
        <v>5</v>
      </c>
      <c r="B2659">
        <v>2018</v>
      </c>
      <c r="C2659" t="s">
        <v>8</v>
      </c>
      <c r="D2659">
        <v>26016.86</v>
      </c>
      <c r="E2659">
        <v>21902.49</v>
      </c>
      <c r="F2659">
        <v>71.099999999999994</v>
      </c>
      <c r="G2659">
        <v>1020.32</v>
      </c>
      <c r="H2659">
        <f>E2659*1000000/D2659</f>
        <v>841857.54929687898</v>
      </c>
      <c r="I2659" t="str">
        <f>IF(AND(B2659&gt;=2018, B2659&lt;=2021), "2018-2021", IF(AND(B2659&gt;=2022, B2659&lt;=2024), "2022-2024", "Other"))</f>
        <v>2018-2021</v>
      </c>
    </row>
    <row r="2660" spans="1:9" x14ac:dyDescent="0.3">
      <c r="A2660" t="s">
        <v>22</v>
      </c>
      <c r="B2660">
        <v>2024</v>
      </c>
      <c r="C2660" t="s">
        <v>8</v>
      </c>
      <c r="D2660">
        <v>30355.8</v>
      </c>
      <c r="E2660">
        <v>35915.629999999997</v>
      </c>
      <c r="F2660">
        <v>174.13</v>
      </c>
      <c r="G2660">
        <v>426.38</v>
      </c>
      <c r="H2660">
        <f>E2660*1000000/D2660</f>
        <v>1183155.4431113659</v>
      </c>
      <c r="I2660" t="str">
        <f>IF(AND(B2660&gt;=2018, B2660&lt;=2021), "2018-2021", IF(AND(B2660&gt;=2022, B2660&lt;=2024), "2022-2024", "Other"))</f>
        <v>2022-2024</v>
      </c>
    </row>
    <row r="2661" spans="1:9" x14ac:dyDescent="0.3">
      <c r="A2661" t="s">
        <v>19</v>
      </c>
      <c r="B2661">
        <v>2024</v>
      </c>
      <c r="C2661" t="s">
        <v>9</v>
      </c>
      <c r="D2661">
        <v>20610.38</v>
      </c>
      <c r="E2661">
        <v>21082.9</v>
      </c>
      <c r="F2661">
        <v>109.55</v>
      </c>
      <c r="G2661">
        <v>668.71</v>
      </c>
      <c r="H2661">
        <f>E2661*1000000/D2661</f>
        <v>1022926.3118875052</v>
      </c>
      <c r="I2661" t="str">
        <f>IF(AND(B2661&gt;=2018, B2661&lt;=2021), "2018-2021", IF(AND(B2661&gt;=2022, B2661&lt;=2024), "2022-2024", "Other"))</f>
        <v>2022-2024</v>
      </c>
    </row>
    <row r="2662" spans="1:9" x14ac:dyDescent="0.3">
      <c r="A2662" t="s">
        <v>10</v>
      </c>
      <c r="B2662">
        <v>2023</v>
      </c>
      <c r="C2662" t="s">
        <v>9</v>
      </c>
      <c r="D2662">
        <v>2165.59</v>
      </c>
      <c r="E2662">
        <v>2074.38</v>
      </c>
      <c r="F2662">
        <v>111.62</v>
      </c>
      <c r="G2662">
        <v>1101.04</v>
      </c>
      <c r="H2662">
        <f>E2662*1000000/D2662</f>
        <v>957882.14759026398</v>
      </c>
      <c r="I2662" t="str">
        <f>IF(AND(B2662&gt;=2018, B2662&lt;=2021), "2018-2021", IF(AND(B2662&gt;=2022, B2662&lt;=2024), "2022-2024", "Other"))</f>
        <v>2022-2024</v>
      </c>
    </row>
    <row r="2663" spans="1:9" x14ac:dyDescent="0.3">
      <c r="A2663" t="s">
        <v>21</v>
      </c>
      <c r="B2663">
        <v>2018</v>
      </c>
      <c r="C2663" t="s">
        <v>6</v>
      </c>
      <c r="D2663">
        <v>9658.59</v>
      </c>
      <c r="E2663">
        <v>10369.92</v>
      </c>
      <c r="F2663">
        <v>175.19</v>
      </c>
      <c r="G2663">
        <v>1212.49</v>
      </c>
      <c r="H2663">
        <f>E2663*1000000/D2663</f>
        <v>1073647.3957378871</v>
      </c>
      <c r="I2663" t="str">
        <f>IF(AND(B2663&gt;=2018, B2663&lt;=2021), "2018-2021", IF(AND(B2663&gt;=2022, B2663&lt;=2024), "2022-2024", "Other"))</f>
        <v>2018-2021</v>
      </c>
    </row>
    <row r="2664" spans="1:9" x14ac:dyDescent="0.3">
      <c r="A2664" t="s">
        <v>20</v>
      </c>
      <c r="B2664">
        <v>2021</v>
      </c>
      <c r="C2664" t="s">
        <v>8</v>
      </c>
      <c r="D2664">
        <v>6656.46</v>
      </c>
      <c r="E2664">
        <v>6301.28</v>
      </c>
      <c r="F2664">
        <v>82.29</v>
      </c>
      <c r="G2664">
        <v>745.83</v>
      </c>
      <c r="H2664">
        <f>E2664*1000000/D2664</f>
        <v>946641.30784230656</v>
      </c>
      <c r="I2664" t="str">
        <f>IF(AND(B2664&gt;=2018, B2664&lt;=2021), "2018-2021", IF(AND(B2664&gt;=2022, B2664&lt;=2024), "2022-2024", "Other"))</f>
        <v>2018-2021</v>
      </c>
    </row>
    <row r="2665" spans="1:9" x14ac:dyDescent="0.3">
      <c r="A2665" t="s">
        <v>19</v>
      </c>
      <c r="B2665">
        <v>2024</v>
      </c>
      <c r="C2665" t="s">
        <v>14</v>
      </c>
      <c r="D2665">
        <v>44495.54</v>
      </c>
      <c r="E2665">
        <v>46433.4</v>
      </c>
      <c r="F2665">
        <v>146.32</v>
      </c>
      <c r="G2665">
        <v>306.97000000000003</v>
      </c>
      <c r="H2665">
        <f>E2665*1000000/D2665</f>
        <v>1043551.7806953236</v>
      </c>
      <c r="I2665" t="str">
        <f>IF(AND(B2665&gt;=2018, B2665&lt;=2021), "2018-2021", IF(AND(B2665&gt;=2022, B2665&lt;=2024), "2022-2024", "Other"))</f>
        <v>2022-2024</v>
      </c>
    </row>
    <row r="2666" spans="1:9" x14ac:dyDescent="0.3">
      <c r="A2666" t="s">
        <v>13</v>
      </c>
      <c r="B2666">
        <v>2018</v>
      </c>
      <c r="C2666" t="s">
        <v>9</v>
      </c>
      <c r="D2666">
        <v>24514.17</v>
      </c>
      <c r="E2666">
        <v>26788.2</v>
      </c>
      <c r="F2666">
        <v>189.01</v>
      </c>
      <c r="G2666">
        <v>132.19</v>
      </c>
      <c r="H2666">
        <f>E2666*1000000/D2666</f>
        <v>1092763.8994100147</v>
      </c>
      <c r="I2666" t="str">
        <f>IF(AND(B2666&gt;=2018, B2666&lt;=2021), "2018-2021", IF(AND(B2666&gt;=2022, B2666&lt;=2024), "2022-2024", "Other"))</f>
        <v>2018-2021</v>
      </c>
    </row>
    <row r="2667" spans="1:9" x14ac:dyDescent="0.3">
      <c r="A2667" t="s">
        <v>23</v>
      </c>
      <c r="B2667">
        <v>2022</v>
      </c>
      <c r="C2667" t="s">
        <v>0</v>
      </c>
      <c r="D2667">
        <v>28903.66</v>
      </c>
      <c r="E2667">
        <v>33001.599999999999</v>
      </c>
      <c r="F2667">
        <v>183.31</v>
      </c>
      <c r="G2667">
        <v>1034.21</v>
      </c>
      <c r="H2667">
        <f>E2667*1000000/D2667</f>
        <v>1141779.2763961381</v>
      </c>
      <c r="I2667" t="str">
        <f>IF(AND(B2667&gt;=2018, B2667&lt;=2021), "2018-2021", IF(AND(B2667&gt;=2022, B2667&lt;=2024), "2022-2024", "Other"))</f>
        <v>2022-2024</v>
      </c>
    </row>
    <row r="2668" spans="1:9" x14ac:dyDescent="0.3">
      <c r="A2668" t="s">
        <v>10</v>
      </c>
      <c r="B2668">
        <v>2020</v>
      </c>
      <c r="C2668" t="s">
        <v>6</v>
      </c>
      <c r="D2668">
        <v>49772.69</v>
      </c>
      <c r="E2668">
        <v>43644.69</v>
      </c>
      <c r="F2668">
        <v>39.99</v>
      </c>
      <c r="G2668">
        <v>925.5</v>
      </c>
      <c r="H2668">
        <f>E2668*1000000/D2668</f>
        <v>876880.27309755608</v>
      </c>
      <c r="I2668" t="str">
        <f>IF(AND(B2668&gt;=2018, B2668&lt;=2021), "2018-2021", IF(AND(B2668&gt;=2022, B2668&lt;=2024), "2022-2024", "Other"))</f>
        <v>2018-2021</v>
      </c>
    </row>
    <row r="2669" spans="1:9" x14ac:dyDescent="0.3">
      <c r="A2669" t="s">
        <v>10</v>
      </c>
      <c r="B2669">
        <v>2022</v>
      </c>
      <c r="C2669" t="s">
        <v>0</v>
      </c>
      <c r="D2669">
        <v>5065.24</v>
      </c>
      <c r="E2669">
        <v>5905.3</v>
      </c>
      <c r="F2669">
        <v>149.57</v>
      </c>
      <c r="G2669">
        <v>325.33</v>
      </c>
      <c r="H2669">
        <f>E2669*1000000/D2669</f>
        <v>1165848.0150989885</v>
      </c>
      <c r="I2669" t="str">
        <f>IF(AND(B2669&gt;=2018, B2669&lt;=2021), "2018-2021", IF(AND(B2669&gt;=2022, B2669&lt;=2024), "2022-2024", "Other"))</f>
        <v>2022-2024</v>
      </c>
    </row>
    <row r="2670" spans="1:9" x14ac:dyDescent="0.3">
      <c r="A2670" t="s">
        <v>21</v>
      </c>
      <c r="B2670">
        <v>2019</v>
      </c>
      <c r="C2670" t="s">
        <v>0</v>
      </c>
      <c r="D2670">
        <v>29064.6</v>
      </c>
      <c r="E2670">
        <v>24414.34</v>
      </c>
      <c r="F2670">
        <v>101.95</v>
      </c>
      <c r="G2670">
        <v>804.05</v>
      </c>
      <c r="H2670">
        <f>E2670*1000000/D2670</f>
        <v>840002.6148648184</v>
      </c>
      <c r="I2670" t="str">
        <f>IF(AND(B2670&gt;=2018, B2670&lt;=2021), "2018-2021", IF(AND(B2670&gt;=2022, B2670&lt;=2024), "2022-2024", "Other"))</f>
        <v>2018-2021</v>
      </c>
    </row>
    <row r="2671" spans="1:9" x14ac:dyDescent="0.3">
      <c r="A2671" t="s">
        <v>18</v>
      </c>
      <c r="B2671">
        <v>2021</v>
      </c>
      <c r="C2671" t="s">
        <v>14</v>
      </c>
      <c r="D2671">
        <v>37567.629999999997</v>
      </c>
      <c r="E2671">
        <v>39621.97</v>
      </c>
      <c r="F2671">
        <v>79.91</v>
      </c>
      <c r="G2671">
        <v>221.84</v>
      </c>
      <c r="H2671">
        <f>E2671*1000000/D2671</f>
        <v>1054683.7796262368</v>
      </c>
      <c r="I2671" t="str">
        <f>IF(AND(B2671&gt;=2018, B2671&lt;=2021), "2018-2021", IF(AND(B2671&gt;=2022, B2671&lt;=2024), "2022-2024", "Other"))</f>
        <v>2018-2021</v>
      </c>
    </row>
    <row r="2672" spans="1:9" x14ac:dyDescent="0.3">
      <c r="A2672" t="s">
        <v>11</v>
      </c>
      <c r="B2672">
        <v>2019</v>
      </c>
      <c r="C2672" t="s">
        <v>12</v>
      </c>
      <c r="D2672">
        <v>4369.8100000000004</v>
      </c>
      <c r="E2672">
        <v>4887.32</v>
      </c>
      <c r="F2672">
        <v>191.88</v>
      </c>
      <c r="G2672">
        <v>1194.71</v>
      </c>
      <c r="H2672">
        <f>E2672*1000000/D2672</f>
        <v>1118428.4900258821</v>
      </c>
      <c r="I2672" t="str">
        <f>IF(AND(B2672&gt;=2018, B2672&lt;=2021), "2018-2021", IF(AND(B2672&gt;=2022, B2672&lt;=2024), "2022-2024", "Other"))</f>
        <v>2018-2021</v>
      </c>
    </row>
    <row r="2673" spans="1:9" x14ac:dyDescent="0.3">
      <c r="A2673" t="s">
        <v>11</v>
      </c>
      <c r="B2673">
        <v>2018</v>
      </c>
      <c r="C2673" t="s">
        <v>12</v>
      </c>
      <c r="D2673">
        <v>19031.830000000002</v>
      </c>
      <c r="E2673">
        <v>16496.509999999998</v>
      </c>
      <c r="F2673">
        <v>156.91</v>
      </c>
      <c r="G2673">
        <v>863.02</v>
      </c>
      <c r="H2673">
        <f>E2673*1000000/D2673</f>
        <v>866785.27498406603</v>
      </c>
      <c r="I2673" t="str">
        <f>IF(AND(B2673&gt;=2018, B2673&lt;=2021), "2018-2021", IF(AND(B2673&gt;=2022, B2673&lt;=2024), "2022-2024", "Other"))</f>
        <v>2018-2021</v>
      </c>
    </row>
    <row r="2674" spans="1:9" x14ac:dyDescent="0.3">
      <c r="A2674" t="s">
        <v>15</v>
      </c>
      <c r="B2674">
        <v>2019</v>
      </c>
      <c r="C2674" t="s">
        <v>8</v>
      </c>
      <c r="D2674">
        <v>21434.17</v>
      </c>
      <c r="E2674">
        <v>19875.64</v>
      </c>
      <c r="F2674">
        <v>47.91</v>
      </c>
      <c r="G2674">
        <v>794.82</v>
      </c>
      <c r="H2674">
        <f>E2674*1000000/D2674</f>
        <v>927287.59732707171</v>
      </c>
      <c r="I2674" t="str">
        <f>IF(AND(B2674&gt;=2018, B2674&lt;=2021), "2018-2021", IF(AND(B2674&gt;=2022, B2674&lt;=2024), "2022-2024", "Other"))</f>
        <v>2018-2021</v>
      </c>
    </row>
    <row r="2675" spans="1:9" x14ac:dyDescent="0.3">
      <c r="A2675" t="s">
        <v>26</v>
      </c>
      <c r="B2675">
        <v>2019</v>
      </c>
      <c r="C2675" t="s">
        <v>0</v>
      </c>
      <c r="D2675">
        <v>10385.07</v>
      </c>
      <c r="E2675">
        <v>8502.9699999999993</v>
      </c>
      <c r="F2675">
        <v>169.18</v>
      </c>
      <c r="G2675">
        <v>224.54</v>
      </c>
      <c r="H2675">
        <f>E2675*1000000/D2675</f>
        <v>818768.67464542843</v>
      </c>
      <c r="I2675" t="str">
        <f>IF(AND(B2675&gt;=2018, B2675&lt;=2021), "2018-2021", IF(AND(B2675&gt;=2022, B2675&lt;=2024), "2022-2024", "Other"))</f>
        <v>2018-2021</v>
      </c>
    </row>
    <row r="2676" spans="1:9" x14ac:dyDescent="0.3">
      <c r="A2676" t="s">
        <v>25</v>
      </c>
      <c r="B2676">
        <v>2020</v>
      </c>
      <c r="C2676" t="s">
        <v>9</v>
      </c>
      <c r="D2676">
        <v>11057.55</v>
      </c>
      <c r="E2676">
        <v>9620.6200000000008</v>
      </c>
      <c r="F2676">
        <v>169.66</v>
      </c>
      <c r="G2676">
        <v>612.27</v>
      </c>
      <c r="H2676">
        <f>E2676*1000000/D2676</f>
        <v>870049.87542448379</v>
      </c>
      <c r="I2676" t="str">
        <f>IF(AND(B2676&gt;=2018, B2676&lt;=2021), "2018-2021", IF(AND(B2676&gt;=2022, B2676&lt;=2024), "2022-2024", "Other"))</f>
        <v>2018-2021</v>
      </c>
    </row>
    <row r="2677" spans="1:9" x14ac:dyDescent="0.3">
      <c r="A2677" t="s">
        <v>23</v>
      </c>
      <c r="B2677">
        <v>2018</v>
      </c>
      <c r="C2677" t="s">
        <v>9</v>
      </c>
      <c r="D2677">
        <v>39049.01</v>
      </c>
      <c r="E2677">
        <v>44033.69</v>
      </c>
      <c r="F2677">
        <v>33.04</v>
      </c>
      <c r="G2677">
        <v>860.43</v>
      </c>
      <c r="H2677">
        <f>E2677*1000000/D2677</f>
        <v>1127651.8918149269</v>
      </c>
      <c r="I2677" t="str">
        <f>IF(AND(B2677&gt;=2018, B2677&lt;=2021), "2018-2021", IF(AND(B2677&gt;=2022, B2677&lt;=2024), "2022-2024", "Other"))</f>
        <v>2018-2021</v>
      </c>
    </row>
    <row r="2678" spans="1:9" x14ac:dyDescent="0.3">
      <c r="A2678" t="s">
        <v>20</v>
      </c>
      <c r="B2678">
        <v>2023</v>
      </c>
      <c r="C2678" t="s">
        <v>14</v>
      </c>
      <c r="D2678">
        <v>2180.5300000000002</v>
      </c>
      <c r="E2678">
        <v>1824.97</v>
      </c>
      <c r="F2678">
        <v>97.89</v>
      </c>
      <c r="G2678">
        <v>1396.11</v>
      </c>
      <c r="H2678">
        <f>E2678*1000000/D2678</f>
        <v>836938.72590608697</v>
      </c>
      <c r="I2678" t="str">
        <f>IF(AND(B2678&gt;=2018, B2678&lt;=2021), "2018-2021", IF(AND(B2678&gt;=2022, B2678&lt;=2024), "2022-2024", "Other"))</f>
        <v>2022-2024</v>
      </c>
    </row>
    <row r="2679" spans="1:9" x14ac:dyDescent="0.3">
      <c r="A2679" t="s">
        <v>16</v>
      </c>
      <c r="B2679">
        <v>2021</v>
      </c>
      <c r="C2679" t="s">
        <v>2</v>
      </c>
      <c r="D2679">
        <v>42257.7</v>
      </c>
      <c r="E2679">
        <v>41696.28</v>
      </c>
      <c r="F2679">
        <v>112.7</v>
      </c>
      <c r="G2679">
        <v>136.47</v>
      </c>
      <c r="H2679">
        <f>E2679*1000000/D2679</f>
        <v>986714.37394841656</v>
      </c>
      <c r="I2679" t="str">
        <f>IF(AND(B2679&gt;=2018, B2679&lt;=2021), "2018-2021", IF(AND(B2679&gt;=2022, B2679&lt;=2024), "2022-2024", "Other"))</f>
        <v>2018-2021</v>
      </c>
    </row>
    <row r="2680" spans="1:9" x14ac:dyDescent="0.3">
      <c r="A2680" t="s">
        <v>15</v>
      </c>
      <c r="B2680">
        <v>2020</v>
      </c>
      <c r="C2680" t="s">
        <v>8</v>
      </c>
      <c r="D2680">
        <v>6459.79</v>
      </c>
      <c r="E2680">
        <v>6193</v>
      </c>
      <c r="F2680">
        <v>124.61</v>
      </c>
      <c r="G2680">
        <v>339.03</v>
      </c>
      <c r="H2680">
        <f>E2680*1000000/D2680</f>
        <v>958699.89581704664</v>
      </c>
      <c r="I2680" t="str">
        <f>IF(AND(B2680&gt;=2018, B2680&lt;=2021), "2018-2021", IF(AND(B2680&gt;=2022, B2680&lt;=2024), "2022-2024", "Other"))</f>
        <v>2018-2021</v>
      </c>
    </row>
    <row r="2681" spans="1:9" x14ac:dyDescent="0.3">
      <c r="A2681" t="s">
        <v>16</v>
      </c>
      <c r="B2681">
        <v>2022</v>
      </c>
      <c r="C2681" t="s">
        <v>6</v>
      </c>
      <c r="D2681">
        <v>30444.720000000001</v>
      </c>
      <c r="E2681">
        <v>33319.75</v>
      </c>
      <c r="F2681">
        <v>174.02</v>
      </c>
      <c r="G2681">
        <v>1072.82</v>
      </c>
      <c r="H2681">
        <f>E2681*1000000/D2681</f>
        <v>1094434.4372357505</v>
      </c>
      <c r="I2681" t="str">
        <f>IF(AND(B2681&gt;=2018, B2681&lt;=2021), "2018-2021", IF(AND(B2681&gt;=2022, B2681&lt;=2024), "2022-2024", "Other"))</f>
        <v>2022-2024</v>
      </c>
    </row>
    <row r="2682" spans="1:9" x14ac:dyDescent="0.3">
      <c r="A2682" t="s">
        <v>23</v>
      </c>
      <c r="B2682">
        <v>2021</v>
      </c>
      <c r="C2682" t="s">
        <v>9</v>
      </c>
      <c r="D2682">
        <v>47465.65</v>
      </c>
      <c r="E2682">
        <v>53579.11</v>
      </c>
      <c r="F2682">
        <v>22.03</v>
      </c>
      <c r="G2682">
        <v>352.61</v>
      </c>
      <c r="H2682">
        <f>E2682*1000000/D2682</f>
        <v>1128797.5620264339</v>
      </c>
      <c r="I2682" t="str">
        <f>IF(AND(B2682&gt;=2018, B2682&lt;=2021), "2018-2021", IF(AND(B2682&gt;=2022, B2682&lt;=2024), "2022-2024", "Other"))</f>
        <v>2018-2021</v>
      </c>
    </row>
    <row r="2683" spans="1:9" x14ac:dyDescent="0.3">
      <c r="A2683" t="s">
        <v>3</v>
      </c>
      <c r="B2683">
        <v>2019</v>
      </c>
      <c r="C2683" t="s">
        <v>0</v>
      </c>
      <c r="D2683">
        <v>49823.94</v>
      </c>
      <c r="E2683">
        <v>45973.69</v>
      </c>
      <c r="F2683">
        <v>83.03</v>
      </c>
      <c r="G2683">
        <v>475.43</v>
      </c>
      <c r="H2683">
        <f>E2683*1000000/D2683</f>
        <v>922722.89184677077</v>
      </c>
      <c r="I2683" t="str">
        <f>IF(AND(B2683&gt;=2018, B2683&lt;=2021), "2018-2021", IF(AND(B2683&gt;=2022, B2683&lt;=2024), "2022-2024", "Other"))</f>
        <v>2018-2021</v>
      </c>
    </row>
    <row r="2684" spans="1:9" x14ac:dyDescent="0.3">
      <c r="A2684" t="s">
        <v>26</v>
      </c>
      <c r="B2684">
        <v>2021</v>
      </c>
      <c r="C2684" t="s">
        <v>8</v>
      </c>
      <c r="D2684">
        <v>29167.74</v>
      </c>
      <c r="E2684">
        <v>25258.69</v>
      </c>
      <c r="F2684">
        <v>160.65</v>
      </c>
      <c r="G2684">
        <v>1278.95</v>
      </c>
      <c r="H2684">
        <f>E2684*1000000/D2684</f>
        <v>865980.36049416231</v>
      </c>
      <c r="I2684" t="str">
        <f>IF(AND(B2684&gt;=2018, B2684&lt;=2021), "2018-2021", IF(AND(B2684&gt;=2022, B2684&lt;=2024), "2022-2024", "Other"))</f>
        <v>2018-2021</v>
      </c>
    </row>
    <row r="2685" spans="1:9" x14ac:dyDescent="0.3">
      <c r="A2685" t="s">
        <v>25</v>
      </c>
      <c r="B2685">
        <v>2021</v>
      </c>
      <c r="C2685" t="s">
        <v>0</v>
      </c>
      <c r="D2685">
        <v>42115.49</v>
      </c>
      <c r="E2685">
        <v>46090.93</v>
      </c>
      <c r="F2685">
        <v>38.700000000000003</v>
      </c>
      <c r="G2685">
        <v>1398.61</v>
      </c>
      <c r="H2685">
        <f>E2685*1000000/D2685</f>
        <v>1094393.7729324768</v>
      </c>
      <c r="I2685" t="str">
        <f>IF(AND(B2685&gt;=2018, B2685&lt;=2021), "2018-2021", IF(AND(B2685&gt;=2022, B2685&lt;=2024), "2022-2024", "Other"))</f>
        <v>2018-2021</v>
      </c>
    </row>
    <row r="2686" spans="1:9" x14ac:dyDescent="0.3">
      <c r="A2686" t="s">
        <v>21</v>
      </c>
      <c r="B2686">
        <v>2021</v>
      </c>
      <c r="C2686" t="s">
        <v>9</v>
      </c>
      <c r="D2686">
        <v>21371.86</v>
      </c>
      <c r="E2686">
        <v>17695.34</v>
      </c>
      <c r="F2686">
        <v>100.37</v>
      </c>
      <c r="G2686">
        <v>1344.34</v>
      </c>
      <c r="H2686">
        <f>E2686*1000000/D2686</f>
        <v>827973.79357716173</v>
      </c>
      <c r="I2686" t="str">
        <f>IF(AND(B2686&gt;=2018, B2686&lt;=2021), "2018-2021", IF(AND(B2686&gt;=2022, B2686&lt;=2024), "2022-2024", "Other"))</f>
        <v>2018-2021</v>
      </c>
    </row>
    <row r="2687" spans="1:9" x14ac:dyDescent="0.3">
      <c r="A2687" t="s">
        <v>25</v>
      </c>
      <c r="B2687">
        <v>2020</v>
      </c>
      <c r="C2687" t="s">
        <v>6</v>
      </c>
      <c r="D2687">
        <v>19900.990000000002</v>
      </c>
      <c r="E2687">
        <v>17348.64</v>
      </c>
      <c r="F2687">
        <v>22.72</v>
      </c>
      <c r="G2687">
        <v>740.68</v>
      </c>
      <c r="H2687">
        <f>E2687*1000000/D2687</f>
        <v>871747.58642660489</v>
      </c>
      <c r="I2687" t="str">
        <f>IF(AND(B2687&gt;=2018, B2687&lt;=2021), "2018-2021", IF(AND(B2687&gt;=2022, B2687&lt;=2024), "2022-2024", "Other"))</f>
        <v>2018-2021</v>
      </c>
    </row>
    <row r="2688" spans="1:9" x14ac:dyDescent="0.3">
      <c r="A2688" t="s">
        <v>3</v>
      </c>
      <c r="B2688">
        <v>2020</v>
      </c>
      <c r="C2688" t="s">
        <v>2</v>
      </c>
      <c r="D2688">
        <v>19245.53</v>
      </c>
      <c r="E2688">
        <v>19528.32</v>
      </c>
      <c r="F2688">
        <v>126.38</v>
      </c>
      <c r="G2688">
        <v>1005.98</v>
      </c>
      <c r="H2688">
        <f>E2688*1000000/D2688</f>
        <v>1014693.8016256243</v>
      </c>
      <c r="I2688" t="str">
        <f>IF(AND(B2688&gt;=2018, B2688&lt;=2021), "2018-2021", IF(AND(B2688&gt;=2022, B2688&lt;=2024), "2022-2024", "Other"))</f>
        <v>2018-2021</v>
      </c>
    </row>
    <row r="2689" spans="1:9" x14ac:dyDescent="0.3">
      <c r="A2689" t="s">
        <v>13</v>
      </c>
      <c r="B2689">
        <v>2023</v>
      </c>
      <c r="C2689" t="s">
        <v>14</v>
      </c>
      <c r="D2689">
        <v>42773.98</v>
      </c>
      <c r="E2689">
        <v>38199.699999999997</v>
      </c>
      <c r="F2689">
        <v>165.69</v>
      </c>
      <c r="G2689">
        <v>435.98</v>
      </c>
      <c r="H2689">
        <f>E2689*1000000/D2689</f>
        <v>893059.28510744136</v>
      </c>
      <c r="I2689" t="str">
        <f>IF(AND(B2689&gt;=2018, B2689&lt;=2021), "2018-2021", IF(AND(B2689&gt;=2022, B2689&lt;=2024), "2022-2024", "Other"))</f>
        <v>2022-2024</v>
      </c>
    </row>
    <row r="2690" spans="1:9" x14ac:dyDescent="0.3">
      <c r="A2690" t="s">
        <v>23</v>
      </c>
      <c r="B2690">
        <v>2024</v>
      </c>
      <c r="C2690" t="s">
        <v>2</v>
      </c>
      <c r="D2690">
        <v>46527</v>
      </c>
      <c r="E2690">
        <v>54495.22</v>
      </c>
      <c r="F2690">
        <v>178.06</v>
      </c>
      <c r="G2690">
        <v>73.3</v>
      </c>
      <c r="H2690">
        <f>E2690*1000000/D2690</f>
        <v>1171260.1285275216</v>
      </c>
      <c r="I2690" t="str">
        <f>IF(AND(B2690&gt;=2018, B2690&lt;=2021), "2018-2021", IF(AND(B2690&gt;=2022, B2690&lt;=2024), "2022-2024", "Other"))</f>
        <v>2022-2024</v>
      </c>
    </row>
    <row r="2691" spans="1:9" x14ac:dyDescent="0.3">
      <c r="A2691" t="s">
        <v>10</v>
      </c>
      <c r="B2691">
        <v>2023</v>
      </c>
      <c r="C2691" t="s">
        <v>8</v>
      </c>
      <c r="D2691">
        <v>11067.52</v>
      </c>
      <c r="E2691">
        <v>12301.52</v>
      </c>
      <c r="F2691">
        <v>65.72</v>
      </c>
      <c r="G2691">
        <v>564.42999999999995</v>
      </c>
      <c r="H2691">
        <f>E2691*1000000/D2691</f>
        <v>1111497.4267044468</v>
      </c>
      <c r="I2691" t="str">
        <f>IF(AND(B2691&gt;=2018, B2691&lt;=2021), "2018-2021", IF(AND(B2691&gt;=2022, B2691&lt;=2024), "2022-2024", "Other"))</f>
        <v>2022-2024</v>
      </c>
    </row>
    <row r="2692" spans="1:9" x14ac:dyDescent="0.3">
      <c r="A2692" t="s">
        <v>19</v>
      </c>
      <c r="B2692">
        <v>2021</v>
      </c>
      <c r="C2692" t="s">
        <v>4</v>
      </c>
      <c r="D2692">
        <v>37877.089999999997</v>
      </c>
      <c r="E2692">
        <v>33740.239999999998</v>
      </c>
      <c r="F2692">
        <v>56.63</v>
      </c>
      <c r="G2692">
        <v>845.02</v>
      </c>
      <c r="H2692">
        <f>E2692*1000000/D2692</f>
        <v>890782.26442422054</v>
      </c>
      <c r="I2692" t="str">
        <f>IF(AND(B2692&gt;=2018, B2692&lt;=2021), "2018-2021", IF(AND(B2692&gt;=2022, B2692&lt;=2024), "2022-2024", "Other"))</f>
        <v>2018-2021</v>
      </c>
    </row>
    <row r="2693" spans="1:9" x14ac:dyDescent="0.3">
      <c r="A2693" t="s">
        <v>1</v>
      </c>
      <c r="B2693">
        <v>2022</v>
      </c>
      <c r="C2693" t="s">
        <v>4</v>
      </c>
      <c r="D2693">
        <v>27795.89</v>
      </c>
      <c r="E2693">
        <v>27809.32</v>
      </c>
      <c r="F2693">
        <v>124.26</v>
      </c>
      <c r="G2693">
        <v>812.38</v>
      </c>
      <c r="H2693">
        <f>E2693*1000000/D2693</f>
        <v>1000483.1649571214</v>
      </c>
      <c r="I2693" t="str">
        <f>IF(AND(B2693&gt;=2018, B2693&lt;=2021), "2018-2021", IF(AND(B2693&gt;=2022, B2693&lt;=2024), "2022-2024", "Other"))</f>
        <v>2022-2024</v>
      </c>
    </row>
    <row r="2694" spans="1:9" x14ac:dyDescent="0.3">
      <c r="A2694" t="s">
        <v>15</v>
      </c>
      <c r="B2694">
        <v>2021</v>
      </c>
      <c r="C2694" t="s">
        <v>0</v>
      </c>
      <c r="D2694">
        <v>29314.52</v>
      </c>
      <c r="E2694">
        <v>29395.98</v>
      </c>
      <c r="F2694">
        <v>171.18</v>
      </c>
      <c r="G2694">
        <v>924.72</v>
      </c>
      <c r="H2694">
        <f>E2694*1000000/D2694</f>
        <v>1002778.8276935798</v>
      </c>
      <c r="I2694" t="str">
        <f>IF(AND(B2694&gt;=2018, B2694&lt;=2021), "2018-2021", IF(AND(B2694&gt;=2022, B2694&lt;=2024), "2022-2024", "Other"))</f>
        <v>2018-2021</v>
      </c>
    </row>
    <row r="2695" spans="1:9" x14ac:dyDescent="0.3">
      <c r="A2695" t="s">
        <v>25</v>
      </c>
      <c r="B2695">
        <v>2020</v>
      </c>
      <c r="C2695" t="s">
        <v>6</v>
      </c>
      <c r="D2695">
        <v>15416.59</v>
      </c>
      <c r="E2695">
        <v>18045.54</v>
      </c>
      <c r="F2695">
        <v>150.76</v>
      </c>
      <c r="G2695">
        <v>688.85</v>
      </c>
      <c r="H2695">
        <f>E2695*1000000/D2695</f>
        <v>1170527.3345143122</v>
      </c>
      <c r="I2695" t="str">
        <f>IF(AND(B2695&gt;=2018, B2695&lt;=2021), "2018-2021", IF(AND(B2695&gt;=2022, B2695&lt;=2024), "2022-2024", "Other"))</f>
        <v>2018-2021</v>
      </c>
    </row>
    <row r="2696" spans="1:9" x14ac:dyDescent="0.3">
      <c r="A2696" t="s">
        <v>25</v>
      </c>
      <c r="B2696">
        <v>2018</v>
      </c>
      <c r="C2696" t="s">
        <v>14</v>
      </c>
      <c r="D2696">
        <v>38349.94</v>
      </c>
      <c r="E2696">
        <v>36606.449999999997</v>
      </c>
      <c r="F2696">
        <v>159.79</v>
      </c>
      <c r="G2696">
        <v>1277.8599999999999</v>
      </c>
      <c r="H2696">
        <f>E2696*1000000/D2696</f>
        <v>954537.3473856803</v>
      </c>
      <c r="I2696" t="str">
        <f>IF(AND(B2696&gt;=2018, B2696&lt;=2021), "2018-2021", IF(AND(B2696&gt;=2022, B2696&lt;=2024), "2022-2024", "Other"))</f>
        <v>2018-2021</v>
      </c>
    </row>
    <row r="2697" spans="1:9" x14ac:dyDescent="0.3">
      <c r="A2697" t="s">
        <v>22</v>
      </c>
      <c r="B2697">
        <v>2024</v>
      </c>
      <c r="C2697" t="s">
        <v>14</v>
      </c>
      <c r="D2697">
        <v>41860.32</v>
      </c>
      <c r="E2697">
        <v>43008.54</v>
      </c>
      <c r="F2697">
        <v>77.709999999999994</v>
      </c>
      <c r="G2697">
        <v>918.54</v>
      </c>
      <c r="H2697">
        <f>E2697*1000000/D2697</f>
        <v>1027429.7950899564</v>
      </c>
      <c r="I2697" t="str">
        <f>IF(AND(B2697&gt;=2018, B2697&lt;=2021), "2018-2021", IF(AND(B2697&gt;=2022, B2697&lt;=2024), "2022-2024", "Other"))</f>
        <v>2022-2024</v>
      </c>
    </row>
    <row r="2698" spans="1:9" x14ac:dyDescent="0.3">
      <c r="A2698" t="s">
        <v>26</v>
      </c>
      <c r="B2698">
        <v>2023</v>
      </c>
      <c r="C2698" t="s">
        <v>2</v>
      </c>
      <c r="D2698">
        <v>8127.36</v>
      </c>
      <c r="E2698">
        <v>6730.21</v>
      </c>
      <c r="F2698">
        <v>21.22</v>
      </c>
      <c r="G2698">
        <v>481.47</v>
      </c>
      <c r="H2698">
        <f>E2698*1000000/D2698</f>
        <v>828093.00929207029</v>
      </c>
      <c r="I2698" t="str">
        <f>IF(AND(B2698&gt;=2018, B2698&lt;=2021), "2018-2021", IF(AND(B2698&gt;=2022, B2698&lt;=2024), "2022-2024", "Other"))</f>
        <v>2022-2024</v>
      </c>
    </row>
    <row r="2699" spans="1:9" x14ac:dyDescent="0.3">
      <c r="A2699" t="s">
        <v>24</v>
      </c>
      <c r="B2699">
        <v>2021</v>
      </c>
      <c r="C2699" t="s">
        <v>12</v>
      </c>
      <c r="D2699">
        <v>7954.86</v>
      </c>
      <c r="E2699">
        <v>8971.0499999999993</v>
      </c>
      <c r="F2699">
        <v>94.1</v>
      </c>
      <c r="G2699">
        <v>1339.62</v>
      </c>
      <c r="H2699">
        <f>E2699*1000000/D2699</f>
        <v>1127744.5486155634</v>
      </c>
      <c r="I2699" t="str">
        <f>IF(AND(B2699&gt;=2018, B2699&lt;=2021), "2018-2021", IF(AND(B2699&gt;=2022, B2699&lt;=2024), "2022-2024", "Other"))</f>
        <v>2018-2021</v>
      </c>
    </row>
    <row r="2700" spans="1:9" x14ac:dyDescent="0.3">
      <c r="A2700" t="s">
        <v>21</v>
      </c>
      <c r="B2700">
        <v>2019</v>
      </c>
      <c r="C2700" t="s">
        <v>12</v>
      </c>
      <c r="D2700">
        <v>16479.98</v>
      </c>
      <c r="E2700">
        <v>17699.509999999998</v>
      </c>
      <c r="F2700">
        <v>26.9</v>
      </c>
      <c r="G2700">
        <v>537.15</v>
      </c>
      <c r="H2700">
        <f>E2700*1000000/D2700</f>
        <v>1074000.6966027871</v>
      </c>
      <c r="I2700" t="str">
        <f>IF(AND(B2700&gt;=2018, B2700&lt;=2021), "2018-2021", IF(AND(B2700&gt;=2022, B2700&lt;=2024), "2022-2024", "Other"))</f>
        <v>2018-2021</v>
      </c>
    </row>
    <row r="2701" spans="1:9" x14ac:dyDescent="0.3">
      <c r="A2701" t="s">
        <v>7</v>
      </c>
      <c r="B2701">
        <v>2020</v>
      </c>
      <c r="C2701" t="s">
        <v>9</v>
      </c>
      <c r="D2701">
        <v>39840.28</v>
      </c>
      <c r="E2701">
        <v>41819.35</v>
      </c>
      <c r="F2701">
        <v>42.2</v>
      </c>
      <c r="G2701">
        <v>1102.3599999999999</v>
      </c>
      <c r="H2701">
        <f>E2701*1000000/D2701</f>
        <v>1049675.1026850212</v>
      </c>
      <c r="I2701" t="str">
        <f>IF(AND(B2701&gt;=2018, B2701&lt;=2021), "2018-2021", IF(AND(B2701&gt;=2022, B2701&lt;=2024), "2022-2024", "Other"))</f>
        <v>2018-2021</v>
      </c>
    </row>
    <row r="2702" spans="1:9" x14ac:dyDescent="0.3">
      <c r="A2702" t="s">
        <v>7</v>
      </c>
      <c r="B2702">
        <v>2024</v>
      </c>
      <c r="C2702" t="s">
        <v>12</v>
      </c>
      <c r="D2702">
        <v>11770.28</v>
      </c>
      <c r="E2702">
        <v>10025.89</v>
      </c>
      <c r="F2702">
        <v>74.83</v>
      </c>
      <c r="G2702">
        <v>31.92</v>
      </c>
      <c r="H2702">
        <f>E2702*1000000/D2702</f>
        <v>851797.0685489215</v>
      </c>
      <c r="I2702" t="str">
        <f>IF(AND(B2702&gt;=2018, B2702&lt;=2021), "2018-2021", IF(AND(B2702&gt;=2022, B2702&lt;=2024), "2022-2024", "Other"))</f>
        <v>2022-2024</v>
      </c>
    </row>
    <row r="2703" spans="1:9" x14ac:dyDescent="0.3">
      <c r="A2703" t="s">
        <v>22</v>
      </c>
      <c r="B2703">
        <v>2023</v>
      </c>
      <c r="C2703" t="s">
        <v>6</v>
      </c>
      <c r="D2703">
        <v>7476.49</v>
      </c>
      <c r="E2703">
        <v>7903.23</v>
      </c>
      <c r="F2703">
        <v>42.17</v>
      </c>
      <c r="G2703">
        <v>968.6</v>
      </c>
      <c r="H2703">
        <f>E2703*1000000/D2703</f>
        <v>1057077.5858725151</v>
      </c>
      <c r="I2703" t="str">
        <f>IF(AND(B2703&gt;=2018, B2703&lt;=2021), "2018-2021", IF(AND(B2703&gt;=2022, B2703&lt;=2024), "2022-2024", "Other"))</f>
        <v>2022-2024</v>
      </c>
    </row>
    <row r="2704" spans="1:9" x14ac:dyDescent="0.3">
      <c r="A2704" t="s">
        <v>16</v>
      </c>
      <c r="B2704">
        <v>2020</v>
      </c>
      <c r="C2704" t="s">
        <v>0</v>
      </c>
      <c r="D2704">
        <v>6760.74</v>
      </c>
      <c r="E2704">
        <v>6271.43</v>
      </c>
      <c r="F2704">
        <v>118.99</v>
      </c>
      <c r="G2704">
        <v>420.11</v>
      </c>
      <c r="H2704">
        <f>E2704*1000000/D2704</f>
        <v>927624.78663578245</v>
      </c>
      <c r="I2704" t="str">
        <f>IF(AND(B2704&gt;=2018, B2704&lt;=2021), "2018-2021", IF(AND(B2704&gt;=2022, B2704&lt;=2024), "2022-2024", "Other"))</f>
        <v>2018-2021</v>
      </c>
    </row>
    <row r="2705" spans="1:9" x14ac:dyDescent="0.3">
      <c r="A2705" t="s">
        <v>24</v>
      </c>
      <c r="B2705">
        <v>2022</v>
      </c>
      <c r="C2705" t="s">
        <v>2</v>
      </c>
      <c r="D2705">
        <v>9891.7800000000007</v>
      </c>
      <c r="E2705">
        <v>10715.3</v>
      </c>
      <c r="F2705">
        <v>178.53</v>
      </c>
      <c r="G2705">
        <v>1363.16</v>
      </c>
      <c r="H2705">
        <f>E2705*1000000/D2705</f>
        <v>1083252.9635717736</v>
      </c>
      <c r="I2705" t="str">
        <f>IF(AND(B2705&gt;=2018, B2705&lt;=2021), "2018-2021", IF(AND(B2705&gt;=2022, B2705&lt;=2024), "2022-2024", "Other"))</f>
        <v>2022-2024</v>
      </c>
    </row>
    <row r="2706" spans="1:9" x14ac:dyDescent="0.3">
      <c r="A2706" t="s">
        <v>25</v>
      </c>
      <c r="B2706">
        <v>2021</v>
      </c>
      <c r="C2706" t="s">
        <v>12</v>
      </c>
      <c r="D2706">
        <v>20222.54</v>
      </c>
      <c r="E2706">
        <v>22592.38</v>
      </c>
      <c r="F2706">
        <v>125.61</v>
      </c>
      <c r="G2706">
        <v>265.41000000000003</v>
      </c>
      <c r="H2706">
        <f>E2706*1000000/D2706</f>
        <v>1117188.0485834123</v>
      </c>
      <c r="I2706" t="str">
        <f>IF(AND(B2706&gt;=2018, B2706&lt;=2021), "2018-2021", IF(AND(B2706&gt;=2022, B2706&lt;=2024), "2022-2024", "Other"))</f>
        <v>2018-2021</v>
      </c>
    </row>
    <row r="2707" spans="1:9" x14ac:dyDescent="0.3">
      <c r="A2707" t="s">
        <v>20</v>
      </c>
      <c r="B2707">
        <v>2024</v>
      </c>
      <c r="C2707" t="s">
        <v>9</v>
      </c>
      <c r="D2707">
        <v>43702.75</v>
      </c>
      <c r="E2707">
        <v>47876.05</v>
      </c>
      <c r="F2707">
        <v>130.6</v>
      </c>
      <c r="G2707">
        <v>569.47</v>
      </c>
      <c r="H2707">
        <f>E2707*1000000/D2707</f>
        <v>1095492.846559999</v>
      </c>
      <c r="I2707" t="str">
        <f>IF(AND(B2707&gt;=2018, B2707&lt;=2021), "2018-2021", IF(AND(B2707&gt;=2022, B2707&lt;=2024), "2022-2024", "Other"))</f>
        <v>2022-2024</v>
      </c>
    </row>
    <row r="2708" spans="1:9" x14ac:dyDescent="0.3">
      <c r="A2708" t="s">
        <v>27</v>
      </c>
      <c r="B2708">
        <v>2020</v>
      </c>
      <c r="C2708" t="s">
        <v>0</v>
      </c>
      <c r="D2708">
        <v>16727.349999999999</v>
      </c>
      <c r="E2708">
        <v>15024.39</v>
      </c>
      <c r="F2708">
        <v>108.21</v>
      </c>
      <c r="G2708">
        <v>383.8</v>
      </c>
      <c r="H2708">
        <f>E2708*1000000/D2708</f>
        <v>898193.07899936335</v>
      </c>
      <c r="I2708" t="str">
        <f>IF(AND(B2708&gt;=2018, B2708&lt;=2021), "2018-2021", IF(AND(B2708&gt;=2022, B2708&lt;=2024), "2022-2024", "Other"))</f>
        <v>2018-2021</v>
      </c>
    </row>
    <row r="2709" spans="1:9" x14ac:dyDescent="0.3">
      <c r="A2709" t="s">
        <v>17</v>
      </c>
      <c r="B2709">
        <v>2019</v>
      </c>
      <c r="C2709" t="s">
        <v>4</v>
      </c>
      <c r="D2709">
        <v>10363.040000000001</v>
      </c>
      <c r="E2709">
        <v>8457.3700000000008</v>
      </c>
      <c r="F2709">
        <v>33.799999999999997</v>
      </c>
      <c r="G2709">
        <v>1203.6500000000001</v>
      </c>
      <c r="H2709">
        <f>E2709*1000000/D2709</f>
        <v>816108.97960444039</v>
      </c>
      <c r="I2709" t="str">
        <f>IF(AND(B2709&gt;=2018, B2709&lt;=2021), "2018-2021", IF(AND(B2709&gt;=2022, B2709&lt;=2024), "2022-2024", "Other"))</f>
        <v>2018-2021</v>
      </c>
    </row>
    <row r="2710" spans="1:9" x14ac:dyDescent="0.3">
      <c r="A2710" t="s">
        <v>3</v>
      </c>
      <c r="B2710">
        <v>2019</v>
      </c>
      <c r="C2710" t="s">
        <v>4</v>
      </c>
      <c r="D2710">
        <v>35706.65</v>
      </c>
      <c r="E2710">
        <v>33270.18</v>
      </c>
      <c r="F2710">
        <v>179.94</v>
      </c>
      <c r="G2710">
        <v>94.25</v>
      </c>
      <c r="H2710">
        <f>E2710*1000000/D2710</f>
        <v>931764.25119690585</v>
      </c>
      <c r="I2710" t="str">
        <f>IF(AND(B2710&gt;=2018, B2710&lt;=2021), "2018-2021", IF(AND(B2710&gt;=2022, B2710&lt;=2024), "2022-2024", "Other"))</f>
        <v>2018-2021</v>
      </c>
    </row>
    <row r="2711" spans="1:9" x14ac:dyDescent="0.3">
      <c r="A2711" t="s">
        <v>22</v>
      </c>
      <c r="B2711">
        <v>2023</v>
      </c>
      <c r="C2711" t="s">
        <v>2</v>
      </c>
      <c r="D2711">
        <v>36006.65</v>
      </c>
      <c r="E2711">
        <v>34868.11</v>
      </c>
      <c r="F2711">
        <v>186.3</v>
      </c>
      <c r="G2711">
        <v>18.600000000000001</v>
      </c>
      <c r="H2711">
        <f>E2711*1000000/D2711</f>
        <v>968379.7298554572</v>
      </c>
      <c r="I2711" t="str">
        <f>IF(AND(B2711&gt;=2018, B2711&lt;=2021), "2018-2021", IF(AND(B2711&gt;=2022, B2711&lt;=2024), "2022-2024", "Other"))</f>
        <v>2022-2024</v>
      </c>
    </row>
    <row r="2712" spans="1:9" x14ac:dyDescent="0.3">
      <c r="A2712" t="s">
        <v>21</v>
      </c>
      <c r="B2712">
        <v>2018</v>
      </c>
      <c r="C2712" t="s">
        <v>2</v>
      </c>
      <c r="D2712">
        <v>17225.919999999998</v>
      </c>
      <c r="E2712">
        <v>18968.16</v>
      </c>
      <c r="F2712">
        <v>147.84</v>
      </c>
      <c r="G2712">
        <v>1125.6600000000001</v>
      </c>
      <c r="H2712">
        <f>E2712*1000000/D2712</f>
        <v>1101140.6067136037</v>
      </c>
      <c r="I2712" t="str">
        <f>IF(AND(B2712&gt;=2018, B2712&lt;=2021), "2018-2021", IF(AND(B2712&gt;=2022, B2712&lt;=2024), "2022-2024", "Other"))</f>
        <v>2018-2021</v>
      </c>
    </row>
    <row r="2713" spans="1:9" x14ac:dyDescent="0.3">
      <c r="A2713" t="s">
        <v>20</v>
      </c>
      <c r="B2713">
        <v>2022</v>
      </c>
      <c r="C2713" t="s">
        <v>4</v>
      </c>
      <c r="D2713">
        <v>16387.810000000001</v>
      </c>
      <c r="E2713">
        <v>14306.93</v>
      </c>
      <c r="F2713">
        <v>22.2</v>
      </c>
      <c r="G2713">
        <v>33.72</v>
      </c>
      <c r="H2713">
        <f>E2713*1000000/D2713</f>
        <v>873022.69186669844</v>
      </c>
      <c r="I2713" t="str">
        <f>IF(AND(B2713&gt;=2018, B2713&lt;=2021), "2018-2021", IF(AND(B2713&gt;=2022, B2713&lt;=2024), "2022-2024", "Other"))</f>
        <v>2022-2024</v>
      </c>
    </row>
    <row r="2714" spans="1:9" x14ac:dyDescent="0.3">
      <c r="A2714" t="s">
        <v>17</v>
      </c>
      <c r="B2714">
        <v>2023</v>
      </c>
      <c r="C2714" t="s">
        <v>12</v>
      </c>
      <c r="D2714">
        <v>28884.65</v>
      </c>
      <c r="E2714">
        <v>26367.11</v>
      </c>
      <c r="F2714">
        <v>172.06</v>
      </c>
      <c r="G2714">
        <v>1203.82</v>
      </c>
      <c r="H2714">
        <f>E2714*1000000/D2714</f>
        <v>912841.59579569078</v>
      </c>
      <c r="I2714" t="str">
        <f>IF(AND(B2714&gt;=2018, B2714&lt;=2021), "2018-2021", IF(AND(B2714&gt;=2022, B2714&lt;=2024), "2022-2024", "Other"))</f>
        <v>2022-2024</v>
      </c>
    </row>
    <row r="2715" spans="1:9" x14ac:dyDescent="0.3">
      <c r="A2715" t="s">
        <v>15</v>
      </c>
      <c r="B2715">
        <v>2018</v>
      </c>
      <c r="C2715" t="s">
        <v>6</v>
      </c>
      <c r="D2715">
        <v>27961.919999999998</v>
      </c>
      <c r="E2715">
        <v>27791.24</v>
      </c>
      <c r="F2715">
        <v>139.08000000000001</v>
      </c>
      <c r="G2715">
        <v>83.26</v>
      </c>
      <c r="H2715">
        <f>E2715*1000000/D2715</f>
        <v>993895.98425286973</v>
      </c>
      <c r="I2715" t="str">
        <f>IF(AND(B2715&gt;=2018, B2715&lt;=2021), "2018-2021", IF(AND(B2715&gt;=2022, B2715&lt;=2024), "2022-2024", "Other"))</f>
        <v>2018-2021</v>
      </c>
    </row>
    <row r="2716" spans="1:9" x14ac:dyDescent="0.3">
      <c r="A2716" t="s">
        <v>19</v>
      </c>
      <c r="B2716">
        <v>2019</v>
      </c>
      <c r="C2716" t="s">
        <v>14</v>
      </c>
      <c r="D2716">
        <v>45120.71</v>
      </c>
      <c r="E2716">
        <v>53691.77</v>
      </c>
      <c r="F2716">
        <v>131.81</v>
      </c>
      <c r="G2716">
        <v>239.8</v>
      </c>
      <c r="H2716">
        <f>E2716*1000000/D2716</f>
        <v>1189958.4470191183</v>
      </c>
      <c r="I2716" t="str">
        <f>IF(AND(B2716&gt;=2018, B2716&lt;=2021), "2018-2021", IF(AND(B2716&gt;=2022, B2716&lt;=2024), "2022-2024", "Other"))</f>
        <v>2018-2021</v>
      </c>
    </row>
    <row r="2717" spans="1:9" x14ac:dyDescent="0.3">
      <c r="A2717" t="s">
        <v>20</v>
      </c>
      <c r="B2717">
        <v>2023</v>
      </c>
      <c r="C2717" t="s">
        <v>8</v>
      </c>
      <c r="D2717">
        <v>41698</v>
      </c>
      <c r="E2717">
        <v>41346.57</v>
      </c>
      <c r="F2717">
        <v>108.68</v>
      </c>
      <c r="G2717">
        <v>1210.31</v>
      </c>
      <c r="H2717">
        <f>E2717*1000000/D2717</f>
        <v>991572.01784258243</v>
      </c>
      <c r="I2717" t="str">
        <f>IF(AND(B2717&gt;=2018, B2717&lt;=2021), "2018-2021", IF(AND(B2717&gt;=2022, B2717&lt;=2024), "2022-2024", "Other"))</f>
        <v>2022-2024</v>
      </c>
    </row>
    <row r="2718" spans="1:9" x14ac:dyDescent="0.3">
      <c r="A2718" t="s">
        <v>22</v>
      </c>
      <c r="B2718">
        <v>2018</v>
      </c>
      <c r="C2718" t="s">
        <v>12</v>
      </c>
      <c r="D2718">
        <v>34145.08</v>
      </c>
      <c r="E2718">
        <v>30152.14</v>
      </c>
      <c r="F2718">
        <v>110.4</v>
      </c>
      <c r="G2718">
        <v>714.68</v>
      </c>
      <c r="H2718">
        <f>E2718*1000000/D2718</f>
        <v>883059.57988676545</v>
      </c>
      <c r="I2718" t="str">
        <f>IF(AND(B2718&gt;=2018, B2718&lt;=2021), "2018-2021", IF(AND(B2718&gt;=2022, B2718&lt;=2024), "2022-2024", "Other"))</f>
        <v>2018-2021</v>
      </c>
    </row>
    <row r="2719" spans="1:9" x14ac:dyDescent="0.3">
      <c r="A2719" t="s">
        <v>27</v>
      </c>
      <c r="B2719">
        <v>2022</v>
      </c>
      <c r="C2719" t="s">
        <v>14</v>
      </c>
      <c r="D2719">
        <v>23221.41</v>
      </c>
      <c r="E2719">
        <v>21893.64</v>
      </c>
      <c r="F2719">
        <v>50.27</v>
      </c>
      <c r="G2719">
        <v>1273.04</v>
      </c>
      <c r="H2719">
        <f>E2719*1000000/D2719</f>
        <v>942821.30154887238</v>
      </c>
      <c r="I2719" t="str">
        <f>IF(AND(B2719&gt;=2018, B2719&lt;=2021), "2018-2021", IF(AND(B2719&gt;=2022, B2719&lt;=2024), "2022-2024", "Other"))</f>
        <v>2022-2024</v>
      </c>
    </row>
    <row r="2720" spans="1:9" x14ac:dyDescent="0.3">
      <c r="A2720" t="s">
        <v>13</v>
      </c>
      <c r="B2720">
        <v>2018</v>
      </c>
      <c r="C2720" t="s">
        <v>6</v>
      </c>
      <c r="D2720">
        <v>20601.02</v>
      </c>
      <c r="E2720">
        <v>19292.849999999999</v>
      </c>
      <c r="F2720">
        <v>70.83</v>
      </c>
      <c r="G2720">
        <v>602.84</v>
      </c>
      <c r="H2720">
        <f>E2720*1000000/D2720</f>
        <v>936499.74612907518</v>
      </c>
      <c r="I2720" t="str">
        <f>IF(AND(B2720&gt;=2018, B2720&lt;=2021), "2018-2021", IF(AND(B2720&gt;=2022, B2720&lt;=2024), "2022-2024", "Other"))</f>
        <v>2018-2021</v>
      </c>
    </row>
    <row r="2721" spans="1:9" x14ac:dyDescent="0.3">
      <c r="A2721" t="s">
        <v>26</v>
      </c>
      <c r="B2721">
        <v>2020</v>
      </c>
      <c r="C2721" t="s">
        <v>0</v>
      </c>
      <c r="D2721">
        <v>8157.8</v>
      </c>
      <c r="E2721">
        <v>9049.4500000000007</v>
      </c>
      <c r="F2721">
        <v>54.46</v>
      </c>
      <c r="G2721">
        <v>575.04999999999995</v>
      </c>
      <c r="H2721">
        <f>E2721*1000000/D2721</f>
        <v>1109300.3015518889</v>
      </c>
      <c r="I2721" t="str">
        <f>IF(AND(B2721&gt;=2018, B2721&lt;=2021), "2018-2021", IF(AND(B2721&gt;=2022, B2721&lt;=2024), "2022-2024", "Other"))</f>
        <v>2018-2021</v>
      </c>
    </row>
    <row r="2722" spans="1:9" x14ac:dyDescent="0.3">
      <c r="A2722" t="s">
        <v>5</v>
      </c>
      <c r="B2722">
        <v>2021</v>
      </c>
      <c r="C2722" t="s">
        <v>4</v>
      </c>
      <c r="D2722">
        <v>44891.73</v>
      </c>
      <c r="E2722">
        <v>52505.01</v>
      </c>
      <c r="F2722">
        <v>78.430000000000007</v>
      </c>
      <c r="G2722">
        <v>726.44</v>
      </c>
      <c r="H2722">
        <f>E2722*1000000/D2722</f>
        <v>1169592.0384444974</v>
      </c>
      <c r="I2722" t="str">
        <f>IF(AND(B2722&gt;=2018, B2722&lt;=2021), "2018-2021", IF(AND(B2722&gt;=2022, B2722&lt;=2024), "2022-2024", "Other"))</f>
        <v>2018-2021</v>
      </c>
    </row>
    <row r="2723" spans="1:9" x14ac:dyDescent="0.3">
      <c r="A2723" t="s">
        <v>20</v>
      </c>
      <c r="B2723">
        <v>2020</v>
      </c>
      <c r="C2723" t="s">
        <v>9</v>
      </c>
      <c r="D2723">
        <v>11388.23</v>
      </c>
      <c r="E2723">
        <v>9140.67</v>
      </c>
      <c r="F2723">
        <v>57.09</v>
      </c>
      <c r="G2723">
        <v>1116.81</v>
      </c>
      <c r="H2723">
        <f>E2723*1000000/D2723</f>
        <v>802641.85040168674</v>
      </c>
      <c r="I2723" t="str">
        <f>IF(AND(B2723&gt;=2018, B2723&lt;=2021), "2018-2021", IF(AND(B2723&gt;=2022, B2723&lt;=2024), "2022-2024", "Other"))</f>
        <v>2018-2021</v>
      </c>
    </row>
    <row r="2724" spans="1:9" x14ac:dyDescent="0.3">
      <c r="A2724" t="s">
        <v>22</v>
      </c>
      <c r="B2724">
        <v>2021</v>
      </c>
      <c r="C2724" t="s">
        <v>8</v>
      </c>
      <c r="D2724">
        <v>25994.94</v>
      </c>
      <c r="E2724">
        <v>22461.46</v>
      </c>
      <c r="F2724">
        <v>100.81</v>
      </c>
      <c r="G2724">
        <v>900.11</v>
      </c>
      <c r="H2724">
        <f>E2724*1000000/D2724</f>
        <v>864070.46909898624</v>
      </c>
      <c r="I2724" t="str">
        <f>IF(AND(B2724&gt;=2018, B2724&lt;=2021), "2018-2021", IF(AND(B2724&gt;=2022, B2724&lt;=2024), "2022-2024", "Other"))</f>
        <v>2018-2021</v>
      </c>
    </row>
    <row r="2725" spans="1:9" x14ac:dyDescent="0.3">
      <c r="A2725" t="s">
        <v>24</v>
      </c>
      <c r="B2725">
        <v>2018</v>
      </c>
      <c r="C2725" t="s">
        <v>0</v>
      </c>
      <c r="D2725">
        <v>42462.31</v>
      </c>
      <c r="E2725">
        <v>39464.44</v>
      </c>
      <c r="F2725">
        <v>124.4</v>
      </c>
      <c r="G2725">
        <v>405.19</v>
      </c>
      <c r="H2725">
        <f>E2725*1000000/D2725</f>
        <v>929399.27196612721</v>
      </c>
      <c r="I2725" t="str">
        <f>IF(AND(B2725&gt;=2018, B2725&lt;=2021), "2018-2021", IF(AND(B2725&gt;=2022, B2725&lt;=2024), "2022-2024", "Other"))</f>
        <v>2018-2021</v>
      </c>
    </row>
    <row r="2726" spans="1:9" x14ac:dyDescent="0.3">
      <c r="A2726" t="s">
        <v>16</v>
      </c>
      <c r="B2726">
        <v>2022</v>
      </c>
      <c r="C2726" t="s">
        <v>8</v>
      </c>
      <c r="D2726">
        <v>47045.88</v>
      </c>
      <c r="E2726">
        <v>46778.65</v>
      </c>
      <c r="F2726">
        <v>183.74</v>
      </c>
      <c r="G2726">
        <v>876.35</v>
      </c>
      <c r="H2726">
        <f>E2726*1000000/D2726</f>
        <v>994319.80016103433</v>
      </c>
      <c r="I2726" t="str">
        <f>IF(AND(B2726&gt;=2018, B2726&lt;=2021), "2018-2021", IF(AND(B2726&gt;=2022, B2726&lt;=2024), "2022-2024", "Other"))</f>
        <v>2022-2024</v>
      </c>
    </row>
    <row r="2727" spans="1:9" x14ac:dyDescent="0.3">
      <c r="A2727" t="s">
        <v>21</v>
      </c>
      <c r="B2727">
        <v>2024</v>
      </c>
      <c r="C2727" t="s">
        <v>2</v>
      </c>
      <c r="D2727">
        <v>18433.580000000002</v>
      </c>
      <c r="E2727">
        <v>16555.939999999999</v>
      </c>
      <c r="F2727">
        <v>23.24</v>
      </c>
      <c r="G2727">
        <v>506.24</v>
      </c>
      <c r="H2727">
        <f>E2727*1000000/D2727</f>
        <v>898140.24188464729</v>
      </c>
      <c r="I2727" t="str">
        <f>IF(AND(B2727&gt;=2018, B2727&lt;=2021), "2018-2021", IF(AND(B2727&gt;=2022, B2727&lt;=2024), "2022-2024", "Other"))</f>
        <v>2022-2024</v>
      </c>
    </row>
    <row r="2728" spans="1:9" x14ac:dyDescent="0.3">
      <c r="A2728" t="s">
        <v>27</v>
      </c>
      <c r="B2728">
        <v>2022</v>
      </c>
      <c r="C2728" t="s">
        <v>6</v>
      </c>
      <c r="D2728">
        <v>12137.82</v>
      </c>
      <c r="E2728">
        <v>10808.48</v>
      </c>
      <c r="F2728">
        <v>85.69</v>
      </c>
      <c r="G2728">
        <v>327.26</v>
      </c>
      <c r="H2728">
        <f>E2728*1000000/D2728</f>
        <v>890479.50950005848</v>
      </c>
      <c r="I2728" t="str">
        <f>IF(AND(B2728&gt;=2018, B2728&lt;=2021), "2018-2021", IF(AND(B2728&gt;=2022, B2728&lt;=2024), "2022-2024", "Other"))</f>
        <v>2022-2024</v>
      </c>
    </row>
    <row r="2729" spans="1:9" x14ac:dyDescent="0.3">
      <c r="A2729" t="s">
        <v>18</v>
      </c>
      <c r="B2729">
        <v>2020</v>
      </c>
      <c r="C2729" t="s">
        <v>9</v>
      </c>
      <c r="D2729">
        <v>13477.87</v>
      </c>
      <c r="E2729">
        <v>13426.9</v>
      </c>
      <c r="F2729">
        <v>62.12</v>
      </c>
      <c r="G2729">
        <v>1358.48</v>
      </c>
      <c r="H2729">
        <f>E2729*1000000/D2729</f>
        <v>996218.24516781943</v>
      </c>
      <c r="I2729" t="str">
        <f>IF(AND(B2729&gt;=2018, B2729&lt;=2021), "2018-2021", IF(AND(B2729&gt;=2022, B2729&lt;=2024), "2022-2024", "Other"))</f>
        <v>2018-2021</v>
      </c>
    </row>
    <row r="2730" spans="1:9" x14ac:dyDescent="0.3">
      <c r="A2730" t="s">
        <v>10</v>
      </c>
      <c r="B2730">
        <v>2018</v>
      </c>
      <c r="C2730" t="s">
        <v>4</v>
      </c>
      <c r="D2730">
        <v>27877.69</v>
      </c>
      <c r="E2730">
        <v>28368.73</v>
      </c>
      <c r="F2730">
        <v>65.36</v>
      </c>
      <c r="G2730">
        <v>559.08000000000004</v>
      </c>
      <c r="H2730">
        <f>E2730*1000000/D2730</f>
        <v>1017614.0849546717</v>
      </c>
      <c r="I2730" t="str">
        <f>IF(AND(B2730&gt;=2018, B2730&lt;=2021), "2018-2021", IF(AND(B2730&gt;=2022, B2730&lt;=2024), "2022-2024", "Other"))</f>
        <v>2018-2021</v>
      </c>
    </row>
    <row r="2731" spans="1:9" x14ac:dyDescent="0.3">
      <c r="A2731" t="s">
        <v>15</v>
      </c>
      <c r="B2731">
        <v>2019</v>
      </c>
      <c r="C2731" t="s">
        <v>14</v>
      </c>
      <c r="D2731">
        <v>21550.1</v>
      </c>
      <c r="E2731">
        <v>22964.51</v>
      </c>
      <c r="F2731">
        <v>134.6</v>
      </c>
      <c r="G2731">
        <v>662.02</v>
      </c>
      <c r="H2731">
        <f>E2731*1000000/D2731</f>
        <v>1065633.5701458463</v>
      </c>
      <c r="I2731" t="str">
        <f>IF(AND(B2731&gt;=2018, B2731&lt;=2021), "2018-2021", IF(AND(B2731&gt;=2022, B2731&lt;=2024), "2022-2024", "Other"))</f>
        <v>2018-2021</v>
      </c>
    </row>
    <row r="2732" spans="1:9" x14ac:dyDescent="0.3">
      <c r="A2732" t="s">
        <v>25</v>
      </c>
      <c r="B2732">
        <v>2019</v>
      </c>
      <c r="C2732" t="s">
        <v>4</v>
      </c>
      <c r="D2732">
        <v>10832.48</v>
      </c>
      <c r="E2732">
        <v>9830.6200000000008</v>
      </c>
      <c r="F2732">
        <v>192.87</v>
      </c>
      <c r="G2732">
        <v>182.16</v>
      </c>
      <c r="H2732">
        <f>E2732*1000000/D2732</f>
        <v>907513.33028078522</v>
      </c>
      <c r="I2732" t="str">
        <f>IF(AND(B2732&gt;=2018, B2732&lt;=2021), "2018-2021", IF(AND(B2732&gt;=2022, B2732&lt;=2024), "2022-2024", "Other"))</f>
        <v>2018-2021</v>
      </c>
    </row>
    <row r="2733" spans="1:9" x14ac:dyDescent="0.3">
      <c r="A2733" t="s">
        <v>18</v>
      </c>
      <c r="B2733">
        <v>2019</v>
      </c>
      <c r="C2733" t="s">
        <v>12</v>
      </c>
      <c r="D2733">
        <v>18243.11</v>
      </c>
      <c r="E2733">
        <v>19669.21</v>
      </c>
      <c r="F2733">
        <v>105.09</v>
      </c>
      <c r="G2733">
        <v>393.87</v>
      </c>
      <c r="H2733">
        <f>E2733*1000000/D2733</f>
        <v>1078171.9783523751</v>
      </c>
      <c r="I2733" t="str">
        <f>IF(AND(B2733&gt;=2018, B2733&lt;=2021), "2018-2021", IF(AND(B2733&gt;=2022, B2733&lt;=2024), "2022-2024", "Other"))</f>
        <v>2018-2021</v>
      </c>
    </row>
    <row r="2734" spans="1:9" x14ac:dyDescent="0.3">
      <c r="A2734" t="s">
        <v>23</v>
      </c>
      <c r="B2734">
        <v>2018</v>
      </c>
      <c r="C2734" t="s">
        <v>0</v>
      </c>
      <c r="D2734">
        <v>11221.17</v>
      </c>
      <c r="E2734">
        <v>12680.49</v>
      </c>
      <c r="F2734">
        <v>41.46</v>
      </c>
      <c r="G2734">
        <v>612.41</v>
      </c>
      <c r="H2734">
        <f>E2734*1000000/D2734</f>
        <v>1130050.6096957803</v>
      </c>
      <c r="I2734" t="str">
        <f>IF(AND(B2734&gt;=2018, B2734&lt;=2021), "2018-2021", IF(AND(B2734&gt;=2022, B2734&lt;=2024), "2022-2024", "Other"))</f>
        <v>2018-2021</v>
      </c>
    </row>
    <row r="2735" spans="1:9" x14ac:dyDescent="0.3">
      <c r="A2735" t="s">
        <v>16</v>
      </c>
      <c r="B2735">
        <v>2019</v>
      </c>
      <c r="C2735" t="s">
        <v>2</v>
      </c>
      <c r="D2735">
        <v>3863.14</v>
      </c>
      <c r="E2735">
        <v>4536.8999999999996</v>
      </c>
      <c r="F2735">
        <v>198.83</v>
      </c>
      <c r="G2735">
        <v>1205.1300000000001</v>
      </c>
      <c r="H2735">
        <f>E2735*1000000/D2735</f>
        <v>1174407.3473909826</v>
      </c>
      <c r="I2735" t="str">
        <f>IF(AND(B2735&gt;=2018, B2735&lt;=2021), "2018-2021", IF(AND(B2735&gt;=2022, B2735&lt;=2024), "2022-2024", "Other"))</f>
        <v>2018-2021</v>
      </c>
    </row>
    <row r="2736" spans="1:9" x14ac:dyDescent="0.3">
      <c r="A2736" t="s">
        <v>20</v>
      </c>
      <c r="B2736">
        <v>2021</v>
      </c>
      <c r="C2736" t="s">
        <v>12</v>
      </c>
      <c r="D2736">
        <v>27487.74</v>
      </c>
      <c r="E2736">
        <v>24145.15</v>
      </c>
      <c r="F2736">
        <v>27.92</v>
      </c>
      <c r="G2736">
        <v>294.60000000000002</v>
      </c>
      <c r="H2736">
        <f>E2736*1000000/D2736</f>
        <v>878397.05992562498</v>
      </c>
      <c r="I2736" t="str">
        <f>IF(AND(B2736&gt;=2018, B2736&lt;=2021), "2018-2021", IF(AND(B2736&gt;=2022, B2736&lt;=2024), "2022-2024", "Other"))</f>
        <v>2018-2021</v>
      </c>
    </row>
    <row r="2737" spans="1:9" x14ac:dyDescent="0.3">
      <c r="A2737" t="s">
        <v>13</v>
      </c>
      <c r="B2737">
        <v>2019</v>
      </c>
      <c r="C2737" t="s">
        <v>4</v>
      </c>
      <c r="D2737">
        <v>23695.07</v>
      </c>
      <c r="E2737">
        <v>28245.8</v>
      </c>
      <c r="F2737">
        <v>121.78</v>
      </c>
      <c r="G2737">
        <v>1174.5899999999999</v>
      </c>
      <c r="H2737">
        <f>E2737*1000000/D2737</f>
        <v>1192053.874497944</v>
      </c>
      <c r="I2737" t="str">
        <f>IF(AND(B2737&gt;=2018, B2737&lt;=2021), "2018-2021", IF(AND(B2737&gt;=2022, B2737&lt;=2024), "2022-2024", "Other"))</f>
        <v>2018-2021</v>
      </c>
    </row>
    <row r="2738" spans="1:9" x14ac:dyDescent="0.3">
      <c r="A2738" t="s">
        <v>19</v>
      </c>
      <c r="B2738">
        <v>2022</v>
      </c>
      <c r="C2738" t="s">
        <v>0</v>
      </c>
      <c r="D2738">
        <v>46897.32</v>
      </c>
      <c r="E2738">
        <v>39414.29</v>
      </c>
      <c r="F2738">
        <v>24.22</v>
      </c>
      <c r="G2738">
        <v>826.28</v>
      </c>
      <c r="H2738">
        <f>E2738*1000000/D2738</f>
        <v>840438.00370682159</v>
      </c>
      <c r="I2738" t="str">
        <f>IF(AND(B2738&gt;=2018, B2738&lt;=2021), "2018-2021", IF(AND(B2738&gt;=2022, B2738&lt;=2024), "2022-2024", "Other"))</f>
        <v>2022-2024</v>
      </c>
    </row>
    <row r="2739" spans="1:9" x14ac:dyDescent="0.3">
      <c r="A2739" t="s">
        <v>11</v>
      </c>
      <c r="B2739">
        <v>2021</v>
      </c>
      <c r="C2739" t="s">
        <v>2</v>
      </c>
      <c r="D2739">
        <v>48311.98</v>
      </c>
      <c r="E2739">
        <v>40962.230000000003</v>
      </c>
      <c r="F2739">
        <v>199.67</v>
      </c>
      <c r="G2739">
        <v>338.1</v>
      </c>
      <c r="H2739">
        <f>E2739*1000000/D2739</f>
        <v>847868.99646837078</v>
      </c>
      <c r="I2739" t="str">
        <f>IF(AND(B2739&gt;=2018, B2739&lt;=2021), "2018-2021", IF(AND(B2739&gt;=2022, B2739&lt;=2024), "2022-2024", "Other"))</f>
        <v>2018-2021</v>
      </c>
    </row>
    <row r="2740" spans="1:9" x14ac:dyDescent="0.3">
      <c r="A2740" t="s">
        <v>5</v>
      </c>
      <c r="B2740">
        <v>2022</v>
      </c>
      <c r="C2740" t="s">
        <v>2</v>
      </c>
      <c r="D2740">
        <v>45817.97</v>
      </c>
      <c r="E2740">
        <v>39883.480000000003</v>
      </c>
      <c r="F2740">
        <v>109.08</v>
      </c>
      <c r="G2740">
        <v>575.72</v>
      </c>
      <c r="H2740">
        <f>E2740*1000000/D2740</f>
        <v>870476.80200585048</v>
      </c>
      <c r="I2740" t="str">
        <f>IF(AND(B2740&gt;=2018, B2740&lt;=2021), "2018-2021", IF(AND(B2740&gt;=2022, B2740&lt;=2024), "2022-2024", "Other"))</f>
        <v>2022-2024</v>
      </c>
    </row>
    <row r="2741" spans="1:9" x14ac:dyDescent="0.3">
      <c r="A2741" t="s">
        <v>3</v>
      </c>
      <c r="B2741">
        <v>2021</v>
      </c>
      <c r="C2741" t="s">
        <v>4</v>
      </c>
      <c r="D2741">
        <v>8774.84</v>
      </c>
      <c r="E2741">
        <v>8371.99</v>
      </c>
      <c r="F2741">
        <v>20.6</v>
      </c>
      <c r="G2741">
        <v>852.27</v>
      </c>
      <c r="H2741">
        <f>E2741*1000000/D2741</f>
        <v>954090.33099179016</v>
      </c>
      <c r="I2741" t="str">
        <f>IF(AND(B2741&gt;=2018, B2741&lt;=2021), "2018-2021", IF(AND(B2741&gt;=2022, B2741&lt;=2024), "2022-2024", "Other"))</f>
        <v>2018-2021</v>
      </c>
    </row>
    <row r="2742" spans="1:9" x14ac:dyDescent="0.3">
      <c r="A2742" t="s">
        <v>21</v>
      </c>
      <c r="B2742">
        <v>2018</v>
      </c>
      <c r="C2742" t="s">
        <v>14</v>
      </c>
      <c r="D2742">
        <v>27037.05</v>
      </c>
      <c r="E2742">
        <v>23899.81</v>
      </c>
      <c r="F2742">
        <v>101.76</v>
      </c>
      <c r="G2742">
        <v>1355.71</v>
      </c>
      <c r="H2742">
        <f>E2742*1000000/D2742</f>
        <v>883965.15152355749</v>
      </c>
      <c r="I2742" t="str">
        <f>IF(AND(B2742&gt;=2018, B2742&lt;=2021), "2018-2021", IF(AND(B2742&gt;=2022, B2742&lt;=2024), "2022-2024", "Other"))</f>
        <v>2018-2021</v>
      </c>
    </row>
    <row r="2743" spans="1:9" x14ac:dyDescent="0.3">
      <c r="A2743" t="s">
        <v>1</v>
      </c>
      <c r="B2743">
        <v>2021</v>
      </c>
      <c r="C2743" t="s">
        <v>9</v>
      </c>
      <c r="D2743">
        <v>19987.91</v>
      </c>
      <c r="E2743">
        <v>21424.54</v>
      </c>
      <c r="F2743">
        <v>124.66</v>
      </c>
      <c r="G2743">
        <v>427.57</v>
      </c>
      <c r="H2743">
        <f>E2743*1000000/D2743</f>
        <v>1071874.9484063117</v>
      </c>
      <c r="I2743" t="str">
        <f>IF(AND(B2743&gt;=2018, B2743&lt;=2021), "2018-2021", IF(AND(B2743&gt;=2022, B2743&lt;=2024), "2022-2024", "Other"))</f>
        <v>2018-2021</v>
      </c>
    </row>
    <row r="2744" spans="1:9" x14ac:dyDescent="0.3">
      <c r="A2744" t="s">
        <v>15</v>
      </c>
      <c r="B2744">
        <v>2021</v>
      </c>
      <c r="C2744" t="s">
        <v>4</v>
      </c>
      <c r="D2744">
        <v>6340.93</v>
      </c>
      <c r="E2744">
        <v>6789.48</v>
      </c>
      <c r="F2744">
        <v>42.8</v>
      </c>
      <c r="G2744">
        <v>1120.3599999999999</v>
      </c>
      <c r="H2744">
        <f>E2744*1000000/D2744</f>
        <v>1070738.8348396844</v>
      </c>
      <c r="I2744" t="str">
        <f>IF(AND(B2744&gt;=2018, B2744&lt;=2021), "2018-2021", IF(AND(B2744&gt;=2022, B2744&lt;=2024), "2022-2024", "Other"))</f>
        <v>2018-2021</v>
      </c>
    </row>
    <row r="2745" spans="1:9" x14ac:dyDescent="0.3">
      <c r="A2745" t="s">
        <v>24</v>
      </c>
      <c r="B2745">
        <v>2022</v>
      </c>
      <c r="C2745" t="s">
        <v>6</v>
      </c>
      <c r="D2745">
        <v>45332.39</v>
      </c>
      <c r="E2745">
        <v>51674.39</v>
      </c>
      <c r="F2745">
        <v>91.59</v>
      </c>
      <c r="G2745">
        <v>416.18</v>
      </c>
      <c r="H2745">
        <f>E2745*1000000/D2745</f>
        <v>1139899.9699773164</v>
      </c>
      <c r="I2745" t="str">
        <f>IF(AND(B2745&gt;=2018, B2745&lt;=2021), "2018-2021", IF(AND(B2745&gt;=2022, B2745&lt;=2024), "2022-2024", "Other"))</f>
        <v>2022-2024</v>
      </c>
    </row>
    <row r="2746" spans="1:9" x14ac:dyDescent="0.3">
      <c r="A2746" t="s">
        <v>5</v>
      </c>
      <c r="B2746">
        <v>2022</v>
      </c>
      <c r="C2746" t="s">
        <v>12</v>
      </c>
      <c r="D2746">
        <v>11786.75</v>
      </c>
      <c r="E2746">
        <v>10759.21</v>
      </c>
      <c r="F2746">
        <v>182.31</v>
      </c>
      <c r="G2746">
        <v>252.68</v>
      </c>
      <c r="H2746">
        <f>E2746*1000000/D2746</f>
        <v>912822.44893630559</v>
      </c>
      <c r="I2746" t="str">
        <f>IF(AND(B2746&gt;=2018, B2746&lt;=2021), "2018-2021", IF(AND(B2746&gt;=2022, B2746&lt;=2024), "2022-2024", "Other"))</f>
        <v>2022-2024</v>
      </c>
    </row>
    <row r="2747" spans="1:9" x14ac:dyDescent="0.3">
      <c r="A2747" t="s">
        <v>16</v>
      </c>
      <c r="B2747">
        <v>2022</v>
      </c>
      <c r="C2747" t="s">
        <v>12</v>
      </c>
      <c r="D2747">
        <v>3467.04</v>
      </c>
      <c r="E2747">
        <v>3261.48</v>
      </c>
      <c r="F2747">
        <v>130.76</v>
      </c>
      <c r="G2747">
        <v>1018.38</v>
      </c>
      <c r="H2747">
        <f>E2747*1000000/D2747</f>
        <v>940710.23120587016</v>
      </c>
      <c r="I2747" t="str">
        <f>IF(AND(B2747&gt;=2018, B2747&lt;=2021), "2018-2021", IF(AND(B2747&gt;=2022, B2747&lt;=2024), "2022-2024", "Other"))</f>
        <v>2022-2024</v>
      </c>
    </row>
    <row r="2748" spans="1:9" x14ac:dyDescent="0.3">
      <c r="A2748" t="s">
        <v>18</v>
      </c>
      <c r="B2748">
        <v>2024</v>
      </c>
      <c r="C2748" t="s">
        <v>8</v>
      </c>
      <c r="D2748">
        <v>3817.6</v>
      </c>
      <c r="E2748">
        <v>3619.06</v>
      </c>
      <c r="F2748">
        <v>64.58</v>
      </c>
      <c r="G2748">
        <v>47.81</v>
      </c>
      <c r="H2748">
        <f>E2748*1000000/D2748</f>
        <v>947993.50377200334</v>
      </c>
      <c r="I2748" t="str">
        <f>IF(AND(B2748&gt;=2018, B2748&lt;=2021), "2018-2021", IF(AND(B2748&gt;=2022, B2748&lt;=2024), "2022-2024", "Other"))</f>
        <v>2022-2024</v>
      </c>
    </row>
    <row r="2749" spans="1:9" x14ac:dyDescent="0.3">
      <c r="A2749" t="s">
        <v>11</v>
      </c>
      <c r="B2749">
        <v>2019</v>
      </c>
      <c r="C2749" t="s">
        <v>8</v>
      </c>
      <c r="D2749">
        <v>34379.11</v>
      </c>
      <c r="E2749">
        <v>32232.25</v>
      </c>
      <c r="F2749">
        <v>21.1</v>
      </c>
      <c r="G2749">
        <v>1208.76</v>
      </c>
      <c r="H2749">
        <f>E2749*1000000/D2749</f>
        <v>937553.35725677595</v>
      </c>
      <c r="I2749" t="str">
        <f>IF(AND(B2749&gt;=2018, B2749&lt;=2021), "2018-2021", IF(AND(B2749&gt;=2022, B2749&lt;=2024), "2022-2024", "Other"))</f>
        <v>2018-2021</v>
      </c>
    </row>
    <row r="2750" spans="1:9" x14ac:dyDescent="0.3">
      <c r="A2750" t="s">
        <v>5</v>
      </c>
      <c r="B2750">
        <v>2022</v>
      </c>
      <c r="C2750" t="s">
        <v>2</v>
      </c>
      <c r="D2750">
        <v>28296.54</v>
      </c>
      <c r="E2750">
        <v>30760.33</v>
      </c>
      <c r="F2750">
        <v>158.78</v>
      </c>
      <c r="G2750">
        <v>1291.92</v>
      </c>
      <c r="H2750">
        <f>E2750*1000000/D2750</f>
        <v>1087070.3626662481</v>
      </c>
      <c r="I2750" t="str">
        <f>IF(AND(B2750&gt;=2018, B2750&lt;=2021), "2018-2021", IF(AND(B2750&gt;=2022, B2750&lt;=2024), "2022-2024", "Other"))</f>
        <v>2022-2024</v>
      </c>
    </row>
    <row r="2751" spans="1:9" x14ac:dyDescent="0.3">
      <c r="A2751" t="s">
        <v>22</v>
      </c>
      <c r="B2751">
        <v>2018</v>
      </c>
      <c r="C2751" t="s">
        <v>14</v>
      </c>
      <c r="D2751">
        <v>13224.16</v>
      </c>
      <c r="E2751">
        <v>14470.86</v>
      </c>
      <c r="F2751">
        <v>82.84</v>
      </c>
      <c r="G2751">
        <v>398.92</v>
      </c>
      <c r="H2751">
        <f>E2751*1000000/D2751</f>
        <v>1094274.4189422997</v>
      </c>
      <c r="I2751" t="str">
        <f>IF(AND(B2751&gt;=2018, B2751&lt;=2021), "2018-2021", IF(AND(B2751&gt;=2022, B2751&lt;=2024), "2022-2024", "Other"))</f>
        <v>2018-2021</v>
      </c>
    </row>
    <row r="2752" spans="1:9" x14ac:dyDescent="0.3">
      <c r="A2752" t="s">
        <v>20</v>
      </c>
      <c r="B2752">
        <v>2023</v>
      </c>
      <c r="C2752" t="s">
        <v>9</v>
      </c>
      <c r="D2752">
        <v>8938.91</v>
      </c>
      <c r="E2752">
        <v>10254.620000000001</v>
      </c>
      <c r="F2752">
        <v>55.76</v>
      </c>
      <c r="G2752">
        <v>101.15</v>
      </c>
      <c r="H2752">
        <f>E2752*1000000/D2752</f>
        <v>1147189.0868125979</v>
      </c>
      <c r="I2752" t="str">
        <f>IF(AND(B2752&gt;=2018, B2752&lt;=2021), "2018-2021", IF(AND(B2752&gt;=2022, B2752&lt;=2024), "2022-2024", "Other"))</f>
        <v>2022-2024</v>
      </c>
    </row>
    <row r="2753" spans="1:9" x14ac:dyDescent="0.3">
      <c r="A2753" t="s">
        <v>5</v>
      </c>
      <c r="B2753">
        <v>2018</v>
      </c>
      <c r="C2753" t="s">
        <v>6</v>
      </c>
      <c r="D2753">
        <v>29265.360000000001</v>
      </c>
      <c r="E2753">
        <v>31030.53</v>
      </c>
      <c r="F2753">
        <v>142.22999999999999</v>
      </c>
      <c r="G2753">
        <v>1076.57</v>
      </c>
      <c r="H2753">
        <f>E2753*1000000/D2753</f>
        <v>1060316.0186650702</v>
      </c>
      <c r="I2753" t="str">
        <f>IF(AND(B2753&gt;=2018, B2753&lt;=2021), "2018-2021", IF(AND(B2753&gt;=2022, B2753&lt;=2024), "2022-2024", "Other"))</f>
        <v>2018-2021</v>
      </c>
    </row>
    <row r="2754" spans="1:9" x14ac:dyDescent="0.3">
      <c r="A2754" t="s">
        <v>1</v>
      </c>
      <c r="B2754">
        <v>2018</v>
      </c>
      <c r="C2754" t="s">
        <v>2</v>
      </c>
      <c r="D2754">
        <v>11837.81</v>
      </c>
      <c r="E2754">
        <v>10531.84</v>
      </c>
      <c r="F2754">
        <v>153.25</v>
      </c>
      <c r="G2754">
        <v>1234.73</v>
      </c>
      <c r="H2754">
        <f>E2754*1000000/D2754</f>
        <v>889678.07390049344</v>
      </c>
      <c r="I2754" t="str">
        <f>IF(AND(B2754&gt;=2018, B2754&lt;=2021), "2018-2021", IF(AND(B2754&gt;=2022, B2754&lt;=2024), "2022-2024", "Other"))</f>
        <v>2018-2021</v>
      </c>
    </row>
    <row r="2755" spans="1:9" x14ac:dyDescent="0.3">
      <c r="A2755" t="s">
        <v>18</v>
      </c>
      <c r="B2755">
        <v>2018</v>
      </c>
      <c r="C2755" t="s">
        <v>6</v>
      </c>
      <c r="D2755">
        <v>22276.77</v>
      </c>
      <c r="E2755">
        <v>20697.099999999999</v>
      </c>
      <c r="F2755">
        <v>88.31</v>
      </c>
      <c r="G2755">
        <v>574.44000000000005</v>
      </c>
      <c r="H2755">
        <f>E2755*1000000/D2755</f>
        <v>929088.9119023988</v>
      </c>
      <c r="I2755" t="str">
        <f>IF(AND(B2755&gt;=2018, B2755&lt;=2021), "2018-2021", IF(AND(B2755&gt;=2022, B2755&lt;=2024), "2022-2024", "Other"))</f>
        <v>2018-2021</v>
      </c>
    </row>
    <row r="2756" spans="1:9" x14ac:dyDescent="0.3">
      <c r="A2756" t="s">
        <v>13</v>
      </c>
      <c r="B2756">
        <v>2023</v>
      </c>
      <c r="C2756" t="s">
        <v>2</v>
      </c>
      <c r="D2756">
        <v>29763.43</v>
      </c>
      <c r="E2756">
        <v>24929.14</v>
      </c>
      <c r="F2756">
        <v>113.06</v>
      </c>
      <c r="G2756">
        <v>789.98</v>
      </c>
      <c r="H2756">
        <f>E2756*1000000/D2756</f>
        <v>837576.17989593267</v>
      </c>
      <c r="I2756" t="str">
        <f>IF(AND(B2756&gt;=2018, B2756&lt;=2021), "2018-2021", IF(AND(B2756&gt;=2022, B2756&lt;=2024), "2022-2024", "Other"))</f>
        <v>2022-2024</v>
      </c>
    </row>
    <row r="2757" spans="1:9" x14ac:dyDescent="0.3">
      <c r="A2757" t="s">
        <v>18</v>
      </c>
      <c r="B2757">
        <v>2021</v>
      </c>
      <c r="C2757" t="s">
        <v>12</v>
      </c>
      <c r="D2757">
        <v>9588.99</v>
      </c>
      <c r="E2757">
        <v>10861.21</v>
      </c>
      <c r="F2757">
        <v>161.63999999999999</v>
      </c>
      <c r="G2757">
        <v>578.70000000000005</v>
      </c>
      <c r="H2757">
        <f>E2757*1000000/D2757</f>
        <v>1132675.0783972035</v>
      </c>
      <c r="I2757" t="str">
        <f>IF(AND(B2757&gt;=2018, B2757&lt;=2021), "2018-2021", IF(AND(B2757&gt;=2022, B2757&lt;=2024), "2022-2024", "Other"))</f>
        <v>2018-2021</v>
      </c>
    </row>
    <row r="2758" spans="1:9" x14ac:dyDescent="0.3">
      <c r="A2758" t="s">
        <v>5</v>
      </c>
      <c r="B2758">
        <v>2019</v>
      </c>
      <c r="C2758" t="s">
        <v>8</v>
      </c>
      <c r="D2758">
        <v>38148.21</v>
      </c>
      <c r="E2758">
        <v>42814.54</v>
      </c>
      <c r="F2758">
        <v>25.12</v>
      </c>
      <c r="G2758">
        <v>814.34</v>
      </c>
      <c r="H2758">
        <f>E2758*1000000/D2758</f>
        <v>1122321.0735182595</v>
      </c>
      <c r="I2758" t="str">
        <f>IF(AND(B2758&gt;=2018, B2758&lt;=2021), "2018-2021", IF(AND(B2758&gt;=2022, B2758&lt;=2024), "2022-2024", "Other"))</f>
        <v>2018-2021</v>
      </c>
    </row>
    <row r="2759" spans="1:9" x14ac:dyDescent="0.3">
      <c r="A2759" t="s">
        <v>18</v>
      </c>
      <c r="B2759">
        <v>2020</v>
      </c>
      <c r="C2759" t="s">
        <v>8</v>
      </c>
      <c r="D2759">
        <v>27563.67</v>
      </c>
      <c r="E2759">
        <v>25000.35</v>
      </c>
      <c r="F2759">
        <v>44.93</v>
      </c>
      <c r="G2759">
        <v>1220.72</v>
      </c>
      <c r="H2759">
        <f>E2759*1000000/D2759</f>
        <v>907003.67549023777</v>
      </c>
      <c r="I2759" t="str">
        <f>IF(AND(B2759&gt;=2018, B2759&lt;=2021), "2018-2021", IF(AND(B2759&gt;=2022, B2759&lt;=2024), "2022-2024", "Other"))</f>
        <v>2018-2021</v>
      </c>
    </row>
    <row r="2760" spans="1:9" x14ac:dyDescent="0.3">
      <c r="A2760" t="s">
        <v>26</v>
      </c>
      <c r="B2760">
        <v>2021</v>
      </c>
      <c r="C2760" t="s">
        <v>14</v>
      </c>
      <c r="D2760">
        <v>6822.03</v>
      </c>
      <c r="E2760">
        <v>6887.37</v>
      </c>
      <c r="F2760">
        <v>98.29</v>
      </c>
      <c r="G2760">
        <v>813.89</v>
      </c>
      <c r="H2760">
        <f>E2760*1000000/D2760</f>
        <v>1009577.7942929012</v>
      </c>
      <c r="I2760" t="str">
        <f>IF(AND(B2760&gt;=2018, B2760&lt;=2021), "2018-2021", IF(AND(B2760&gt;=2022, B2760&lt;=2024), "2022-2024", "Other"))</f>
        <v>2018-2021</v>
      </c>
    </row>
    <row r="2761" spans="1:9" x14ac:dyDescent="0.3">
      <c r="A2761" t="s">
        <v>13</v>
      </c>
      <c r="B2761">
        <v>2021</v>
      </c>
      <c r="C2761" t="s">
        <v>12</v>
      </c>
      <c r="D2761">
        <v>39289.230000000003</v>
      </c>
      <c r="E2761">
        <v>39649.339999999997</v>
      </c>
      <c r="F2761">
        <v>151.19999999999999</v>
      </c>
      <c r="G2761">
        <v>643.6</v>
      </c>
      <c r="H2761">
        <f>E2761*1000000/D2761</f>
        <v>1009165.6161243169</v>
      </c>
      <c r="I2761" t="str">
        <f>IF(AND(B2761&gt;=2018, B2761&lt;=2021), "2018-2021", IF(AND(B2761&gt;=2022, B2761&lt;=2024), "2022-2024", "Other"))</f>
        <v>2018-2021</v>
      </c>
    </row>
    <row r="2762" spans="1:9" x14ac:dyDescent="0.3">
      <c r="A2762" t="s">
        <v>1</v>
      </c>
      <c r="B2762">
        <v>2021</v>
      </c>
      <c r="C2762" t="s">
        <v>8</v>
      </c>
      <c r="D2762">
        <v>33164.04</v>
      </c>
      <c r="E2762">
        <v>37827.730000000003</v>
      </c>
      <c r="F2762">
        <v>87.06</v>
      </c>
      <c r="G2762">
        <v>333.54</v>
      </c>
      <c r="H2762">
        <f>E2762*1000000/D2762</f>
        <v>1140624.905771432</v>
      </c>
      <c r="I2762" t="str">
        <f>IF(AND(B2762&gt;=2018, B2762&lt;=2021), "2018-2021", IF(AND(B2762&gt;=2022, B2762&lt;=2024), "2022-2024", "Other"))</f>
        <v>2018-2021</v>
      </c>
    </row>
    <row r="2763" spans="1:9" x14ac:dyDescent="0.3">
      <c r="A2763" t="s">
        <v>7</v>
      </c>
      <c r="B2763">
        <v>2023</v>
      </c>
      <c r="C2763" t="s">
        <v>2</v>
      </c>
      <c r="D2763">
        <v>16345.31</v>
      </c>
      <c r="E2763">
        <v>17255.240000000002</v>
      </c>
      <c r="F2763">
        <v>78.52</v>
      </c>
      <c r="G2763">
        <v>1331.88</v>
      </c>
      <c r="H2763">
        <f>E2763*1000000/D2763</f>
        <v>1055669.1797218898</v>
      </c>
      <c r="I2763" t="str">
        <f>IF(AND(B2763&gt;=2018, B2763&lt;=2021), "2018-2021", IF(AND(B2763&gt;=2022, B2763&lt;=2024), "2022-2024", "Other"))</f>
        <v>2022-2024</v>
      </c>
    </row>
    <row r="2764" spans="1:9" x14ac:dyDescent="0.3">
      <c r="A2764" t="s">
        <v>3</v>
      </c>
      <c r="B2764">
        <v>2024</v>
      </c>
      <c r="C2764" t="s">
        <v>6</v>
      </c>
      <c r="D2764">
        <v>44030.37</v>
      </c>
      <c r="E2764">
        <v>39398.75</v>
      </c>
      <c r="F2764">
        <v>158.36000000000001</v>
      </c>
      <c r="G2764">
        <v>114.04</v>
      </c>
      <c r="H2764">
        <f>E2764*1000000/D2764</f>
        <v>894808.51512263005</v>
      </c>
      <c r="I2764" t="str">
        <f>IF(AND(B2764&gt;=2018, B2764&lt;=2021), "2018-2021", IF(AND(B2764&gt;=2022, B2764&lt;=2024), "2022-2024", "Other"))</f>
        <v>2022-2024</v>
      </c>
    </row>
    <row r="2765" spans="1:9" x14ac:dyDescent="0.3">
      <c r="A2765" t="s">
        <v>25</v>
      </c>
      <c r="B2765">
        <v>2022</v>
      </c>
      <c r="C2765" t="s">
        <v>14</v>
      </c>
      <c r="D2765">
        <v>4778.72</v>
      </c>
      <c r="E2765">
        <v>4000.5</v>
      </c>
      <c r="F2765">
        <v>43.61</v>
      </c>
      <c r="G2765">
        <v>1068.43</v>
      </c>
      <c r="H2765">
        <f>E2765*1000000/D2765</f>
        <v>837148.85994575953</v>
      </c>
      <c r="I2765" t="str">
        <f>IF(AND(B2765&gt;=2018, B2765&lt;=2021), "2018-2021", IF(AND(B2765&gt;=2022, B2765&lt;=2024), "2022-2024", "Other"))</f>
        <v>2022-2024</v>
      </c>
    </row>
    <row r="2766" spans="1:9" x14ac:dyDescent="0.3">
      <c r="A2766" t="s">
        <v>26</v>
      </c>
      <c r="B2766">
        <v>2022</v>
      </c>
      <c r="C2766" t="s">
        <v>12</v>
      </c>
      <c r="D2766">
        <v>9273.8700000000008</v>
      </c>
      <c r="E2766">
        <v>8570.01</v>
      </c>
      <c r="F2766">
        <v>126.89</v>
      </c>
      <c r="G2766">
        <v>1303.1199999999999</v>
      </c>
      <c r="H2766">
        <f>E2766*1000000/D2766</f>
        <v>924102.88261534821</v>
      </c>
      <c r="I2766" t="str">
        <f>IF(AND(B2766&gt;=2018, B2766&lt;=2021), "2018-2021", IF(AND(B2766&gt;=2022, B2766&lt;=2024), "2022-2024", "Other"))</f>
        <v>2022-2024</v>
      </c>
    </row>
    <row r="2767" spans="1:9" x14ac:dyDescent="0.3">
      <c r="A2767" t="s">
        <v>18</v>
      </c>
      <c r="B2767">
        <v>2020</v>
      </c>
      <c r="C2767" t="s">
        <v>0</v>
      </c>
      <c r="D2767">
        <v>49248.91</v>
      </c>
      <c r="E2767">
        <v>39514.660000000003</v>
      </c>
      <c r="F2767">
        <v>147.31</v>
      </c>
      <c r="G2767">
        <v>1261.9000000000001</v>
      </c>
      <c r="H2767">
        <f>E2767*1000000/D2767</f>
        <v>802345.87933012121</v>
      </c>
      <c r="I2767" t="str">
        <f>IF(AND(B2767&gt;=2018, B2767&lt;=2021), "2018-2021", IF(AND(B2767&gt;=2022, B2767&lt;=2024), "2022-2024", "Other"))</f>
        <v>2018-2021</v>
      </c>
    </row>
    <row r="2768" spans="1:9" x14ac:dyDescent="0.3">
      <c r="A2768" t="s">
        <v>27</v>
      </c>
      <c r="B2768">
        <v>2021</v>
      </c>
      <c r="C2768" t="s">
        <v>12</v>
      </c>
      <c r="D2768">
        <v>21044.560000000001</v>
      </c>
      <c r="E2768">
        <v>22873.72</v>
      </c>
      <c r="F2768">
        <v>124.64</v>
      </c>
      <c r="G2768">
        <v>1195.07</v>
      </c>
      <c r="H2768">
        <f>E2768*1000000/D2768</f>
        <v>1086918.4245239624</v>
      </c>
      <c r="I2768" t="str">
        <f>IF(AND(B2768&gt;=2018, B2768&lt;=2021), "2018-2021", IF(AND(B2768&gt;=2022, B2768&lt;=2024), "2022-2024", "Other"))</f>
        <v>2018-2021</v>
      </c>
    </row>
    <row r="2769" spans="1:9" x14ac:dyDescent="0.3">
      <c r="A2769" t="s">
        <v>21</v>
      </c>
      <c r="B2769">
        <v>2020</v>
      </c>
      <c r="C2769" t="s">
        <v>12</v>
      </c>
      <c r="D2769">
        <v>36545.129999999997</v>
      </c>
      <c r="E2769">
        <v>30329.31</v>
      </c>
      <c r="F2769">
        <v>165.38</v>
      </c>
      <c r="G2769">
        <v>623</v>
      </c>
      <c r="H2769">
        <f>E2769*1000000/D2769</f>
        <v>829913.86266788491</v>
      </c>
      <c r="I2769" t="str">
        <f>IF(AND(B2769&gt;=2018, B2769&lt;=2021), "2018-2021", IF(AND(B2769&gt;=2022, B2769&lt;=2024), "2022-2024", "Other"))</f>
        <v>2018-2021</v>
      </c>
    </row>
    <row r="2770" spans="1:9" x14ac:dyDescent="0.3">
      <c r="A2770" t="s">
        <v>16</v>
      </c>
      <c r="B2770">
        <v>2024</v>
      </c>
      <c r="C2770" t="s">
        <v>6</v>
      </c>
      <c r="D2770">
        <v>4938.5</v>
      </c>
      <c r="E2770">
        <v>5830.95</v>
      </c>
      <c r="F2770">
        <v>115.81</v>
      </c>
      <c r="G2770">
        <v>986.02</v>
      </c>
      <c r="H2770">
        <f>E2770*1000000/D2770</f>
        <v>1180712.7670345246</v>
      </c>
      <c r="I2770" t="str">
        <f>IF(AND(B2770&gt;=2018, B2770&lt;=2021), "2018-2021", IF(AND(B2770&gt;=2022, B2770&lt;=2024), "2022-2024", "Other"))</f>
        <v>2022-2024</v>
      </c>
    </row>
    <row r="2771" spans="1:9" x14ac:dyDescent="0.3">
      <c r="A2771" t="s">
        <v>11</v>
      </c>
      <c r="B2771">
        <v>2023</v>
      </c>
      <c r="C2771" t="s">
        <v>0</v>
      </c>
      <c r="D2771">
        <v>21189.69</v>
      </c>
      <c r="E2771">
        <v>18966.099999999999</v>
      </c>
      <c r="F2771">
        <v>27.27</v>
      </c>
      <c r="G2771">
        <v>268.98</v>
      </c>
      <c r="H2771">
        <f>E2771*1000000/D2771</f>
        <v>895062.64603210345</v>
      </c>
      <c r="I2771" t="str">
        <f>IF(AND(B2771&gt;=2018, B2771&lt;=2021), "2018-2021", IF(AND(B2771&gt;=2022, B2771&lt;=2024), "2022-2024", "Other"))</f>
        <v>2022-2024</v>
      </c>
    </row>
    <row r="2772" spans="1:9" x14ac:dyDescent="0.3">
      <c r="A2772" t="s">
        <v>15</v>
      </c>
      <c r="B2772">
        <v>2020</v>
      </c>
      <c r="C2772" t="s">
        <v>0</v>
      </c>
      <c r="D2772">
        <v>9042.08</v>
      </c>
      <c r="E2772">
        <v>7618.65</v>
      </c>
      <c r="F2772">
        <v>116.09</v>
      </c>
      <c r="G2772">
        <v>898.47</v>
      </c>
      <c r="H2772">
        <f>E2772*1000000/D2772</f>
        <v>842577.15039017575</v>
      </c>
      <c r="I2772" t="str">
        <f>IF(AND(B2772&gt;=2018, B2772&lt;=2021), "2018-2021", IF(AND(B2772&gt;=2022, B2772&lt;=2024), "2022-2024", "Other"))</f>
        <v>2018-2021</v>
      </c>
    </row>
    <row r="2773" spans="1:9" x14ac:dyDescent="0.3">
      <c r="A2773" t="s">
        <v>11</v>
      </c>
      <c r="B2773">
        <v>2022</v>
      </c>
      <c r="C2773" t="s">
        <v>2</v>
      </c>
      <c r="D2773">
        <v>29805.05</v>
      </c>
      <c r="E2773">
        <v>26847.65</v>
      </c>
      <c r="F2773">
        <v>183.1</v>
      </c>
      <c r="G2773">
        <v>841.8</v>
      </c>
      <c r="H2773">
        <f>E2773*1000000/D2773</f>
        <v>900775.20420197246</v>
      </c>
      <c r="I2773" t="str">
        <f>IF(AND(B2773&gt;=2018, B2773&lt;=2021), "2018-2021", IF(AND(B2773&gt;=2022, B2773&lt;=2024), "2022-2024", "Other"))</f>
        <v>2022-2024</v>
      </c>
    </row>
    <row r="2774" spans="1:9" x14ac:dyDescent="0.3">
      <c r="A2774" t="s">
        <v>11</v>
      </c>
      <c r="B2774">
        <v>2021</v>
      </c>
      <c r="C2774" t="s">
        <v>2</v>
      </c>
      <c r="D2774">
        <v>13540.98</v>
      </c>
      <c r="E2774">
        <v>10985.73</v>
      </c>
      <c r="F2774">
        <v>100.47</v>
      </c>
      <c r="G2774">
        <v>855.69</v>
      </c>
      <c r="H2774">
        <f>E2774*1000000/D2774</f>
        <v>811295.0465919011</v>
      </c>
      <c r="I2774" t="str">
        <f>IF(AND(B2774&gt;=2018, B2774&lt;=2021), "2018-2021", IF(AND(B2774&gt;=2022, B2774&lt;=2024), "2022-2024", "Other"))</f>
        <v>2018-2021</v>
      </c>
    </row>
    <row r="2775" spans="1:9" x14ac:dyDescent="0.3">
      <c r="A2775" t="s">
        <v>13</v>
      </c>
      <c r="B2775">
        <v>2024</v>
      </c>
      <c r="C2775" t="s">
        <v>4</v>
      </c>
      <c r="D2775">
        <v>751.55</v>
      </c>
      <c r="E2775">
        <v>823.84</v>
      </c>
      <c r="F2775">
        <v>71.55</v>
      </c>
      <c r="G2775">
        <v>929.16</v>
      </c>
      <c r="H2775">
        <f>E2775*1000000/D2775</f>
        <v>1096187.8783846716</v>
      </c>
      <c r="I2775" t="str">
        <f>IF(AND(B2775&gt;=2018, B2775&lt;=2021), "2018-2021", IF(AND(B2775&gt;=2022, B2775&lt;=2024), "2022-2024", "Other"))</f>
        <v>2022-2024</v>
      </c>
    </row>
    <row r="2776" spans="1:9" x14ac:dyDescent="0.3">
      <c r="A2776" t="s">
        <v>15</v>
      </c>
      <c r="B2776">
        <v>2021</v>
      </c>
      <c r="C2776" t="s">
        <v>8</v>
      </c>
      <c r="D2776">
        <v>46551.27</v>
      </c>
      <c r="E2776">
        <v>42887.47</v>
      </c>
      <c r="F2776">
        <v>123.03</v>
      </c>
      <c r="G2776">
        <v>677.28</v>
      </c>
      <c r="H2776">
        <f>E2776*1000000/D2776</f>
        <v>921295.3803408586</v>
      </c>
      <c r="I2776" t="str">
        <f>IF(AND(B2776&gt;=2018, B2776&lt;=2021), "2018-2021", IF(AND(B2776&gt;=2022, B2776&lt;=2024), "2022-2024", "Other"))</f>
        <v>2018-2021</v>
      </c>
    </row>
    <row r="2777" spans="1:9" x14ac:dyDescent="0.3">
      <c r="A2777" t="s">
        <v>25</v>
      </c>
      <c r="B2777">
        <v>2019</v>
      </c>
      <c r="C2777" t="s">
        <v>9</v>
      </c>
      <c r="D2777">
        <v>44310.38</v>
      </c>
      <c r="E2777">
        <v>46300.1</v>
      </c>
      <c r="F2777">
        <v>119.33</v>
      </c>
      <c r="G2777">
        <v>216.07</v>
      </c>
      <c r="H2777">
        <f>E2777*1000000/D2777</f>
        <v>1044904.1511266661</v>
      </c>
      <c r="I2777" t="str">
        <f>IF(AND(B2777&gt;=2018, B2777&lt;=2021), "2018-2021", IF(AND(B2777&gt;=2022, B2777&lt;=2024), "2022-2024", "Other"))</f>
        <v>2018-2021</v>
      </c>
    </row>
    <row r="2778" spans="1:9" x14ac:dyDescent="0.3">
      <c r="A2778" t="s">
        <v>13</v>
      </c>
      <c r="B2778">
        <v>2021</v>
      </c>
      <c r="C2778" t="s">
        <v>14</v>
      </c>
      <c r="D2778">
        <v>49819.32</v>
      </c>
      <c r="E2778">
        <v>50353.32</v>
      </c>
      <c r="F2778">
        <v>196.66</v>
      </c>
      <c r="G2778">
        <v>183.51</v>
      </c>
      <c r="H2778">
        <f>E2778*1000000/D2778</f>
        <v>1010718.7332143433</v>
      </c>
      <c r="I2778" t="str">
        <f>IF(AND(B2778&gt;=2018, B2778&lt;=2021), "2018-2021", IF(AND(B2778&gt;=2022, B2778&lt;=2024), "2022-2024", "Other"))</f>
        <v>2018-2021</v>
      </c>
    </row>
    <row r="2779" spans="1:9" x14ac:dyDescent="0.3">
      <c r="A2779" t="s">
        <v>27</v>
      </c>
      <c r="B2779">
        <v>2018</v>
      </c>
      <c r="C2779" t="s">
        <v>9</v>
      </c>
      <c r="D2779">
        <v>8850.77</v>
      </c>
      <c r="E2779">
        <v>7405.28</v>
      </c>
      <c r="F2779">
        <v>48.77</v>
      </c>
      <c r="G2779">
        <v>896.77</v>
      </c>
      <c r="H2779">
        <f>E2779*1000000/D2779</f>
        <v>836682.00619833078</v>
      </c>
      <c r="I2779" t="str">
        <f>IF(AND(B2779&gt;=2018, B2779&lt;=2021), "2018-2021", IF(AND(B2779&gt;=2022, B2779&lt;=2024), "2022-2024", "Other"))</f>
        <v>2018-2021</v>
      </c>
    </row>
    <row r="2780" spans="1:9" x14ac:dyDescent="0.3">
      <c r="A2780" t="s">
        <v>19</v>
      </c>
      <c r="B2780">
        <v>2021</v>
      </c>
      <c r="C2780" t="s">
        <v>6</v>
      </c>
      <c r="D2780">
        <v>38319.919999999998</v>
      </c>
      <c r="E2780">
        <v>37880.050000000003</v>
      </c>
      <c r="F2780">
        <v>96.29</v>
      </c>
      <c r="G2780">
        <v>1017.31</v>
      </c>
      <c r="H2780">
        <f>E2780*1000000/D2780</f>
        <v>988521.11382278462</v>
      </c>
      <c r="I2780" t="str">
        <f>IF(AND(B2780&gt;=2018, B2780&lt;=2021), "2018-2021", IF(AND(B2780&gt;=2022, B2780&lt;=2024), "2022-2024", "Other"))</f>
        <v>2018-2021</v>
      </c>
    </row>
    <row r="2781" spans="1:9" x14ac:dyDescent="0.3">
      <c r="A2781" t="s">
        <v>17</v>
      </c>
      <c r="B2781">
        <v>2020</v>
      </c>
      <c r="C2781" t="s">
        <v>12</v>
      </c>
      <c r="D2781">
        <v>3999.37</v>
      </c>
      <c r="E2781">
        <v>3375.45</v>
      </c>
      <c r="F2781">
        <v>21.06</v>
      </c>
      <c r="G2781">
        <v>13.14</v>
      </c>
      <c r="H2781">
        <f>E2781*1000000/D2781</f>
        <v>843995.42928011168</v>
      </c>
      <c r="I2781" t="str">
        <f>IF(AND(B2781&gt;=2018, B2781&lt;=2021), "2018-2021", IF(AND(B2781&gt;=2022, B2781&lt;=2024), "2022-2024", "Other"))</f>
        <v>2018-2021</v>
      </c>
    </row>
    <row r="2782" spans="1:9" x14ac:dyDescent="0.3">
      <c r="A2782" t="s">
        <v>10</v>
      </c>
      <c r="B2782">
        <v>2018</v>
      </c>
      <c r="C2782" t="s">
        <v>8</v>
      </c>
      <c r="D2782">
        <v>9691.17</v>
      </c>
      <c r="E2782">
        <v>7984.54</v>
      </c>
      <c r="F2782">
        <v>35.880000000000003</v>
      </c>
      <c r="G2782">
        <v>292.95</v>
      </c>
      <c r="H2782">
        <f>E2782*1000000/D2782</f>
        <v>823898.45601717848</v>
      </c>
      <c r="I2782" t="str">
        <f>IF(AND(B2782&gt;=2018, B2782&lt;=2021), "2018-2021", IF(AND(B2782&gt;=2022, B2782&lt;=2024), "2022-2024", "Other"))</f>
        <v>2018-2021</v>
      </c>
    </row>
    <row r="2783" spans="1:9" x14ac:dyDescent="0.3">
      <c r="A2783" t="s">
        <v>5</v>
      </c>
      <c r="B2783">
        <v>2024</v>
      </c>
      <c r="C2783" t="s">
        <v>9</v>
      </c>
      <c r="D2783">
        <v>10652.69</v>
      </c>
      <c r="E2783">
        <v>9244.7999999999993</v>
      </c>
      <c r="F2783">
        <v>112.05</v>
      </c>
      <c r="G2783">
        <v>96.41</v>
      </c>
      <c r="H2783">
        <f>E2783*1000000/D2783</f>
        <v>867837.13784968865</v>
      </c>
      <c r="I2783" t="str">
        <f>IF(AND(B2783&gt;=2018, B2783&lt;=2021), "2018-2021", IF(AND(B2783&gt;=2022, B2783&lt;=2024), "2022-2024", "Other"))</f>
        <v>2022-2024</v>
      </c>
    </row>
    <row r="2784" spans="1:9" x14ac:dyDescent="0.3">
      <c r="A2784" t="s">
        <v>5</v>
      </c>
      <c r="B2784">
        <v>2021</v>
      </c>
      <c r="C2784" t="s">
        <v>14</v>
      </c>
      <c r="D2784">
        <v>34265.919999999998</v>
      </c>
      <c r="E2784">
        <v>31364.25</v>
      </c>
      <c r="F2784">
        <v>112.63</v>
      </c>
      <c r="G2784">
        <v>1041.26</v>
      </c>
      <c r="H2784">
        <f>E2784*1000000/D2784</f>
        <v>915319.0692092902</v>
      </c>
      <c r="I2784" t="str">
        <f>IF(AND(B2784&gt;=2018, B2784&lt;=2021), "2018-2021", IF(AND(B2784&gt;=2022, B2784&lt;=2024), "2022-2024", "Other"))</f>
        <v>2018-2021</v>
      </c>
    </row>
    <row r="2785" spans="1:9" x14ac:dyDescent="0.3">
      <c r="A2785" t="s">
        <v>21</v>
      </c>
      <c r="B2785">
        <v>2024</v>
      </c>
      <c r="C2785" t="s">
        <v>14</v>
      </c>
      <c r="D2785">
        <v>8610.42</v>
      </c>
      <c r="E2785">
        <v>9827.7999999999993</v>
      </c>
      <c r="F2785">
        <v>157.57</v>
      </c>
      <c r="G2785">
        <v>366.84</v>
      </c>
      <c r="H2785">
        <f>E2785*1000000/D2785</f>
        <v>1141384.5085373304</v>
      </c>
      <c r="I2785" t="str">
        <f>IF(AND(B2785&gt;=2018, B2785&lt;=2021), "2018-2021", IF(AND(B2785&gt;=2022, B2785&lt;=2024), "2022-2024", "Other"))</f>
        <v>2022-2024</v>
      </c>
    </row>
    <row r="2786" spans="1:9" x14ac:dyDescent="0.3">
      <c r="A2786" t="s">
        <v>15</v>
      </c>
      <c r="B2786">
        <v>2018</v>
      </c>
      <c r="C2786" t="s">
        <v>2</v>
      </c>
      <c r="D2786">
        <v>39520.89</v>
      </c>
      <c r="E2786">
        <v>33047.050000000003</v>
      </c>
      <c r="F2786">
        <v>172.6</v>
      </c>
      <c r="G2786">
        <v>678.77</v>
      </c>
      <c r="H2786">
        <f>E2786*1000000/D2786</f>
        <v>836191.94810643187</v>
      </c>
      <c r="I2786" t="str">
        <f>IF(AND(B2786&gt;=2018, B2786&lt;=2021), "2018-2021", IF(AND(B2786&gt;=2022, B2786&lt;=2024), "2022-2024", "Other"))</f>
        <v>2018-2021</v>
      </c>
    </row>
    <row r="2787" spans="1:9" x14ac:dyDescent="0.3">
      <c r="A2787" t="s">
        <v>15</v>
      </c>
      <c r="B2787">
        <v>2018</v>
      </c>
      <c r="C2787" t="s">
        <v>0</v>
      </c>
      <c r="D2787">
        <v>15274.37</v>
      </c>
      <c r="E2787">
        <v>17979.41</v>
      </c>
      <c r="F2787">
        <v>163.57</v>
      </c>
      <c r="G2787">
        <v>564.62</v>
      </c>
      <c r="H2787">
        <f>E2787*1000000/D2787</f>
        <v>1177096.6658526668</v>
      </c>
      <c r="I2787" t="str">
        <f>IF(AND(B2787&gt;=2018, B2787&lt;=2021), "2018-2021", IF(AND(B2787&gt;=2022, B2787&lt;=2024), "2022-2024", "Other"))</f>
        <v>2018-2021</v>
      </c>
    </row>
    <row r="2788" spans="1:9" x14ac:dyDescent="0.3">
      <c r="A2788" t="s">
        <v>11</v>
      </c>
      <c r="B2788">
        <v>2019</v>
      </c>
      <c r="C2788" t="s">
        <v>12</v>
      </c>
      <c r="D2788">
        <v>12761.35</v>
      </c>
      <c r="E2788">
        <v>11297.73</v>
      </c>
      <c r="F2788">
        <v>194.77</v>
      </c>
      <c r="G2788">
        <v>737.7</v>
      </c>
      <c r="H2788">
        <f>E2788*1000000/D2788</f>
        <v>885308.37254679168</v>
      </c>
      <c r="I2788" t="str">
        <f>IF(AND(B2788&gt;=2018, B2788&lt;=2021), "2018-2021", IF(AND(B2788&gt;=2022, B2788&lt;=2024), "2022-2024", "Other"))</f>
        <v>2018-2021</v>
      </c>
    </row>
    <row r="2789" spans="1:9" x14ac:dyDescent="0.3">
      <c r="A2789" t="s">
        <v>18</v>
      </c>
      <c r="B2789">
        <v>2018</v>
      </c>
      <c r="C2789" t="s">
        <v>2</v>
      </c>
      <c r="D2789">
        <v>49934.82</v>
      </c>
      <c r="E2789">
        <v>52807.92</v>
      </c>
      <c r="F2789">
        <v>51.29</v>
      </c>
      <c r="G2789">
        <v>364.97</v>
      </c>
      <c r="H2789">
        <f>E2789*1000000/D2789</f>
        <v>1057537.0052400308</v>
      </c>
      <c r="I2789" t="str">
        <f>IF(AND(B2789&gt;=2018, B2789&lt;=2021), "2018-2021", IF(AND(B2789&gt;=2022, B2789&lt;=2024), "2022-2024", "Other"))</f>
        <v>2018-2021</v>
      </c>
    </row>
    <row r="2790" spans="1:9" x14ac:dyDescent="0.3">
      <c r="A2790" t="s">
        <v>27</v>
      </c>
      <c r="B2790">
        <v>2018</v>
      </c>
      <c r="C2790" t="s">
        <v>8</v>
      </c>
      <c r="D2790">
        <v>4047.71</v>
      </c>
      <c r="E2790">
        <v>4620.16</v>
      </c>
      <c r="F2790">
        <v>139.88</v>
      </c>
      <c r="G2790">
        <v>131.85</v>
      </c>
      <c r="H2790">
        <f>E2790*1000000/D2790</f>
        <v>1141425.6456119632</v>
      </c>
      <c r="I2790" t="str">
        <f>IF(AND(B2790&gt;=2018, B2790&lt;=2021), "2018-2021", IF(AND(B2790&gt;=2022, B2790&lt;=2024), "2022-2024", "Other"))</f>
        <v>2018-2021</v>
      </c>
    </row>
    <row r="2791" spans="1:9" x14ac:dyDescent="0.3">
      <c r="A2791" t="s">
        <v>17</v>
      </c>
      <c r="B2791">
        <v>2022</v>
      </c>
      <c r="C2791" t="s">
        <v>0</v>
      </c>
      <c r="D2791">
        <v>47969.67</v>
      </c>
      <c r="E2791">
        <v>55274.78</v>
      </c>
      <c r="F2791">
        <v>25.01</v>
      </c>
      <c r="G2791">
        <v>111.06</v>
      </c>
      <c r="H2791">
        <f>E2791*1000000/D2791</f>
        <v>1152286.0173939075</v>
      </c>
      <c r="I2791" t="str">
        <f>IF(AND(B2791&gt;=2018, B2791&lt;=2021), "2018-2021", IF(AND(B2791&gt;=2022, B2791&lt;=2024), "2022-2024", "Other"))</f>
        <v>2022-2024</v>
      </c>
    </row>
    <row r="2792" spans="1:9" x14ac:dyDescent="0.3">
      <c r="A2792" t="s">
        <v>18</v>
      </c>
      <c r="B2792">
        <v>2020</v>
      </c>
      <c r="C2792" t="s">
        <v>8</v>
      </c>
      <c r="D2792">
        <v>13808.12</v>
      </c>
      <c r="E2792">
        <v>12769.22</v>
      </c>
      <c r="F2792">
        <v>55.18</v>
      </c>
      <c r="G2792">
        <v>552.16999999999996</v>
      </c>
      <c r="H2792">
        <f>E2792*1000000/D2792</f>
        <v>924761.66197860381</v>
      </c>
      <c r="I2792" t="str">
        <f>IF(AND(B2792&gt;=2018, B2792&lt;=2021), "2018-2021", IF(AND(B2792&gt;=2022, B2792&lt;=2024), "2022-2024", "Other"))</f>
        <v>2018-2021</v>
      </c>
    </row>
    <row r="2793" spans="1:9" x14ac:dyDescent="0.3">
      <c r="A2793" t="s">
        <v>10</v>
      </c>
      <c r="B2793">
        <v>2021</v>
      </c>
      <c r="C2793" t="s">
        <v>9</v>
      </c>
      <c r="D2793">
        <v>15506.25</v>
      </c>
      <c r="E2793">
        <v>12854.06</v>
      </c>
      <c r="F2793">
        <v>167.68</v>
      </c>
      <c r="G2793">
        <v>1178.21</v>
      </c>
      <c r="H2793">
        <f>E2793*1000000/D2793</f>
        <v>828959.93550987507</v>
      </c>
      <c r="I2793" t="str">
        <f>IF(AND(B2793&gt;=2018, B2793&lt;=2021), "2018-2021", IF(AND(B2793&gt;=2022, B2793&lt;=2024), "2022-2024", "Other"))</f>
        <v>2018-2021</v>
      </c>
    </row>
    <row r="2794" spans="1:9" x14ac:dyDescent="0.3">
      <c r="A2794" t="s">
        <v>26</v>
      </c>
      <c r="B2794">
        <v>2020</v>
      </c>
      <c r="C2794" t="s">
        <v>4</v>
      </c>
      <c r="D2794">
        <v>29743.58</v>
      </c>
      <c r="E2794">
        <v>35585.61</v>
      </c>
      <c r="F2794">
        <v>100.85</v>
      </c>
      <c r="G2794">
        <v>796.19</v>
      </c>
      <c r="H2794">
        <f>E2794*1000000/D2794</f>
        <v>1196413.141928443</v>
      </c>
      <c r="I2794" t="str">
        <f>IF(AND(B2794&gt;=2018, B2794&lt;=2021), "2018-2021", IF(AND(B2794&gt;=2022, B2794&lt;=2024), "2022-2024", "Other"))</f>
        <v>2018-2021</v>
      </c>
    </row>
    <row r="2795" spans="1:9" x14ac:dyDescent="0.3">
      <c r="A2795" t="s">
        <v>1</v>
      </c>
      <c r="B2795">
        <v>2021</v>
      </c>
      <c r="C2795" t="s">
        <v>12</v>
      </c>
      <c r="D2795">
        <v>32411.82</v>
      </c>
      <c r="E2795">
        <v>28960.32</v>
      </c>
      <c r="F2795">
        <v>47.91</v>
      </c>
      <c r="G2795">
        <v>693.75</v>
      </c>
      <c r="H2795">
        <f>E2795*1000000/D2795</f>
        <v>893511.07096114941</v>
      </c>
      <c r="I2795" t="str">
        <f>IF(AND(B2795&gt;=2018, B2795&lt;=2021), "2018-2021", IF(AND(B2795&gt;=2022, B2795&lt;=2024), "2022-2024", "Other"))</f>
        <v>2018-2021</v>
      </c>
    </row>
    <row r="2796" spans="1:9" x14ac:dyDescent="0.3">
      <c r="A2796" t="s">
        <v>23</v>
      </c>
      <c r="B2796">
        <v>2020</v>
      </c>
      <c r="C2796" t="s">
        <v>2</v>
      </c>
      <c r="D2796">
        <v>42800.89</v>
      </c>
      <c r="E2796">
        <v>44656.160000000003</v>
      </c>
      <c r="F2796">
        <v>143.31</v>
      </c>
      <c r="G2796">
        <v>966.42</v>
      </c>
      <c r="H2796">
        <f>E2796*1000000/D2796</f>
        <v>1043346.528541813</v>
      </c>
      <c r="I2796" t="str">
        <f>IF(AND(B2796&gt;=2018, B2796&lt;=2021), "2018-2021", IF(AND(B2796&gt;=2022, B2796&lt;=2024), "2022-2024", "Other"))</f>
        <v>2018-2021</v>
      </c>
    </row>
    <row r="2797" spans="1:9" x14ac:dyDescent="0.3">
      <c r="A2797" t="s">
        <v>21</v>
      </c>
      <c r="B2797">
        <v>2019</v>
      </c>
      <c r="C2797" t="s">
        <v>6</v>
      </c>
      <c r="D2797">
        <v>38805.57</v>
      </c>
      <c r="E2797">
        <v>38358.71</v>
      </c>
      <c r="F2797">
        <v>131.65</v>
      </c>
      <c r="G2797">
        <v>620.07000000000005</v>
      </c>
      <c r="H2797">
        <f>E2797*1000000/D2797</f>
        <v>988484.64279741282</v>
      </c>
      <c r="I2797" t="str">
        <f>IF(AND(B2797&gt;=2018, B2797&lt;=2021), "2018-2021", IF(AND(B2797&gt;=2022, B2797&lt;=2024), "2022-2024", "Other"))</f>
        <v>2018-2021</v>
      </c>
    </row>
    <row r="2798" spans="1:9" x14ac:dyDescent="0.3">
      <c r="A2798" t="s">
        <v>24</v>
      </c>
      <c r="B2798">
        <v>2020</v>
      </c>
      <c r="C2798" t="s">
        <v>2</v>
      </c>
      <c r="D2798">
        <v>45410.12</v>
      </c>
      <c r="E2798">
        <v>42233.39</v>
      </c>
      <c r="F2798">
        <v>24.64</v>
      </c>
      <c r="G2798">
        <v>1357.61</v>
      </c>
      <c r="H2798">
        <f>E2798*1000000/D2798</f>
        <v>930043.56738101551</v>
      </c>
      <c r="I2798" t="str">
        <f>IF(AND(B2798&gt;=2018, B2798&lt;=2021), "2018-2021", IF(AND(B2798&gt;=2022, B2798&lt;=2024), "2022-2024", "Other"))</f>
        <v>2018-2021</v>
      </c>
    </row>
    <row r="2799" spans="1:9" x14ac:dyDescent="0.3">
      <c r="A2799" t="s">
        <v>23</v>
      </c>
      <c r="B2799">
        <v>2022</v>
      </c>
      <c r="C2799" t="s">
        <v>9</v>
      </c>
      <c r="D2799">
        <v>19381.72</v>
      </c>
      <c r="E2799">
        <v>22132.49</v>
      </c>
      <c r="F2799">
        <v>35.49</v>
      </c>
      <c r="G2799">
        <v>1398.58</v>
      </c>
      <c r="H2799">
        <f>E2799*1000000/D2799</f>
        <v>1141926.0003756115</v>
      </c>
      <c r="I2799" t="str">
        <f>IF(AND(B2799&gt;=2018, B2799&lt;=2021), "2018-2021", IF(AND(B2799&gt;=2022, B2799&lt;=2024), "2022-2024", "Other"))</f>
        <v>2022-2024</v>
      </c>
    </row>
    <row r="2800" spans="1:9" x14ac:dyDescent="0.3">
      <c r="A2800" t="s">
        <v>5</v>
      </c>
      <c r="B2800">
        <v>2020</v>
      </c>
      <c r="C2800" t="s">
        <v>6</v>
      </c>
      <c r="D2800">
        <v>16933</v>
      </c>
      <c r="E2800">
        <v>19088.87</v>
      </c>
      <c r="F2800">
        <v>80.63</v>
      </c>
      <c r="G2800">
        <v>1100.3399999999999</v>
      </c>
      <c r="H2800">
        <f>E2800*1000000/D2800</f>
        <v>1127317.663733538</v>
      </c>
      <c r="I2800" t="str">
        <f>IF(AND(B2800&gt;=2018, B2800&lt;=2021), "2018-2021", IF(AND(B2800&gt;=2022, B2800&lt;=2024), "2022-2024", "Other"))</f>
        <v>2018-2021</v>
      </c>
    </row>
    <row r="2801" spans="1:9" x14ac:dyDescent="0.3">
      <c r="A2801" t="s">
        <v>26</v>
      </c>
      <c r="B2801">
        <v>2021</v>
      </c>
      <c r="C2801" t="s">
        <v>6</v>
      </c>
      <c r="D2801">
        <v>22700.26</v>
      </c>
      <c r="E2801">
        <v>25668.98</v>
      </c>
      <c r="F2801">
        <v>159.66</v>
      </c>
      <c r="G2801">
        <v>254.96</v>
      </c>
      <c r="H2801">
        <f>E2801*1000000/D2801</f>
        <v>1130779.1188294759</v>
      </c>
      <c r="I2801" t="str">
        <f>IF(AND(B2801&gt;=2018, B2801&lt;=2021), "2018-2021", IF(AND(B2801&gt;=2022, B2801&lt;=2024), "2022-2024", "Other"))</f>
        <v>2018-2021</v>
      </c>
    </row>
    <row r="2802" spans="1:9" x14ac:dyDescent="0.3">
      <c r="A2802" t="s">
        <v>22</v>
      </c>
      <c r="B2802">
        <v>2021</v>
      </c>
      <c r="C2802" t="s">
        <v>8</v>
      </c>
      <c r="D2802">
        <v>13172.05</v>
      </c>
      <c r="E2802">
        <v>15745.14</v>
      </c>
      <c r="F2802">
        <v>185.89</v>
      </c>
      <c r="G2802">
        <v>1108.45</v>
      </c>
      <c r="H2802">
        <f>E2802*1000000/D2802</f>
        <v>1195344.6881844513</v>
      </c>
      <c r="I2802" t="str">
        <f>IF(AND(B2802&gt;=2018, B2802&lt;=2021), "2018-2021", IF(AND(B2802&gt;=2022, B2802&lt;=2024), "2022-2024", "Other"))</f>
        <v>2018-2021</v>
      </c>
    </row>
    <row r="2803" spans="1:9" x14ac:dyDescent="0.3">
      <c r="A2803" t="s">
        <v>23</v>
      </c>
      <c r="B2803">
        <v>2020</v>
      </c>
      <c r="C2803" t="s">
        <v>6</v>
      </c>
      <c r="D2803">
        <v>19379.150000000001</v>
      </c>
      <c r="E2803">
        <v>20880.68</v>
      </c>
      <c r="F2803">
        <v>140.06</v>
      </c>
      <c r="G2803">
        <v>1201.24</v>
      </c>
      <c r="H2803">
        <f>E2803*1000000/D2803</f>
        <v>1077481.7264947121</v>
      </c>
      <c r="I2803" t="str">
        <f>IF(AND(B2803&gt;=2018, B2803&lt;=2021), "2018-2021", IF(AND(B2803&gt;=2022, B2803&lt;=2024), "2022-2024", "Other"))</f>
        <v>2018-2021</v>
      </c>
    </row>
    <row r="2804" spans="1:9" x14ac:dyDescent="0.3">
      <c r="A2804" t="s">
        <v>25</v>
      </c>
      <c r="B2804">
        <v>2020</v>
      </c>
      <c r="C2804" t="s">
        <v>14</v>
      </c>
      <c r="D2804">
        <v>11867.51</v>
      </c>
      <c r="E2804">
        <v>12060.95</v>
      </c>
      <c r="F2804">
        <v>199.04</v>
      </c>
      <c r="G2804">
        <v>224.88</v>
      </c>
      <c r="H2804">
        <f>E2804*1000000/D2804</f>
        <v>1016299.9651991024</v>
      </c>
      <c r="I2804" t="str">
        <f>IF(AND(B2804&gt;=2018, B2804&lt;=2021), "2018-2021", IF(AND(B2804&gt;=2022, B2804&lt;=2024), "2022-2024", "Other"))</f>
        <v>2018-2021</v>
      </c>
    </row>
    <row r="2805" spans="1:9" x14ac:dyDescent="0.3">
      <c r="A2805" t="s">
        <v>1</v>
      </c>
      <c r="B2805">
        <v>2018</v>
      </c>
      <c r="C2805" t="s">
        <v>9</v>
      </c>
      <c r="D2805">
        <v>49030.39</v>
      </c>
      <c r="E2805">
        <v>42225.17</v>
      </c>
      <c r="F2805">
        <v>130.44</v>
      </c>
      <c r="G2805">
        <v>104.72</v>
      </c>
      <c r="H2805">
        <f>E2805*1000000/D2805</f>
        <v>861204.04100395693</v>
      </c>
      <c r="I2805" t="str">
        <f>IF(AND(B2805&gt;=2018, B2805&lt;=2021), "2018-2021", IF(AND(B2805&gt;=2022, B2805&lt;=2024), "2022-2024", "Other"))</f>
        <v>2018-2021</v>
      </c>
    </row>
    <row r="2806" spans="1:9" x14ac:dyDescent="0.3">
      <c r="A2806" t="s">
        <v>19</v>
      </c>
      <c r="B2806">
        <v>2023</v>
      </c>
      <c r="C2806" t="s">
        <v>12</v>
      </c>
      <c r="D2806">
        <v>13989.15</v>
      </c>
      <c r="E2806">
        <v>13444.84</v>
      </c>
      <c r="F2806">
        <v>162.74</v>
      </c>
      <c r="G2806">
        <v>840.78</v>
      </c>
      <c r="H2806">
        <f>E2806*1000000/D2806</f>
        <v>961090.559469303</v>
      </c>
      <c r="I2806" t="str">
        <f>IF(AND(B2806&gt;=2018, B2806&lt;=2021), "2018-2021", IF(AND(B2806&gt;=2022, B2806&lt;=2024), "2022-2024", "Other"))</f>
        <v>2022-2024</v>
      </c>
    </row>
    <row r="2807" spans="1:9" x14ac:dyDescent="0.3">
      <c r="A2807" t="s">
        <v>20</v>
      </c>
      <c r="B2807">
        <v>2020</v>
      </c>
      <c r="C2807" t="s">
        <v>9</v>
      </c>
      <c r="D2807">
        <v>2078.64</v>
      </c>
      <c r="E2807">
        <v>1750.63</v>
      </c>
      <c r="F2807">
        <v>50.75</v>
      </c>
      <c r="G2807">
        <v>1254.3699999999999</v>
      </c>
      <c r="H2807">
        <f>E2807*1000000/D2807</f>
        <v>842199.70750105847</v>
      </c>
      <c r="I2807" t="str">
        <f>IF(AND(B2807&gt;=2018, B2807&lt;=2021), "2018-2021", IF(AND(B2807&gt;=2022, B2807&lt;=2024), "2022-2024", "Other"))</f>
        <v>2018-2021</v>
      </c>
    </row>
    <row r="2808" spans="1:9" x14ac:dyDescent="0.3">
      <c r="A2808" t="s">
        <v>15</v>
      </c>
      <c r="B2808">
        <v>2023</v>
      </c>
      <c r="C2808" t="s">
        <v>0</v>
      </c>
      <c r="D2808">
        <v>44697.08</v>
      </c>
      <c r="E2808">
        <v>45781.16</v>
      </c>
      <c r="F2808">
        <v>134.38999999999999</v>
      </c>
      <c r="G2808">
        <v>324.89</v>
      </c>
      <c r="H2808">
        <f>E2808*1000000/D2808</f>
        <v>1024253.9333665645</v>
      </c>
      <c r="I2808" t="str">
        <f>IF(AND(B2808&gt;=2018, B2808&lt;=2021), "2018-2021", IF(AND(B2808&gt;=2022, B2808&lt;=2024), "2022-2024", "Other"))</f>
        <v>2022-2024</v>
      </c>
    </row>
    <row r="2809" spans="1:9" x14ac:dyDescent="0.3">
      <c r="A2809" t="s">
        <v>3</v>
      </c>
      <c r="B2809">
        <v>2021</v>
      </c>
      <c r="C2809" t="s">
        <v>4</v>
      </c>
      <c r="D2809">
        <v>42501.97</v>
      </c>
      <c r="E2809">
        <v>42933.07</v>
      </c>
      <c r="F2809">
        <v>103.2</v>
      </c>
      <c r="G2809">
        <v>886.57</v>
      </c>
      <c r="H2809">
        <f>E2809*1000000/D2809</f>
        <v>1010143.0592511359</v>
      </c>
      <c r="I2809" t="str">
        <f>IF(AND(B2809&gt;=2018, B2809&lt;=2021), "2018-2021", IF(AND(B2809&gt;=2022, B2809&lt;=2024), "2022-2024", "Other"))</f>
        <v>2018-2021</v>
      </c>
    </row>
    <row r="2810" spans="1:9" x14ac:dyDescent="0.3">
      <c r="A2810" t="s">
        <v>7</v>
      </c>
      <c r="B2810">
        <v>2022</v>
      </c>
      <c r="C2810" t="s">
        <v>9</v>
      </c>
      <c r="D2810">
        <v>32192.22</v>
      </c>
      <c r="E2810">
        <v>26729.66</v>
      </c>
      <c r="F2810">
        <v>143.03</v>
      </c>
      <c r="G2810">
        <v>1010.28</v>
      </c>
      <c r="H2810">
        <f>E2810*1000000/D2810</f>
        <v>830314.28090389539</v>
      </c>
      <c r="I2810" t="str">
        <f>IF(AND(B2810&gt;=2018, B2810&lt;=2021), "2018-2021", IF(AND(B2810&gt;=2022, B2810&lt;=2024), "2022-2024", "Other"))</f>
        <v>2022-2024</v>
      </c>
    </row>
    <row r="2811" spans="1:9" x14ac:dyDescent="0.3">
      <c r="A2811" t="s">
        <v>20</v>
      </c>
      <c r="B2811">
        <v>2019</v>
      </c>
      <c r="C2811" t="s">
        <v>6</v>
      </c>
      <c r="D2811">
        <v>42830.73</v>
      </c>
      <c r="E2811">
        <v>49897.56</v>
      </c>
      <c r="F2811">
        <v>42.4</v>
      </c>
      <c r="G2811">
        <v>636.66</v>
      </c>
      <c r="H2811">
        <f>E2811*1000000/D2811</f>
        <v>1164994.3860401164</v>
      </c>
      <c r="I2811" t="str">
        <f>IF(AND(B2811&gt;=2018, B2811&lt;=2021), "2018-2021", IF(AND(B2811&gt;=2022, B2811&lt;=2024), "2022-2024", "Other"))</f>
        <v>2018-2021</v>
      </c>
    </row>
    <row r="2812" spans="1:9" x14ac:dyDescent="0.3">
      <c r="A2812" t="s">
        <v>13</v>
      </c>
      <c r="B2812">
        <v>2018</v>
      </c>
      <c r="C2812" t="s">
        <v>4</v>
      </c>
      <c r="D2812">
        <v>17813.93</v>
      </c>
      <c r="E2812">
        <v>16029.59</v>
      </c>
      <c r="F2812">
        <v>84.65</v>
      </c>
      <c r="G2812">
        <v>97.53</v>
      </c>
      <c r="H2812">
        <f>E2812*1000000/D2812</f>
        <v>899834.5676669887</v>
      </c>
      <c r="I2812" t="str">
        <f>IF(AND(B2812&gt;=2018, B2812&lt;=2021), "2018-2021", IF(AND(B2812&gt;=2022, B2812&lt;=2024), "2022-2024", "Other"))</f>
        <v>2018-2021</v>
      </c>
    </row>
    <row r="2813" spans="1:9" x14ac:dyDescent="0.3">
      <c r="A2813" t="s">
        <v>22</v>
      </c>
      <c r="B2813">
        <v>2023</v>
      </c>
      <c r="C2813" t="s">
        <v>0</v>
      </c>
      <c r="D2813">
        <v>19131.169999999998</v>
      </c>
      <c r="E2813">
        <v>15751.33</v>
      </c>
      <c r="F2813">
        <v>196.01</v>
      </c>
      <c r="G2813">
        <v>1328.66</v>
      </c>
      <c r="H2813">
        <f>E2813*1000000/D2813</f>
        <v>823333.33507569064</v>
      </c>
      <c r="I2813" t="str">
        <f>IF(AND(B2813&gt;=2018, B2813&lt;=2021), "2018-2021", IF(AND(B2813&gt;=2022, B2813&lt;=2024), "2022-2024", "Other"))</f>
        <v>2022-2024</v>
      </c>
    </row>
    <row r="2814" spans="1:9" x14ac:dyDescent="0.3">
      <c r="A2814" t="s">
        <v>25</v>
      </c>
      <c r="B2814">
        <v>2018</v>
      </c>
      <c r="C2814" t="s">
        <v>12</v>
      </c>
      <c r="D2814">
        <v>17506.759999999998</v>
      </c>
      <c r="E2814">
        <v>19684.310000000001</v>
      </c>
      <c r="F2814">
        <v>163.38</v>
      </c>
      <c r="G2814">
        <v>283.64</v>
      </c>
      <c r="H2814">
        <f>E2814*1000000/D2814</f>
        <v>1124383.3810482351</v>
      </c>
      <c r="I2814" t="str">
        <f>IF(AND(B2814&gt;=2018, B2814&lt;=2021), "2018-2021", IF(AND(B2814&gt;=2022, B2814&lt;=2024), "2022-2024", "Other"))</f>
        <v>2018-2021</v>
      </c>
    </row>
    <row r="2815" spans="1:9" x14ac:dyDescent="0.3">
      <c r="A2815" t="s">
        <v>11</v>
      </c>
      <c r="B2815">
        <v>2020</v>
      </c>
      <c r="C2815" t="s">
        <v>8</v>
      </c>
      <c r="D2815">
        <v>16525.23</v>
      </c>
      <c r="E2815">
        <v>19370.05</v>
      </c>
      <c r="F2815">
        <v>140.19999999999999</v>
      </c>
      <c r="G2815">
        <v>129.37</v>
      </c>
      <c r="H2815">
        <f>E2815*1000000/D2815</f>
        <v>1172150.1001801488</v>
      </c>
      <c r="I2815" t="str">
        <f>IF(AND(B2815&gt;=2018, B2815&lt;=2021), "2018-2021", IF(AND(B2815&gt;=2022, B2815&lt;=2024), "2022-2024", "Other"))</f>
        <v>2018-2021</v>
      </c>
    </row>
    <row r="2816" spans="1:9" x14ac:dyDescent="0.3">
      <c r="A2816" t="s">
        <v>26</v>
      </c>
      <c r="B2816">
        <v>2021</v>
      </c>
      <c r="C2816" t="s">
        <v>4</v>
      </c>
      <c r="D2816">
        <v>38770.17</v>
      </c>
      <c r="E2816">
        <v>40514.9</v>
      </c>
      <c r="F2816">
        <v>188.97</v>
      </c>
      <c r="G2816">
        <v>359.88</v>
      </c>
      <c r="H2816">
        <f>E2816*1000000/D2816</f>
        <v>1045001.8661254259</v>
      </c>
      <c r="I2816" t="str">
        <f>IF(AND(B2816&gt;=2018, B2816&lt;=2021), "2018-2021", IF(AND(B2816&gt;=2022, B2816&lt;=2024), "2022-2024", "Other"))</f>
        <v>2018-2021</v>
      </c>
    </row>
    <row r="2817" spans="1:9" x14ac:dyDescent="0.3">
      <c r="A2817" t="s">
        <v>27</v>
      </c>
      <c r="B2817">
        <v>2019</v>
      </c>
      <c r="C2817" t="s">
        <v>14</v>
      </c>
      <c r="D2817">
        <v>27169.15</v>
      </c>
      <c r="E2817">
        <v>29606.45</v>
      </c>
      <c r="F2817">
        <v>61.48</v>
      </c>
      <c r="G2817">
        <v>75.55</v>
      </c>
      <c r="H2817">
        <f>E2817*1000000/D2817</f>
        <v>1089708.3640820563</v>
      </c>
      <c r="I2817" t="str">
        <f>IF(AND(B2817&gt;=2018, B2817&lt;=2021), "2018-2021", IF(AND(B2817&gt;=2022, B2817&lt;=2024), "2022-2024", "Other"))</f>
        <v>2018-2021</v>
      </c>
    </row>
    <row r="2818" spans="1:9" x14ac:dyDescent="0.3">
      <c r="A2818" t="s">
        <v>11</v>
      </c>
      <c r="B2818">
        <v>2020</v>
      </c>
      <c r="C2818" t="s">
        <v>0</v>
      </c>
      <c r="D2818">
        <v>4717.8500000000004</v>
      </c>
      <c r="E2818">
        <v>4016.09</v>
      </c>
      <c r="F2818">
        <v>49.43</v>
      </c>
      <c r="G2818">
        <v>1182.53</v>
      </c>
      <c r="H2818">
        <f>E2818*1000000/D2818</f>
        <v>851254.27896181517</v>
      </c>
      <c r="I2818" t="str">
        <f>IF(AND(B2818&gt;=2018, B2818&lt;=2021), "2018-2021", IF(AND(B2818&gt;=2022, B2818&lt;=2024), "2022-2024", "Other"))</f>
        <v>2018-2021</v>
      </c>
    </row>
    <row r="2819" spans="1:9" x14ac:dyDescent="0.3">
      <c r="A2819" t="s">
        <v>27</v>
      </c>
      <c r="B2819">
        <v>2022</v>
      </c>
      <c r="C2819" t="s">
        <v>9</v>
      </c>
      <c r="D2819">
        <v>2278.6999999999998</v>
      </c>
      <c r="E2819">
        <v>2142.54</v>
      </c>
      <c r="F2819">
        <v>181.23</v>
      </c>
      <c r="G2819">
        <v>321.95999999999998</v>
      </c>
      <c r="H2819">
        <f>E2819*1000000/D2819</f>
        <v>940246.63185149431</v>
      </c>
      <c r="I2819" t="str">
        <f>IF(AND(B2819&gt;=2018, B2819&lt;=2021), "2018-2021", IF(AND(B2819&gt;=2022, B2819&lt;=2024), "2022-2024", "Other"))</f>
        <v>2022-2024</v>
      </c>
    </row>
    <row r="2820" spans="1:9" x14ac:dyDescent="0.3">
      <c r="A2820" t="s">
        <v>15</v>
      </c>
      <c r="B2820">
        <v>2019</v>
      </c>
      <c r="C2820" t="s">
        <v>14</v>
      </c>
      <c r="D2820">
        <v>38769.4</v>
      </c>
      <c r="E2820">
        <v>44053.91</v>
      </c>
      <c r="F2820">
        <v>86.18</v>
      </c>
      <c r="G2820">
        <v>316.94</v>
      </c>
      <c r="H2820">
        <f>E2820*1000000/D2820</f>
        <v>1136306.2105681284</v>
      </c>
      <c r="I2820" t="str">
        <f>IF(AND(B2820&gt;=2018, B2820&lt;=2021), "2018-2021", IF(AND(B2820&gt;=2022, B2820&lt;=2024), "2022-2024", "Other"))</f>
        <v>2018-2021</v>
      </c>
    </row>
    <row r="2821" spans="1:9" x14ac:dyDescent="0.3">
      <c r="A2821" t="s">
        <v>25</v>
      </c>
      <c r="B2821">
        <v>2020</v>
      </c>
      <c r="C2821" t="s">
        <v>6</v>
      </c>
      <c r="D2821">
        <v>1933.51</v>
      </c>
      <c r="E2821">
        <v>1944.29</v>
      </c>
      <c r="F2821">
        <v>110.81</v>
      </c>
      <c r="G2821">
        <v>40.729999999999997</v>
      </c>
      <c r="H2821">
        <f>E2821*1000000/D2821</f>
        <v>1005575.3525970903</v>
      </c>
      <c r="I2821" t="str">
        <f>IF(AND(B2821&gt;=2018, B2821&lt;=2021), "2018-2021", IF(AND(B2821&gt;=2022, B2821&lt;=2024), "2022-2024", "Other"))</f>
        <v>2018-2021</v>
      </c>
    </row>
    <row r="2822" spans="1:9" x14ac:dyDescent="0.3">
      <c r="A2822" t="s">
        <v>13</v>
      </c>
      <c r="B2822">
        <v>2024</v>
      </c>
      <c r="C2822" t="s">
        <v>4</v>
      </c>
      <c r="D2822">
        <v>2040.82</v>
      </c>
      <c r="E2822">
        <v>1756.33</v>
      </c>
      <c r="F2822">
        <v>147.04</v>
      </c>
      <c r="G2822">
        <v>815.25</v>
      </c>
      <c r="H2822">
        <f>E2822*1000000/D2822</f>
        <v>860600.15091972833</v>
      </c>
      <c r="I2822" t="str">
        <f>IF(AND(B2822&gt;=2018, B2822&lt;=2021), "2018-2021", IF(AND(B2822&gt;=2022, B2822&lt;=2024), "2022-2024", "Other"))</f>
        <v>2022-2024</v>
      </c>
    </row>
    <row r="2823" spans="1:9" x14ac:dyDescent="0.3">
      <c r="A2823" t="s">
        <v>23</v>
      </c>
      <c r="B2823">
        <v>2022</v>
      </c>
      <c r="C2823" t="s">
        <v>12</v>
      </c>
      <c r="D2823">
        <v>10206.049999999999</v>
      </c>
      <c r="E2823">
        <v>10741.59</v>
      </c>
      <c r="F2823">
        <v>139.66999999999999</v>
      </c>
      <c r="G2823">
        <v>1189.1199999999999</v>
      </c>
      <c r="H2823">
        <f>E2823*1000000/D2823</f>
        <v>1052472.7979972663</v>
      </c>
      <c r="I2823" t="str">
        <f>IF(AND(B2823&gt;=2018, B2823&lt;=2021), "2018-2021", IF(AND(B2823&gt;=2022, B2823&lt;=2024), "2022-2024", "Other"))</f>
        <v>2022-2024</v>
      </c>
    </row>
    <row r="2824" spans="1:9" x14ac:dyDescent="0.3">
      <c r="A2824" t="s">
        <v>24</v>
      </c>
      <c r="B2824">
        <v>2023</v>
      </c>
      <c r="C2824" t="s">
        <v>6</v>
      </c>
      <c r="D2824">
        <v>35339.449999999997</v>
      </c>
      <c r="E2824">
        <v>37949.35</v>
      </c>
      <c r="F2824">
        <v>29.39</v>
      </c>
      <c r="G2824">
        <v>598.35</v>
      </c>
      <c r="H2824">
        <f>E2824*1000000/D2824</f>
        <v>1073852.3095294354</v>
      </c>
      <c r="I2824" t="str">
        <f>IF(AND(B2824&gt;=2018, B2824&lt;=2021), "2018-2021", IF(AND(B2824&gt;=2022, B2824&lt;=2024), "2022-2024", "Other"))</f>
        <v>2022-2024</v>
      </c>
    </row>
    <row r="2825" spans="1:9" x14ac:dyDescent="0.3">
      <c r="A2825" t="s">
        <v>11</v>
      </c>
      <c r="B2825">
        <v>2024</v>
      </c>
      <c r="C2825" t="s">
        <v>14</v>
      </c>
      <c r="D2825">
        <v>32550.33</v>
      </c>
      <c r="E2825">
        <v>33202.71</v>
      </c>
      <c r="F2825">
        <v>105.86</v>
      </c>
      <c r="G2825">
        <v>508.83</v>
      </c>
      <c r="H2825">
        <f>E2825*1000000/D2825</f>
        <v>1020042.1931206227</v>
      </c>
      <c r="I2825" t="str">
        <f>IF(AND(B2825&gt;=2018, B2825&lt;=2021), "2018-2021", IF(AND(B2825&gt;=2022, B2825&lt;=2024), "2022-2024", "Other"))</f>
        <v>2022-2024</v>
      </c>
    </row>
    <row r="2826" spans="1:9" x14ac:dyDescent="0.3">
      <c r="A2826" t="s">
        <v>25</v>
      </c>
      <c r="B2826">
        <v>2020</v>
      </c>
      <c r="C2826" t="s">
        <v>0</v>
      </c>
      <c r="D2826">
        <v>35233.49</v>
      </c>
      <c r="E2826">
        <v>34799.53</v>
      </c>
      <c r="F2826">
        <v>197.2</v>
      </c>
      <c r="G2826">
        <v>719.25</v>
      </c>
      <c r="H2826">
        <f>E2826*1000000/D2826</f>
        <v>987683.3092605928</v>
      </c>
      <c r="I2826" t="str">
        <f>IF(AND(B2826&gt;=2018, B2826&lt;=2021), "2018-2021", IF(AND(B2826&gt;=2022, B2826&lt;=2024), "2022-2024", "Other"))</f>
        <v>2018-2021</v>
      </c>
    </row>
    <row r="2827" spans="1:9" x14ac:dyDescent="0.3">
      <c r="A2827" t="s">
        <v>16</v>
      </c>
      <c r="B2827">
        <v>2021</v>
      </c>
      <c r="C2827" t="s">
        <v>0</v>
      </c>
      <c r="D2827">
        <v>13828.78</v>
      </c>
      <c r="E2827">
        <v>12321.19</v>
      </c>
      <c r="F2827">
        <v>84.65</v>
      </c>
      <c r="G2827">
        <v>1182.2</v>
      </c>
      <c r="H2827">
        <f>E2827*1000000/D2827</f>
        <v>890981.70626765338</v>
      </c>
      <c r="I2827" t="str">
        <f>IF(AND(B2827&gt;=2018, B2827&lt;=2021), "2018-2021", IF(AND(B2827&gt;=2022, B2827&lt;=2024), "2022-2024", "Other"))</f>
        <v>2018-2021</v>
      </c>
    </row>
    <row r="2828" spans="1:9" x14ac:dyDescent="0.3">
      <c r="A2828" t="s">
        <v>27</v>
      </c>
      <c r="B2828">
        <v>2022</v>
      </c>
      <c r="C2828" t="s">
        <v>8</v>
      </c>
      <c r="D2828">
        <v>8406.5499999999993</v>
      </c>
      <c r="E2828">
        <v>9188.41</v>
      </c>
      <c r="F2828">
        <v>171.68</v>
      </c>
      <c r="G2828">
        <v>1077.82</v>
      </c>
      <c r="H2828">
        <f>E2828*1000000/D2828</f>
        <v>1093006.0488547622</v>
      </c>
      <c r="I2828" t="str">
        <f>IF(AND(B2828&gt;=2018, B2828&lt;=2021), "2018-2021", IF(AND(B2828&gt;=2022, B2828&lt;=2024), "2022-2024", "Other"))</f>
        <v>2022-2024</v>
      </c>
    </row>
    <row r="2829" spans="1:9" x14ac:dyDescent="0.3">
      <c r="A2829" t="s">
        <v>15</v>
      </c>
      <c r="B2829">
        <v>2023</v>
      </c>
      <c r="C2829" t="s">
        <v>2</v>
      </c>
      <c r="D2829">
        <v>13552.15</v>
      </c>
      <c r="E2829">
        <v>11895.72</v>
      </c>
      <c r="F2829">
        <v>164.63</v>
      </c>
      <c r="G2829">
        <v>1135.79</v>
      </c>
      <c r="H2829">
        <f>E2829*1000000/D2829</f>
        <v>877773.63739332871</v>
      </c>
      <c r="I2829" t="str">
        <f>IF(AND(B2829&gt;=2018, B2829&lt;=2021), "2018-2021", IF(AND(B2829&gt;=2022, B2829&lt;=2024), "2022-2024", "Other"))</f>
        <v>2022-2024</v>
      </c>
    </row>
    <row r="2830" spans="1:9" x14ac:dyDescent="0.3">
      <c r="A2830" t="s">
        <v>18</v>
      </c>
      <c r="B2830">
        <v>2018</v>
      </c>
      <c r="C2830" t="s">
        <v>12</v>
      </c>
      <c r="D2830">
        <v>15855.89</v>
      </c>
      <c r="E2830">
        <v>14973.31</v>
      </c>
      <c r="F2830">
        <v>73.58</v>
      </c>
      <c r="G2830">
        <v>1095.3800000000001</v>
      </c>
      <c r="H2830">
        <f>E2830*1000000/D2830</f>
        <v>944337.40395524947</v>
      </c>
      <c r="I2830" t="str">
        <f>IF(AND(B2830&gt;=2018, B2830&lt;=2021), "2018-2021", IF(AND(B2830&gt;=2022, B2830&lt;=2024), "2022-2024", "Other"))</f>
        <v>2018-2021</v>
      </c>
    </row>
    <row r="2831" spans="1:9" x14ac:dyDescent="0.3">
      <c r="A2831" t="s">
        <v>22</v>
      </c>
      <c r="B2831">
        <v>2019</v>
      </c>
      <c r="C2831" t="s">
        <v>2</v>
      </c>
      <c r="D2831">
        <v>33531.919999999998</v>
      </c>
      <c r="E2831">
        <v>35386.81</v>
      </c>
      <c r="F2831">
        <v>116.38</v>
      </c>
      <c r="G2831">
        <v>314.89999999999998</v>
      </c>
      <c r="H2831">
        <f>E2831*1000000/D2831</f>
        <v>1055317.1425912981</v>
      </c>
      <c r="I2831" t="str">
        <f>IF(AND(B2831&gt;=2018, B2831&lt;=2021), "2018-2021", IF(AND(B2831&gt;=2022, B2831&lt;=2024), "2022-2024", "Other"))</f>
        <v>2018-2021</v>
      </c>
    </row>
    <row r="2832" spans="1:9" x14ac:dyDescent="0.3">
      <c r="A2832" t="s">
        <v>15</v>
      </c>
      <c r="B2832">
        <v>2018</v>
      </c>
      <c r="C2832" t="s">
        <v>2</v>
      </c>
      <c r="D2832">
        <v>1167.46</v>
      </c>
      <c r="E2832">
        <v>1325.56</v>
      </c>
      <c r="F2832">
        <v>123.18</v>
      </c>
      <c r="G2832">
        <v>1231.22</v>
      </c>
      <c r="H2832">
        <f>E2832*1000000/D2832</f>
        <v>1135422.1986192246</v>
      </c>
      <c r="I2832" t="str">
        <f>IF(AND(B2832&gt;=2018, B2832&lt;=2021), "2018-2021", IF(AND(B2832&gt;=2022, B2832&lt;=2024), "2022-2024", "Other"))</f>
        <v>2018-2021</v>
      </c>
    </row>
    <row r="2833" spans="1:9" x14ac:dyDescent="0.3">
      <c r="A2833" t="s">
        <v>26</v>
      </c>
      <c r="B2833">
        <v>2018</v>
      </c>
      <c r="C2833" t="s">
        <v>9</v>
      </c>
      <c r="D2833">
        <v>10412.69</v>
      </c>
      <c r="E2833">
        <v>9670.4599999999991</v>
      </c>
      <c r="F2833">
        <v>124.59</v>
      </c>
      <c r="G2833">
        <v>677.09</v>
      </c>
      <c r="H2833">
        <f>E2833*1000000/D2833</f>
        <v>928718.7076538339</v>
      </c>
      <c r="I2833" t="str">
        <f>IF(AND(B2833&gt;=2018, B2833&lt;=2021), "2018-2021", IF(AND(B2833&gt;=2022, B2833&lt;=2024), "2022-2024", "Other"))</f>
        <v>2018-2021</v>
      </c>
    </row>
    <row r="2834" spans="1:9" x14ac:dyDescent="0.3">
      <c r="A2834" t="s">
        <v>25</v>
      </c>
      <c r="B2834">
        <v>2018</v>
      </c>
      <c r="C2834" t="s">
        <v>6</v>
      </c>
      <c r="D2834">
        <v>30279.93</v>
      </c>
      <c r="E2834">
        <v>32350.39</v>
      </c>
      <c r="F2834">
        <v>153.93</v>
      </c>
      <c r="G2834">
        <v>549.41999999999996</v>
      </c>
      <c r="H2834">
        <f>E2834*1000000/D2834</f>
        <v>1068377.3047031483</v>
      </c>
      <c r="I2834" t="str">
        <f>IF(AND(B2834&gt;=2018, B2834&lt;=2021), "2018-2021", IF(AND(B2834&gt;=2022, B2834&lt;=2024), "2022-2024", "Other"))</f>
        <v>2018-2021</v>
      </c>
    </row>
    <row r="2835" spans="1:9" x14ac:dyDescent="0.3">
      <c r="A2835" t="s">
        <v>1</v>
      </c>
      <c r="B2835">
        <v>2022</v>
      </c>
      <c r="C2835" t="s">
        <v>12</v>
      </c>
      <c r="D2835">
        <v>29035.55</v>
      </c>
      <c r="E2835">
        <v>32125.02</v>
      </c>
      <c r="F2835">
        <v>22.31</v>
      </c>
      <c r="G2835">
        <v>769.02</v>
      </c>
      <c r="H2835">
        <f>E2835*1000000/D2835</f>
        <v>1106403.0128583754</v>
      </c>
      <c r="I2835" t="str">
        <f>IF(AND(B2835&gt;=2018, B2835&lt;=2021), "2018-2021", IF(AND(B2835&gt;=2022, B2835&lt;=2024), "2022-2024", "Other"))</f>
        <v>2022-2024</v>
      </c>
    </row>
    <row r="2836" spans="1:9" x14ac:dyDescent="0.3">
      <c r="A2836" t="s">
        <v>25</v>
      </c>
      <c r="B2836">
        <v>2018</v>
      </c>
      <c r="C2836" t="s">
        <v>9</v>
      </c>
      <c r="D2836">
        <v>1560.32</v>
      </c>
      <c r="E2836">
        <v>1255.3399999999999</v>
      </c>
      <c r="F2836">
        <v>145.83000000000001</v>
      </c>
      <c r="G2836">
        <v>47.12</v>
      </c>
      <c r="H2836">
        <f>E2836*1000000/D2836</f>
        <v>804540.09433962265</v>
      </c>
      <c r="I2836" t="str">
        <f>IF(AND(B2836&gt;=2018, B2836&lt;=2021), "2018-2021", IF(AND(B2836&gt;=2022, B2836&lt;=2024), "2022-2024", "Other"))</f>
        <v>2018-2021</v>
      </c>
    </row>
    <row r="2837" spans="1:9" x14ac:dyDescent="0.3">
      <c r="A2837" t="s">
        <v>17</v>
      </c>
      <c r="B2837">
        <v>2019</v>
      </c>
      <c r="C2837" t="s">
        <v>6</v>
      </c>
      <c r="D2837">
        <v>19560.53</v>
      </c>
      <c r="E2837">
        <v>19956.61</v>
      </c>
      <c r="F2837">
        <v>152.03</v>
      </c>
      <c r="G2837">
        <v>1029.46</v>
      </c>
      <c r="H2837">
        <f>E2837*1000000/D2837</f>
        <v>1020248.9400849568</v>
      </c>
      <c r="I2837" t="str">
        <f>IF(AND(B2837&gt;=2018, B2837&lt;=2021), "2018-2021", IF(AND(B2837&gt;=2022, B2837&lt;=2024), "2022-2024", "Other"))</f>
        <v>2018-2021</v>
      </c>
    </row>
    <row r="2838" spans="1:9" x14ac:dyDescent="0.3">
      <c r="A2838" t="s">
        <v>16</v>
      </c>
      <c r="B2838">
        <v>2020</v>
      </c>
      <c r="C2838" t="s">
        <v>6</v>
      </c>
      <c r="D2838">
        <v>1933.59</v>
      </c>
      <c r="E2838">
        <v>1575.79</v>
      </c>
      <c r="F2838">
        <v>104.54</v>
      </c>
      <c r="G2838">
        <v>1186.52</v>
      </c>
      <c r="H2838">
        <f>E2838*1000000/D2838</f>
        <v>814955.60072197311</v>
      </c>
      <c r="I2838" t="str">
        <f>IF(AND(B2838&gt;=2018, B2838&lt;=2021), "2018-2021", IF(AND(B2838&gt;=2022, B2838&lt;=2024), "2022-2024", "Other"))</f>
        <v>2018-2021</v>
      </c>
    </row>
    <row r="2839" spans="1:9" x14ac:dyDescent="0.3">
      <c r="A2839" t="s">
        <v>15</v>
      </c>
      <c r="B2839">
        <v>2021</v>
      </c>
      <c r="C2839" t="s">
        <v>2</v>
      </c>
      <c r="D2839">
        <v>49657.88</v>
      </c>
      <c r="E2839">
        <v>58327.91</v>
      </c>
      <c r="F2839">
        <v>57.09</v>
      </c>
      <c r="G2839">
        <v>1115.19</v>
      </c>
      <c r="H2839">
        <f>E2839*1000000/D2839</f>
        <v>1174595.2505423108</v>
      </c>
      <c r="I2839" t="str">
        <f>IF(AND(B2839&gt;=2018, B2839&lt;=2021), "2018-2021", IF(AND(B2839&gt;=2022, B2839&lt;=2024), "2022-2024", "Other"))</f>
        <v>2018-2021</v>
      </c>
    </row>
    <row r="2840" spans="1:9" x14ac:dyDescent="0.3">
      <c r="A2840" t="s">
        <v>25</v>
      </c>
      <c r="B2840">
        <v>2022</v>
      </c>
      <c r="C2840" t="s">
        <v>0</v>
      </c>
      <c r="D2840">
        <v>49277.74</v>
      </c>
      <c r="E2840">
        <v>41076.839999999997</v>
      </c>
      <c r="F2840">
        <v>72.040000000000006</v>
      </c>
      <c r="G2840">
        <v>339.89</v>
      </c>
      <c r="H2840">
        <f>E2840*1000000/D2840</f>
        <v>833578.00093916652</v>
      </c>
      <c r="I2840" t="str">
        <f>IF(AND(B2840&gt;=2018, B2840&lt;=2021), "2018-2021", IF(AND(B2840&gt;=2022, B2840&lt;=2024), "2022-2024", "Other"))</f>
        <v>2022-2024</v>
      </c>
    </row>
    <row r="2841" spans="1:9" x14ac:dyDescent="0.3">
      <c r="A2841" t="s">
        <v>5</v>
      </c>
      <c r="B2841">
        <v>2018</v>
      </c>
      <c r="C2841" t="s">
        <v>4</v>
      </c>
      <c r="D2841">
        <v>7903.95</v>
      </c>
      <c r="E2841">
        <v>7073.12</v>
      </c>
      <c r="F2841">
        <v>155.86000000000001</v>
      </c>
      <c r="G2841">
        <v>228.39</v>
      </c>
      <c r="H2841">
        <f>E2841*1000000/D2841</f>
        <v>894884.20346788631</v>
      </c>
      <c r="I2841" t="str">
        <f>IF(AND(B2841&gt;=2018, B2841&lt;=2021), "2018-2021", IF(AND(B2841&gt;=2022, B2841&lt;=2024), "2022-2024", "Other"))</f>
        <v>2018-2021</v>
      </c>
    </row>
    <row r="2842" spans="1:9" x14ac:dyDescent="0.3">
      <c r="A2842" t="s">
        <v>7</v>
      </c>
      <c r="B2842">
        <v>2018</v>
      </c>
      <c r="C2842" t="s">
        <v>8</v>
      </c>
      <c r="D2842">
        <v>32891.1</v>
      </c>
      <c r="E2842">
        <v>33496.870000000003</v>
      </c>
      <c r="F2842">
        <v>64.56</v>
      </c>
      <c r="G2842">
        <v>441.14</v>
      </c>
      <c r="H2842">
        <f>E2842*1000000/D2842</f>
        <v>1018417.4442326345</v>
      </c>
      <c r="I2842" t="str">
        <f>IF(AND(B2842&gt;=2018, B2842&lt;=2021), "2018-2021", IF(AND(B2842&gt;=2022, B2842&lt;=2024), "2022-2024", "Other"))</f>
        <v>2018-2021</v>
      </c>
    </row>
    <row r="2843" spans="1:9" x14ac:dyDescent="0.3">
      <c r="A2843" t="s">
        <v>25</v>
      </c>
      <c r="B2843">
        <v>2022</v>
      </c>
      <c r="C2843" t="s">
        <v>2</v>
      </c>
      <c r="D2843">
        <v>8007.28</v>
      </c>
      <c r="E2843">
        <v>9495.2999999999993</v>
      </c>
      <c r="F2843">
        <v>103.7</v>
      </c>
      <c r="G2843">
        <v>109.77</v>
      </c>
      <c r="H2843">
        <f>E2843*1000000/D2843</f>
        <v>1185833.3916136317</v>
      </c>
      <c r="I2843" t="str">
        <f>IF(AND(B2843&gt;=2018, B2843&lt;=2021), "2018-2021", IF(AND(B2843&gt;=2022, B2843&lt;=2024), "2022-2024", "Other"))</f>
        <v>2022-2024</v>
      </c>
    </row>
    <row r="2844" spans="1:9" x14ac:dyDescent="0.3">
      <c r="A2844" t="s">
        <v>19</v>
      </c>
      <c r="B2844">
        <v>2024</v>
      </c>
      <c r="C2844" t="s">
        <v>0</v>
      </c>
      <c r="D2844">
        <v>16495.93</v>
      </c>
      <c r="E2844">
        <v>17457</v>
      </c>
      <c r="F2844">
        <v>49.11</v>
      </c>
      <c r="G2844">
        <v>843.34</v>
      </c>
      <c r="H2844">
        <f>E2844*1000000/D2844</f>
        <v>1058261.0377226383</v>
      </c>
      <c r="I2844" t="str">
        <f>IF(AND(B2844&gt;=2018, B2844&lt;=2021), "2018-2021", IF(AND(B2844&gt;=2022, B2844&lt;=2024), "2022-2024", "Other"))</f>
        <v>2022-2024</v>
      </c>
    </row>
    <row r="2845" spans="1:9" x14ac:dyDescent="0.3">
      <c r="A2845" t="s">
        <v>20</v>
      </c>
      <c r="B2845">
        <v>2024</v>
      </c>
      <c r="C2845" t="s">
        <v>2</v>
      </c>
      <c r="D2845">
        <v>49654.67</v>
      </c>
      <c r="E2845">
        <v>56043.32</v>
      </c>
      <c r="F2845">
        <v>88.07</v>
      </c>
      <c r="G2845">
        <v>920.95</v>
      </c>
      <c r="H2845">
        <f>E2845*1000000/D2845</f>
        <v>1128661.6143053614</v>
      </c>
      <c r="I2845" t="str">
        <f>IF(AND(B2845&gt;=2018, B2845&lt;=2021), "2018-2021", IF(AND(B2845&gt;=2022, B2845&lt;=2024), "2022-2024", "Other"))</f>
        <v>2022-2024</v>
      </c>
    </row>
    <row r="2846" spans="1:9" x14ac:dyDescent="0.3">
      <c r="A2846" t="s">
        <v>1</v>
      </c>
      <c r="B2846">
        <v>2024</v>
      </c>
      <c r="C2846" t="s">
        <v>14</v>
      </c>
      <c r="D2846">
        <v>24034.9</v>
      </c>
      <c r="E2846">
        <v>22397.06</v>
      </c>
      <c r="F2846">
        <v>113.47</v>
      </c>
      <c r="G2846">
        <v>22.76</v>
      </c>
      <c r="H2846">
        <f>E2846*1000000/D2846</f>
        <v>931855.75974936446</v>
      </c>
      <c r="I2846" t="str">
        <f>IF(AND(B2846&gt;=2018, B2846&lt;=2021), "2018-2021", IF(AND(B2846&gt;=2022, B2846&lt;=2024), "2022-2024", "Other"))</f>
        <v>2022-2024</v>
      </c>
    </row>
    <row r="2847" spans="1:9" x14ac:dyDescent="0.3">
      <c r="A2847" t="s">
        <v>11</v>
      </c>
      <c r="B2847">
        <v>2024</v>
      </c>
      <c r="C2847" t="s">
        <v>9</v>
      </c>
      <c r="D2847">
        <v>22627.61</v>
      </c>
      <c r="E2847">
        <v>26111.759999999998</v>
      </c>
      <c r="F2847">
        <v>100.98</v>
      </c>
      <c r="G2847">
        <v>1286.3900000000001</v>
      </c>
      <c r="H2847">
        <f>E2847*1000000/D2847</f>
        <v>1153977.8173655989</v>
      </c>
      <c r="I2847" t="str">
        <f>IF(AND(B2847&gt;=2018, B2847&lt;=2021), "2018-2021", IF(AND(B2847&gt;=2022, B2847&lt;=2024), "2022-2024", "Other"))</f>
        <v>2022-2024</v>
      </c>
    </row>
    <row r="2848" spans="1:9" x14ac:dyDescent="0.3">
      <c r="A2848" t="s">
        <v>21</v>
      </c>
      <c r="B2848">
        <v>2021</v>
      </c>
      <c r="C2848" t="s">
        <v>6</v>
      </c>
      <c r="D2848">
        <v>26617.35</v>
      </c>
      <c r="E2848">
        <v>29613.96</v>
      </c>
      <c r="F2848">
        <v>75.680000000000007</v>
      </c>
      <c r="G2848">
        <v>791.06</v>
      </c>
      <c r="H2848">
        <f>E2848*1000000/D2848</f>
        <v>1112581.0796341484</v>
      </c>
      <c r="I2848" t="str">
        <f>IF(AND(B2848&gt;=2018, B2848&lt;=2021), "2018-2021", IF(AND(B2848&gt;=2022, B2848&lt;=2024), "2022-2024", "Other"))</f>
        <v>2018-2021</v>
      </c>
    </row>
    <row r="2849" spans="1:9" x14ac:dyDescent="0.3">
      <c r="A2849" t="s">
        <v>1</v>
      </c>
      <c r="B2849">
        <v>2019</v>
      </c>
      <c r="C2849" t="s">
        <v>12</v>
      </c>
      <c r="D2849">
        <v>34062.300000000003</v>
      </c>
      <c r="E2849">
        <v>28634.02</v>
      </c>
      <c r="F2849">
        <v>24.72</v>
      </c>
      <c r="G2849">
        <v>502.45</v>
      </c>
      <c r="H2849">
        <f>E2849*1000000/D2849</f>
        <v>840636.71566511947</v>
      </c>
      <c r="I2849" t="str">
        <f>IF(AND(B2849&gt;=2018, B2849&lt;=2021), "2018-2021", IF(AND(B2849&gt;=2022, B2849&lt;=2024), "2022-2024", "Other"))</f>
        <v>2018-2021</v>
      </c>
    </row>
    <row r="2850" spans="1:9" x14ac:dyDescent="0.3">
      <c r="A2850" t="s">
        <v>27</v>
      </c>
      <c r="B2850">
        <v>2020</v>
      </c>
      <c r="C2850" t="s">
        <v>8</v>
      </c>
      <c r="D2850">
        <v>3247.52</v>
      </c>
      <c r="E2850">
        <v>2857.34</v>
      </c>
      <c r="F2850">
        <v>137.32</v>
      </c>
      <c r="G2850">
        <v>900.91</v>
      </c>
      <c r="H2850">
        <f>E2850*1000000/D2850</f>
        <v>879852.93393112288</v>
      </c>
      <c r="I2850" t="str">
        <f>IF(AND(B2850&gt;=2018, B2850&lt;=2021), "2018-2021", IF(AND(B2850&gt;=2022, B2850&lt;=2024), "2022-2024", "Other"))</f>
        <v>2018-2021</v>
      </c>
    </row>
    <row r="2851" spans="1:9" x14ac:dyDescent="0.3">
      <c r="A2851" t="s">
        <v>20</v>
      </c>
      <c r="B2851">
        <v>2024</v>
      </c>
      <c r="C2851" t="s">
        <v>9</v>
      </c>
      <c r="D2851">
        <v>45137.2</v>
      </c>
      <c r="E2851">
        <v>50353.69</v>
      </c>
      <c r="F2851">
        <v>97.62</v>
      </c>
      <c r="G2851">
        <v>196.99</v>
      </c>
      <c r="H2851">
        <f>E2851*1000000/D2851</f>
        <v>1115569.641005645</v>
      </c>
      <c r="I2851" t="str">
        <f>IF(AND(B2851&gt;=2018, B2851&lt;=2021), "2018-2021", IF(AND(B2851&gt;=2022, B2851&lt;=2024), "2022-2024", "Other"))</f>
        <v>2022-2024</v>
      </c>
    </row>
    <row r="2852" spans="1:9" x14ac:dyDescent="0.3">
      <c r="A2852" t="s">
        <v>23</v>
      </c>
      <c r="B2852">
        <v>2020</v>
      </c>
      <c r="C2852" t="s">
        <v>9</v>
      </c>
      <c r="D2852">
        <v>11323.81</v>
      </c>
      <c r="E2852">
        <v>12671.84</v>
      </c>
      <c r="F2852">
        <v>188.97</v>
      </c>
      <c r="G2852">
        <v>1119.1199999999999</v>
      </c>
      <c r="H2852">
        <f>E2852*1000000/D2852</f>
        <v>1119043.8553808304</v>
      </c>
      <c r="I2852" t="str">
        <f>IF(AND(B2852&gt;=2018, B2852&lt;=2021), "2018-2021", IF(AND(B2852&gt;=2022, B2852&lt;=2024), "2022-2024", "Other"))</f>
        <v>2018-2021</v>
      </c>
    </row>
    <row r="2853" spans="1:9" x14ac:dyDescent="0.3">
      <c r="A2853" t="s">
        <v>13</v>
      </c>
      <c r="B2853">
        <v>2024</v>
      </c>
      <c r="C2853" t="s">
        <v>8</v>
      </c>
      <c r="D2853">
        <v>28350.62</v>
      </c>
      <c r="E2853">
        <v>23792.23</v>
      </c>
      <c r="F2853">
        <v>60.18</v>
      </c>
      <c r="G2853">
        <v>168.27</v>
      </c>
      <c r="H2853">
        <f>E2853*1000000/D2853</f>
        <v>839213.7455900436</v>
      </c>
      <c r="I2853" t="str">
        <f>IF(AND(B2853&gt;=2018, B2853&lt;=2021), "2018-2021", IF(AND(B2853&gt;=2022, B2853&lt;=2024), "2022-2024", "Other"))</f>
        <v>2022-2024</v>
      </c>
    </row>
    <row r="2854" spans="1:9" x14ac:dyDescent="0.3">
      <c r="A2854" t="s">
        <v>5</v>
      </c>
      <c r="B2854">
        <v>2019</v>
      </c>
      <c r="C2854" t="s">
        <v>4</v>
      </c>
      <c r="D2854">
        <v>49187</v>
      </c>
      <c r="E2854">
        <v>55452.99</v>
      </c>
      <c r="F2854">
        <v>175.26</v>
      </c>
      <c r="G2854">
        <v>235.18</v>
      </c>
      <c r="H2854">
        <f>E2854*1000000/D2854</f>
        <v>1127391.180596499</v>
      </c>
      <c r="I2854" t="str">
        <f>IF(AND(B2854&gt;=2018, B2854&lt;=2021), "2018-2021", IF(AND(B2854&gt;=2022, B2854&lt;=2024), "2022-2024", "Other"))</f>
        <v>2018-2021</v>
      </c>
    </row>
    <row r="2855" spans="1:9" x14ac:dyDescent="0.3">
      <c r="A2855" t="s">
        <v>26</v>
      </c>
      <c r="B2855">
        <v>2020</v>
      </c>
      <c r="C2855" t="s">
        <v>14</v>
      </c>
      <c r="D2855">
        <v>17377.349999999999</v>
      </c>
      <c r="E2855">
        <v>18151.61</v>
      </c>
      <c r="F2855">
        <v>61.61</v>
      </c>
      <c r="G2855">
        <v>292.61</v>
      </c>
      <c r="H2855">
        <f>E2855*1000000/D2855</f>
        <v>1044555.7003800926</v>
      </c>
      <c r="I2855" t="str">
        <f>IF(AND(B2855&gt;=2018, B2855&lt;=2021), "2018-2021", IF(AND(B2855&gt;=2022, B2855&lt;=2024), "2022-2024", "Other"))</f>
        <v>2018-2021</v>
      </c>
    </row>
    <row r="2856" spans="1:9" x14ac:dyDescent="0.3">
      <c r="A2856" t="s">
        <v>7</v>
      </c>
      <c r="B2856">
        <v>2023</v>
      </c>
      <c r="C2856" t="s">
        <v>2</v>
      </c>
      <c r="D2856">
        <v>29047.61</v>
      </c>
      <c r="E2856">
        <v>28857.37</v>
      </c>
      <c r="F2856">
        <v>171.48</v>
      </c>
      <c r="G2856">
        <v>1357.26</v>
      </c>
      <c r="H2856">
        <f>E2856*1000000/D2856</f>
        <v>993450.75205843092</v>
      </c>
      <c r="I2856" t="str">
        <f>IF(AND(B2856&gt;=2018, B2856&lt;=2021), "2018-2021", IF(AND(B2856&gt;=2022, B2856&lt;=2024), "2022-2024", "Other"))</f>
        <v>2022-2024</v>
      </c>
    </row>
    <row r="2857" spans="1:9" x14ac:dyDescent="0.3">
      <c r="A2857" t="s">
        <v>25</v>
      </c>
      <c r="B2857">
        <v>2022</v>
      </c>
      <c r="C2857" t="s">
        <v>4</v>
      </c>
      <c r="D2857">
        <v>45503.17</v>
      </c>
      <c r="E2857">
        <v>36840.949999999997</v>
      </c>
      <c r="F2857">
        <v>166.32</v>
      </c>
      <c r="G2857">
        <v>497.53</v>
      </c>
      <c r="H2857">
        <f>E2857*1000000/D2857</f>
        <v>809634.80126769189</v>
      </c>
      <c r="I2857" t="str">
        <f>IF(AND(B2857&gt;=2018, B2857&lt;=2021), "2018-2021", IF(AND(B2857&gt;=2022, B2857&lt;=2024), "2022-2024", "Other"))</f>
        <v>2022-2024</v>
      </c>
    </row>
    <row r="2858" spans="1:9" x14ac:dyDescent="0.3">
      <c r="A2858" t="s">
        <v>17</v>
      </c>
      <c r="B2858">
        <v>2023</v>
      </c>
      <c r="C2858" t="s">
        <v>4</v>
      </c>
      <c r="D2858">
        <v>49989.46</v>
      </c>
      <c r="E2858">
        <v>52758.97</v>
      </c>
      <c r="F2858">
        <v>67.790000000000006</v>
      </c>
      <c r="G2858">
        <v>1059.46</v>
      </c>
      <c r="H2858">
        <f>E2858*1000000/D2858</f>
        <v>1055401.8787160334</v>
      </c>
      <c r="I2858" t="str">
        <f>IF(AND(B2858&gt;=2018, B2858&lt;=2021), "2018-2021", IF(AND(B2858&gt;=2022, B2858&lt;=2024), "2022-2024", "Other"))</f>
        <v>2022-2024</v>
      </c>
    </row>
    <row r="2859" spans="1:9" x14ac:dyDescent="0.3">
      <c r="A2859" t="s">
        <v>26</v>
      </c>
      <c r="B2859">
        <v>2024</v>
      </c>
      <c r="C2859" t="s">
        <v>2</v>
      </c>
      <c r="D2859">
        <v>21130.61</v>
      </c>
      <c r="E2859">
        <v>20784.29</v>
      </c>
      <c r="F2859">
        <v>188.42</v>
      </c>
      <c r="G2859">
        <v>444.93</v>
      </c>
      <c r="H2859">
        <f>E2859*1000000/D2859</f>
        <v>983610.50627501996</v>
      </c>
      <c r="I2859" t="str">
        <f>IF(AND(B2859&gt;=2018, B2859&lt;=2021), "2018-2021", IF(AND(B2859&gt;=2022, B2859&lt;=2024), "2022-2024", "Other"))</f>
        <v>2022-2024</v>
      </c>
    </row>
    <row r="2860" spans="1:9" x14ac:dyDescent="0.3">
      <c r="A2860" t="s">
        <v>1</v>
      </c>
      <c r="B2860">
        <v>2021</v>
      </c>
      <c r="C2860" t="s">
        <v>6</v>
      </c>
      <c r="D2860">
        <v>43821.83</v>
      </c>
      <c r="E2860">
        <v>37560.639999999999</v>
      </c>
      <c r="F2860">
        <v>46.29</v>
      </c>
      <c r="G2860">
        <v>1239.57</v>
      </c>
      <c r="H2860">
        <f>E2860*1000000/D2860</f>
        <v>857121.66744291596</v>
      </c>
      <c r="I2860" t="str">
        <f>IF(AND(B2860&gt;=2018, B2860&lt;=2021), "2018-2021", IF(AND(B2860&gt;=2022, B2860&lt;=2024), "2022-2024", "Other"))</f>
        <v>2018-2021</v>
      </c>
    </row>
    <row r="2861" spans="1:9" x14ac:dyDescent="0.3">
      <c r="A2861" t="s">
        <v>7</v>
      </c>
      <c r="B2861">
        <v>2019</v>
      </c>
      <c r="C2861" t="s">
        <v>6</v>
      </c>
      <c r="D2861">
        <v>17252.61</v>
      </c>
      <c r="E2861">
        <v>17206.27</v>
      </c>
      <c r="F2861">
        <v>113.48</v>
      </c>
      <c r="G2861">
        <v>1356.95</v>
      </c>
      <c r="H2861">
        <f>E2861*1000000/D2861</f>
        <v>997314.02958740736</v>
      </c>
      <c r="I2861" t="str">
        <f>IF(AND(B2861&gt;=2018, B2861&lt;=2021), "2018-2021", IF(AND(B2861&gt;=2022, B2861&lt;=2024), "2022-2024", "Other"))</f>
        <v>2018-2021</v>
      </c>
    </row>
    <row r="2862" spans="1:9" x14ac:dyDescent="0.3">
      <c r="A2862" t="s">
        <v>13</v>
      </c>
      <c r="B2862">
        <v>2023</v>
      </c>
      <c r="C2862" t="s">
        <v>12</v>
      </c>
      <c r="D2862">
        <v>15727.37</v>
      </c>
      <c r="E2862">
        <v>17797.310000000001</v>
      </c>
      <c r="F2862">
        <v>172.36</v>
      </c>
      <c r="G2862">
        <v>1043.82</v>
      </c>
      <c r="H2862">
        <f>E2862*1000000/D2862</f>
        <v>1131613.8680529548</v>
      </c>
      <c r="I2862" t="str">
        <f>IF(AND(B2862&gt;=2018, B2862&lt;=2021), "2018-2021", IF(AND(B2862&gt;=2022, B2862&lt;=2024), "2022-2024", "Other"))</f>
        <v>2022-2024</v>
      </c>
    </row>
    <row r="2863" spans="1:9" x14ac:dyDescent="0.3">
      <c r="A2863" t="s">
        <v>5</v>
      </c>
      <c r="B2863">
        <v>2024</v>
      </c>
      <c r="C2863" t="s">
        <v>14</v>
      </c>
      <c r="D2863">
        <v>16317.89</v>
      </c>
      <c r="E2863">
        <v>18756.47</v>
      </c>
      <c r="F2863">
        <v>121.58</v>
      </c>
      <c r="G2863">
        <v>221.47</v>
      </c>
      <c r="H2863">
        <f>E2863*1000000/D2863</f>
        <v>1149442.1153715339</v>
      </c>
      <c r="I2863" t="str">
        <f>IF(AND(B2863&gt;=2018, B2863&lt;=2021), "2018-2021", IF(AND(B2863&gt;=2022, B2863&lt;=2024), "2022-2024", "Other"))</f>
        <v>2022-2024</v>
      </c>
    </row>
    <row r="2864" spans="1:9" x14ac:dyDescent="0.3">
      <c r="A2864" t="s">
        <v>27</v>
      </c>
      <c r="B2864">
        <v>2019</v>
      </c>
      <c r="C2864" t="s">
        <v>0</v>
      </c>
      <c r="D2864">
        <v>12450.31</v>
      </c>
      <c r="E2864">
        <v>13846.01</v>
      </c>
      <c r="F2864">
        <v>120.18</v>
      </c>
      <c r="G2864">
        <v>450.11</v>
      </c>
      <c r="H2864">
        <f>E2864*1000000/D2864</f>
        <v>1112101.6263852066</v>
      </c>
      <c r="I2864" t="str">
        <f>IF(AND(B2864&gt;=2018, B2864&lt;=2021), "2018-2021", IF(AND(B2864&gt;=2022, B2864&lt;=2024), "2022-2024", "Other"))</f>
        <v>2018-2021</v>
      </c>
    </row>
    <row r="2865" spans="1:9" x14ac:dyDescent="0.3">
      <c r="A2865" t="s">
        <v>7</v>
      </c>
      <c r="B2865">
        <v>2024</v>
      </c>
      <c r="C2865" t="s">
        <v>8</v>
      </c>
      <c r="D2865">
        <v>29252.27</v>
      </c>
      <c r="E2865">
        <v>23592.89</v>
      </c>
      <c r="F2865">
        <v>115.09</v>
      </c>
      <c r="G2865">
        <v>575.22</v>
      </c>
      <c r="H2865">
        <f>E2865*1000000/D2865</f>
        <v>806531.93752142997</v>
      </c>
      <c r="I2865" t="str">
        <f>IF(AND(B2865&gt;=2018, B2865&lt;=2021), "2018-2021", IF(AND(B2865&gt;=2022, B2865&lt;=2024), "2022-2024", "Other"))</f>
        <v>2022-2024</v>
      </c>
    </row>
    <row r="2866" spans="1:9" x14ac:dyDescent="0.3">
      <c r="A2866" t="s">
        <v>17</v>
      </c>
      <c r="B2866">
        <v>2023</v>
      </c>
      <c r="C2866" t="s">
        <v>2</v>
      </c>
      <c r="D2866">
        <v>11413.81</v>
      </c>
      <c r="E2866">
        <v>10952.46</v>
      </c>
      <c r="F2866">
        <v>29.42</v>
      </c>
      <c r="G2866">
        <v>1282.8900000000001</v>
      </c>
      <c r="H2866">
        <f>E2866*1000000/D2866</f>
        <v>959579.66708750196</v>
      </c>
      <c r="I2866" t="str">
        <f>IF(AND(B2866&gt;=2018, B2866&lt;=2021), "2018-2021", IF(AND(B2866&gt;=2022, B2866&lt;=2024), "2022-2024", "Other"))</f>
        <v>2022-2024</v>
      </c>
    </row>
    <row r="2867" spans="1:9" x14ac:dyDescent="0.3">
      <c r="A2867" t="s">
        <v>20</v>
      </c>
      <c r="B2867">
        <v>2021</v>
      </c>
      <c r="C2867" t="s">
        <v>9</v>
      </c>
      <c r="D2867">
        <v>4236.4799999999996</v>
      </c>
      <c r="E2867">
        <v>4331.67</v>
      </c>
      <c r="F2867">
        <v>21.07</v>
      </c>
      <c r="G2867">
        <v>94.67</v>
      </c>
      <c r="H2867">
        <f>E2867*1000000/D2867</f>
        <v>1022469.1253115796</v>
      </c>
      <c r="I2867" t="str">
        <f>IF(AND(B2867&gt;=2018, B2867&lt;=2021), "2018-2021", IF(AND(B2867&gt;=2022, B2867&lt;=2024), "2022-2024", "Other"))</f>
        <v>2018-2021</v>
      </c>
    </row>
    <row r="2868" spans="1:9" x14ac:dyDescent="0.3">
      <c r="A2868" t="s">
        <v>5</v>
      </c>
      <c r="B2868">
        <v>2020</v>
      </c>
      <c r="C2868" t="s">
        <v>2</v>
      </c>
      <c r="D2868">
        <v>4278.42</v>
      </c>
      <c r="E2868">
        <v>4869.17</v>
      </c>
      <c r="F2868">
        <v>40.450000000000003</v>
      </c>
      <c r="G2868">
        <v>122.79</v>
      </c>
      <c r="H2868">
        <f>E2868*1000000/D2868</f>
        <v>1138076.6731643924</v>
      </c>
      <c r="I2868" t="str">
        <f>IF(AND(B2868&gt;=2018, B2868&lt;=2021), "2018-2021", IF(AND(B2868&gt;=2022, B2868&lt;=2024), "2022-2024", "Other"))</f>
        <v>2018-2021</v>
      </c>
    </row>
    <row r="2869" spans="1:9" x14ac:dyDescent="0.3">
      <c r="A2869" t="s">
        <v>27</v>
      </c>
      <c r="B2869">
        <v>2022</v>
      </c>
      <c r="C2869" t="s">
        <v>6</v>
      </c>
      <c r="D2869">
        <v>779.44</v>
      </c>
      <c r="E2869">
        <v>887.93</v>
      </c>
      <c r="F2869">
        <v>75.86</v>
      </c>
      <c r="G2869">
        <v>527.12</v>
      </c>
      <c r="H2869">
        <f>E2869*1000000/D2869</f>
        <v>1139189.6746382017</v>
      </c>
      <c r="I2869" t="str">
        <f>IF(AND(B2869&gt;=2018, B2869&lt;=2021), "2018-2021", IF(AND(B2869&gt;=2022, B2869&lt;=2024), "2022-2024", "Other"))</f>
        <v>2022-2024</v>
      </c>
    </row>
    <row r="2870" spans="1:9" x14ac:dyDescent="0.3">
      <c r="A2870" t="s">
        <v>16</v>
      </c>
      <c r="B2870">
        <v>2022</v>
      </c>
      <c r="C2870" t="s">
        <v>8</v>
      </c>
      <c r="D2870">
        <v>35558.230000000003</v>
      </c>
      <c r="E2870">
        <v>40005.64</v>
      </c>
      <c r="F2870">
        <v>102.15</v>
      </c>
      <c r="G2870">
        <v>629.49</v>
      </c>
      <c r="H2870">
        <f>E2870*1000000/D2870</f>
        <v>1125073.9983401874</v>
      </c>
      <c r="I2870" t="str">
        <f>IF(AND(B2870&gt;=2018, B2870&lt;=2021), "2018-2021", IF(AND(B2870&gt;=2022, B2870&lt;=2024), "2022-2024", "Other"))</f>
        <v>2022-2024</v>
      </c>
    </row>
    <row r="2871" spans="1:9" x14ac:dyDescent="0.3">
      <c r="A2871" t="s">
        <v>1</v>
      </c>
      <c r="B2871">
        <v>2022</v>
      </c>
      <c r="C2871" t="s">
        <v>0</v>
      </c>
      <c r="D2871">
        <v>18047.509999999998</v>
      </c>
      <c r="E2871">
        <v>19246.75</v>
      </c>
      <c r="F2871">
        <v>25.15</v>
      </c>
      <c r="G2871">
        <v>1241.6500000000001</v>
      </c>
      <c r="H2871">
        <f>E2871*1000000/D2871</f>
        <v>1066449.0558531345</v>
      </c>
      <c r="I2871" t="str">
        <f>IF(AND(B2871&gt;=2018, B2871&lt;=2021), "2018-2021", IF(AND(B2871&gt;=2022, B2871&lt;=2024), "2022-2024", "Other"))</f>
        <v>2022-2024</v>
      </c>
    </row>
    <row r="2872" spans="1:9" x14ac:dyDescent="0.3">
      <c r="A2872" t="s">
        <v>7</v>
      </c>
      <c r="B2872">
        <v>2021</v>
      </c>
      <c r="C2872" t="s">
        <v>2</v>
      </c>
      <c r="D2872">
        <v>32676.12</v>
      </c>
      <c r="E2872">
        <v>26927.51</v>
      </c>
      <c r="F2872">
        <v>128.86000000000001</v>
      </c>
      <c r="G2872">
        <v>1204.96</v>
      </c>
      <c r="H2872">
        <f>E2872*1000000/D2872</f>
        <v>824073.05396111903</v>
      </c>
      <c r="I2872" t="str">
        <f>IF(AND(B2872&gt;=2018, B2872&lt;=2021), "2018-2021", IF(AND(B2872&gt;=2022, B2872&lt;=2024), "2022-2024", "Other"))</f>
        <v>2018-2021</v>
      </c>
    </row>
    <row r="2873" spans="1:9" x14ac:dyDescent="0.3">
      <c r="A2873" t="s">
        <v>20</v>
      </c>
      <c r="B2873">
        <v>2024</v>
      </c>
      <c r="C2873" t="s">
        <v>6</v>
      </c>
      <c r="D2873">
        <v>31800.86</v>
      </c>
      <c r="E2873">
        <v>26061.759999999998</v>
      </c>
      <c r="F2873">
        <v>187.07</v>
      </c>
      <c r="G2873">
        <v>167.89</v>
      </c>
      <c r="H2873">
        <f>E2873*1000000/D2873</f>
        <v>819530.03786690044</v>
      </c>
      <c r="I2873" t="str">
        <f>IF(AND(B2873&gt;=2018, B2873&lt;=2021), "2018-2021", IF(AND(B2873&gt;=2022, B2873&lt;=2024), "2022-2024", "Other"))</f>
        <v>2022-2024</v>
      </c>
    </row>
    <row r="2874" spans="1:9" x14ac:dyDescent="0.3">
      <c r="A2874" t="s">
        <v>20</v>
      </c>
      <c r="B2874">
        <v>2019</v>
      </c>
      <c r="C2874" t="s">
        <v>6</v>
      </c>
      <c r="D2874">
        <v>7314.08</v>
      </c>
      <c r="E2874">
        <v>6494.05</v>
      </c>
      <c r="F2874">
        <v>165.19</v>
      </c>
      <c r="G2874">
        <v>1314.34</v>
      </c>
      <c r="H2874">
        <f>E2874*1000000/D2874</f>
        <v>887883.37015728571</v>
      </c>
      <c r="I2874" t="str">
        <f>IF(AND(B2874&gt;=2018, B2874&lt;=2021), "2018-2021", IF(AND(B2874&gt;=2022, B2874&lt;=2024), "2022-2024", "Other"))</f>
        <v>2018-2021</v>
      </c>
    </row>
    <row r="2875" spans="1:9" x14ac:dyDescent="0.3">
      <c r="A2875" t="s">
        <v>5</v>
      </c>
      <c r="B2875">
        <v>2022</v>
      </c>
      <c r="C2875" t="s">
        <v>0</v>
      </c>
      <c r="D2875">
        <v>26894.67</v>
      </c>
      <c r="E2875">
        <v>27476.66</v>
      </c>
      <c r="F2875">
        <v>111.71</v>
      </c>
      <c r="G2875">
        <v>1164.74</v>
      </c>
      <c r="H2875">
        <f>E2875*1000000/D2875</f>
        <v>1021639.6036835553</v>
      </c>
      <c r="I2875" t="str">
        <f>IF(AND(B2875&gt;=2018, B2875&lt;=2021), "2018-2021", IF(AND(B2875&gt;=2022, B2875&lt;=2024), "2022-2024", "Other"))</f>
        <v>2022-2024</v>
      </c>
    </row>
    <row r="2876" spans="1:9" x14ac:dyDescent="0.3">
      <c r="A2876" t="s">
        <v>11</v>
      </c>
      <c r="B2876">
        <v>2024</v>
      </c>
      <c r="C2876" t="s">
        <v>12</v>
      </c>
      <c r="D2876">
        <v>28859.11</v>
      </c>
      <c r="E2876">
        <v>24785.599999999999</v>
      </c>
      <c r="F2876">
        <v>101.06</v>
      </c>
      <c r="G2876">
        <v>1001.72</v>
      </c>
      <c r="H2876">
        <f>E2876*1000000/D2876</f>
        <v>858848.38444428809</v>
      </c>
      <c r="I2876" t="str">
        <f>IF(AND(B2876&gt;=2018, B2876&lt;=2021), "2018-2021", IF(AND(B2876&gt;=2022, B2876&lt;=2024), "2022-2024", "Other"))</f>
        <v>2022-2024</v>
      </c>
    </row>
    <row r="2877" spans="1:9" x14ac:dyDescent="0.3">
      <c r="A2877" t="s">
        <v>11</v>
      </c>
      <c r="B2877">
        <v>2018</v>
      </c>
      <c r="C2877" t="s">
        <v>12</v>
      </c>
      <c r="D2877">
        <v>30611.58</v>
      </c>
      <c r="E2877">
        <v>27579.49</v>
      </c>
      <c r="F2877">
        <v>61.38</v>
      </c>
      <c r="G2877">
        <v>105.48</v>
      </c>
      <c r="H2877">
        <f>E2877*1000000/D2877</f>
        <v>900949.57529144199</v>
      </c>
      <c r="I2877" t="str">
        <f>IF(AND(B2877&gt;=2018, B2877&lt;=2021), "2018-2021", IF(AND(B2877&gt;=2022, B2877&lt;=2024), "2022-2024", "Other"))</f>
        <v>2018-2021</v>
      </c>
    </row>
    <row r="2878" spans="1:9" x14ac:dyDescent="0.3">
      <c r="A2878" t="s">
        <v>18</v>
      </c>
      <c r="B2878">
        <v>2019</v>
      </c>
      <c r="C2878" t="s">
        <v>12</v>
      </c>
      <c r="D2878">
        <v>34348.18</v>
      </c>
      <c r="E2878">
        <v>34042.67</v>
      </c>
      <c r="F2878">
        <v>176.92</v>
      </c>
      <c r="G2878">
        <v>661.67</v>
      </c>
      <c r="H2878">
        <f>E2878*1000000/D2878</f>
        <v>991105.49671045155</v>
      </c>
      <c r="I2878" t="str">
        <f>IF(AND(B2878&gt;=2018, B2878&lt;=2021), "2018-2021", IF(AND(B2878&gt;=2022, B2878&lt;=2024), "2022-2024", "Other"))</f>
        <v>2018-2021</v>
      </c>
    </row>
    <row r="2879" spans="1:9" x14ac:dyDescent="0.3">
      <c r="A2879" t="s">
        <v>16</v>
      </c>
      <c r="B2879">
        <v>2022</v>
      </c>
      <c r="C2879" t="s">
        <v>0</v>
      </c>
      <c r="D2879">
        <v>4785.1499999999996</v>
      </c>
      <c r="E2879">
        <v>4529.71</v>
      </c>
      <c r="F2879">
        <v>78.19</v>
      </c>
      <c r="G2879">
        <v>1007.65</v>
      </c>
      <c r="H2879">
        <f>E2879*1000000/D2879</f>
        <v>946618.18333803548</v>
      </c>
      <c r="I2879" t="str">
        <f>IF(AND(B2879&gt;=2018, B2879&lt;=2021), "2018-2021", IF(AND(B2879&gt;=2022, B2879&lt;=2024), "2022-2024", "Other"))</f>
        <v>2022-2024</v>
      </c>
    </row>
    <row r="2880" spans="1:9" x14ac:dyDescent="0.3">
      <c r="A2880" t="s">
        <v>26</v>
      </c>
      <c r="B2880">
        <v>2024</v>
      </c>
      <c r="C2880" t="s">
        <v>4</v>
      </c>
      <c r="D2880">
        <v>15316.49</v>
      </c>
      <c r="E2880">
        <v>13959.37</v>
      </c>
      <c r="F2880">
        <v>33.17</v>
      </c>
      <c r="G2880">
        <v>544.98</v>
      </c>
      <c r="H2880">
        <f>E2880*1000000/D2880</f>
        <v>911394.8430743597</v>
      </c>
      <c r="I2880" t="str">
        <f>IF(AND(B2880&gt;=2018, B2880&lt;=2021), "2018-2021", IF(AND(B2880&gt;=2022, B2880&lt;=2024), "2022-2024", "Other"))</f>
        <v>2022-2024</v>
      </c>
    </row>
    <row r="2881" spans="1:9" x14ac:dyDescent="0.3">
      <c r="A2881" t="s">
        <v>15</v>
      </c>
      <c r="B2881">
        <v>2022</v>
      </c>
      <c r="C2881" t="s">
        <v>12</v>
      </c>
      <c r="D2881">
        <v>4027.06</v>
      </c>
      <c r="E2881">
        <v>4161.6400000000003</v>
      </c>
      <c r="F2881">
        <v>39.1</v>
      </c>
      <c r="G2881">
        <v>1103.69</v>
      </c>
      <c r="H2881">
        <f>E2881*1000000/D2881</f>
        <v>1033418.920999439</v>
      </c>
      <c r="I2881" t="str">
        <f>IF(AND(B2881&gt;=2018, B2881&lt;=2021), "2018-2021", IF(AND(B2881&gt;=2022, B2881&lt;=2024), "2022-2024", "Other"))</f>
        <v>2022-2024</v>
      </c>
    </row>
    <row r="2882" spans="1:9" x14ac:dyDescent="0.3">
      <c r="A2882" t="s">
        <v>7</v>
      </c>
      <c r="B2882">
        <v>2021</v>
      </c>
      <c r="C2882" t="s">
        <v>2</v>
      </c>
      <c r="D2882">
        <v>46712.35</v>
      </c>
      <c r="E2882">
        <v>52263.46</v>
      </c>
      <c r="F2882">
        <v>63.88</v>
      </c>
      <c r="G2882">
        <v>371.69</v>
      </c>
      <c r="H2882">
        <f>E2882*1000000/D2882</f>
        <v>1118836.0251625106</v>
      </c>
      <c r="I2882" t="str">
        <f>IF(AND(B2882&gt;=2018, B2882&lt;=2021), "2018-2021", IF(AND(B2882&gt;=2022, B2882&lt;=2024), "2022-2024", "Other"))</f>
        <v>2018-2021</v>
      </c>
    </row>
    <row r="2883" spans="1:9" x14ac:dyDescent="0.3">
      <c r="A2883" t="s">
        <v>1</v>
      </c>
      <c r="B2883">
        <v>2021</v>
      </c>
      <c r="C2883" t="s">
        <v>4</v>
      </c>
      <c r="D2883">
        <v>43750.97</v>
      </c>
      <c r="E2883">
        <v>44631.77</v>
      </c>
      <c r="F2883">
        <v>88.69</v>
      </c>
      <c r="G2883">
        <v>1050.5899999999999</v>
      </c>
      <c r="H2883">
        <f>E2883*1000000/D2883</f>
        <v>1020132.1250705984</v>
      </c>
      <c r="I2883" t="str">
        <f>IF(AND(B2883&gt;=2018, B2883&lt;=2021), "2018-2021", IF(AND(B2883&gt;=2022, B2883&lt;=2024), "2022-2024", "Other"))</f>
        <v>2018-2021</v>
      </c>
    </row>
    <row r="2884" spans="1:9" x14ac:dyDescent="0.3">
      <c r="A2884" t="s">
        <v>25</v>
      </c>
      <c r="B2884">
        <v>2020</v>
      </c>
      <c r="C2884" t="s">
        <v>14</v>
      </c>
      <c r="D2884">
        <v>20766.62</v>
      </c>
      <c r="E2884">
        <v>23062.53</v>
      </c>
      <c r="F2884">
        <v>112.41</v>
      </c>
      <c r="G2884">
        <v>648.6</v>
      </c>
      <c r="H2884">
        <f>E2884*1000000/D2884</f>
        <v>1110557.7123287276</v>
      </c>
      <c r="I2884" t="str">
        <f>IF(AND(B2884&gt;=2018, B2884&lt;=2021), "2018-2021", IF(AND(B2884&gt;=2022, B2884&lt;=2024), "2022-2024", "Other"))</f>
        <v>2018-2021</v>
      </c>
    </row>
    <row r="2885" spans="1:9" x14ac:dyDescent="0.3">
      <c r="A2885" t="s">
        <v>21</v>
      </c>
      <c r="B2885">
        <v>2020</v>
      </c>
      <c r="C2885" t="s">
        <v>4</v>
      </c>
      <c r="D2885">
        <v>36348.879999999997</v>
      </c>
      <c r="E2885">
        <v>36244.230000000003</v>
      </c>
      <c r="F2885">
        <v>132.11000000000001</v>
      </c>
      <c r="G2885">
        <v>818.44</v>
      </c>
      <c r="H2885">
        <f>E2885*1000000/D2885</f>
        <v>997120.95668422256</v>
      </c>
      <c r="I2885" t="str">
        <f>IF(AND(B2885&gt;=2018, B2885&lt;=2021), "2018-2021", IF(AND(B2885&gt;=2022, B2885&lt;=2024), "2022-2024", "Other"))</f>
        <v>2018-2021</v>
      </c>
    </row>
    <row r="2886" spans="1:9" x14ac:dyDescent="0.3">
      <c r="A2886" t="s">
        <v>16</v>
      </c>
      <c r="B2886">
        <v>2019</v>
      </c>
      <c r="C2886" t="s">
        <v>0</v>
      </c>
      <c r="D2886">
        <v>22786.26</v>
      </c>
      <c r="E2886">
        <v>24962.86</v>
      </c>
      <c r="F2886">
        <v>108.32</v>
      </c>
      <c r="G2886">
        <v>892.47</v>
      </c>
      <c r="H2886">
        <f>E2886*1000000/D2886</f>
        <v>1095522.4771419268</v>
      </c>
      <c r="I2886" t="str">
        <f>IF(AND(B2886&gt;=2018, B2886&lt;=2021), "2018-2021", IF(AND(B2886&gt;=2022, B2886&lt;=2024), "2022-2024", "Other"))</f>
        <v>2018-2021</v>
      </c>
    </row>
    <row r="2887" spans="1:9" x14ac:dyDescent="0.3">
      <c r="A2887" t="s">
        <v>17</v>
      </c>
      <c r="B2887">
        <v>2018</v>
      </c>
      <c r="C2887" t="s">
        <v>8</v>
      </c>
      <c r="D2887">
        <v>8233.73</v>
      </c>
      <c r="E2887">
        <v>6787.46</v>
      </c>
      <c r="F2887">
        <v>176.76</v>
      </c>
      <c r="G2887">
        <v>570.09</v>
      </c>
      <c r="H2887">
        <f>E2887*1000000/D2887</f>
        <v>824348.13869291323</v>
      </c>
      <c r="I2887" t="str">
        <f>IF(AND(B2887&gt;=2018, B2887&lt;=2021), "2018-2021", IF(AND(B2887&gt;=2022, B2887&lt;=2024), "2022-2024", "Other"))</f>
        <v>2018-2021</v>
      </c>
    </row>
    <row r="2888" spans="1:9" x14ac:dyDescent="0.3">
      <c r="A2888" t="s">
        <v>17</v>
      </c>
      <c r="B2888">
        <v>2024</v>
      </c>
      <c r="C2888" t="s">
        <v>12</v>
      </c>
      <c r="D2888">
        <v>29599.16</v>
      </c>
      <c r="E2888">
        <v>24192.02</v>
      </c>
      <c r="F2888">
        <v>93.89</v>
      </c>
      <c r="G2888">
        <v>625.33000000000004</v>
      </c>
      <c r="H2888">
        <f>E2888*1000000/D2888</f>
        <v>817321.16722231312</v>
      </c>
      <c r="I2888" t="str">
        <f>IF(AND(B2888&gt;=2018, B2888&lt;=2021), "2018-2021", IF(AND(B2888&gt;=2022, B2888&lt;=2024), "2022-2024", "Other"))</f>
        <v>2022-2024</v>
      </c>
    </row>
    <row r="2889" spans="1:9" x14ac:dyDescent="0.3">
      <c r="A2889" t="s">
        <v>24</v>
      </c>
      <c r="B2889">
        <v>2022</v>
      </c>
      <c r="C2889" t="s">
        <v>14</v>
      </c>
      <c r="D2889">
        <v>45255.38</v>
      </c>
      <c r="E2889">
        <v>52762.12</v>
      </c>
      <c r="F2889">
        <v>112.77</v>
      </c>
      <c r="G2889">
        <v>1315.81</v>
      </c>
      <c r="H2889">
        <f>E2889*1000000/D2889</f>
        <v>1165875.0849070321</v>
      </c>
      <c r="I2889" t="str">
        <f>IF(AND(B2889&gt;=2018, B2889&lt;=2021), "2018-2021", IF(AND(B2889&gt;=2022, B2889&lt;=2024), "2022-2024", "Other"))</f>
        <v>2022-2024</v>
      </c>
    </row>
    <row r="2890" spans="1:9" x14ac:dyDescent="0.3">
      <c r="A2890" t="s">
        <v>10</v>
      </c>
      <c r="B2890">
        <v>2024</v>
      </c>
      <c r="C2890" t="s">
        <v>2</v>
      </c>
      <c r="D2890">
        <v>47679.81</v>
      </c>
      <c r="E2890">
        <v>47791.63</v>
      </c>
      <c r="F2890">
        <v>23.65</v>
      </c>
      <c r="G2890">
        <v>1334.72</v>
      </c>
      <c r="H2890">
        <f>E2890*1000000/D2890</f>
        <v>1002345.2274663008</v>
      </c>
      <c r="I2890" t="str">
        <f>IF(AND(B2890&gt;=2018, B2890&lt;=2021), "2018-2021", IF(AND(B2890&gt;=2022, B2890&lt;=2024), "2022-2024", "Other"))</f>
        <v>2022-2024</v>
      </c>
    </row>
    <row r="2891" spans="1:9" x14ac:dyDescent="0.3">
      <c r="A2891" t="s">
        <v>22</v>
      </c>
      <c r="B2891">
        <v>2022</v>
      </c>
      <c r="C2891" t="s">
        <v>8</v>
      </c>
      <c r="D2891">
        <v>34983.660000000003</v>
      </c>
      <c r="E2891">
        <v>37743.949999999997</v>
      </c>
      <c r="F2891">
        <v>96.33</v>
      </c>
      <c r="G2891">
        <v>612</v>
      </c>
      <c r="H2891">
        <f>E2891*1000000/D2891</f>
        <v>1078902.2646572713</v>
      </c>
      <c r="I2891" t="str">
        <f>IF(AND(B2891&gt;=2018, B2891&lt;=2021), "2018-2021", IF(AND(B2891&gt;=2022, B2891&lt;=2024), "2022-2024", "Other"))</f>
        <v>2022-2024</v>
      </c>
    </row>
    <row r="2892" spans="1:9" x14ac:dyDescent="0.3">
      <c r="A2892" t="s">
        <v>1</v>
      </c>
      <c r="B2892">
        <v>2023</v>
      </c>
      <c r="C2892" t="s">
        <v>4</v>
      </c>
      <c r="D2892">
        <v>25448.39</v>
      </c>
      <c r="E2892">
        <v>22962.63</v>
      </c>
      <c r="F2892">
        <v>182.05</v>
      </c>
      <c r="G2892">
        <v>1084.4000000000001</v>
      </c>
      <c r="H2892">
        <f>E2892*1000000/D2892</f>
        <v>902321.52210807835</v>
      </c>
      <c r="I2892" t="str">
        <f>IF(AND(B2892&gt;=2018, B2892&lt;=2021), "2018-2021", IF(AND(B2892&gt;=2022, B2892&lt;=2024), "2022-2024", "Other"))</f>
        <v>2022-2024</v>
      </c>
    </row>
    <row r="2893" spans="1:9" x14ac:dyDescent="0.3">
      <c r="A2893" t="s">
        <v>19</v>
      </c>
      <c r="B2893">
        <v>2021</v>
      </c>
      <c r="C2893" t="s">
        <v>14</v>
      </c>
      <c r="D2893">
        <v>23915.05</v>
      </c>
      <c r="E2893">
        <v>23637.279999999999</v>
      </c>
      <c r="F2893">
        <v>159.11000000000001</v>
      </c>
      <c r="G2893">
        <v>1363.38</v>
      </c>
      <c r="H2893">
        <f>E2893*1000000/D2893</f>
        <v>988385.13822885591</v>
      </c>
      <c r="I2893" t="str">
        <f>IF(AND(B2893&gt;=2018, B2893&lt;=2021), "2018-2021", IF(AND(B2893&gt;=2022, B2893&lt;=2024), "2022-2024", "Other"))</f>
        <v>2018-2021</v>
      </c>
    </row>
    <row r="2894" spans="1:9" x14ac:dyDescent="0.3">
      <c r="A2894" t="s">
        <v>16</v>
      </c>
      <c r="B2894">
        <v>2020</v>
      </c>
      <c r="C2894" t="s">
        <v>4</v>
      </c>
      <c r="D2894">
        <v>39357.910000000003</v>
      </c>
      <c r="E2894">
        <v>45100.55</v>
      </c>
      <c r="F2894">
        <v>129.41</v>
      </c>
      <c r="G2894">
        <v>137.72</v>
      </c>
      <c r="H2894">
        <f>E2894*1000000/D2894</f>
        <v>1145908.154167739</v>
      </c>
      <c r="I2894" t="str">
        <f>IF(AND(B2894&gt;=2018, B2894&lt;=2021), "2018-2021", IF(AND(B2894&gt;=2022, B2894&lt;=2024), "2022-2024", "Other"))</f>
        <v>2018-2021</v>
      </c>
    </row>
    <row r="2895" spans="1:9" x14ac:dyDescent="0.3">
      <c r="A2895" t="s">
        <v>23</v>
      </c>
      <c r="B2895">
        <v>2020</v>
      </c>
      <c r="C2895" t="s">
        <v>8</v>
      </c>
      <c r="D2895">
        <v>24796.3</v>
      </c>
      <c r="E2895">
        <v>23564.7</v>
      </c>
      <c r="F2895">
        <v>171.51</v>
      </c>
      <c r="G2895">
        <v>1047.0899999999999</v>
      </c>
      <c r="H2895">
        <f>E2895*1000000/D2895</f>
        <v>950331.29942773725</v>
      </c>
      <c r="I2895" t="str">
        <f>IF(AND(B2895&gt;=2018, B2895&lt;=2021), "2018-2021", IF(AND(B2895&gt;=2022, B2895&lt;=2024), "2022-2024", "Other"))</f>
        <v>2018-2021</v>
      </c>
    </row>
    <row r="2896" spans="1:9" x14ac:dyDescent="0.3">
      <c r="A2896" t="s">
        <v>24</v>
      </c>
      <c r="B2896">
        <v>2020</v>
      </c>
      <c r="C2896" t="s">
        <v>9</v>
      </c>
      <c r="D2896">
        <v>39254.69</v>
      </c>
      <c r="E2896">
        <v>46983.85</v>
      </c>
      <c r="F2896">
        <v>115.33</v>
      </c>
      <c r="G2896">
        <v>488.38</v>
      </c>
      <c r="H2896">
        <f>E2896*1000000/D2896</f>
        <v>1196897.7464858338</v>
      </c>
      <c r="I2896" t="str">
        <f>IF(AND(B2896&gt;=2018, B2896&lt;=2021), "2018-2021", IF(AND(B2896&gt;=2022, B2896&lt;=2024), "2022-2024", "Other"))</f>
        <v>2018-2021</v>
      </c>
    </row>
    <row r="2897" spans="1:9" x14ac:dyDescent="0.3">
      <c r="A2897" t="s">
        <v>21</v>
      </c>
      <c r="B2897">
        <v>2022</v>
      </c>
      <c r="C2897" t="s">
        <v>14</v>
      </c>
      <c r="D2897">
        <v>38141.730000000003</v>
      </c>
      <c r="E2897">
        <v>37376.6</v>
      </c>
      <c r="F2897">
        <v>80.64</v>
      </c>
      <c r="G2897">
        <v>1046.48</v>
      </c>
      <c r="H2897">
        <f>E2897*1000000/D2897</f>
        <v>979939.81919540616</v>
      </c>
      <c r="I2897" t="str">
        <f>IF(AND(B2897&gt;=2018, B2897&lt;=2021), "2018-2021", IF(AND(B2897&gt;=2022, B2897&lt;=2024), "2022-2024", "Other"))</f>
        <v>2022-2024</v>
      </c>
    </row>
    <row r="2898" spans="1:9" x14ac:dyDescent="0.3">
      <c r="A2898" t="s">
        <v>18</v>
      </c>
      <c r="B2898">
        <v>2018</v>
      </c>
      <c r="C2898" t="s">
        <v>8</v>
      </c>
      <c r="D2898">
        <v>28752.18</v>
      </c>
      <c r="E2898">
        <v>24424.46</v>
      </c>
      <c r="F2898">
        <v>138.27000000000001</v>
      </c>
      <c r="G2898">
        <v>521.54</v>
      </c>
      <c r="H2898">
        <f>E2898*1000000/D2898</f>
        <v>849482.02188494918</v>
      </c>
      <c r="I2898" t="str">
        <f>IF(AND(B2898&gt;=2018, B2898&lt;=2021), "2018-2021", IF(AND(B2898&gt;=2022, B2898&lt;=2024), "2022-2024", "Other"))</f>
        <v>2018-2021</v>
      </c>
    </row>
    <row r="2899" spans="1:9" x14ac:dyDescent="0.3">
      <c r="A2899" t="s">
        <v>27</v>
      </c>
      <c r="B2899">
        <v>2019</v>
      </c>
      <c r="C2899" t="s">
        <v>0</v>
      </c>
      <c r="D2899">
        <v>12616.35</v>
      </c>
      <c r="E2899">
        <v>12982.56</v>
      </c>
      <c r="F2899">
        <v>139.88999999999999</v>
      </c>
      <c r="G2899">
        <v>1218.1500000000001</v>
      </c>
      <c r="H2899">
        <f>E2899*1000000/D2899</f>
        <v>1029026.6202190015</v>
      </c>
      <c r="I2899" t="str">
        <f>IF(AND(B2899&gt;=2018, B2899&lt;=2021), "2018-2021", IF(AND(B2899&gt;=2022, B2899&lt;=2024), "2022-2024", "Other"))</f>
        <v>2018-2021</v>
      </c>
    </row>
    <row r="2900" spans="1:9" x14ac:dyDescent="0.3">
      <c r="A2900" t="s">
        <v>17</v>
      </c>
      <c r="B2900">
        <v>2024</v>
      </c>
      <c r="C2900" t="s">
        <v>2</v>
      </c>
      <c r="D2900">
        <v>46686.12</v>
      </c>
      <c r="E2900">
        <v>49178.7</v>
      </c>
      <c r="F2900">
        <v>37.56</v>
      </c>
      <c r="G2900">
        <v>293.07</v>
      </c>
      <c r="H2900">
        <f>E2900*1000000/D2900</f>
        <v>1053390.1724966648</v>
      </c>
      <c r="I2900" t="str">
        <f>IF(AND(B2900&gt;=2018, B2900&lt;=2021), "2018-2021", IF(AND(B2900&gt;=2022, B2900&lt;=2024), "2022-2024", "Other"))</f>
        <v>2022-2024</v>
      </c>
    </row>
    <row r="2901" spans="1:9" x14ac:dyDescent="0.3">
      <c r="A2901" t="s">
        <v>25</v>
      </c>
      <c r="B2901">
        <v>2023</v>
      </c>
      <c r="C2901" t="s">
        <v>8</v>
      </c>
      <c r="D2901">
        <v>33660.199999999997</v>
      </c>
      <c r="E2901">
        <v>27989.89</v>
      </c>
      <c r="F2901">
        <v>71.87</v>
      </c>
      <c r="G2901">
        <v>391.26</v>
      </c>
      <c r="H2901">
        <f>E2901*1000000/D2901</f>
        <v>831542.59332980798</v>
      </c>
      <c r="I2901" t="str">
        <f>IF(AND(B2901&gt;=2018, B2901&lt;=2021), "2018-2021", IF(AND(B2901&gt;=2022, B2901&lt;=2024), "2022-2024", "Other"))</f>
        <v>2022-2024</v>
      </c>
    </row>
    <row r="2902" spans="1:9" x14ac:dyDescent="0.3">
      <c r="A2902" t="s">
        <v>26</v>
      </c>
      <c r="B2902">
        <v>2020</v>
      </c>
      <c r="C2902" t="s">
        <v>2</v>
      </c>
      <c r="D2902">
        <v>29908.73</v>
      </c>
      <c r="E2902">
        <v>26294.26</v>
      </c>
      <c r="F2902">
        <v>110.77</v>
      </c>
      <c r="G2902">
        <v>185.42</v>
      </c>
      <c r="H2902">
        <f>E2902*1000000/D2902</f>
        <v>879150.00068541861</v>
      </c>
      <c r="I2902" t="str">
        <f>IF(AND(B2902&gt;=2018, B2902&lt;=2021), "2018-2021", IF(AND(B2902&gt;=2022, B2902&lt;=2024), "2022-2024", "Other"))</f>
        <v>2018-2021</v>
      </c>
    </row>
    <row r="2903" spans="1:9" x14ac:dyDescent="0.3">
      <c r="A2903" t="s">
        <v>24</v>
      </c>
      <c r="B2903">
        <v>2018</v>
      </c>
      <c r="C2903" t="s">
        <v>4</v>
      </c>
      <c r="D2903">
        <v>34413.160000000003</v>
      </c>
      <c r="E2903">
        <v>32543.86</v>
      </c>
      <c r="F2903">
        <v>182.52</v>
      </c>
      <c r="G2903">
        <v>1378.71</v>
      </c>
      <c r="H2903">
        <f>E2903*1000000/D2903</f>
        <v>945680.66402504151</v>
      </c>
      <c r="I2903" t="str">
        <f>IF(AND(B2903&gt;=2018, B2903&lt;=2021), "2018-2021", IF(AND(B2903&gt;=2022, B2903&lt;=2024), "2022-2024", "Other"))</f>
        <v>2018-2021</v>
      </c>
    </row>
    <row r="2904" spans="1:9" x14ac:dyDescent="0.3">
      <c r="A2904" t="s">
        <v>26</v>
      </c>
      <c r="B2904">
        <v>2019</v>
      </c>
      <c r="C2904" t="s">
        <v>2</v>
      </c>
      <c r="D2904">
        <v>8680.91</v>
      </c>
      <c r="E2904">
        <v>10404.01</v>
      </c>
      <c r="F2904">
        <v>84.66</v>
      </c>
      <c r="G2904">
        <v>908.21</v>
      </c>
      <c r="H2904">
        <f>E2904*1000000/D2904</f>
        <v>1198493.015133206</v>
      </c>
      <c r="I2904" t="str">
        <f>IF(AND(B2904&gt;=2018, B2904&lt;=2021), "2018-2021", IF(AND(B2904&gt;=2022, B2904&lt;=2024), "2022-2024", "Other"))</f>
        <v>2018-2021</v>
      </c>
    </row>
    <row r="2905" spans="1:9" x14ac:dyDescent="0.3">
      <c r="A2905" t="s">
        <v>5</v>
      </c>
      <c r="B2905">
        <v>2023</v>
      </c>
      <c r="C2905" t="s">
        <v>6</v>
      </c>
      <c r="D2905">
        <v>48007.8</v>
      </c>
      <c r="E2905">
        <v>50204.47</v>
      </c>
      <c r="F2905">
        <v>52.33</v>
      </c>
      <c r="G2905">
        <v>228.9</v>
      </c>
      <c r="H2905">
        <f>E2905*1000000/D2905</f>
        <v>1045756.5228983623</v>
      </c>
      <c r="I2905" t="str">
        <f>IF(AND(B2905&gt;=2018, B2905&lt;=2021), "2018-2021", IF(AND(B2905&gt;=2022, B2905&lt;=2024), "2022-2024", "Other"))</f>
        <v>2022-2024</v>
      </c>
    </row>
    <row r="2906" spans="1:9" x14ac:dyDescent="0.3">
      <c r="A2906" t="s">
        <v>18</v>
      </c>
      <c r="B2906">
        <v>2018</v>
      </c>
      <c r="C2906" t="s">
        <v>9</v>
      </c>
      <c r="D2906">
        <v>3563.36</v>
      </c>
      <c r="E2906">
        <v>3019.3</v>
      </c>
      <c r="F2906">
        <v>174.2</v>
      </c>
      <c r="G2906">
        <v>330.96</v>
      </c>
      <c r="H2906">
        <f>E2906*1000000/D2906</f>
        <v>847318.26141619147</v>
      </c>
      <c r="I2906" t="str">
        <f>IF(AND(B2906&gt;=2018, B2906&lt;=2021), "2018-2021", IF(AND(B2906&gt;=2022, B2906&lt;=2024), "2022-2024", "Other"))</f>
        <v>2018-2021</v>
      </c>
    </row>
    <row r="2907" spans="1:9" x14ac:dyDescent="0.3">
      <c r="A2907" t="s">
        <v>27</v>
      </c>
      <c r="B2907">
        <v>2018</v>
      </c>
      <c r="C2907" t="s">
        <v>6</v>
      </c>
      <c r="D2907">
        <v>10118.17</v>
      </c>
      <c r="E2907">
        <v>9315.86</v>
      </c>
      <c r="F2907">
        <v>147.66999999999999</v>
      </c>
      <c r="G2907">
        <v>1218.28</v>
      </c>
      <c r="H2907">
        <f>E2907*1000000/D2907</f>
        <v>920706.01699714479</v>
      </c>
      <c r="I2907" t="str">
        <f>IF(AND(B2907&gt;=2018, B2907&lt;=2021), "2018-2021", IF(AND(B2907&gt;=2022, B2907&lt;=2024), "2022-2024", "Other"))</f>
        <v>2018-2021</v>
      </c>
    </row>
    <row r="2908" spans="1:9" x14ac:dyDescent="0.3">
      <c r="A2908" t="s">
        <v>22</v>
      </c>
      <c r="B2908">
        <v>2018</v>
      </c>
      <c r="C2908" t="s">
        <v>8</v>
      </c>
      <c r="D2908">
        <v>30969.61</v>
      </c>
      <c r="E2908">
        <v>26871.86</v>
      </c>
      <c r="F2908">
        <v>182.41</v>
      </c>
      <c r="G2908">
        <v>309.19</v>
      </c>
      <c r="H2908">
        <f>E2908*1000000/D2908</f>
        <v>867684.80455517524</v>
      </c>
      <c r="I2908" t="str">
        <f>IF(AND(B2908&gt;=2018, B2908&lt;=2021), "2018-2021", IF(AND(B2908&gt;=2022, B2908&lt;=2024), "2022-2024", "Other"))</f>
        <v>2018-2021</v>
      </c>
    </row>
    <row r="2909" spans="1:9" x14ac:dyDescent="0.3">
      <c r="A2909" t="s">
        <v>24</v>
      </c>
      <c r="B2909">
        <v>2019</v>
      </c>
      <c r="C2909" t="s">
        <v>2</v>
      </c>
      <c r="D2909">
        <v>11245.19</v>
      </c>
      <c r="E2909">
        <v>12817.32</v>
      </c>
      <c r="F2909">
        <v>190.24</v>
      </c>
      <c r="G2909">
        <v>212.29</v>
      </c>
      <c r="H2909">
        <f>E2909*1000000/D2909</f>
        <v>1139804.663149311</v>
      </c>
      <c r="I2909" t="str">
        <f>IF(AND(B2909&gt;=2018, B2909&lt;=2021), "2018-2021", IF(AND(B2909&gt;=2022, B2909&lt;=2024), "2022-2024", "Other"))</f>
        <v>2018-2021</v>
      </c>
    </row>
    <row r="2910" spans="1:9" x14ac:dyDescent="0.3">
      <c r="A2910" t="s">
        <v>15</v>
      </c>
      <c r="B2910">
        <v>2021</v>
      </c>
      <c r="C2910" t="s">
        <v>14</v>
      </c>
      <c r="D2910">
        <v>21773.82</v>
      </c>
      <c r="E2910">
        <v>22089.4</v>
      </c>
      <c r="F2910">
        <v>160.01</v>
      </c>
      <c r="G2910">
        <v>1007.4</v>
      </c>
      <c r="H2910">
        <f>E2910*1000000/D2910</f>
        <v>1014493.5523486462</v>
      </c>
      <c r="I2910" t="str">
        <f>IF(AND(B2910&gt;=2018, B2910&lt;=2021), "2018-2021", IF(AND(B2910&gt;=2022, B2910&lt;=2024), "2022-2024", "Other"))</f>
        <v>2018-2021</v>
      </c>
    </row>
    <row r="2911" spans="1:9" x14ac:dyDescent="0.3">
      <c r="A2911" t="s">
        <v>23</v>
      </c>
      <c r="B2911">
        <v>2020</v>
      </c>
      <c r="C2911" t="s">
        <v>12</v>
      </c>
      <c r="D2911">
        <v>2984.94</v>
      </c>
      <c r="E2911">
        <v>3563.83</v>
      </c>
      <c r="F2911">
        <v>50.14</v>
      </c>
      <c r="G2911">
        <v>222.68</v>
      </c>
      <c r="H2911">
        <f>E2911*1000000/D2911</f>
        <v>1193936.8965540347</v>
      </c>
      <c r="I2911" t="str">
        <f>IF(AND(B2911&gt;=2018, B2911&lt;=2021), "2018-2021", IF(AND(B2911&gt;=2022, B2911&lt;=2024), "2022-2024", "Other"))</f>
        <v>2018-2021</v>
      </c>
    </row>
    <row r="2912" spans="1:9" x14ac:dyDescent="0.3">
      <c r="A2912" t="s">
        <v>20</v>
      </c>
      <c r="B2912">
        <v>2023</v>
      </c>
      <c r="C2912" t="s">
        <v>2</v>
      </c>
      <c r="D2912">
        <v>23393.81</v>
      </c>
      <c r="E2912">
        <v>22134.34</v>
      </c>
      <c r="F2912">
        <v>121.65</v>
      </c>
      <c r="G2912">
        <v>366.94</v>
      </c>
      <c r="H2912">
        <f>E2912*1000000/D2912</f>
        <v>946162.25403215631</v>
      </c>
      <c r="I2912" t="str">
        <f>IF(AND(B2912&gt;=2018, B2912&lt;=2021), "2018-2021", IF(AND(B2912&gt;=2022, B2912&lt;=2024), "2022-2024", "Other"))</f>
        <v>2022-2024</v>
      </c>
    </row>
    <row r="2913" spans="1:9" x14ac:dyDescent="0.3">
      <c r="A2913" t="s">
        <v>5</v>
      </c>
      <c r="B2913">
        <v>2020</v>
      </c>
      <c r="C2913" t="s">
        <v>12</v>
      </c>
      <c r="D2913">
        <v>21768.21</v>
      </c>
      <c r="E2913">
        <v>24559.58</v>
      </c>
      <c r="F2913">
        <v>119.84</v>
      </c>
      <c r="G2913">
        <v>1149.95</v>
      </c>
      <c r="H2913">
        <f>E2913*1000000/D2913</f>
        <v>1128231.489865267</v>
      </c>
      <c r="I2913" t="str">
        <f>IF(AND(B2913&gt;=2018, B2913&lt;=2021), "2018-2021", IF(AND(B2913&gt;=2022, B2913&lt;=2024), "2022-2024", "Other"))</f>
        <v>2018-2021</v>
      </c>
    </row>
    <row r="2914" spans="1:9" x14ac:dyDescent="0.3">
      <c r="A2914" t="s">
        <v>17</v>
      </c>
      <c r="B2914">
        <v>2019</v>
      </c>
      <c r="C2914" t="s">
        <v>12</v>
      </c>
      <c r="D2914">
        <v>14115.03</v>
      </c>
      <c r="E2914">
        <v>12633.9</v>
      </c>
      <c r="F2914">
        <v>76.400000000000006</v>
      </c>
      <c r="G2914">
        <v>1020.07</v>
      </c>
      <c r="H2914">
        <f>E2914*1000000/D2914</f>
        <v>895067.17307720915</v>
      </c>
      <c r="I2914" t="str">
        <f>IF(AND(B2914&gt;=2018, B2914&lt;=2021), "2018-2021", IF(AND(B2914&gt;=2022, B2914&lt;=2024), "2022-2024", "Other"))</f>
        <v>2018-2021</v>
      </c>
    </row>
    <row r="2915" spans="1:9" x14ac:dyDescent="0.3">
      <c r="A2915" t="s">
        <v>7</v>
      </c>
      <c r="B2915">
        <v>2024</v>
      </c>
      <c r="C2915" t="s">
        <v>0</v>
      </c>
      <c r="D2915">
        <v>39720.21</v>
      </c>
      <c r="E2915">
        <v>32793.5</v>
      </c>
      <c r="F2915">
        <v>80.34</v>
      </c>
      <c r="G2915">
        <v>70.16</v>
      </c>
      <c r="H2915">
        <f>E2915*1000000/D2915</f>
        <v>825612.45270354813</v>
      </c>
      <c r="I2915" t="str">
        <f>IF(AND(B2915&gt;=2018, B2915&lt;=2021), "2018-2021", IF(AND(B2915&gt;=2022, B2915&lt;=2024), "2022-2024", "Other"))</f>
        <v>2022-2024</v>
      </c>
    </row>
    <row r="2916" spans="1:9" x14ac:dyDescent="0.3">
      <c r="A2916" t="s">
        <v>18</v>
      </c>
      <c r="B2916">
        <v>2023</v>
      </c>
      <c r="C2916" t="s">
        <v>12</v>
      </c>
      <c r="D2916">
        <v>10079.68</v>
      </c>
      <c r="E2916">
        <v>11226.08</v>
      </c>
      <c r="F2916">
        <v>24.38</v>
      </c>
      <c r="G2916">
        <v>347.24</v>
      </c>
      <c r="H2916">
        <f>E2916*1000000/D2916</f>
        <v>1113733.7693260103</v>
      </c>
      <c r="I2916" t="str">
        <f>IF(AND(B2916&gt;=2018, B2916&lt;=2021), "2018-2021", IF(AND(B2916&gt;=2022, B2916&lt;=2024), "2022-2024", "Other"))</f>
        <v>2022-2024</v>
      </c>
    </row>
    <row r="2917" spans="1:9" x14ac:dyDescent="0.3">
      <c r="A2917" t="s">
        <v>23</v>
      </c>
      <c r="B2917">
        <v>2024</v>
      </c>
      <c r="C2917" t="s">
        <v>6</v>
      </c>
      <c r="D2917">
        <v>26770.799999999999</v>
      </c>
      <c r="E2917">
        <v>31303.22</v>
      </c>
      <c r="F2917">
        <v>142.51</v>
      </c>
      <c r="G2917">
        <v>1320.6</v>
      </c>
      <c r="H2917">
        <f>E2917*1000000/D2917</f>
        <v>1169304.615476564</v>
      </c>
      <c r="I2917" t="str">
        <f>IF(AND(B2917&gt;=2018, B2917&lt;=2021), "2018-2021", IF(AND(B2917&gt;=2022, B2917&lt;=2024), "2022-2024", "Other"))</f>
        <v>2022-2024</v>
      </c>
    </row>
    <row r="2918" spans="1:9" x14ac:dyDescent="0.3">
      <c r="A2918" t="s">
        <v>19</v>
      </c>
      <c r="B2918">
        <v>2024</v>
      </c>
      <c r="C2918" t="s">
        <v>14</v>
      </c>
      <c r="D2918">
        <v>18679.54</v>
      </c>
      <c r="E2918">
        <v>17280.66</v>
      </c>
      <c r="F2918">
        <v>33.130000000000003</v>
      </c>
      <c r="G2918">
        <v>864.28</v>
      </c>
      <c r="H2918">
        <f>E2918*1000000/D2918</f>
        <v>925111.64621826867</v>
      </c>
      <c r="I2918" t="str">
        <f>IF(AND(B2918&gt;=2018, B2918&lt;=2021), "2018-2021", IF(AND(B2918&gt;=2022, B2918&lt;=2024), "2022-2024", "Other"))</f>
        <v>2022-2024</v>
      </c>
    </row>
    <row r="2919" spans="1:9" x14ac:dyDescent="0.3">
      <c r="A2919" t="s">
        <v>5</v>
      </c>
      <c r="B2919">
        <v>2021</v>
      </c>
      <c r="C2919" t="s">
        <v>14</v>
      </c>
      <c r="D2919">
        <v>44898.239999999998</v>
      </c>
      <c r="E2919">
        <v>41345.89</v>
      </c>
      <c r="F2919">
        <v>193.89</v>
      </c>
      <c r="G2919">
        <v>639.83000000000004</v>
      </c>
      <c r="H2919">
        <f>E2919*1000000/D2919</f>
        <v>920879.97213253798</v>
      </c>
      <c r="I2919" t="str">
        <f>IF(AND(B2919&gt;=2018, B2919&lt;=2021), "2018-2021", IF(AND(B2919&gt;=2022, B2919&lt;=2024), "2022-2024", "Other"))</f>
        <v>2018-2021</v>
      </c>
    </row>
    <row r="2920" spans="1:9" x14ac:dyDescent="0.3">
      <c r="A2920" t="s">
        <v>7</v>
      </c>
      <c r="B2920">
        <v>2019</v>
      </c>
      <c r="C2920" t="s">
        <v>2</v>
      </c>
      <c r="D2920">
        <v>44904.54</v>
      </c>
      <c r="E2920">
        <v>50060.19</v>
      </c>
      <c r="F2920">
        <v>121.06</v>
      </c>
      <c r="G2920">
        <v>190.31</v>
      </c>
      <c r="H2920">
        <f>E2920*1000000/D2920</f>
        <v>1114813.5578273376</v>
      </c>
      <c r="I2920" t="str">
        <f>IF(AND(B2920&gt;=2018, B2920&lt;=2021), "2018-2021", IF(AND(B2920&gt;=2022, B2920&lt;=2024), "2022-2024", "Other"))</f>
        <v>2018-2021</v>
      </c>
    </row>
    <row r="2921" spans="1:9" x14ac:dyDescent="0.3">
      <c r="A2921" t="s">
        <v>11</v>
      </c>
      <c r="B2921">
        <v>2023</v>
      </c>
      <c r="C2921" t="s">
        <v>9</v>
      </c>
      <c r="D2921">
        <v>13719.21</v>
      </c>
      <c r="E2921">
        <v>13662.63</v>
      </c>
      <c r="F2921">
        <v>192.54</v>
      </c>
      <c r="G2921">
        <v>843.3</v>
      </c>
      <c r="H2921">
        <f>E2921*1000000/D2921</f>
        <v>995875.85582551768</v>
      </c>
      <c r="I2921" t="str">
        <f>IF(AND(B2921&gt;=2018, B2921&lt;=2021), "2018-2021", IF(AND(B2921&gt;=2022, B2921&lt;=2024), "2022-2024", "Other"))</f>
        <v>2022-2024</v>
      </c>
    </row>
    <row r="2922" spans="1:9" x14ac:dyDescent="0.3">
      <c r="A2922" t="s">
        <v>27</v>
      </c>
      <c r="B2922">
        <v>2020</v>
      </c>
      <c r="C2922" t="s">
        <v>6</v>
      </c>
      <c r="D2922">
        <v>22429.52</v>
      </c>
      <c r="E2922">
        <v>24304.86</v>
      </c>
      <c r="F2922">
        <v>130.66999999999999</v>
      </c>
      <c r="G2922">
        <v>1282.04</v>
      </c>
      <c r="H2922">
        <f>E2922*1000000/D2922</f>
        <v>1083610.3492183515</v>
      </c>
      <c r="I2922" t="str">
        <f>IF(AND(B2922&gt;=2018, B2922&lt;=2021), "2018-2021", IF(AND(B2922&gt;=2022, B2922&lt;=2024), "2022-2024", "Other"))</f>
        <v>2018-2021</v>
      </c>
    </row>
    <row r="2923" spans="1:9" x14ac:dyDescent="0.3">
      <c r="A2923" t="s">
        <v>26</v>
      </c>
      <c r="B2923">
        <v>2023</v>
      </c>
      <c r="C2923" t="s">
        <v>6</v>
      </c>
      <c r="D2923">
        <v>36196.43</v>
      </c>
      <c r="E2923">
        <v>35330.42</v>
      </c>
      <c r="F2923">
        <v>165.71</v>
      </c>
      <c r="G2923">
        <v>1102.1600000000001</v>
      </c>
      <c r="H2923">
        <f>E2923*1000000/D2923</f>
        <v>976074.71234041592</v>
      </c>
      <c r="I2923" t="str">
        <f>IF(AND(B2923&gt;=2018, B2923&lt;=2021), "2018-2021", IF(AND(B2923&gt;=2022, B2923&lt;=2024), "2022-2024", "Other"))</f>
        <v>2022-2024</v>
      </c>
    </row>
    <row r="2924" spans="1:9" x14ac:dyDescent="0.3">
      <c r="A2924" t="s">
        <v>22</v>
      </c>
      <c r="B2924">
        <v>2024</v>
      </c>
      <c r="C2924" t="s">
        <v>14</v>
      </c>
      <c r="D2924">
        <v>10186.86</v>
      </c>
      <c r="E2924">
        <v>9369.44</v>
      </c>
      <c r="F2924">
        <v>89.42</v>
      </c>
      <c r="G2924">
        <v>848.93</v>
      </c>
      <c r="H2924">
        <f>E2924*1000000/D2924</f>
        <v>919757.41298103635</v>
      </c>
      <c r="I2924" t="str">
        <f>IF(AND(B2924&gt;=2018, B2924&lt;=2021), "2018-2021", IF(AND(B2924&gt;=2022, B2924&lt;=2024), "2022-2024", "Other"))</f>
        <v>2022-2024</v>
      </c>
    </row>
    <row r="2925" spans="1:9" x14ac:dyDescent="0.3">
      <c r="A2925" t="s">
        <v>16</v>
      </c>
      <c r="B2925">
        <v>2023</v>
      </c>
      <c r="C2925" t="s">
        <v>4</v>
      </c>
      <c r="D2925">
        <v>42665.31</v>
      </c>
      <c r="E2925">
        <v>36254.519999999997</v>
      </c>
      <c r="F2925">
        <v>153.62</v>
      </c>
      <c r="G2925">
        <v>1173.0999999999999</v>
      </c>
      <c r="H2925">
        <f>E2925*1000000/D2925</f>
        <v>849742.3316507017</v>
      </c>
      <c r="I2925" t="str">
        <f>IF(AND(B2925&gt;=2018, B2925&lt;=2021), "2018-2021", IF(AND(B2925&gt;=2022, B2925&lt;=2024), "2022-2024", "Other"))</f>
        <v>2022-2024</v>
      </c>
    </row>
    <row r="2926" spans="1:9" x14ac:dyDescent="0.3">
      <c r="A2926" t="s">
        <v>16</v>
      </c>
      <c r="B2926">
        <v>2024</v>
      </c>
      <c r="C2926" t="s">
        <v>8</v>
      </c>
      <c r="D2926">
        <v>8173.54</v>
      </c>
      <c r="E2926">
        <v>9680.5</v>
      </c>
      <c r="F2926">
        <v>115.17</v>
      </c>
      <c r="G2926">
        <v>1173.0899999999999</v>
      </c>
      <c r="H2926">
        <f>E2926*1000000/D2926</f>
        <v>1184370.5420172899</v>
      </c>
      <c r="I2926" t="str">
        <f>IF(AND(B2926&gt;=2018, B2926&lt;=2021), "2018-2021", IF(AND(B2926&gt;=2022, B2926&lt;=2024), "2022-2024", "Other"))</f>
        <v>2022-2024</v>
      </c>
    </row>
    <row r="2927" spans="1:9" x14ac:dyDescent="0.3">
      <c r="A2927" t="s">
        <v>17</v>
      </c>
      <c r="B2927">
        <v>2018</v>
      </c>
      <c r="C2927" t="s">
        <v>12</v>
      </c>
      <c r="D2927">
        <v>1922.19</v>
      </c>
      <c r="E2927">
        <v>1992.64</v>
      </c>
      <c r="F2927">
        <v>148.91</v>
      </c>
      <c r="G2927">
        <v>1176.3499999999999</v>
      </c>
      <c r="H2927">
        <f>E2927*1000000/D2927</f>
        <v>1036650.9033966465</v>
      </c>
      <c r="I2927" t="str">
        <f>IF(AND(B2927&gt;=2018, B2927&lt;=2021), "2018-2021", IF(AND(B2927&gt;=2022, B2927&lt;=2024), "2022-2024", "Other"))</f>
        <v>2018-2021</v>
      </c>
    </row>
    <row r="2928" spans="1:9" x14ac:dyDescent="0.3">
      <c r="A2928" t="s">
        <v>15</v>
      </c>
      <c r="B2928">
        <v>2018</v>
      </c>
      <c r="C2928" t="s">
        <v>12</v>
      </c>
      <c r="D2928">
        <v>32162.93</v>
      </c>
      <c r="E2928">
        <v>36128.03</v>
      </c>
      <c r="F2928">
        <v>156.94</v>
      </c>
      <c r="G2928">
        <v>112.58</v>
      </c>
      <c r="H2928">
        <f>E2928*1000000/D2928</f>
        <v>1123281.6786281597</v>
      </c>
      <c r="I2928" t="str">
        <f>IF(AND(B2928&gt;=2018, B2928&lt;=2021), "2018-2021", IF(AND(B2928&gt;=2022, B2928&lt;=2024), "2022-2024", "Other"))</f>
        <v>2018-2021</v>
      </c>
    </row>
    <row r="2929" spans="1:9" x14ac:dyDescent="0.3">
      <c r="A2929" t="s">
        <v>21</v>
      </c>
      <c r="B2929">
        <v>2020</v>
      </c>
      <c r="C2929" t="s">
        <v>8</v>
      </c>
      <c r="D2929">
        <v>934.26</v>
      </c>
      <c r="E2929">
        <v>910.22</v>
      </c>
      <c r="F2929">
        <v>119.18</v>
      </c>
      <c r="G2929">
        <v>1364.54</v>
      </c>
      <c r="H2929">
        <f>E2929*1000000/D2929</f>
        <v>974268.40494080877</v>
      </c>
      <c r="I2929" t="str">
        <f>IF(AND(B2929&gt;=2018, B2929&lt;=2021), "2018-2021", IF(AND(B2929&gt;=2022, B2929&lt;=2024), "2022-2024", "Other"))</f>
        <v>2018-2021</v>
      </c>
    </row>
    <row r="2930" spans="1:9" x14ac:dyDescent="0.3">
      <c r="A2930" t="s">
        <v>23</v>
      </c>
      <c r="B2930">
        <v>2021</v>
      </c>
      <c r="C2930" t="s">
        <v>4</v>
      </c>
      <c r="D2930">
        <v>27162.59</v>
      </c>
      <c r="E2930">
        <v>28086.44</v>
      </c>
      <c r="F2930">
        <v>38.67</v>
      </c>
      <c r="G2930">
        <v>348.6</v>
      </c>
      <c r="H2930">
        <f>E2930*1000000/D2930</f>
        <v>1034011.852330724</v>
      </c>
      <c r="I2930" t="str">
        <f>IF(AND(B2930&gt;=2018, B2930&lt;=2021), "2018-2021", IF(AND(B2930&gt;=2022, B2930&lt;=2024), "2022-2024", "Other"))</f>
        <v>2018-2021</v>
      </c>
    </row>
    <row r="2931" spans="1:9" x14ac:dyDescent="0.3">
      <c r="A2931" t="s">
        <v>23</v>
      </c>
      <c r="B2931">
        <v>2024</v>
      </c>
      <c r="C2931" t="s">
        <v>9</v>
      </c>
      <c r="D2931">
        <v>49613.22</v>
      </c>
      <c r="E2931">
        <v>46843.72</v>
      </c>
      <c r="F2931">
        <v>26.81</v>
      </c>
      <c r="G2931">
        <v>1153.46</v>
      </c>
      <c r="H2931">
        <f>E2931*1000000/D2931</f>
        <v>944178.18476607639</v>
      </c>
      <c r="I2931" t="str">
        <f>IF(AND(B2931&gt;=2018, B2931&lt;=2021), "2018-2021", IF(AND(B2931&gt;=2022, B2931&lt;=2024), "2022-2024", "Other"))</f>
        <v>2022-2024</v>
      </c>
    </row>
    <row r="2932" spans="1:9" x14ac:dyDescent="0.3">
      <c r="A2932" t="s">
        <v>7</v>
      </c>
      <c r="B2932">
        <v>2018</v>
      </c>
      <c r="C2932" t="s">
        <v>0</v>
      </c>
      <c r="D2932">
        <v>26859.4</v>
      </c>
      <c r="E2932">
        <v>29195.08</v>
      </c>
      <c r="F2932">
        <v>25.05</v>
      </c>
      <c r="G2932">
        <v>359.62</v>
      </c>
      <c r="H2932">
        <f>E2932*1000000/D2932</f>
        <v>1086959.5002122161</v>
      </c>
      <c r="I2932" t="str">
        <f>IF(AND(B2932&gt;=2018, B2932&lt;=2021), "2018-2021", IF(AND(B2932&gt;=2022, B2932&lt;=2024), "2022-2024", "Other"))</f>
        <v>2018-2021</v>
      </c>
    </row>
    <row r="2933" spans="1:9" x14ac:dyDescent="0.3">
      <c r="A2933" t="s">
        <v>27</v>
      </c>
      <c r="B2933">
        <v>2021</v>
      </c>
      <c r="C2933" t="s">
        <v>9</v>
      </c>
      <c r="D2933">
        <v>22320.32</v>
      </c>
      <c r="E2933">
        <v>20365.11</v>
      </c>
      <c r="F2933">
        <v>55.19</v>
      </c>
      <c r="G2933">
        <v>1067.05</v>
      </c>
      <c r="H2933">
        <f>E2933*1000000/D2933</f>
        <v>912402.24154492409</v>
      </c>
      <c r="I2933" t="str">
        <f>IF(AND(B2933&gt;=2018, B2933&lt;=2021), "2018-2021", IF(AND(B2933&gt;=2022, B2933&lt;=2024), "2022-2024", "Other"))</f>
        <v>2018-2021</v>
      </c>
    </row>
    <row r="2934" spans="1:9" x14ac:dyDescent="0.3">
      <c r="A2934" t="s">
        <v>11</v>
      </c>
      <c r="B2934">
        <v>2019</v>
      </c>
      <c r="C2934" t="s">
        <v>2</v>
      </c>
      <c r="D2934">
        <v>43418.37</v>
      </c>
      <c r="E2934">
        <v>41361.56</v>
      </c>
      <c r="F2934">
        <v>31.03</v>
      </c>
      <c r="G2934">
        <v>932.7</v>
      </c>
      <c r="H2934">
        <f>E2934*1000000/D2934</f>
        <v>952628.11570309976</v>
      </c>
      <c r="I2934" t="str">
        <f>IF(AND(B2934&gt;=2018, B2934&lt;=2021), "2018-2021", IF(AND(B2934&gt;=2022, B2934&lt;=2024), "2022-2024", "Other"))</f>
        <v>2018-2021</v>
      </c>
    </row>
    <row r="2935" spans="1:9" x14ac:dyDescent="0.3">
      <c r="A2935" t="s">
        <v>5</v>
      </c>
      <c r="B2935">
        <v>2020</v>
      </c>
      <c r="C2935" t="s">
        <v>14</v>
      </c>
      <c r="D2935">
        <v>45780.62</v>
      </c>
      <c r="E2935">
        <v>37679.379999999997</v>
      </c>
      <c r="F2935">
        <v>187.29</v>
      </c>
      <c r="G2935">
        <v>699.33</v>
      </c>
      <c r="H2935">
        <f>E2935*1000000/D2935</f>
        <v>823042.1518974622</v>
      </c>
      <c r="I2935" t="str">
        <f>IF(AND(B2935&gt;=2018, B2935&lt;=2021), "2018-2021", IF(AND(B2935&gt;=2022, B2935&lt;=2024), "2022-2024", "Other"))</f>
        <v>2018-2021</v>
      </c>
    </row>
    <row r="2936" spans="1:9" x14ac:dyDescent="0.3">
      <c r="A2936" t="s">
        <v>24</v>
      </c>
      <c r="B2936">
        <v>2021</v>
      </c>
      <c r="C2936" t="s">
        <v>8</v>
      </c>
      <c r="D2936">
        <v>9734.18</v>
      </c>
      <c r="E2936">
        <v>8780.23</v>
      </c>
      <c r="F2936">
        <v>108.76</v>
      </c>
      <c r="G2936">
        <v>58.47</v>
      </c>
      <c r="H2936">
        <f>E2936*1000000/D2936</f>
        <v>901999.9630169156</v>
      </c>
      <c r="I2936" t="str">
        <f>IF(AND(B2936&gt;=2018, B2936&lt;=2021), "2018-2021", IF(AND(B2936&gt;=2022, B2936&lt;=2024), "2022-2024", "Other"))</f>
        <v>2018-2021</v>
      </c>
    </row>
    <row r="2937" spans="1:9" x14ac:dyDescent="0.3">
      <c r="A2937" t="s">
        <v>10</v>
      </c>
      <c r="B2937">
        <v>2018</v>
      </c>
      <c r="C2937" t="s">
        <v>0</v>
      </c>
      <c r="D2937">
        <v>43243.64</v>
      </c>
      <c r="E2937">
        <v>49943.72</v>
      </c>
      <c r="F2937">
        <v>75.39</v>
      </c>
      <c r="G2937">
        <v>363.02</v>
      </c>
      <c r="H2937">
        <f>E2937*1000000/D2937</f>
        <v>1154937.9284445066</v>
      </c>
      <c r="I2937" t="str">
        <f>IF(AND(B2937&gt;=2018, B2937&lt;=2021), "2018-2021", IF(AND(B2937&gt;=2022, B2937&lt;=2024), "2022-2024", "Other"))</f>
        <v>2018-2021</v>
      </c>
    </row>
    <row r="2938" spans="1:9" x14ac:dyDescent="0.3">
      <c r="A2938" t="s">
        <v>23</v>
      </c>
      <c r="B2938">
        <v>2024</v>
      </c>
      <c r="C2938" t="s">
        <v>9</v>
      </c>
      <c r="D2938">
        <v>44565.93</v>
      </c>
      <c r="E2938">
        <v>47755.8</v>
      </c>
      <c r="F2938">
        <v>72.83</v>
      </c>
      <c r="G2938">
        <v>1054.08</v>
      </c>
      <c r="H2938">
        <f>E2938*1000000/D2938</f>
        <v>1071576.4262071946</v>
      </c>
      <c r="I2938" t="str">
        <f>IF(AND(B2938&gt;=2018, B2938&lt;=2021), "2018-2021", IF(AND(B2938&gt;=2022, B2938&lt;=2024), "2022-2024", "Other"))</f>
        <v>2022-2024</v>
      </c>
    </row>
    <row r="2939" spans="1:9" x14ac:dyDescent="0.3">
      <c r="A2939" t="s">
        <v>1</v>
      </c>
      <c r="B2939">
        <v>2021</v>
      </c>
      <c r="C2939" t="s">
        <v>12</v>
      </c>
      <c r="D2939">
        <v>25913.16</v>
      </c>
      <c r="E2939">
        <v>23194.87</v>
      </c>
      <c r="F2939">
        <v>38.130000000000003</v>
      </c>
      <c r="G2939">
        <v>334.68</v>
      </c>
      <c r="H2939">
        <f>E2939*1000000/D2939</f>
        <v>895100.01867776841</v>
      </c>
      <c r="I2939" t="str">
        <f>IF(AND(B2939&gt;=2018, B2939&lt;=2021), "2018-2021", IF(AND(B2939&gt;=2022, B2939&lt;=2024), "2022-2024", "Other"))</f>
        <v>2018-2021</v>
      </c>
    </row>
    <row r="2940" spans="1:9" x14ac:dyDescent="0.3">
      <c r="A2940" t="s">
        <v>25</v>
      </c>
      <c r="B2940">
        <v>2020</v>
      </c>
      <c r="C2940" t="s">
        <v>8</v>
      </c>
      <c r="D2940">
        <v>2481.46</v>
      </c>
      <c r="E2940">
        <v>2685.54</v>
      </c>
      <c r="F2940">
        <v>111.61</v>
      </c>
      <c r="G2940">
        <v>942.58</v>
      </c>
      <c r="H2940">
        <f>E2940*1000000/D2940</f>
        <v>1082241.9059747085</v>
      </c>
      <c r="I2940" t="str">
        <f>IF(AND(B2940&gt;=2018, B2940&lt;=2021), "2018-2021", IF(AND(B2940&gt;=2022, B2940&lt;=2024), "2022-2024", "Other"))</f>
        <v>2018-2021</v>
      </c>
    </row>
    <row r="2941" spans="1:9" x14ac:dyDescent="0.3">
      <c r="A2941" t="s">
        <v>19</v>
      </c>
      <c r="B2941">
        <v>2019</v>
      </c>
      <c r="C2941" t="s">
        <v>4</v>
      </c>
      <c r="D2941">
        <v>42435.87</v>
      </c>
      <c r="E2941">
        <v>40886.9</v>
      </c>
      <c r="F2941">
        <v>78.010000000000005</v>
      </c>
      <c r="G2941">
        <v>720.74</v>
      </c>
      <c r="H2941">
        <f>E2941*1000000/D2941</f>
        <v>963498.56854590226</v>
      </c>
      <c r="I2941" t="str">
        <f>IF(AND(B2941&gt;=2018, B2941&lt;=2021), "2018-2021", IF(AND(B2941&gt;=2022, B2941&lt;=2024), "2022-2024", "Other"))</f>
        <v>2018-2021</v>
      </c>
    </row>
    <row r="2942" spans="1:9" x14ac:dyDescent="0.3">
      <c r="A2942" t="s">
        <v>25</v>
      </c>
      <c r="B2942">
        <v>2022</v>
      </c>
      <c r="C2942" t="s">
        <v>4</v>
      </c>
      <c r="D2942">
        <v>25569.5</v>
      </c>
      <c r="E2942">
        <v>25134.78</v>
      </c>
      <c r="F2942">
        <v>169.4</v>
      </c>
      <c r="G2942">
        <v>548.21</v>
      </c>
      <c r="H2942">
        <f>E2942*1000000/D2942</f>
        <v>982998.49429984938</v>
      </c>
      <c r="I2942" t="str">
        <f>IF(AND(B2942&gt;=2018, B2942&lt;=2021), "2018-2021", IF(AND(B2942&gt;=2022, B2942&lt;=2024), "2022-2024", "Other"))</f>
        <v>2022-2024</v>
      </c>
    </row>
    <row r="2943" spans="1:9" x14ac:dyDescent="0.3">
      <c r="A2943" t="s">
        <v>24</v>
      </c>
      <c r="B2943">
        <v>2020</v>
      </c>
      <c r="C2943" t="s">
        <v>6</v>
      </c>
      <c r="D2943">
        <v>7255.6</v>
      </c>
      <c r="E2943">
        <v>6461.96</v>
      </c>
      <c r="F2943">
        <v>199.92</v>
      </c>
      <c r="G2943">
        <v>1073.03</v>
      </c>
      <c r="H2943">
        <f>E2943*1000000/D2943</f>
        <v>890616.90280610835</v>
      </c>
      <c r="I2943" t="str">
        <f>IF(AND(B2943&gt;=2018, B2943&lt;=2021), "2018-2021", IF(AND(B2943&gt;=2022, B2943&lt;=2024), "2022-2024", "Other"))</f>
        <v>2018-2021</v>
      </c>
    </row>
    <row r="2944" spans="1:9" x14ac:dyDescent="0.3">
      <c r="A2944" t="s">
        <v>7</v>
      </c>
      <c r="B2944">
        <v>2023</v>
      </c>
      <c r="C2944" t="s">
        <v>2</v>
      </c>
      <c r="D2944">
        <v>32493.37</v>
      </c>
      <c r="E2944">
        <v>35980.75</v>
      </c>
      <c r="F2944">
        <v>160.15</v>
      </c>
      <c r="G2944">
        <v>622.32000000000005</v>
      </c>
      <c r="H2944">
        <f>E2944*1000000/D2944</f>
        <v>1107325.8944824745</v>
      </c>
      <c r="I2944" t="str">
        <f>IF(AND(B2944&gt;=2018, B2944&lt;=2021), "2018-2021", IF(AND(B2944&gt;=2022, B2944&lt;=2024), "2022-2024", "Other"))</f>
        <v>2022-2024</v>
      </c>
    </row>
    <row r="2945" spans="1:9" x14ac:dyDescent="0.3">
      <c r="A2945" t="s">
        <v>13</v>
      </c>
      <c r="B2945">
        <v>2018</v>
      </c>
      <c r="C2945" t="s">
        <v>4</v>
      </c>
      <c r="D2945">
        <v>27104.73</v>
      </c>
      <c r="E2945">
        <v>31850.55</v>
      </c>
      <c r="F2945">
        <v>75.19</v>
      </c>
      <c r="G2945">
        <v>477.32</v>
      </c>
      <c r="H2945">
        <f>E2945*1000000/D2945</f>
        <v>1175091.9488960046</v>
      </c>
      <c r="I2945" t="str">
        <f>IF(AND(B2945&gt;=2018, B2945&lt;=2021), "2018-2021", IF(AND(B2945&gt;=2022, B2945&lt;=2024), "2022-2024", "Other"))</f>
        <v>2018-2021</v>
      </c>
    </row>
    <row r="2946" spans="1:9" x14ac:dyDescent="0.3">
      <c r="A2946" t="s">
        <v>11</v>
      </c>
      <c r="B2946">
        <v>2022</v>
      </c>
      <c r="C2946" t="s">
        <v>6</v>
      </c>
      <c r="D2946">
        <v>30807.18</v>
      </c>
      <c r="E2946">
        <v>32697.62</v>
      </c>
      <c r="F2946">
        <v>40.46</v>
      </c>
      <c r="G2946">
        <v>162.26</v>
      </c>
      <c r="H2946">
        <f>E2946*1000000/D2946</f>
        <v>1061363.6171827477</v>
      </c>
      <c r="I2946" t="str">
        <f>IF(AND(B2946&gt;=2018, B2946&lt;=2021), "2018-2021", IF(AND(B2946&gt;=2022, B2946&lt;=2024), "2022-2024", "Other"))</f>
        <v>2022-2024</v>
      </c>
    </row>
    <row r="2947" spans="1:9" x14ac:dyDescent="0.3">
      <c r="A2947" t="s">
        <v>3</v>
      </c>
      <c r="B2947">
        <v>2022</v>
      </c>
      <c r="C2947" t="s">
        <v>4</v>
      </c>
      <c r="D2947">
        <v>21556.95</v>
      </c>
      <c r="E2947">
        <v>17602.2</v>
      </c>
      <c r="F2947">
        <v>113.88</v>
      </c>
      <c r="G2947">
        <v>1306.53</v>
      </c>
      <c r="H2947">
        <f>E2947*1000000/D2947</f>
        <v>816544.08439041697</v>
      </c>
      <c r="I2947" t="str">
        <f>IF(AND(B2947&gt;=2018, B2947&lt;=2021), "2018-2021", IF(AND(B2947&gt;=2022, B2947&lt;=2024), "2022-2024", "Other"))</f>
        <v>2022-2024</v>
      </c>
    </row>
    <row r="2948" spans="1:9" x14ac:dyDescent="0.3">
      <c r="A2948" t="s">
        <v>3</v>
      </c>
      <c r="B2948">
        <v>2021</v>
      </c>
      <c r="C2948" t="s">
        <v>4</v>
      </c>
      <c r="D2948">
        <v>8916.92</v>
      </c>
      <c r="E2948">
        <v>9679.0400000000009</v>
      </c>
      <c r="F2948">
        <v>80.47</v>
      </c>
      <c r="G2948">
        <v>245.57</v>
      </c>
      <c r="H2948">
        <f>E2948*1000000/D2948</f>
        <v>1085468.9735917784</v>
      </c>
      <c r="I2948" t="str">
        <f>IF(AND(B2948&gt;=2018, B2948&lt;=2021), "2018-2021", IF(AND(B2948&gt;=2022, B2948&lt;=2024), "2022-2024", "Other"))</f>
        <v>2018-2021</v>
      </c>
    </row>
    <row r="2949" spans="1:9" x14ac:dyDescent="0.3">
      <c r="A2949" t="s">
        <v>11</v>
      </c>
      <c r="B2949">
        <v>2020</v>
      </c>
      <c r="C2949" t="s">
        <v>9</v>
      </c>
      <c r="D2949">
        <v>6310.27</v>
      </c>
      <c r="E2949">
        <v>5512.32</v>
      </c>
      <c r="F2949">
        <v>172.04</v>
      </c>
      <c r="G2949">
        <v>552.69000000000005</v>
      </c>
      <c r="H2949">
        <f>E2949*1000000/D2949</f>
        <v>873547.40763865877</v>
      </c>
      <c r="I2949" t="str">
        <f>IF(AND(B2949&gt;=2018, B2949&lt;=2021), "2018-2021", IF(AND(B2949&gt;=2022, B2949&lt;=2024), "2022-2024", "Other"))</f>
        <v>2018-2021</v>
      </c>
    </row>
    <row r="2950" spans="1:9" x14ac:dyDescent="0.3">
      <c r="A2950" t="s">
        <v>21</v>
      </c>
      <c r="B2950">
        <v>2019</v>
      </c>
      <c r="C2950" t="s">
        <v>12</v>
      </c>
      <c r="D2950">
        <v>28520.18</v>
      </c>
      <c r="E2950">
        <v>33025.24</v>
      </c>
      <c r="F2950">
        <v>42.42</v>
      </c>
      <c r="G2950">
        <v>224.65</v>
      </c>
      <c r="H2950">
        <f>E2950*1000000/D2950</f>
        <v>1157960.4336298017</v>
      </c>
      <c r="I2950" t="str">
        <f>IF(AND(B2950&gt;=2018, B2950&lt;=2021), "2018-2021", IF(AND(B2950&gt;=2022, B2950&lt;=2024), "2022-2024", "Other"))</f>
        <v>2018-2021</v>
      </c>
    </row>
    <row r="2951" spans="1:9" x14ac:dyDescent="0.3">
      <c r="A2951" t="s">
        <v>10</v>
      </c>
      <c r="B2951">
        <v>2023</v>
      </c>
      <c r="C2951" t="s">
        <v>9</v>
      </c>
      <c r="D2951">
        <v>17989.88</v>
      </c>
      <c r="E2951">
        <v>17023.509999999998</v>
      </c>
      <c r="F2951">
        <v>180.2</v>
      </c>
      <c r="G2951">
        <v>15.55</v>
      </c>
      <c r="H2951">
        <f>E2951*1000000/D2951</f>
        <v>946282.57664864894</v>
      </c>
      <c r="I2951" t="str">
        <f>IF(AND(B2951&gt;=2018, B2951&lt;=2021), "2018-2021", IF(AND(B2951&gt;=2022, B2951&lt;=2024), "2022-2024", "Other"))</f>
        <v>2022-2024</v>
      </c>
    </row>
    <row r="2952" spans="1:9" x14ac:dyDescent="0.3">
      <c r="A2952" t="s">
        <v>3</v>
      </c>
      <c r="B2952">
        <v>2024</v>
      </c>
      <c r="C2952" t="s">
        <v>6</v>
      </c>
      <c r="D2952">
        <v>25202.25</v>
      </c>
      <c r="E2952">
        <v>29278.35</v>
      </c>
      <c r="F2952">
        <v>176.6</v>
      </c>
      <c r="G2952">
        <v>667.61</v>
      </c>
      <c r="H2952">
        <f>E2952*1000000/D2952</f>
        <v>1161735.5593250603</v>
      </c>
      <c r="I2952" t="str">
        <f>IF(AND(B2952&gt;=2018, B2952&lt;=2021), "2018-2021", IF(AND(B2952&gt;=2022, B2952&lt;=2024), "2022-2024", "Other"))</f>
        <v>2022-2024</v>
      </c>
    </row>
    <row r="2953" spans="1:9" x14ac:dyDescent="0.3">
      <c r="A2953" t="s">
        <v>23</v>
      </c>
      <c r="B2953">
        <v>2020</v>
      </c>
      <c r="C2953" t="s">
        <v>2</v>
      </c>
      <c r="D2953">
        <v>29670.36</v>
      </c>
      <c r="E2953">
        <v>33305.83</v>
      </c>
      <c r="F2953">
        <v>99.91</v>
      </c>
      <c r="G2953">
        <v>185.7</v>
      </c>
      <c r="H2953">
        <f>E2953*1000000/D2953</f>
        <v>1122528.6784521658</v>
      </c>
      <c r="I2953" t="str">
        <f>IF(AND(B2953&gt;=2018, B2953&lt;=2021), "2018-2021", IF(AND(B2953&gt;=2022, B2953&lt;=2024), "2022-2024", "Other"))</f>
        <v>2018-2021</v>
      </c>
    </row>
    <row r="2954" spans="1:9" x14ac:dyDescent="0.3">
      <c r="A2954" t="s">
        <v>10</v>
      </c>
      <c r="B2954">
        <v>2023</v>
      </c>
      <c r="C2954" t="s">
        <v>0</v>
      </c>
      <c r="D2954">
        <v>7147.31</v>
      </c>
      <c r="E2954">
        <v>5759.76</v>
      </c>
      <c r="F2954">
        <v>194.18</v>
      </c>
      <c r="G2954">
        <v>879.39</v>
      </c>
      <c r="H2954">
        <f>E2954*1000000/D2954</f>
        <v>805864.02436720941</v>
      </c>
      <c r="I2954" t="str">
        <f>IF(AND(B2954&gt;=2018, B2954&lt;=2021), "2018-2021", IF(AND(B2954&gt;=2022, B2954&lt;=2024), "2022-2024", "Other"))</f>
        <v>2022-2024</v>
      </c>
    </row>
    <row r="2955" spans="1:9" x14ac:dyDescent="0.3">
      <c r="A2955" t="s">
        <v>18</v>
      </c>
      <c r="B2955">
        <v>2019</v>
      </c>
      <c r="C2955" t="s">
        <v>2</v>
      </c>
      <c r="D2955">
        <v>34055.32</v>
      </c>
      <c r="E2955">
        <v>38608.82</v>
      </c>
      <c r="F2955">
        <v>179.23</v>
      </c>
      <c r="G2955">
        <v>370.54</v>
      </c>
      <c r="H2955">
        <f>E2955*1000000/D2955</f>
        <v>1133708.9183129098</v>
      </c>
      <c r="I2955" t="str">
        <f>IF(AND(B2955&gt;=2018, B2955&lt;=2021), "2018-2021", IF(AND(B2955&gt;=2022, B2955&lt;=2024), "2022-2024", "Other"))</f>
        <v>2018-2021</v>
      </c>
    </row>
    <row r="2956" spans="1:9" x14ac:dyDescent="0.3">
      <c r="A2956" t="s">
        <v>26</v>
      </c>
      <c r="B2956">
        <v>2019</v>
      </c>
      <c r="C2956" t="s">
        <v>8</v>
      </c>
      <c r="D2956">
        <v>7185.99</v>
      </c>
      <c r="E2956">
        <v>7264.93</v>
      </c>
      <c r="F2956">
        <v>76.95</v>
      </c>
      <c r="G2956">
        <v>263.38</v>
      </c>
      <c r="H2956">
        <f>E2956*1000000/D2956</f>
        <v>1010985.2643824999</v>
      </c>
      <c r="I2956" t="str">
        <f>IF(AND(B2956&gt;=2018, B2956&lt;=2021), "2018-2021", IF(AND(B2956&gt;=2022, B2956&lt;=2024), "2022-2024", "Other"))</f>
        <v>2018-2021</v>
      </c>
    </row>
    <row r="2957" spans="1:9" x14ac:dyDescent="0.3">
      <c r="A2957" t="s">
        <v>26</v>
      </c>
      <c r="B2957">
        <v>2018</v>
      </c>
      <c r="C2957" t="s">
        <v>9</v>
      </c>
      <c r="D2957">
        <v>48859.360000000001</v>
      </c>
      <c r="E2957">
        <v>56724.15</v>
      </c>
      <c r="F2957">
        <v>187.14</v>
      </c>
      <c r="G2957">
        <v>1136.76</v>
      </c>
      <c r="H2957">
        <f>E2957*1000000/D2957</f>
        <v>1160967.9291746761</v>
      </c>
      <c r="I2957" t="str">
        <f>IF(AND(B2957&gt;=2018, B2957&lt;=2021), "2018-2021", IF(AND(B2957&gt;=2022, B2957&lt;=2024), "2022-2024", "Other"))</f>
        <v>2018-2021</v>
      </c>
    </row>
    <row r="2958" spans="1:9" x14ac:dyDescent="0.3">
      <c r="A2958" t="s">
        <v>10</v>
      </c>
      <c r="B2958">
        <v>2023</v>
      </c>
      <c r="C2958" t="s">
        <v>14</v>
      </c>
      <c r="D2958">
        <v>35346.01</v>
      </c>
      <c r="E2958">
        <v>35164.239999999998</v>
      </c>
      <c r="F2958">
        <v>90.3</v>
      </c>
      <c r="G2958">
        <v>1377.34</v>
      </c>
      <c r="H2958">
        <f>E2958*1000000/D2958</f>
        <v>994857.41106280452</v>
      </c>
      <c r="I2958" t="str">
        <f>IF(AND(B2958&gt;=2018, B2958&lt;=2021), "2018-2021", IF(AND(B2958&gt;=2022, B2958&lt;=2024), "2022-2024", "Other"))</f>
        <v>2022-2024</v>
      </c>
    </row>
    <row r="2959" spans="1:9" x14ac:dyDescent="0.3">
      <c r="A2959" t="s">
        <v>1</v>
      </c>
      <c r="B2959">
        <v>2018</v>
      </c>
      <c r="C2959" t="s">
        <v>14</v>
      </c>
      <c r="D2959">
        <v>10007.19</v>
      </c>
      <c r="E2959">
        <v>9219.1200000000008</v>
      </c>
      <c r="F2959">
        <v>160.53</v>
      </c>
      <c r="G2959">
        <v>649.41999999999996</v>
      </c>
      <c r="H2959">
        <f>E2959*1000000/D2959</f>
        <v>921249.62152212556</v>
      </c>
      <c r="I2959" t="str">
        <f>IF(AND(B2959&gt;=2018, B2959&lt;=2021), "2018-2021", IF(AND(B2959&gt;=2022, B2959&lt;=2024), "2022-2024", "Other"))</f>
        <v>2018-2021</v>
      </c>
    </row>
    <row r="2960" spans="1:9" x14ac:dyDescent="0.3">
      <c r="A2960" t="s">
        <v>23</v>
      </c>
      <c r="B2960">
        <v>2021</v>
      </c>
      <c r="C2960" t="s">
        <v>2</v>
      </c>
      <c r="D2960">
        <v>29697.38</v>
      </c>
      <c r="E2960">
        <v>30150.49</v>
      </c>
      <c r="F2960">
        <v>82.29</v>
      </c>
      <c r="G2960">
        <v>501.97</v>
      </c>
      <c r="H2960">
        <f>E2960*1000000/D2960</f>
        <v>1015257.5749106486</v>
      </c>
      <c r="I2960" t="str">
        <f>IF(AND(B2960&gt;=2018, B2960&lt;=2021), "2018-2021", IF(AND(B2960&gt;=2022, B2960&lt;=2024), "2022-2024", "Other"))</f>
        <v>2018-2021</v>
      </c>
    </row>
    <row r="2961" spans="1:9" x14ac:dyDescent="0.3">
      <c r="A2961" t="s">
        <v>24</v>
      </c>
      <c r="B2961">
        <v>2022</v>
      </c>
      <c r="C2961" t="s">
        <v>6</v>
      </c>
      <c r="D2961">
        <v>6200.24</v>
      </c>
      <c r="E2961">
        <v>5526.87</v>
      </c>
      <c r="F2961">
        <v>136.68</v>
      </c>
      <c r="G2961">
        <v>143.32</v>
      </c>
      <c r="H2961">
        <f>E2961*1000000/D2961</f>
        <v>891396.13950427726</v>
      </c>
      <c r="I2961" t="str">
        <f>IF(AND(B2961&gt;=2018, B2961&lt;=2021), "2018-2021", IF(AND(B2961&gt;=2022, B2961&lt;=2024), "2022-2024", "Other"))</f>
        <v>2022-2024</v>
      </c>
    </row>
    <row r="2962" spans="1:9" x14ac:dyDescent="0.3">
      <c r="A2962" t="s">
        <v>13</v>
      </c>
      <c r="B2962">
        <v>2022</v>
      </c>
      <c r="C2962" t="s">
        <v>12</v>
      </c>
      <c r="D2962">
        <v>16504.060000000001</v>
      </c>
      <c r="E2962">
        <v>19657.419999999998</v>
      </c>
      <c r="F2962">
        <v>94.68</v>
      </c>
      <c r="G2962">
        <v>399.1</v>
      </c>
      <c r="H2962">
        <f>E2962*1000000/D2962</f>
        <v>1191065.7135274592</v>
      </c>
      <c r="I2962" t="str">
        <f>IF(AND(B2962&gt;=2018, B2962&lt;=2021), "2018-2021", IF(AND(B2962&gt;=2022, B2962&lt;=2024), "2022-2024", "Other"))</f>
        <v>2022-2024</v>
      </c>
    </row>
    <row r="2963" spans="1:9" x14ac:dyDescent="0.3">
      <c r="A2963" t="s">
        <v>21</v>
      </c>
      <c r="B2963">
        <v>2021</v>
      </c>
      <c r="C2963" t="s">
        <v>14</v>
      </c>
      <c r="D2963">
        <v>2843.54</v>
      </c>
      <c r="E2963">
        <v>2454.58</v>
      </c>
      <c r="F2963">
        <v>146.99</v>
      </c>
      <c r="G2963">
        <v>320.19</v>
      </c>
      <c r="H2963">
        <f>E2963*1000000/D2963</f>
        <v>863212.75593098742</v>
      </c>
      <c r="I2963" t="str">
        <f>IF(AND(B2963&gt;=2018, B2963&lt;=2021), "2018-2021", IF(AND(B2963&gt;=2022, B2963&lt;=2024), "2022-2024", "Other"))</f>
        <v>2018-2021</v>
      </c>
    </row>
    <row r="2964" spans="1:9" x14ac:dyDescent="0.3">
      <c r="A2964" t="s">
        <v>23</v>
      </c>
      <c r="B2964">
        <v>2020</v>
      </c>
      <c r="C2964" t="s">
        <v>9</v>
      </c>
      <c r="D2964">
        <v>48691.65</v>
      </c>
      <c r="E2964">
        <v>57588.73</v>
      </c>
      <c r="F2964">
        <v>185.46</v>
      </c>
      <c r="G2964">
        <v>882.71</v>
      </c>
      <c r="H2964">
        <f>E2964*1000000/D2964</f>
        <v>1182722.910396341</v>
      </c>
      <c r="I2964" t="str">
        <f>IF(AND(B2964&gt;=2018, B2964&lt;=2021), "2018-2021", IF(AND(B2964&gt;=2022, B2964&lt;=2024), "2022-2024", "Other"))</f>
        <v>2018-2021</v>
      </c>
    </row>
    <row r="2965" spans="1:9" x14ac:dyDescent="0.3">
      <c r="A2965" t="s">
        <v>16</v>
      </c>
      <c r="B2965">
        <v>2020</v>
      </c>
      <c r="C2965" t="s">
        <v>4</v>
      </c>
      <c r="D2965">
        <v>33631.629999999997</v>
      </c>
      <c r="E2965">
        <v>36002.75</v>
      </c>
      <c r="F2965">
        <v>113.46</v>
      </c>
      <c r="G2965">
        <v>120.13</v>
      </c>
      <c r="H2965">
        <f>E2965*1000000/D2965</f>
        <v>1070502.6785796585</v>
      </c>
      <c r="I2965" t="str">
        <f>IF(AND(B2965&gt;=2018, B2965&lt;=2021), "2018-2021", IF(AND(B2965&gt;=2022, B2965&lt;=2024), "2022-2024", "Other"))</f>
        <v>2018-2021</v>
      </c>
    </row>
    <row r="2966" spans="1:9" x14ac:dyDescent="0.3">
      <c r="A2966" t="s">
        <v>18</v>
      </c>
      <c r="B2966">
        <v>2024</v>
      </c>
      <c r="C2966" t="s">
        <v>2</v>
      </c>
      <c r="D2966">
        <v>46185.83</v>
      </c>
      <c r="E2966">
        <v>39504.32</v>
      </c>
      <c r="F2966">
        <v>107.27</v>
      </c>
      <c r="G2966">
        <v>354.55</v>
      </c>
      <c r="H2966">
        <f>E2966*1000000/D2966</f>
        <v>855334.20098761888</v>
      </c>
      <c r="I2966" t="str">
        <f>IF(AND(B2966&gt;=2018, B2966&lt;=2021), "2018-2021", IF(AND(B2966&gt;=2022, B2966&lt;=2024), "2022-2024", "Other"))</f>
        <v>2022-2024</v>
      </c>
    </row>
    <row r="2967" spans="1:9" x14ac:dyDescent="0.3">
      <c r="A2967" t="s">
        <v>22</v>
      </c>
      <c r="B2967">
        <v>2018</v>
      </c>
      <c r="C2967" t="s">
        <v>9</v>
      </c>
      <c r="D2967">
        <v>21066.639999999999</v>
      </c>
      <c r="E2967">
        <v>24307.74</v>
      </c>
      <c r="F2967">
        <v>96.16</v>
      </c>
      <c r="G2967">
        <v>529.36</v>
      </c>
      <c r="H2967">
        <f>E2967*1000000/D2967</f>
        <v>1153849.8782909852</v>
      </c>
      <c r="I2967" t="str">
        <f>IF(AND(B2967&gt;=2018, B2967&lt;=2021), "2018-2021", IF(AND(B2967&gt;=2022, B2967&lt;=2024), "2022-2024", "Other"))</f>
        <v>2018-2021</v>
      </c>
    </row>
    <row r="2968" spans="1:9" x14ac:dyDescent="0.3">
      <c r="A2968" t="s">
        <v>19</v>
      </c>
      <c r="B2968">
        <v>2021</v>
      </c>
      <c r="C2968" t="s">
        <v>8</v>
      </c>
      <c r="D2968">
        <v>2674.74</v>
      </c>
      <c r="E2968">
        <v>2299.71</v>
      </c>
      <c r="F2968">
        <v>187.96</v>
      </c>
      <c r="G2968">
        <v>203.4</v>
      </c>
      <c r="H2968">
        <f>E2968*1000000/D2968</f>
        <v>859788.2411000696</v>
      </c>
      <c r="I2968" t="str">
        <f>IF(AND(B2968&gt;=2018, B2968&lt;=2021), "2018-2021", IF(AND(B2968&gt;=2022, B2968&lt;=2024), "2022-2024", "Other"))</f>
        <v>2018-2021</v>
      </c>
    </row>
    <row r="2969" spans="1:9" x14ac:dyDescent="0.3">
      <c r="A2969" t="s">
        <v>1</v>
      </c>
      <c r="B2969">
        <v>2019</v>
      </c>
      <c r="C2969" t="s">
        <v>8</v>
      </c>
      <c r="D2969">
        <v>27982</v>
      </c>
      <c r="E2969">
        <v>32084.97</v>
      </c>
      <c r="F2969">
        <v>178.54</v>
      </c>
      <c r="G2969">
        <v>1146.48</v>
      </c>
      <c r="H2969">
        <f>E2969*1000000/D2969</f>
        <v>1146628.9042956186</v>
      </c>
      <c r="I2969" t="str">
        <f>IF(AND(B2969&gt;=2018, B2969&lt;=2021), "2018-2021", IF(AND(B2969&gt;=2022, B2969&lt;=2024), "2022-2024", "Other"))</f>
        <v>2018-2021</v>
      </c>
    </row>
    <row r="2970" spans="1:9" x14ac:dyDescent="0.3">
      <c r="A2970" t="s">
        <v>27</v>
      </c>
      <c r="B2970">
        <v>2021</v>
      </c>
      <c r="C2970" t="s">
        <v>14</v>
      </c>
      <c r="D2970">
        <v>33623.86</v>
      </c>
      <c r="E2970">
        <v>33512.379999999997</v>
      </c>
      <c r="F2970">
        <v>174.02</v>
      </c>
      <c r="G2970">
        <v>1153.75</v>
      </c>
      <c r="H2970">
        <f>E2970*1000000/D2970</f>
        <v>996684.4972587917</v>
      </c>
      <c r="I2970" t="str">
        <f>IF(AND(B2970&gt;=2018, B2970&lt;=2021), "2018-2021", IF(AND(B2970&gt;=2022, B2970&lt;=2024), "2022-2024", "Other"))</f>
        <v>2018-2021</v>
      </c>
    </row>
    <row r="2971" spans="1:9" x14ac:dyDescent="0.3">
      <c r="A2971" t="s">
        <v>15</v>
      </c>
      <c r="B2971">
        <v>2021</v>
      </c>
      <c r="C2971" t="s">
        <v>14</v>
      </c>
      <c r="D2971">
        <v>24941.91</v>
      </c>
      <c r="E2971">
        <v>20249.38</v>
      </c>
      <c r="F2971">
        <v>158.91</v>
      </c>
      <c r="G2971">
        <v>933.58</v>
      </c>
      <c r="H2971">
        <f>E2971*1000000/D2971</f>
        <v>811861.64171067893</v>
      </c>
      <c r="I2971" t="str">
        <f>IF(AND(B2971&gt;=2018, B2971&lt;=2021), "2018-2021", IF(AND(B2971&gt;=2022, B2971&lt;=2024), "2022-2024", "Other"))</f>
        <v>2018-2021</v>
      </c>
    </row>
    <row r="2972" spans="1:9" x14ac:dyDescent="0.3">
      <c r="A2972" t="s">
        <v>3</v>
      </c>
      <c r="B2972">
        <v>2021</v>
      </c>
      <c r="C2972" t="s">
        <v>2</v>
      </c>
      <c r="D2972">
        <v>12405.33</v>
      </c>
      <c r="E2972">
        <v>13142.13</v>
      </c>
      <c r="F2972">
        <v>59.4</v>
      </c>
      <c r="G2972">
        <v>1239.9000000000001</v>
      </c>
      <c r="H2972">
        <f>E2972*1000000/D2972</f>
        <v>1059393.8250735772</v>
      </c>
      <c r="I2972" t="str">
        <f>IF(AND(B2972&gt;=2018, B2972&lt;=2021), "2018-2021", IF(AND(B2972&gt;=2022, B2972&lt;=2024), "2022-2024", "Other"))</f>
        <v>2018-2021</v>
      </c>
    </row>
    <row r="2973" spans="1:9" x14ac:dyDescent="0.3">
      <c r="A2973" t="s">
        <v>22</v>
      </c>
      <c r="B2973">
        <v>2019</v>
      </c>
      <c r="C2973" t="s">
        <v>14</v>
      </c>
      <c r="D2973">
        <v>45237.82</v>
      </c>
      <c r="E2973">
        <v>49190.19</v>
      </c>
      <c r="F2973">
        <v>33.78</v>
      </c>
      <c r="G2973">
        <v>226.82</v>
      </c>
      <c r="H2973">
        <f>E2973*1000000/D2973</f>
        <v>1087368.7105169967</v>
      </c>
      <c r="I2973" t="str">
        <f>IF(AND(B2973&gt;=2018, B2973&lt;=2021), "2018-2021", IF(AND(B2973&gt;=2022, B2973&lt;=2024), "2022-2024", "Other"))</f>
        <v>2018-2021</v>
      </c>
    </row>
    <row r="2974" spans="1:9" x14ac:dyDescent="0.3">
      <c r="A2974" t="s">
        <v>21</v>
      </c>
      <c r="B2974">
        <v>2023</v>
      </c>
      <c r="C2974" t="s">
        <v>2</v>
      </c>
      <c r="D2974">
        <v>20826.12</v>
      </c>
      <c r="E2974">
        <v>20816.3</v>
      </c>
      <c r="F2974">
        <v>136.16</v>
      </c>
      <c r="G2974">
        <v>989.19</v>
      </c>
      <c r="H2974">
        <f>E2974*1000000/D2974</f>
        <v>999528.47673978645</v>
      </c>
      <c r="I2974" t="str">
        <f>IF(AND(B2974&gt;=2018, B2974&lt;=2021), "2018-2021", IF(AND(B2974&gt;=2022, B2974&lt;=2024), "2022-2024", "Other"))</f>
        <v>2022-2024</v>
      </c>
    </row>
    <row r="2975" spans="1:9" x14ac:dyDescent="0.3">
      <c r="A2975" t="s">
        <v>18</v>
      </c>
      <c r="B2975">
        <v>2021</v>
      </c>
      <c r="C2975" t="s">
        <v>9</v>
      </c>
      <c r="D2975">
        <v>8944.2000000000007</v>
      </c>
      <c r="E2975">
        <v>9404.59</v>
      </c>
      <c r="F2975">
        <v>48.78</v>
      </c>
      <c r="G2975">
        <v>372.45</v>
      </c>
      <c r="H2975">
        <f>E2975*1000000/D2975</f>
        <v>1051473.5806444399</v>
      </c>
      <c r="I2975" t="str">
        <f>IF(AND(B2975&gt;=2018, B2975&lt;=2021), "2018-2021", IF(AND(B2975&gt;=2022, B2975&lt;=2024), "2022-2024", "Other"))</f>
        <v>2018-2021</v>
      </c>
    </row>
    <row r="2976" spans="1:9" x14ac:dyDescent="0.3">
      <c r="A2976" t="s">
        <v>15</v>
      </c>
      <c r="B2976">
        <v>2019</v>
      </c>
      <c r="C2976" t="s">
        <v>8</v>
      </c>
      <c r="D2976">
        <v>32296.3</v>
      </c>
      <c r="E2976">
        <v>37517.449999999997</v>
      </c>
      <c r="F2976">
        <v>56.59</v>
      </c>
      <c r="G2976">
        <v>943.81</v>
      </c>
      <c r="H2976">
        <f>E2976*1000000/D2976</f>
        <v>1161664.0296256847</v>
      </c>
      <c r="I2976" t="str">
        <f>IF(AND(B2976&gt;=2018, B2976&lt;=2021), "2018-2021", IF(AND(B2976&gt;=2022, B2976&lt;=2024), "2022-2024", "Other"))</f>
        <v>2018-2021</v>
      </c>
    </row>
    <row r="2977" spans="1:9" x14ac:dyDescent="0.3">
      <c r="A2977" t="s">
        <v>1</v>
      </c>
      <c r="B2977">
        <v>2018</v>
      </c>
      <c r="C2977" t="s">
        <v>2</v>
      </c>
      <c r="D2977">
        <v>48063.97</v>
      </c>
      <c r="E2977">
        <v>39293.839999999997</v>
      </c>
      <c r="F2977">
        <v>86.51</v>
      </c>
      <c r="G2977">
        <v>1376.28</v>
      </c>
      <c r="H2977">
        <f>E2977*1000000/D2977</f>
        <v>817532.13477788039</v>
      </c>
      <c r="I2977" t="str">
        <f>IF(AND(B2977&gt;=2018, B2977&lt;=2021), "2018-2021", IF(AND(B2977&gt;=2022, B2977&lt;=2024), "2022-2024", "Other"))</f>
        <v>2018-2021</v>
      </c>
    </row>
    <row r="2978" spans="1:9" x14ac:dyDescent="0.3">
      <c r="A2978" t="s">
        <v>15</v>
      </c>
      <c r="B2978">
        <v>2021</v>
      </c>
      <c r="C2978" t="s">
        <v>14</v>
      </c>
      <c r="D2978">
        <v>33109.800000000003</v>
      </c>
      <c r="E2978">
        <v>32144.58</v>
      </c>
      <c r="F2978">
        <v>58.24</v>
      </c>
      <c r="G2978">
        <v>861.14</v>
      </c>
      <c r="H2978">
        <f>E2978*1000000/D2978</f>
        <v>970847.90605802508</v>
      </c>
      <c r="I2978" t="str">
        <f>IF(AND(B2978&gt;=2018, B2978&lt;=2021), "2018-2021", IF(AND(B2978&gt;=2022, B2978&lt;=2024), "2022-2024", "Other"))</f>
        <v>2018-2021</v>
      </c>
    </row>
    <row r="2979" spans="1:9" x14ac:dyDescent="0.3">
      <c r="A2979" t="s">
        <v>19</v>
      </c>
      <c r="B2979">
        <v>2018</v>
      </c>
      <c r="C2979" t="s">
        <v>2</v>
      </c>
      <c r="D2979">
        <v>6120.34</v>
      </c>
      <c r="E2979">
        <v>5373.61</v>
      </c>
      <c r="F2979">
        <v>83.65</v>
      </c>
      <c r="G2979">
        <v>134.84</v>
      </c>
      <c r="H2979">
        <f>E2979*1000000/D2979</f>
        <v>877992.07233585056</v>
      </c>
      <c r="I2979" t="str">
        <f>IF(AND(B2979&gt;=2018, B2979&lt;=2021), "2018-2021", IF(AND(B2979&gt;=2022, B2979&lt;=2024), "2022-2024", "Other"))</f>
        <v>2018-2021</v>
      </c>
    </row>
    <row r="2980" spans="1:9" x14ac:dyDescent="0.3">
      <c r="A2980" t="s">
        <v>7</v>
      </c>
      <c r="B2980">
        <v>2023</v>
      </c>
      <c r="C2980" t="s">
        <v>14</v>
      </c>
      <c r="D2980">
        <v>35731.26</v>
      </c>
      <c r="E2980">
        <v>35463.589999999997</v>
      </c>
      <c r="F2980">
        <v>57.22</v>
      </c>
      <c r="G2980">
        <v>1027.3599999999999</v>
      </c>
      <c r="H2980">
        <f>E2980*1000000/D2980</f>
        <v>992508.80041733757</v>
      </c>
      <c r="I2980" t="str">
        <f>IF(AND(B2980&gt;=2018, B2980&lt;=2021), "2018-2021", IF(AND(B2980&gt;=2022, B2980&lt;=2024), "2022-2024", "Other"))</f>
        <v>2022-2024</v>
      </c>
    </row>
    <row r="2981" spans="1:9" x14ac:dyDescent="0.3">
      <c r="A2981" t="s">
        <v>11</v>
      </c>
      <c r="B2981">
        <v>2019</v>
      </c>
      <c r="C2981" t="s">
        <v>8</v>
      </c>
      <c r="D2981">
        <v>23127.16</v>
      </c>
      <c r="E2981">
        <v>21575.07</v>
      </c>
      <c r="F2981">
        <v>29.74</v>
      </c>
      <c r="G2981">
        <v>670.3</v>
      </c>
      <c r="H2981">
        <f>E2981*1000000/D2981</f>
        <v>932888.86313754041</v>
      </c>
      <c r="I2981" t="str">
        <f>IF(AND(B2981&gt;=2018, B2981&lt;=2021), "2018-2021", IF(AND(B2981&gt;=2022, B2981&lt;=2024), "2022-2024", "Other"))</f>
        <v>2018-2021</v>
      </c>
    </row>
    <row r="2982" spans="1:9" x14ac:dyDescent="0.3">
      <c r="A2982" t="s">
        <v>26</v>
      </c>
      <c r="B2982">
        <v>2019</v>
      </c>
      <c r="C2982" t="s">
        <v>8</v>
      </c>
      <c r="D2982">
        <v>7977.2</v>
      </c>
      <c r="E2982">
        <v>9115.08</v>
      </c>
      <c r="F2982">
        <v>29.66</v>
      </c>
      <c r="G2982">
        <v>920.91</v>
      </c>
      <c r="H2982">
        <f>E2982*1000000/D2982</f>
        <v>1142641.5283558141</v>
      </c>
      <c r="I2982" t="str">
        <f>IF(AND(B2982&gt;=2018, B2982&lt;=2021), "2018-2021", IF(AND(B2982&gt;=2022, B2982&lt;=2024), "2022-2024", "Other"))</f>
        <v>2018-2021</v>
      </c>
    </row>
    <row r="2983" spans="1:9" x14ac:dyDescent="0.3">
      <c r="A2983" t="s">
        <v>5</v>
      </c>
      <c r="B2983">
        <v>2024</v>
      </c>
      <c r="C2983" t="s">
        <v>9</v>
      </c>
      <c r="D2983">
        <v>27479.16</v>
      </c>
      <c r="E2983">
        <v>26256.31</v>
      </c>
      <c r="F2983">
        <v>114.44</v>
      </c>
      <c r="G2983">
        <v>1205.01</v>
      </c>
      <c r="H2983">
        <f>E2983*1000000/D2983</f>
        <v>955499.00360855286</v>
      </c>
      <c r="I2983" t="str">
        <f>IF(AND(B2983&gt;=2018, B2983&lt;=2021), "2018-2021", IF(AND(B2983&gt;=2022, B2983&lt;=2024), "2022-2024", "Other"))</f>
        <v>2022-2024</v>
      </c>
    </row>
    <row r="2984" spans="1:9" x14ac:dyDescent="0.3">
      <c r="A2984" t="s">
        <v>1</v>
      </c>
      <c r="B2984">
        <v>2023</v>
      </c>
      <c r="C2984" t="s">
        <v>6</v>
      </c>
      <c r="D2984">
        <v>8866.77</v>
      </c>
      <c r="E2984">
        <v>9231.98</v>
      </c>
      <c r="F2984">
        <v>29.46</v>
      </c>
      <c r="G2984">
        <v>138.08000000000001</v>
      </c>
      <c r="H2984">
        <f>E2984*1000000/D2984</f>
        <v>1041188.6177266354</v>
      </c>
      <c r="I2984" t="str">
        <f>IF(AND(B2984&gt;=2018, B2984&lt;=2021), "2018-2021", IF(AND(B2984&gt;=2022, B2984&lt;=2024), "2022-2024", "Other"))</f>
        <v>2022-2024</v>
      </c>
    </row>
    <row r="2985" spans="1:9" x14ac:dyDescent="0.3">
      <c r="A2985" t="s">
        <v>26</v>
      </c>
      <c r="B2985">
        <v>2024</v>
      </c>
      <c r="C2985" t="s">
        <v>14</v>
      </c>
      <c r="D2985">
        <v>18881.04</v>
      </c>
      <c r="E2985">
        <v>15728.72</v>
      </c>
      <c r="F2985">
        <v>192.86</v>
      </c>
      <c r="G2985">
        <v>716.36</v>
      </c>
      <c r="H2985">
        <f>E2985*1000000/D2985</f>
        <v>833043.09508374531</v>
      </c>
      <c r="I2985" t="str">
        <f>IF(AND(B2985&gt;=2018, B2985&lt;=2021), "2018-2021", IF(AND(B2985&gt;=2022, B2985&lt;=2024), "2022-2024", "Other"))</f>
        <v>2022-2024</v>
      </c>
    </row>
    <row r="2986" spans="1:9" x14ac:dyDescent="0.3">
      <c r="A2986" t="s">
        <v>18</v>
      </c>
      <c r="B2986">
        <v>2021</v>
      </c>
      <c r="C2986" t="s">
        <v>8</v>
      </c>
      <c r="D2986">
        <v>10519.7</v>
      </c>
      <c r="E2986">
        <v>11552.04</v>
      </c>
      <c r="F2986">
        <v>86.94</v>
      </c>
      <c r="G2986">
        <v>1290.4100000000001</v>
      </c>
      <c r="H2986">
        <f>E2986*1000000/D2986</f>
        <v>1098133.977204673</v>
      </c>
      <c r="I2986" t="str">
        <f>IF(AND(B2986&gt;=2018, B2986&lt;=2021), "2018-2021", IF(AND(B2986&gt;=2022, B2986&lt;=2024), "2022-2024", "Other"))</f>
        <v>2018-2021</v>
      </c>
    </row>
    <row r="2987" spans="1:9" x14ac:dyDescent="0.3">
      <c r="A2987" t="s">
        <v>26</v>
      </c>
      <c r="B2987">
        <v>2022</v>
      </c>
      <c r="C2987" t="s">
        <v>6</v>
      </c>
      <c r="D2987">
        <v>31479.34</v>
      </c>
      <c r="E2987">
        <v>31546.7</v>
      </c>
      <c r="F2987">
        <v>150.02000000000001</v>
      </c>
      <c r="G2987">
        <v>1004.63</v>
      </c>
      <c r="H2987">
        <f>E2987*1000000/D2987</f>
        <v>1002139.8161460819</v>
      </c>
      <c r="I2987" t="str">
        <f>IF(AND(B2987&gt;=2018, B2987&lt;=2021), "2018-2021", IF(AND(B2987&gt;=2022, B2987&lt;=2024), "2022-2024", "Other"))</f>
        <v>2022-2024</v>
      </c>
    </row>
    <row r="2988" spans="1:9" x14ac:dyDescent="0.3">
      <c r="A2988" t="s">
        <v>15</v>
      </c>
      <c r="B2988">
        <v>2024</v>
      </c>
      <c r="C2988" t="s">
        <v>0</v>
      </c>
      <c r="D2988">
        <v>24173.46</v>
      </c>
      <c r="E2988">
        <v>26831.34</v>
      </c>
      <c r="F2988">
        <v>149.30000000000001</v>
      </c>
      <c r="G2988">
        <v>1128.76</v>
      </c>
      <c r="H2988">
        <f>E2988*1000000/D2988</f>
        <v>1109950.3339612947</v>
      </c>
      <c r="I2988" t="str">
        <f>IF(AND(B2988&gt;=2018, B2988&lt;=2021), "2018-2021", IF(AND(B2988&gt;=2022, B2988&lt;=2024), "2022-2024", "Other"))</f>
        <v>2022-2024</v>
      </c>
    </row>
    <row r="2989" spans="1:9" x14ac:dyDescent="0.3">
      <c r="A2989" t="s">
        <v>23</v>
      </c>
      <c r="B2989">
        <v>2020</v>
      </c>
      <c r="C2989" t="s">
        <v>4</v>
      </c>
      <c r="D2989">
        <v>40293.17</v>
      </c>
      <c r="E2989">
        <v>33000.050000000003</v>
      </c>
      <c r="F2989">
        <v>157.18</v>
      </c>
      <c r="G2989">
        <v>92.35</v>
      </c>
      <c r="H2989">
        <f>E2989*1000000/D2989</f>
        <v>818998.60447812884</v>
      </c>
      <c r="I2989" t="str">
        <f>IF(AND(B2989&gt;=2018, B2989&lt;=2021), "2018-2021", IF(AND(B2989&gt;=2022, B2989&lt;=2024), "2022-2024", "Other"))</f>
        <v>2018-2021</v>
      </c>
    </row>
    <row r="2990" spans="1:9" x14ac:dyDescent="0.3">
      <c r="A2990" t="s">
        <v>26</v>
      </c>
      <c r="B2990">
        <v>2019</v>
      </c>
      <c r="C2990" t="s">
        <v>6</v>
      </c>
      <c r="D2990">
        <v>36788.400000000001</v>
      </c>
      <c r="E2990">
        <v>31170.63</v>
      </c>
      <c r="F2990">
        <v>173.62</v>
      </c>
      <c r="G2990">
        <v>1071.79</v>
      </c>
      <c r="H2990">
        <f>E2990*1000000/D2990</f>
        <v>847295.07127246633</v>
      </c>
      <c r="I2990" t="str">
        <f>IF(AND(B2990&gt;=2018, B2990&lt;=2021), "2018-2021", IF(AND(B2990&gt;=2022, B2990&lt;=2024), "2022-2024", "Other"))</f>
        <v>2018-2021</v>
      </c>
    </row>
    <row r="2991" spans="1:9" x14ac:dyDescent="0.3">
      <c r="A2991" t="s">
        <v>7</v>
      </c>
      <c r="B2991">
        <v>2020</v>
      </c>
      <c r="C2991" t="s">
        <v>12</v>
      </c>
      <c r="D2991">
        <v>31399.46</v>
      </c>
      <c r="E2991">
        <v>29429.68</v>
      </c>
      <c r="F2991">
        <v>184.81</v>
      </c>
      <c r="G2991">
        <v>1186.48</v>
      </c>
      <c r="H2991">
        <f>E2991*1000000/D2991</f>
        <v>937267.07401974429</v>
      </c>
      <c r="I2991" t="str">
        <f>IF(AND(B2991&gt;=2018, B2991&lt;=2021), "2018-2021", IF(AND(B2991&gt;=2022, B2991&lt;=2024), "2022-2024", "Other"))</f>
        <v>2018-2021</v>
      </c>
    </row>
    <row r="2992" spans="1:9" x14ac:dyDescent="0.3">
      <c r="A2992" t="s">
        <v>13</v>
      </c>
      <c r="B2992">
        <v>2024</v>
      </c>
      <c r="C2992" t="s">
        <v>14</v>
      </c>
      <c r="D2992">
        <v>12250.67</v>
      </c>
      <c r="E2992">
        <v>14096.2</v>
      </c>
      <c r="F2992">
        <v>167.43</v>
      </c>
      <c r="G2992">
        <v>278.51</v>
      </c>
      <c r="H2992">
        <f>E2992*1000000/D2992</f>
        <v>1150647.2707207035</v>
      </c>
      <c r="I2992" t="str">
        <f>IF(AND(B2992&gt;=2018, B2992&lt;=2021), "2018-2021", IF(AND(B2992&gt;=2022, B2992&lt;=2024), "2022-2024", "Other"))</f>
        <v>2022-2024</v>
      </c>
    </row>
    <row r="2993" spans="1:9" x14ac:dyDescent="0.3">
      <c r="A2993" t="s">
        <v>25</v>
      </c>
      <c r="B2993">
        <v>2020</v>
      </c>
      <c r="C2993" t="s">
        <v>6</v>
      </c>
      <c r="D2993">
        <v>47406.66</v>
      </c>
      <c r="E2993">
        <v>53491.73</v>
      </c>
      <c r="F2993">
        <v>71.599999999999994</v>
      </c>
      <c r="G2993">
        <v>1360.3</v>
      </c>
      <c r="H2993">
        <f>E2993*1000000/D2993</f>
        <v>1128358.9689718701</v>
      </c>
      <c r="I2993" t="str">
        <f>IF(AND(B2993&gt;=2018, B2993&lt;=2021), "2018-2021", IF(AND(B2993&gt;=2022, B2993&lt;=2024), "2022-2024", "Other"))</f>
        <v>2018-2021</v>
      </c>
    </row>
    <row r="2994" spans="1:9" x14ac:dyDescent="0.3">
      <c r="A2994" t="s">
        <v>23</v>
      </c>
      <c r="B2994">
        <v>2021</v>
      </c>
      <c r="C2994" t="s">
        <v>6</v>
      </c>
      <c r="D2994">
        <v>10710.2</v>
      </c>
      <c r="E2994">
        <v>10415.56</v>
      </c>
      <c r="F2994">
        <v>94.92</v>
      </c>
      <c r="G2994">
        <v>1374.43</v>
      </c>
      <c r="H2994">
        <f>E2994*1000000/D2994</f>
        <v>972489.77610128652</v>
      </c>
      <c r="I2994" t="str">
        <f>IF(AND(B2994&gt;=2018, B2994&lt;=2021), "2018-2021", IF(AND(B2994&gt;=2022, B2994&lt;=2024), "2022-2024", "Other"))</f>
        <v>2018-2021</v>
      </c>
    </row>
    <row r="2995" spans="1:9" x14ac:dyDescent="0.3">
      <c r="A2995" t="s">
        <v>24</v>
      </c>
      <c r="B2995">
        <v>2021</v>
      </c>
      <c r="C2995" t="s">
        <v>8</v>
      </c>
      <c r="D2995">
        <v>34105.56</v>
      </c>
      <c r="E2995">
        <v>30801.599999999999</v>
      </c>
      <c r="F2995">
        <v>119.78</v>
      </c>
      <c r="G2995">
        <v>659.98</v>
      </c>
      <c r="H2995">
        <f>E2995*1000000/D2995</f>
        <v>903125.47279681091</v>
      </c>
      <c r="I2995" t="str">
        <f>IF(AND(B2995&gt;=2018, B2995&lt;=2021), "2018-2021", IF(AND(B2995&gt;=2022, B2995&lt;=2024), "2022-2024", "Other"))</f>
        <v>2018-2021</v>
      </c>
    </row>
    <row r="2996" spans="1:9" x14ac:dyDescent="0.3">
      <c r="A2996" t="s">
        <v>1</v>
      </c>
      <c r="B2996">
        <v>2022</v>
      </c>
      <c r="C2996" t="s">
        <v>4</v>
      </c>
      <c r="D2996">
        <v>24035.89</v>
      </c>
      <c r="E2996">
        <v>24015.47</v>
      </c>
      <c r="F2996">
        <v>63.73</v>
      </c>
      <c r="G2996">
        <v>272.60000000000002</v>
      </c>
      <c r="H2996">
        <f>E2996*1000000/D2996</f>
        <v>999150.43711716111</v>
      </c>
      <c r="I2996" t="str">
        <f>IF(AND(B2996&gt;=2018, B2996&lt;=2021), "2018-2021", IF(AND(B2996&gt;=2022, B2996&lt;=2024), "2022-2024", "Other"))</f>
        <v>2022-2024</v>
      </c>
    </row>
    <row r="2997" spans="1:9" x14ac:dyDescent="0.3">
      <c r="A2997" t="s">
        <v>18</v>
      </c>
      <c r="B2997">
        <v>2023</v>
      </c>
      <c r="C2997" t="s">
        <v>6</v>
      </c>
      <c r="D2997">
        <v>10507.84</v>
      </c>
      <c r="E2997">
        <v>12067.43</v>
      </c>
      <c r="F2997">
        <v>24.39</v>
      </c>
      <c r="G2997">
        <v>348.6</v>
      </c>
      <c r="H2997">
        <f>E2997*1000000/D2997</f>
        <v>1148421.5595212716</v>
      </c>
      <c r="I2997" t="str">
        <f>IF(AND(B2997&gt;=2018, B2997&lt;=2021), "2018-2021", IF(AND(B2997&gt;=2022, B2997&lt;=2024), "2022-2024", "Other"))</f>
        <v>2022-2024</v>
      </c>
    </row>
    <row r="2998" spans="1:9" x14ac:dyDescent="0.3">
      <c r="A2998" t="s">
        <v>24</v>
      </c>
      <c r="B2998">
        <v>2024</v>
      </c>
      <c r="C2998" t="s">
        <v>14</v>
      </c>
      <c r="D2998">
        <v>35501.26</v>
      </c>
      <c r="E2998">
        <v>37451.089999999997</v>
      </c>
      <c r="F2998">
        <v>113.41</v>
      </c>
      <c r="G2998">
        <v>839.1</v>
      </c>
      <c r="H2998">
        <f>E2998*1000000/D2998</f>
        <v>1054922.8393583777</v>
      </c>
      <c r="I2998" t="str">
        <f>IF(AND(B2998&gt;=2018, B2998&lt;=2021), "2018-2021", IF(AND(B2998&gt;=2022, B2998&lt;=2024), "2022-2024", "Other"))</f>
        <v>2022-2024</v>
      </c>
    </row>
    <row r="2999" spans="1:9" x14ac:dyDescent="0.3">
      <c r="A2999" t="s">
        <v>25</v>
      </c>
      <c r="B2999">
        <v>2023</v>
      </c>
      <c r="C2999" t="s">
        <v>4</v>
      </c>
      <c r="D2999">
        <v>31682.22</v>
      </c>
      <c r="E2999">
        <v>34419.230000000003</v>
      </c>
      <c r="F2999">
        <v>125.04</v>
      </c>
      <c r="G2999">
        <v>515.79</v>
      </c>
      <c r="H2999">
        <f>E2999*1000000/D2999</f>
        <v>1086389.4638696404</v>
      </c>
      <c r="I2999" t="str">
        <f>IF(AND(B2999&gt;=2018, B2999&lt;=2021), "2018-2021", IF(AND(B2999&gt;=2022, B2999&lt;=2024), "2022-2024", "Other"))</f>
        <v>2022-2024</v>
      </c>
    </row>
    <row r="3000" spans="1:9" x14ac:dyDescent="0.3">
      <c r="A3000" t="s">
        <v>15</v>
      </c>
      <c r="B3000">
        <v>2019</v>
      </c>
      <c r="C3000" t="s">
        <v>6</v>
      </c>
      <c r="D3000">
        <v>18780.16</v>
      </c>
      <c r="E3000">
        <v>17208.3</v>
      </c>
      <c r="F3000">
        <v>174.68</v>
      </c>
      <c r="G3000">
        <v>708.17</v>
      </c>
      <c r="H3000">
        <f>E3000*1000000/D3000</f>
        <v>916302.09753271542</v>
      </c>
      <c r="I3000" t="str">
        <f>IF(AND(B3000&gt;=2018, B3000&lt;=2021), "2018-2021", IF(AND(B3000&gt;=2022, B3000&lt;=2024), "2022-2024", "Other"))</f>
        <v>2018-2021</v>
      </c>
    </row>
    <row r="3001" spans="1:9" x14ac:dyDescent="0.3">
      <c r="A3001" t="s">
        <v>24</v>
      </c>
      <c r="B3001">
        <v>2024</v>
      </c>
      <c r="C3001" t="s">
        <v>4</v>
      </c>
      <c r="D3001">
        <v>28795.119999999999</v>
      </c>
      <c r="E3001">
        <v>30722.18</v>
      </c>
      <c r="F3001">
        <v>28.34</v>
      </c>
      <c r="G3001">
        <v>1105.68</v>
      </c>
      <c r="H3001">
        <f>E3001*1000000/D3001</f>
        <v>1066923.1453107332</v>
      </c>
      <c r="I3001" t="str">
        <f>IF(AND(B3001&gt;=2018, B3001&lt;=2021), "2018-2021", IF(AND(B3001&gt;=2022, B3001&lt;=2024), "2022-2024", "Other"))</f>
        <v>2022-2024</v>
      </c>
    </row>
    <row r="3002" spans="1:9" x14ac:dyDescent="0.3">
      <c r="A3002" t="s">
        <v>16</v>
      </c>
      <c r="B3002">
        <v>2018</v>
      </c>
      <c r="C3002" t="s">
        <v>8</v>
      </c>
      <c r="D3002">
        <v>6350.33</v>
      </c>
      <c r="E3002">
        <v>7015.94</v>
      </c>
      <c r="F3002">
        <v>36.53</v>
      </c>
      <c r="G3002">
        <v>34.01</v>
      </c>
      <c r="H3002">
        <f>E3002*1000000/D3002</f>
        <v>1104815.0253608867</v>
      </c>
      <c r="I3002" t="str">
        <f>IF(AND(B3002&gt;=2018, B3002&lt;=2021), "2018-2021", IF(AND(B3002&gt;=2022, B3002&lt;=2024), "2022-2024", "Other"))</f>
        <v>2018-2021</v>
      </c>
    </row>
    <row r="3003" spans="1:9" x14ac:dyDescent="0.3">
      <c r="A3003" t="s">
        <v>27</v>
      </c>
      <c r="B3003">
        <v>2020</v>
      </c>
      <c r="C3003" t="s">
        <v>2</v>
      </c>
      <c r="D3003">
        <v>49280.34</v>
      </c>
      <c r="E3003">
        <v>44077.42</v>
      </c>
      <c r="F3003">
        <v>70.19</v>
      </c>
      <c r="G3003">
        <v>250.81</v>
      </c>
      <c r="H3003">
        <f>E3003*1000000/D3003</f>
        <v>894421.99465344602</v>
      </c>
      <c r="I3003" t="str">
        <f>IF(AND(B3003&gt;=2018, B3003&lt;=2021), "2018-2021", IF(AND(B3003&gt;=2022, B3003&lt;=2024), "2022-2024", "Other"))</f>
        <v>2018-2021</v>
      </c>
    </row>
    <row r="3004" spans="1:9" x14ac:dyDescent="0.3">
      <c r="A3004" t="s">
        <v>25</v>
      </c>
      <c r="B3004">
        <v>2019</v>
      </c>
      <c r="C3004" t="s">
        <v>2</v>
      </c>
      <c r="D3004">
        <v>16912.95</v>
      </c>
      <c r="E3004">
        <v>16797.060000000001</v>
      </c>
      <c r="F3004">
        <v>184.47</v>
      </c>
      <c r="G3004">
        <v>285.97000000000003</v>
      </c>
      <c r="H3004">
        <f>E3004*1000000/D3004</f>
        <v>993147.85415909113</v>
      </c>
      <c r="I3004" t="str">
        <f>IF(AND(B3004&gt;=2018, B3004&lt;=2021), "2018-2021", IF(AND(B3004&gt;=2022, B3004&lt;=2024), "2022-2024", "Other"))</f>
        <v>2018-2021</v>
      </c>
    </row>
    <row r="3005" spans="1:9" x14ac:dyDescent="0.3">
      <c r="A3005" t="s">
        <v>1</v>
      </c>
      <c r="B3005">
        <v>2023</v>
      </c>
      <c r="C3005" t="s">
        <v>9</v>
      </c>
      <c r="D3005">
        <v>49544.47</v>
      </c>
      <c r="E3005">
        <v>53191.19</v>
      </c>
      <c r="F3005">
        <v>22.54</v>
      </c>
      <c r="G3005">
        <v>791.14</v>
      </c>
      <c r="H3005">
        <f>E3005*1000000/D3005</f>
        <v>1073604.9855816402</v>
      </c>
      <c r="I3005" t="str">
        <f>IF(AND(B3005&gt;=2018, B3005&lt;=2021), "2018-2021", IF(AND(B3005&gt;=2022, B3005&lt;=2024), "2022-2024", "Other"))</f>
        <v>2022-2024</v>
      </c>
    </row>
    <row r="3006" spans="1:9" x14ac:dyDescent="0.3">
      <c r="A3006" t="s">
        <v>27</v>
      </c>
      <c r="B3006">
        <v>2024</v>
      </c>
      <c r="C3006" t="s">
        <v>0</v>
      </c>
      <c r="D3006">
        <v>6164.64</v>
      </c>
      <c r="E3006">
        <v>6301.18</v>
      </c>
      <c r="F3006">
        <v>141.44</v>
      </c>
      <c r="G3006">
        <v>1346.58</v>
      </c>
      <c r="H3006">
        <f>E3006*1000000/D3006</f>
        <v>1022148.9008279478</v>
      </c>
      <c r="I3006" t="str">
        <f>IF(AND(B3006&gt;=2018, B3006&lt;=2021), "2018-2021", IF(AND(B3006&gt;=2022, B3006&lt;=2024), "2022-2024", "Other"))</f>
        <v>2022-2024</v>
      </c>
    </row>
    <row r="3007" spans="1:9" x14ac:dyDescent="0.3">
      <c r="A3007" t="s">
        <v>20</v>
      </c>
      <c r="B3007">
        <v>2023</v>
      </c>
      <c r="C3007" t="s">
        <v>6</v>
      </c>
      <c r="D3007">
        <v>17583.7</v>
      </c>
      <c r="E3007">
        <v>14602.34</v>
      </c>
      <c r="F3007">
        <v>83.05</v>
      </c>
      <c r="G3007">
        <v>685.5</v>
      </c>
      <c r="H3007">
        <f>E3007*1000000/D3007</f>
        <v>830447.51673424814</v>
      </c>
      <c r="I3007" t="str">
        <f>IF(AND(B3007&gt;=2018, B3007&lt;=2021), "2018-2021", IF(AND(B3007&gt;=2022, B3007&lt;=2024), "2022-2024", "Other"))</f>
        <v>2022-2024</v>
      </c>
    </row>
    <row r="3008" spans="1:9" x14ac:dyDescent="0.3">
      <c r="A3008" t="s">
        <v>27</v>
      </c>
      <c r="B3008">
        <v>2024</v>
      </c>
      <c r="C3008" t="s">
        <v>14</v>
      </c>
      <c r="D3008">
        <v>39583.18</v>
      </c>
      <c r="E3008">
        <v>43098.3</v>
      </c>
      <c r="F3008">
        <v>112.77</v>
      </c>
      <c r="G3008">
        <v>991.16</v>
      </c>
      <c r="H3008">
        <f>E3008*1000000/D3008</f>
        <v>1088803.3755751811</v>
      </c>
      <c r="I3008" t="str">
        <f>IF(AND(B3008&gt;=2018, B3008&lt;=2021), "2018-2021", IF(AND(B3008&gt;=2022, B3008&lt;=2024), "2022-2024", "Other"))</f>
        <v>2022-2024</v>
      </c>
    </row>
    <row r="3009" spans="1:9" x14ac:dyDescent="0.3">
      <c r="A3009" t="s">
        <v>17</v>
      </c>
      <c r="B3009">
        <v>2024</v>
      </c>
      <c r="C3009" t="s">
        <v>4</v>
      </c>
      <c r="D3009">
        <v>19152.45</v>
      </c>
      <c r="E3009">
        <v>15679.6</v>
      </c>
      <c r="F3009">
        <v>136.22999999999999</v>
      </c>
      <c r="G3009">
        <v>179.83</v>
      </c>
      <c r="H3009">
        <f>E3009*1000000/D3009</f>
        <v>818673.32899968408</v>
      </c>
      <c r="I3009" t="str">
        <f>IF(AND(B3009&gt;=2018, B3009&lt;=2021), "2018-2021", IF(AND(B3009&gt;=2022, B3009&lt;=2024), "2022-2024", "Other"))</f>
        <v>2022-2024</v>
      </c>
    </row>
    <row r="3010" spans="1:9" x14ac:dyDescent="0.3">
      <c r="A3010" t="s">
        <v>11</v>
      </c>
      <c r="B3010">
        <v>2020</v>
      </c>
      <c r="C3010" t="s">
        <v>0</v>
      </c>
      <c r="D3010">
        <v>24305.31</v>
      </c>
      <c r="E3010">
        <v>24948</v>
      </c>
      <c r="F3010">
        <v>122.76</v>
      </c>
      <c r="G3010">
        <v>131.83000000000001</v>
      </c>
      <c r="H3010">
        <f>E3010*1000000/D3010</f>
        <v>1026442.3700006295</v>
      </c>
      <c r="I3010" t="str">
        <f>IF(AND(B3010&gt;=2018, B3010&lt;=2021), "2018-2021", IF(AND(B3010&gt;=2022, B3010&lt;=2024), "2022-2024", "Other"))</f>
        <v>2018-2021</v>
      </c>
    </row>
    <row r="3011" spans="1:9" x14ac:dyDescent="0.3">
      <c r="A3011" t="s">
        <v>20</v>
      </c>
      <c r="B3011">
        <v>2023</v>
      </c>
      <c r="C3011" t="s">
        <v>0</v>
      </c>
      <c r="D3011">
        <v>43549.61</v>
      </c>
      <c r="E3011">
        <v>39176.19</v>
      </c>
      <c r="F3011">
        <v>122.33</v>
      </c>
      <c r="G3011">
        <v>1110.6099999999999</v>
      </c>
      <c r="H3011">
        <f>E3011*1000000/D3011</f>
        <v>899576.13856932358</v>
      </c>
      <c r="I3011" t="str">
        <f>IF(AND(B3011&gt;=2018, B3011&lt;=2021), "2018-2021", IF(AND(B3011&gt;=2022, B3011&lt;=2024), "2022-2024", "Other"))</f>
        <v>2022-2024</v>
      </c>
    </row>
    <row r="3012" spans="1:9" x14ac:dyDescent="0.3">
      <c r="A3012" t="s">
        <v>17</v>
      </c>
      <c r="B3012">
        <v>2021</v>
      </c>
      <c r="C3012" t="s">
        <v>0</v>
      </c>
      <c r="D3012">
        <v>18752.86</v>
      </c>
      <c r="E3012">
        <v>18157.59</v>
      </c>
      <c r="F3012">
        <v>34.369999999999997</v>
      </c>
      <c r="G3012">
        <v>687.19</v>
      </c>
      <c r="H3012">
        <f>E3012*1000000/D3012</f>
        <v>968257.10851571441</v>
      </c>
      <c r="I3012" t="str">
        <f>IF(AND(B3012&gt;=2018, B3012&lt;=2021), "2018-2021", IF(AND(B3012&gt;=2022, B3012&lt;=2024), "2022-2024", "Other"))</f>
        <v>2018-2021</v>
      </c>
    </row>
    <row r="3013" spans="1:9" x14ac:dyDescent="0.3">
      <c r="A3013" t="s">
        <v>26</v>
      </c>
      <c r="B3013">
        <v>2022</v>
      </c>
      <c r="C3013" t="s">
        <v>14</v>
      </c>
      <c r="D3013">
        <v>39056.71</v>
      </c>
      <c r="E3013">
        <v>46470.62</v>
      </c>
      <c r="F3013">
        <v>94.79</v>
      </c>
      <c r="G3013">
        <v>1292.74</v>
      </c>
      <c r="H3013">
        <f>E3013*1000000/D3013</f>
        <v>1189824.2325070391</v>
      </c>
      <c r="I3013" t="str">
        <f>IF(AND(B3013&gt;=2018, B3013&lt;=2021), "2018-2021", IF(AND(B3013&gt;=2022, B3013&lt;=2024), "2022-2024", "Other"))</f>
        <v>2022-2024</v>
      </c>
    </row>
    <row r="3014" spans="1:9" x14ac:dyDescent="0.3">
      <c r="A3014" t="s">
        <v>21</v>
      </c>
      <c r="B3014">
        <v>2019</v>
      </c>
      <c r="C3014" t="s">
        <v>8</v>
      </c>
      <c r="D3014">
        <v>13212.92</v>
      </c>
      <c r="E3014">
        <v>14761.67</v>
      </c>
      <c r="F3014">
        <v>84.85</v>
      </c>
      <c r="G3014">
        <v>1127.6199999999999</v>
      </c>
      <c r="H3014">
        <f>E3014*1000000/D3014</f>
        <v>1117214.8170124392</v>
      </c>
      <c r="I3014" t="str">
        <f>IF(AND(B3014&gt;=2018, B3014&lt;=2021), "2018-2021", IF(AND(B3014&gt;=2022, B3014&lt;=2024), "2022-2024", "Other"))</f>
        <v>2018-2021</v>
      </c>
    </row>
    <row r="3015" spans="1:9" x14ac:dyDescent="0.3">
      <c r="A3015" t="s">
        <v>7</v>
      </c>
      <c r="B3015">
        <v>2022</v>
      </c>
      <c r="C3015" t="s">
        <v>8</v>
      </c>
      <c r="D3015">
        <v>12214.35</v>
      </c>
      <c r="E3015">
        <v>12612.64</v>
      </c>
      <c r="F3015">
        <v>69.67</v>
      </c>
      <c r="G3015">
        <v>393.64</v>
      </c>
      <c r="H3015">
        <f>E3015*1000000/D3015</f>
        <v>1032608.3663887149</v>
      </c>
      <c r="I3015" t="str">
        <f>IF(AND(B3015&gt;=2018, B3015&lt;=2021), "2018-2021", IF(AND(B3015&gt;=2022, B3015&lt;=2024), "2022-2024", "Other"))</f>
        <v>2022-2024</v>
      </c>
    </row>
    <row r="3016" spans="1:9" x14ac:dyDescent="0.3">
      <c r="A3016" t="s">
        <v>1</v>
      </c>
      <c r="B3016">
        <v>2024</v>
      </c>
      <c r="C3016" t="s">
        <v>4</v>
      </c>
      <c r="D3016">
        <v>19377.14</v>
      </c>
      <c r="E3016">
        <v>21240.560000000001</v>
      </c>
      <c r="F3016">
        <v>42.61</v>
      </c>
      <c r="G3016">
        <v>624.77</v>
      </c>
      <c r="H3016">
        <f>E3016*1000000/D3016</f>
        <v>1096165.8944508838</v>
      </c>
      <c r="I3016" t="str">
        <f>IF(AND(B3016&gt;=2018, B3016&lt;=2021), "2018-2021", IF(AND(B3016&gt;=2022, B3016&lt;=2024), "2022-2024", "Other"))</f>
        <v>2022-2024</v>
      </c>
    </row>
    <row r="3017" spans="1:9" x14ac:dyDescent="0.3">
      <c r="A3017" t="s">
        <v>21</v>
      </c>
      <c r="B3017">
        <v>2024</v>
      </c>
      <c r="C3017" t="s">
        <v>9</v>
      </c>
      <c r="D3017">
        <v>28618.26</v>
      </c>
      <c r="E3017">
        <v>32690.25</v>
      </c>
      <c r="F3017">
        <v>167.11</v>
      </c>
      <c r="G3017">
        <v>956.93</v>
      </c>
      <c r="H3017">
        <f>E3017*1000000/D3017</f>
        <v>1142286.4283153485</v>
      </c>
      <c r="I3017" t="str">
        <f>IF(AND(B3017&gt;=2018, B3017&lt;=2021), "2018-2021", IF(AND(B3017&gt;=2022, B3017&lt;=2024), "2022-2024", "Other"))</f>
        <v>2022-2024</v>
      </c>
    </row>
    <row r="3018" spans="1:9" x14ac:dyDescent="0.3">
      <c r="A3018" t="s">
        <v>24</v>
      </c>
      <c r="B3018">
        <v>2021</v>
      </c>
      <c r="C3018" t="s">
        <v>6</v>
      </c>
      <c r="D3018">
        <v>24849.69</v>
      </c>
      <c r="E3018">
        <v>27043.72</v>
      </c>
      <c r="F3018">
        <v>132.5</v>
      </c>
      <c r="G3018">
        <v>882.12</v>
      </c>
      <c r="H3018">
        <f>E3018*1000000/D3018</f>
        <v>1088292.0471040083</v>
      </c>
      <c r="I3018" t="str">
        <f>IF(AND(B3018&gt;=2018, B3018&lt;=2021), "2018-2021", IF(AND(B3018&gt;=2022, B3018&lt;=2024), "2022-2024", "Other"))</f>
        <v>2018-2021</v>
      </c>
    </row>
    <row r="3019" spans="1:9" x14ac:dyDescent="0.3">
      <c r="A3019" t="s">
        <v>1</v>
      </c>
      <c r="B3019">
        <v>2019</v>
      </c>
      <c r="C3019" t="s">
        <v>8</v>
      </c>
      <c r="D3019">
        <v>37869.32</v>
      </c>
      <c r="E3019">
        <v>35912.22</v>
      </c>
      <c r="F3019">
        <v>110.44</v>
      </c>
      <c r="G3019">
        <v>345.33</v>
      </c>
      <c r="H3019">
        <f>E3019*1000000/D3019</f>
        <v>948319.64239125501</v>
      </c>
      <c r="I3019" t="str">
        <f>IF(AND(B3019&gt;=2018, B3019&lt;=2021), "2018-2021", IF(AND(B3019&gt;=2022, B3019&lt;=2024), "2022-2024", "Other"))</f>
        <v>2018-2021</v>
      </c>
    </row>
    <row r="3020" spans="1:9" x14ac:dyDescent="0.3">
      <c r="A3020" t="s">
        <v>10</v>
      </c>
      <c r="B3020">
        <v>2018</v>
      </c>
      <c r="C3020" t="s">
        <v>6</v>
      </c>
      <c r="D3020">
        <v>16509.39</v>
      </c>
      <c r="E3020">
        <v>17572.509999999998</v>
      </c>
      <c r="F3020">
        <v>24.01</v>
      </c>
      <c r="G3020">
        <v>893.33</v>
      </c>
      <c r="H3020">
        <f>E3020*1000000/D3020</f>
        <v>1064394.8686171931</v>
      </c>
      <c r="I3020" t="str">
        <f>IF(AND(B3020&gt;=2018, B3020&lt;=2021), "2018-2021", IF(AND(B3020&gt;=2022, B3020&lt;=2024), "2022-2024", "Other"))</f>
        <v>2018-2021</v>
      </c>
    </row>
    <row r="3021" spans="1:9" x14ac:dyDescent="0.3">
      <c r="A3021" t="s">
        <v>3</v>
      </c>
      <c r="B3021">
        <v>2018</v>
      </c>
      <c r="C3021" t="s">
        <v>14</v>
      </c>
      <c r="D3021">
        <v>31983.919999999998</v>
      </c>
      <c r="E3021">
        <v>26673.23</v>
      </c>
      <c r="F3021">
        <v>189.9</v>
      </c>
      <c r="G3021">
        <v>951.51</v>
      </c>
      <c r="H3021">
        <f>E3021*1000000/D3021</f>
        <v>833957.50114432501</v>
      </c>
      <c r="I3021" t="str">
        <f>IF(AND(B3021&gt;=2018, B3021&lt;=2021), "2018-2021", IF(AND(B3021&gt;=2022, B3021&lt;=2024), "2022-2024", "Other"))</f>
        <v>2018-2021</v>
      </c>
    </row>
    <row r="3022" spans="1:9" x14ac:dyDescent="0.3">
      <c r="A3022" t="s">
        <v>24</v>
      </c>
      <c r="B3022">
        <v>2020</v>
      </c>
      <c r="C3022" t="s">
        <v>8</v>
      </c>
      <c r="D3022">
        <v>41944.46</v>
      </c>
      <c r="E3022">
        <v>44101.79</v>
      </c>
      <c r="F3022">
        <v>197.72</v>
      </c>
      <c r="G3022">
        <v>1039.46</v>
      </c>
      <c r="H3022">
        <f>E3022*1000000/D3022</f>
        <v>1051433.0140380876</v>
      </c>
      <c r="I3022" t="str">
        <f>IF(AND(B3022&gt;=2018, B3022&lt;=2021), "2018-2021", IF(AND(B3022&gt;=2022, B3022&lt;=2024), "2022-2024", "Other"))</f>
        <v>2018-2021</v>
      </c>
    </row>
    <row r="3023" spans="1:9" x14ac:dyDescent="0.3">
      <c r="A3023" t="s">
        <v>25</v>
      </c>
      <c r="B3023">
        <v>2018</v>
      </c>
      <c r="C3023" t="s">
        <v>0</v>
      </c>
      <c r="D3023">
        <v>27317.9</v>
      </c>
      <c r="E3023">
        <v>27416.93</v>
      </c>
      <c r="F3023">
        <v>97.26</v>
      </c>
      <c r="G3023">
        <v>168.05</v>
      </c>
      <c r="H3023">
        <f>E3023*1000000/D3023</f>
        <v>1003625.095633266</v>
      </c>
      <c r="I3023" t="str">
        <f>IF(AND(B3023&gt;=2018, B3023&lt;=2021), "2018-2021", IF(AND(B3023&gt;=2022, B3023&lt;=2024), "2022-2024", "Other"))</f>
        <v>2018-2021</v>
      </c>
    </row>
    <row r="3024" spans="1:9" x14ac:dyDescent="0.3">
      <c r="A3024" t="s">
        <v>1</v>
      </c>
      <c r="B3024">
        <v>2021</v>
      </c>
      <c r="C3024" t="s">
        <v>12</v>
      </c>
      <c r="D3024">
        <v>16272.92</v>
      </c>
      <c r="E3024">
        <v>13871.08</v>
      </c>
      <c r="F3024">
        <v>68.44</v>
      </c>
      <c r="G3024">
        <v>834.8</v>
      </c>
      <c r="H3024">
        <f>E3024*1000000/D3024</f>
        <v>852402.64193519054</v>
      </c>
      <c r="I3024" t="str">
        <f>IF(AND(B3024&gt;=2018, B3024&lt;=2021), "2018-2021", IF(AND(B3024&gt;=2022, B3024&lt;=2024), "2022-2024", "Other"))</f>
        <v>2018-2021</v>
      </c>
    </row>
    <row r="3025" spans="1:9" x14ac:dyDescent="0.3">
      <c r="A3025" t="s">
        <v>23</v>
      </c>
      <c r="B3025">
        <v>2019</v>
      </c>
      <c r="C3025" t="s">
        <v>6</v>
      </c>
      <c r="D3025">
        <v>18165.75</v>
      </c>
      <c r="E3025">
        <v>20967</v>
      </c>
      <c r="F3025">
        <v>117.95</v>
      </c>
      <c r="G3025">
        <v>720.22</v>
      </c>
      <c r="H3025">
        <f>E3025*1000000/D3025</f>
        <v>1154205.0286941084</v>
      </c>
      <c r="I3025" t="str">
        <f>IF(AND(B3025&gt;=2018, B3025&lt;=2021), "2018-2021", IF(AND(B3025&gt;=2022, B3025&lt;=2024), "2022-2024", "Other"))</f>
        <v>2018-2021</v>
      </c>
    </row>
    <row r="3026" spans="1:9" x14ac:dyDescent="0.3">
      <c r="A3026" t="s">
        <v>5</v>
      </c>
      <c r="B3026">
        <v>2018</v>
      </c>
      <c r="C3026" t="s">
        <v>14</v>
      </c>
      <c r="D3026">
        <v>49651.71</v>
      </c>
      <c r="E3026">
        <v>45493.82</v>
      </c>
      <c r="F3026">
        <v>128.16</v>
      </c>
      <c r="G3026">
        <v>539.92999999999995</v>
      </c>
      <c r="H3026">
        <f>E3026*1000000/D3026</f>
        <v>916258.8760789911</v>
      </c>
      <c r="I3026" t="str">
        <f>IF(AND(B3026&gt;=2018, B3026&lt;=2021), "2018-2021", IF(AND(B3026&gt;=2022, B3026&lt;=2024), "2022-2024", "Other"))</f>
        <v>2018-2021</v>
      </c>
    </row>
    <row r="3027" spans="1:9" x14ac:dyDescent="0.3">
      <c r="A3027" t="s">
        <v>11</v>
      </c>
      <c r="B3027">
        <v>2021</v>
      </c>
      <c r="C3027" t="s">
        <v>6</v>
      </c>
      <c r="D3027">
        <v>25968.3</v>
      </c>
      <c r="E3027">
        <v>28645.91</v>
      </c>
      <c r="F3027">
        <v>122.03</v>
      </c>
      <c r="G3027">
        <v>954.54</v>
      </c>
      <c r="H3027">
        <f>E3027*1000000/D3027</f>
        <v>1103110.7157572887</v>
      </c>
      <c r="I3027" t="str">
        <f>IF(AND(B3027&gt;=2018, B3027&lt;=2021), "2018-2021", IF(AND(B3027&gt;=2022, B3027&lt;=2024), "2022-2024", "Other"))</f>
        <v>2018-2021</v>
      </c>
    </row>
    <row r="3028" spans="1:9" x14ac:dyDescent="0.3">
      <c r="A3028" t="s">
        <v>23</v>
      </c>
      <c r="B3028">
        <v>2022</v>
      </c>
      <c r="C3028" t="s">
        <v>0</v>
      </c>
      <c r="D3028">
        <v>4975.04</v>
      </c>
      <c r="E3028">
        <v>4138.17</v>
      </c>
      <c r="F3028">
        <v>69.22</v>
      </c>
      <c r="G3028">
        <v>234.27</v>
      </c>
      <c r="H3028">
        <f>E3028*1000000/D3028</f>
        <v>831786.27709525952</v>
      </c>
      <c r="I3028" t="str">
        <f>IF(AND(B3028&gt;=2018, B3028&lt;=2021), "2018-2021", IF(AND(B3028&gt;=2022, B3028&lt;=2024), "2022-2024", "Other"))</f>
        <v>2022-2024</v>
      </c>
    </row>
    <row r="3029" spans="1:9" x14ac:dyDescent="0.3">
      <c r="A3029" t="s">
        <v>10</v>
      </c>
      <c r="B3029">
        <v>2023</v>
      </c>
      <c r="C3029" t="s">
        <v>0</v>
      </c>
      <c r="D3029">
        <v>16276.69</v>
      </c>
      <c r="E3029">
        <v>16703.509999999998</v>
      </c>
      <c r="F3029">
        <v>183.68</v>
      </c>
      <c r="G3029">
        <v>1011.68</v>
      </c>
      <c r="H3029">
        <f>E3029*1000000/D3029</f>
        <v>1026222.7762524197</v>
      </c>
      <c r="I3029" t="str">
        <f>IF(AND(B3029&gt;=2018, B3029&lt;=2021), "2018-2021", IF(AND(B3029&gt;=2022, B3029&lt;=2024), "2022-2024", "Other"))</f>
        <v>2022-2024</v>
      </c>
    </row>
    <row r="3030" spans="1:9" x14ac:dyDescent="0.3">
      <c r="A3030" t="s">
        <v>25</v>
      </c>
      <c r="B3030">
        <v>2020</v>
      </c>
      <c r="C3030" t="s">
        <v>2</v>
      </c>
      <c r="D3030">
        <v>39838.370000000003</v>
      </c>
      <c r="E3030">
        <v>40364.980000000003</v>
      </c>
      <c r="F3030">
        <v>123.76</v>
      </c>
      <c r="G3030">
        <v>1347.18</v>
      </c>
      <c r="H3030">
        <f>E3030*1000000/D3030</f>
        <v>1013218.6633137851</v>
      </c>
      <c r="I3030" t="str">
        <f>IF(AND(B3030&gt;=2018, B3030&lt;=2021), "2018-2021", IF(AND(B3030&gt;=2022, B3030&lt;=2024), "2022-2024", "Other"))</f>
        <v>2018-2021</v>
      </c>
    </row>
    <row r="3031" spans="1:9" x14ac:dyDescent="0.3">
      <c r="A3031" t="s">
        <v>25</v>
      </c>
      <c r="B3031">
        <v>2024</v>
      </c>
      <c r="C3031" t="s">
        <v>6</v>
      </c>
      <c r="D3031">
        <v>16319.38</v>
      </c>
      <c r="E3031">
        <v>16600.71</v>
      </c>
      <c r="F3031">
        <v>155.21</v>
      </c>
      <c r="G3031">
        <v>123.64</v>
      </c>
      <c r="H3031">
        <f>E3031*1000000/D3031</f>
        <v>1017239.0127566122</v>
      </c>
      <c r="I3031" t="str">
        <f>IF(AND(B3031&gt;=2018, B3031&lt;=2021), "2018-2021", IF(AND(B3031&gt;=2022, B3031&lt;=2024), "2022-2024", "Other"))</f>
        <v>2022-2024</v>
      </c>
    </row>
    <row r="3032" spans="1:9" x14ac:dyDescent="0.3">
      <c r="A3032" t="s">
        <v>25</v>
      </c>
      <c r="B3032">
        <v>2024</v>
      </c>
      <c r="C3032" t="s">
        <v>0</v>
      </c>
      <c r="D3032">
        <v>13490.82</v>
      </c>
      <c r="E3032">
        <v>10997.21</v>
      </c>
      <c r="F3032">
        <v>48.18</v>
      </c>
      <c r="G3032">
        <v>45.98</v>
      </c>
      <c r="H3032">
        <f>E3032*1000000/D3032</f>
        <v>815162.45862000983</v>
      </c>
      <c r="I3032" t="str">
        <f>IF(AND(B3032&gt;=2018, B3032&lt;=2021), "2018-2021", IF(AND(B3032&gt;=2022, B3032&lt;=2024), "2022-2024", "Other"))</f>
        <v>2022-2024</v>
      </c>
    </row>
    <row r="3033" spans="1:9" x14ac:dyDescent="0.3">
      <c r="A3033" t="s">
        <v>26</v>
      </c>
      <c r="B3033">
        <v>2018</v>
      </c>
      <c r="C3033" t="s">
        <v>2</v>
      </c>
      <c r="D3033">
        <v>11960.04</v>
      </c>
      <c r="E3033">
        <v>13749.13</v>
      </c>
      <c r="F3033">
        <v>109.81</v>
      </c>
      <c r="G3033">
        <v>877.79</v>
      </c>
      <c r="H3033">
        <f>E3033*1000000/D3033</f>
        <v>1149588.9645854027</v>
      </c>
      <c r="I3033" t="str">
        <f>IF(AND(B3033&gt;=2018, B3033&lt;=2021), "2018-2021", IF(AND(B3033&gt;=2022, B3033&lt;=2024), "2022-2024", "Other"))</f>
        <v>2018-2021</v>
      </c>
    </row>
    <row r="3034" spans="1:9" x14ac:dyDescent="0.3">
      <c r="A3034" t="s">
        <v>5</v>
      </c>
      <c r="B3034">
        <v>2024</v>
      </c>
      <c r="C3034" t="s">
        <v>14</v>
      </c>
      <c r="D3034">
        <v>9885.2800000000007</v>
      </c>
      <c r="E3034">
        <v>10090</v>
      </c>
      <c r="F3034">
        <v>193.59</v>
      </c>
      <c r="G3034">
        <v>155.88999999999999</v>
      </c>
      <c r="H3034">
        <f>E3034*1000000/D3034</f>
        <v>1020709.5803052619</v>
      </c>
      <c r="I3034" t="str">
        <f>IF(AND(B3034&gt;=2018, B3034&lt;=2021), "2018-2021", IF(AND(B3034&gt;=2022, B3034&lt;=2024), "2022-2024", "Other"))</f>
        <v>2022-2024</v>
      </c>
    </row>
    <row r="3035" spans="1:9" x14ac:dyDescent="0.3">
      <c r="A3035" t="s">
        <v>22</v>
      </c>
      <c r="B3035">
        <v>2019</v>
      </c>
      <c r="C3035" t="s">
        <v>0</v>
      </c>
      <c r="D3035">
        <v>8716</v>
      </c>
      <c r="E3035">
        <v>9644.6299999999992</v>
      </c>
      <c r="F3035">
        <v>72.92</v>
      </c>
      <c r="G3035">
        <v>179.8</v>
      </c>
      <c r="H3035">
        <f>E3035*1000000/D3035</f>
        <v>1106543.1390546123</v>
      </c>
      <c r="I3035" t="str">
        <f>IF(AND(B3035&gt;=2018, B3035&lt;=2021), "2018-2021", IF(AND(B3035&gt;=2022, B3035&lt;=2024), "2022-2024", "Other"))</f>
        <v>2018-2021</v>
      </c>
    </row>
    <row r="3036" spans="1:9" x14ac:dyDescent="0.3">
      <c r="A3036" t="s">
        <v>16</v>
      </c>
      <c r="B3036">
        <v>2020</v>
      </c>
      <c r="C3036" t="s">
        <v>8</v>
      </c>
      <c r="D3036">
        <v>22751.56</v>
      </c>
      <c r="E3036">
        <v>25813.94</v>
      </c>
      <c r="F3036">
        <v>111.67</v>
      </c>
      <c r="G3036">
        <v>510.56</v>
      </c>
      <c r="H3036">
        <f>E3036*1000000/D3036</f>
        <v>1134600.8801154734</v>
      </c>
      <c r="I3036" t="str">
        <f>IF(AND(B3036&gt;=2018, B3036&lt;=2021), "2018-2021", IF(AND(B3036&gt;=2022, B3036&lt;=2024), "2022-2024", "Other"))</f>
        <v>2018-2021</v>
      </c>
    </row>
    <row r="3037" spans="1:9" x14ac:dyDescent="0.3">
      <c r="A3037" t="s">
        <v>11</v>
      </c>
      <c r="B3037">
        <v>2022</v>
      </c>
      <c r="C3037" t="s">
        <v>8</v>
      </c>
      <c r="D3037">
        <v>37858.74</v>
      </c>
      <c r="E3037">
        <v>34972.42</v>
      </c>
      <c r="F3037">
        <v>78.05</v>
      </c>
      <c r="G3037">
        <v>486.42</v>
      </c>
      <c r="H3037">
        <f>E3037*1000000/D3037</f>
        <v>923760.80133675877</v>
      </c>
      <c r="I3037" t="str">
        <f>IF(AND(B3037&gt;=2018, B3037&lt;=2021), "2018-2021", IF(AND(B3037&gt;=2022, B3037&lt;=2024), "2022-2024", "Other"))</f>
        <v>2022-2024</v>
      </c>
    </row>
    <row r="3038" spans="1:9" x14ac:dyDescent="0.3">
      <c r="A3038" t="s">
        <v>22</v>
      </c>
      <c r="B3038">
        <v>2022</v>
      </c>
      <c r="C3038" t="s">
        <v>8</v>
      </c>
      <c r="D3038">
        <v>29974.31</v>
      </c>
      <c r="E3038">
        <v>32496.03</v>
      </c>
      <c r="F3038">
        <v>65.290000000000006</v>
      </c>
      <c r="G3038">
        <v>1100.6300000000001</v>
      </c>
      <c r="H3038">
        <f>E3038*1000000/D3038</f>
        <v>1084129.3761224195</v>
      </c>
      <c r="I3038" t="str">
        <f>IF(AND(B3038&gt;=2018, B3038&lt;=2021), "2018-2021", IF(AND(B3038&gt;=2022, B3038&lt;=2024), "2022-2024", "Other"))</f>
        <v>2022-2024</v>
      </c>
    </row>
    <row r="3039" spans="1:9" x14ac:dyDescent="0.3">
      <c r="A3039" t="s">
        <v>11</v>
      </c>
      <c r="B3039">
        <v>2023</v>
      </c>
      <c r="C3039" t="s">
        <v>8</v>
      </c>
      <c r="D3039">
        <v>20302.189999999999</v>
      </c>
      <c r="E3039">
        <v>20223.89</v>
      </c>
      <c r="F3039">
        <v>185.02</v>
      </c>
      <c r="G3039">
        <v>232.09</v>
      </c>
      <c r="H3039">
        <f>E3039*1000000/D3039</f>
        <v>996143.27321338246</v>
      </c>
      <c r="I3039" t="str">
        <f>IF(AND(B3039&gt;=2018, B3039&lt;=2021), "2018-2021", IF(AND(B3039&gt;=2022, B3039&lt;=2024), "2022-2024", "Other"))</f>
        <v>2022-2024</v>
      </c>
    </row>
    <row r="3040" spans="1:9" x14ac:dyDescent="0.3">
      <c r="A3040" t="s">
        <v>10</v>
      </c>
      <c r="B3040">
        <v>2022</v>
      </c>
      <c r="C3040" t="s">
        <v>9</v>
      </c>
      <c r="D3040">
        <v>49337.57</v>
      </c>
      <c r="E3040">
        <v>42934.92</v>
      </c>
      <c r="F3040">
        <v>103.54</v>
      </c>
      <c r="G3040">
        <v>482.65</v>
      </c>
      <c r="H3040">
        <f>E3040*1000000/D3040</f>
        <v>870227.69868884911</v>
      </c>
      <c r="I3040" t="str">
        <f>IF(AND(B3040&gt;=2018, B3040&lt;=2021), "2018-2021", IF(AND(B3040&gt;=2022, B3040&lt;=2024), "2022-2024", "Other"))</f>
        <v>2022-2024</v>
      </c>
    </row>
    <row r="3041" spans="1:9" x14ac:dyDescent="0.3">
      <c r="A3041" t="s">
        <v>16</v>
      </c>
      <c r="B3041">
        <v>2023</v>
      </c>
      <c r="C3041" t="s">
        <v>0</v>
      </c>
      <c r="D3041">
        <v>47373.36</v>
      </c>
      <c r="E3041">
        <v>55692.26</v>
      </c>
      <c r="F3041">
        <v>129.24</v>
      </c>
      <c r="G3041">
        <v>1101.3</v>
      </c>
      <c r="H3041">
        <f>E3041*1000000/D3041</f>
        <v>1175602.9126918588</v>
      </c>
      <c r="I3041" t="str">
        <f>IF(AND(B3041&gt;=2018, B3041&lt;=2021), "2018-2021", IF(AND(B3041&gt;=2022, B3041&lt;=2024), "2022-2024", "Other"))</f>
        <v>2022-2024</v>
      </c>
    </row>
    <row r="3042" spans="1:9" x14ac:dyDescent="0.3">
      <c r="A3042" t="s">
        <v>17</v>
      </c>
      <c r="B3042">
        <v>2019</v>
      </c>
      <c r="C3042" t="s">
        <v>0</v>
      </c>
      <c r="D3042">
        <v>41505.08</v>
      </c>
      <c r="E3042">
        <v>33845.07</v>
      </c>
      <c r="F3042">
        <v>112.04</v>
      </c>
      <c r="G3042">
        <v>280.11</v>
      </c>
      <c r="H3042">
        <f>E3042*1000000/D3042</f>
        <v>815444.03721183038</v>
      </c>
      <c r="I3042" t="str">
        <f>IF(AND(B3042&gt;=2018, B3042&lt;=2021), "2018-2021", IF(AND(B3042&gt;=2022, B3042&lt;=2024), "2022-2024", "Other"))</f>
        <v>2018-2021</v>
      </c>
    </row>
    <row r="3043" spans="1:9" x14ac:dyDescent="0.3">
      <c r="A3043" t="s">
        <v>11</v>
      </c>
      <c r="B3043">
        <v>2018</v>
      </c>
      <c r="C3043" t="s">
        <v>2</v>
      </c>
      <c r="D3043">
        <v>45114.16</v>
      </c>
      <c r="E3043">
        <v>44709.61</v>
      </c>
      <c r="F3043">
        <v>188.62</v>
      </c>
      <c r="G3043">
        <v>319.85000000000002</v>
      </c>
      <c r="H3043">
        <f>E3043*1000000/D3043</f>
        <v>991032.74891962961</v>
      </c>
      <c r="I3043" t="str">
        <f>IF(AND(B3043&gt;=2018, B3043&lt;=2021), "2018-2021", IF(AND(B3043&gt;=2022, B3043&lt;=2024), "2022-2024", "Other"))</f>
        <v>2018-2021</v>
      </c>
    </row>
    <row r="3044" spans="1:9" x14ac:dyDescent="0.3">
      <c r="A3044" t="s">
        <v>22</v>
      </c>
      <c r="B3044">
        <v>2022</v>
      </c>
      <c r="C3044" t="s">
        <v>2</v>
      </c>
      <c r="D3044">
        <v>3762.04</v>
      </c>
      <c r="E3044">
        <v>3618.29</v>
      </c>
      <c r="F3044">
        <v>27.4</v>
      </c>
      <c r="G3044">
        <v>996.2</v>
      </c>
      <c r="H3044">
        <f>E3044*1000000/D3044</f>
        <v>961789.34833228786</v>
      </c>
      <c r="I3044" t="str">
        <f>IF(AND(B3044&gt;=2018, B3044&lt;=2021), "2018-2021", IF(AND(B3044&gt;=2022, B3044&lt;=2024), "2022-2024", "Other"))</f>
        <v>2022-2024</v>
      </c>
    </row>
    <row r="3045" spans="1:9" x14ac:dyDescent="0.3">
      <c r="A3045" t="s">
        <v>10</v>
      </c>
      <c r="B3045">
        <v>2021</v>
      </c>
      <c r="C3045" t="s">
        <v>14</v>
      </c>
      <c r="D3045">
        <v>5891.72</v>
      </c>
      <c r="E3045">
        <v>4807.38</v>
      </c>
      <c r="F3045">
        <v>190.78</v>
      </c>
      <c r="G3045">
        <v>290.39</v>
      </c>
      <c r="H3045">
        <f>E3045*1000000/D3045</f>
        <v>815955.27282355574</v>
      </c>
      <c r="I3045" t="str">
        <f>IF(AND(B3045&gt;=2018, B3045&lt;=2021), "2018-2021", IF(AND(B3045&gt;=2022, B3045&lt;=2024), "2022-2024", "Other"))</f>
        <v>2018-2021</v>
      </c>
    </row>
    <row r="3046" spans="1:9" x14ac:dyDescent="0.3">
      <c r="A3046" t="s">
        <v>21</v>
      </c>
      <c r="B3046">
        <v>2018</v>
      </c>
      <c r="C3046" t="s">
        <v>9</v>
      </c>
      <c r="D3046">
        <v>35181.49</v>
      </c>
      <c r="E3046">
        <v>38177.300000000003</v>
      </c>
      <c r="F3046">
        <v>179.61</v>
      </c>
      <c r="G3046">
        <v>1179.74</v>
      </c>
      <c r="H3046">
        <f>E3046*1000000/D3046</f>
        <v>1085153.0165436429</v>
      </c>
      <c r="I3046" t="str">
        <f>IF(AND(B3046&gt;=2018, B3046&lt;=2021), "2018-2021", IF(AND(B3046&gt;=2022, B3046&lt;=2024), "2022-2024", "Other"))</f>
        <v>2018-2021</v>
      </c>
    </row>
    <row r="3047" spans="1:9" x14ac:dyDescent="0.3">
      <c r="A3047" t="s">
        <v>15</v>
      </c>
      <c r="B3047">
        <v>2023</v>
      </c>
      <c r="C3047" t="s">
        <v>2</v>
      </c>
      <c r="D3047">
        <v>21340.53</v>
      </c>
      <c r="E3047">
        <v>18787.62</v>
      </c>
      <c r="F3047">
        <v>120.91</v>
      </c>
      <c r="G3047">
        <v>1203.98</v>
      </c>
      <c r="H3047">
        <f>E3047*1000000/D3047</f>
        <v>880372.69927222992</v>
      </c>
      <c r="I3047" t="str">
        <f>IF(AND(B3047&gt;=2018, B3047&lt;=2021), "2018-2021", IF(AND(B3047&gt;=2022, B3047&lt;=2024), "2022-2024", "Other"))</f>
        <v>2022-2024</v>
      </c>
    </row>
    <row r="3048" spans="1:9" x14ac:dyDescent="0.3">
      <c r="A3048" t="s">
        <v>17</v>
      </c>
      <c r="B3048">
        <v>2019</v>
      </c>
      <c r="C3048" t="s">
        <v>9</v>
      </c>
      <c r="D3048">
        <v>34377.17</v>
      </c>
      <c r="E3048">
        <v>29072.21</v>
      </c>
      <c r="F3048">
        <v>140.08000000000001</v>
      </c>
      <c r="G3048">
        <v>984.11</v>
      </c>
      <c r="H3048">
        <f>E3048*1000000/D3048</f>
        <v>845683.63248050958</v>
      </c>
      <c r="I3048" t="str">
        <f>IF(AND(B3048&gt;=2018, B3048&lt;=2021), "2018-2021", IF(AND(B3048&gt;=2022, B3048&lt;=2024), "2022-2024", "Other"))</f>
        <v>2018-2021</v>
      </c>
    </row>
    <row r="3049" spans="1:9" x14ac:dyDescent="0.3">
      <c r="A3049" t="s">
        <v>11</v>
      </c>
      <c r="B3049">
        <v>2019</v>
      </c>
      <c r="C3049" t="s">
        <v>8</v>
      </c>
      <c r="D3049">
        <v>11916.64</v>
      </c>
      <c r="E3049">
        <v>13349.45</v>
      </c>
      <c r="F3049">
        <v>62.28</v>
      </c>
      <c r="G3049">
        <v>928.96</v>
      </c>
      <c r="H3049">
        <f>E3049*1000000/D3049</f>
        <v>1120236.0732555485</v>
      </c>
      <c r="I3049" t="str">
        <f>IF(AND(B3049&gt;=2018, B3049&lt;=2021), "2018-2021", IF(AND(B3049&gt;=2022, B3049&lt;=2024), "2022-2024", "Other"))</f>
        <v>2018-2021</v>
      </c>
    </row>
    <row r="3050" spans="1:9" x14ac:dyDescent="0.3">
      <c r="A3050" t="s">
        <v>27</v>
      </c>
      <c r="B3050">
        <v>2024</v>
      </c>
      <c r="C3050" t="s">
        <v>4</v>
      </c>
      <c r="D3050">
        <v>6094.39</v>
      </c>
      <c r="E3050">
        <v>6039.23</v>
      </c>
      <c r="F3050">
        <v>81.14</v>
      </c>
      <c r="G3050">
        <v>1340.57</v>
      </c>
      <c r="H3050">
        <f>E3050*1000000/D3050</f>
        <v>990949.05314559781</v>
      </c>
      <c r="I3050" t="str">
        <f>IF(AND(B3050&gt;=2018, B3050&lt;=2021), "2018-2021", IF(AND(B3050&gt;=2022, B3050&lt;=2024), "2022-2024", "Other"))</f>
        <v>2022-2024</v>
      </c>
    </row>
    <row r="3051" spans="1:9" x14ac:dyDescent="0.3">
      <c r="A3051" t="s">
        <v>16</v>
      </c>
      <c r="B3051">
        <v>2021</v>
      </c>
      <c r="C3051" t="s">
        <v>12</v>
      </c>
      <c r="D3051">
        <v>45815.53</v>
      </c>
      <c r="E3051">
        <v>37369.25</v>
      </c>
      <c r="F3051">
        <v>120.55</v>
      </c>
      <c r="G3051">
        <v>836.54</v>
      </c>
      <c r="H3051">
        <f>E3051*1000000/D3051</f>
        <v>815645.91744327743</v>
      </c>
      <c r="I3051" t="str">
        <f>IF(AND(B3051&gt;=2018, B3051&lt;=2021), "2018-2021", IF(AND(B3051&gt;=2022, B3051&lt;=2024), "2022-2024", "Other"))</f>
        <v>2018-2021</v>
      </c>
    </row>
    <row r="3052" spans="1:9" x14ac:dyDescent="0.3">
      <c r="A3052" t="s">
        <v>27</v>
      </c>
      <c r="B3052">
        <v>2024</v>
      </c>
      <c r="C3052" t="s">
        <v>6</v>
      </c>
      <c r="D3052">
        <v>35196.99</v>
      </c>
      <c r="E3052">
        <v>41710.61</v>
      </c>
      <c r="F3052">
        <v>40.340000000000003</v>
      </c>
      <c r="G3052">
        <v>1186.18</v>
      </c>
      <c r="H3052">
        <f>E3052*1000000/D3052</f>
        <v>1185061.8476182197</v>
      </c>
      <c r="I3052" t="str">
        <f>IF(AND(B3052&gt;=2018, B3052&lt;=2021), "2018-2021", IF(AND(B3052&gt;=2022, B3052&lt;=2024), "2022-2024", "Other"))</f>
        <v>2022-2024</v>
      </c>
    </row>
    <row r="3053" spans="1:9" x14ac:dyDescent="0.3">
      <c r="A3053" t="s">
        <v>7</v>
      </c>
      <c r="B3053">
        <v>2019</v>
      </c>
      <c r="C3053" t="s">
        <v>12</v>
      </c>
      <c r="D3053">
        <v>15082.95</v>
      </c>
      <c r="E3053">
        <v>15797.78</v>
      </c>
      <c r="F3053">
        <v>101.96</v>
      </c>
      <c r="G3053">
        <v>1211.83</v>
      </c>
      <c r="H3053">
        <f>E3053*1000000/D3053</f>
        <v>1047393.2486681981</v>
      </c>
      <c r="I3053" t="str">
        <f>IF(AND(B3053&gt;=2018, B3053&lt;=2021), "2018-2021", IF(AND(B3053&gt;=2022, B3053&lt;=2024), "2022-2024", "Other"))</f>
        <v>2018-2021</v>
      </c>
    </row>
    <row r="3054" spans="1:9" x14ac:dyDescent="0.3">
      <c r="A3054" t="s">
        <v>1</v>
      </c>
      <c r="B3054">
        <v>2022</v>
      </c>
      <c r="C3054" t="s">
        <v>4</v>
      </c>
      <c r="D3054">
        <v>21473.25</v>
      </c>
      <c r="E3054">
        <v>19444.45</v>
      </c>
      <c r="F3054">
        <v>80</v>
      </c>
      <c r="G3054">
        <v>1222.1600000000001</v>
      </c>
      <c r="H3054">
        <f>E3054*1000000/D3054</f>
        <v>905519.65817936265</v>
      </c>
      <c r="I3054" t="str">
        <f>IF(AND(B3054&gt;=2018, B3054&lt;=2021), "2018-2021", IF(AND(B3054&gt;=2022, B3054&lt;=2024), "2022-2024", "Other"))</f>
        <v>2022-2024</v>
      </c>
    </row>
    <row r="3055" spans="1:9" x14ac:dyDescent="0.3">
      <c r="A3055" t="s">
        <v>15</v>
      </c>
      <c r="B3055">
        <v>2023</v>
      </c>
      <c r="C3055" t="s">
        <v>12</v>
      </c>
      <c r="D3055">
        <v>32504.2</v>
      </c>
      <c r="E3055">
        <v>30432.43</v>
      </c>
      <c r="F3055">
        <v>67.400000000000006</v>
      </c>
      <c r="G3055">
        <v>1350.33</v>
      </c>
      <c r="H3055">
        <f>E3055*1000000/D3055</f>
        <v>936261.46774878318</v>
      </c>
      <c r="I3055" t="str">
        <f>IF(AND(B3055&gt;=2018, B3055&lt;=2021), "2018-2021", IF(AND(B3055&gt;=2022, B3055&lt;=2024), "2022-2024", "Other"))</f>
        <v>2022-2024</v>
      </c>
    </row>
    <row r="3056" spans="1:9" x14ac:dyDescent="0.3">
      <c r="A3056" t="s">
        <v>5</v>
      </c>
      <c r="B3056">
        <v>2023</v>
      </c>
      <c r="C3056" t="s">
        <v>0</v>
      </c>
      <c r="D3056">
        <v>12727.7</v>
      </c>
      <c r="E3056">
        <v>11221.47</v>
      </c>
      <c r="F3056">
        <v>130.86000000000001</v>
      </c>
      <c r="G3056">
        <v>459.11</v>
      </c>
      <c r="H3056">
        <f>E3056*1000000/D3056</f>
        <v>881657.33007534745</v>
      </c>
      <c r="I3056" t="str">
        <f>IF(AND(B3056&gt;=2018, B3056&lt;=2021), "2018-2021", IF(AND(B3056&gt;=2022, B3056&lt;=2024), "2022-2024", "Other"))</f>
        <v>2022-2024</v>
      </c>
    </row>
    <row r="3057" spans="1:9" x14ac:dyDescent="0.3">
      <c r="A3057" t="s">
        <v>17</v>
      </c>
      <c r="B3057">
        <v>2023</v>
      </c>
      <c r="C3057" t="s">
        <v>0</v>
      </c>
      <c r="D3057">
        <v>26305.75</v>
      </c>
      <c r="E3057">
        <v>30688.14</v>
      </c>
      <c r="F3057">
        <v>128.15</v>
      </c>
      <c r="G3057">
        <v>1090.6400000000001</v>
      </c>
      <c r="H3057">
        <f>E3057*1000000/D3057</f>
        <v>1166594.3757543503</v>
      </c>
      <c r="I3057" t="str">
        <f>IF(AND(B3057&gt;=2018, B3057&lt;=2021), "2018-2021", IF(AND(B3057&gt;=2022, B3057&lt;=2024), "2022-2024", "Other"))</f>
        <v>2022-2024</v>
      </c>
    </row>
    <row r="3058" spans="1:9" x14ac:dyDescent="0.3">
      <c r="A3058" t="s">
        <v>5</v>
      </c>
      <c r="B3058">
        <v>2018</v>
      </c>
      <c r="C3058" t="s">
        <v>8</v>
      </c>
      <c r="D3058">
        <v>20388.48</v>
      </c>
      <c r="E3058">
        <v>17369.439999999999</v>
      </c>
      <c r="F3058">
        <v>195.85</v>
      </c>
      <c r="G3058">
        <v>904.06</v>
      </c>
      <c r="H3058">
        <f>E3058*1000000/D3058</f>
        <v>851924.22387544345</v>
      </c>
      <c r="I3058" t="str">
        <f>IF(AND(B3058&gt;=2018, B3058&lt;=2021), "2018-2021", IF(AND(B3058&gt;=2022, B3058&lt;=2024), "2022-2024", "Other"))</f>
        <v>2018-2021</v>
      </c>
    </row>
    <row r="3059" spans="1:9" x14ac:dyDescent="0.3">
      <c r="A3059" t="s">
        <v>25</v>
      </c>
      <c r="B3059">
        <v>2021</v>
      </c>
      <c r="C3059" t="s">
        <v>2</v>
      </c>
      <c r="D3059">
        <v>28904.71</v>
      </c>
      <c r="E3059">
        <v>30930.87</v>
      </c>
      <c r="F3059">
        <v>107.79</v>
      </c>
      <c r="G3059">
        <v>760.37</v>
      </c>
      <c r="H3059">
        <f>E3059*1000000/D3059</f>
        <v>1070097.9182977446</v>
      </c>
      <c r="I3059" t="str">
        <f>IF(AND(B3059&gt;=2018, B3059&lt;=2021), "2018-2021", IF(AND(B3059&gt;=2022, B3059&lt;=2024), "2022-2024", "Other"))</f>
        <v>2018-2021</v>
      </c>
    </row>
    <row r="3060" spans="1:9" x14ac:dyDescent="0.3">
      <c r="A3060" t="s">
        <v>27</v>
      </c>
      <c r="B3060">
        <v>2021</v>
      </c>
      <c r="C3060" t="s">
        <v>14</v>
      </c>
      <c r="D3060">
        <v>40315.11</v>
      </c>
      <c r="E3060">
        <v>36359.56</v>
      </c>
      <c r="F3060">
        <v>142.44999999999999</v>
      </c>
      <c r="G3060">
        <v>784.4</v>
      </c>
      <c r="H3060">
        <f>E3060*1000000/D3060</f>
        <v>901884.18188614643</v>
      </c>
      <c r="I3060" t="str">
        <f>IF(AND(B3060&gt;=2018, B3060&lt;=2021), "2018-2021", IF(AND(B3060&gt;=2022, B3060&lt;=2024), "2022-2024", "Other"))</f>
        <v>2018-2021</v>
      </c>
    </row>
    <row r="3061" spans="1:9" x14ac:dyDescent="0.3">
      <c r="A3061" t="s">
        <v>17</v>
      </c>
      <c r="B3061">
        <v>2023</v>
      </c>
      <c r="C3061" t="s">
        <v>4</v>
      </c>
      <c r="D3061">
        <v>28762.81</v>
      </c>
      <c r="E3061">
        <v>23387.040000000001</v>
      </c>
      <c r="F3061">
        <v>76.73</v>
      </c>
      <c r="G3061">
        <v>769.09</v>
      </c>
      <c r="H3061">
        <f>E3061*1000000/D3061</f>
        <v>813099.97180386749</v>
      </c>
      <c r="I3061" t="str">
        <f>IF(AND(B3061&gt;=2018, B3061&lt;=2021), "2018-2021", IF(AND(B3061&gt;=2022, B3061&lt;=2024), "2022-2024", "Other"))</f>
        <v>2022-2024</v>
      </c>
    </row>
    <row r="3062" spans="1:9" x14ac:dyDescent="0.3">
      <c r="A3062" t="s">
        <v>7</v>
      </c>
      <c r="B3062">
        <v>2021</v>
      </c>
      <c r="C3062" t="s">
        <v>12</v>
      </c>
      <c r="D3062">
        <v>15460.27</v>
      </c>
      <c r="E3062">
        <v>13647.73</v>
      </c>
      <c r="F3062">
        <v>140.85</v>
      </c>
      <c r="G3062">
        <v>206.21</v>
      </c>
      <c r="H3062">
        <f>E3062*1000000/D3062</f>
        <v>882761.42654688435</v>
      </c>
      <c r="I3062" t="str">
        <f>IF(AND(B3062&gt;=2018, B3062&lt;=2021), "2018-2021", IF(AND(B3062&gt;=2022, B3062&lt;=2024), "2022-2024", "Other"))</f>
        <v>2018-2021</v>
      </c>
    </row>
    <row r="3063" spans="1:9" x14ac:dyDescent="0.3">
      <c r="A3063" t="s">
        <v>18</v>
      </c>
      <c r="B3063">
        <v>2022</v>
      </c>
      <c r="C3063" t="s">
        <v>14</v>
      </c>
      <c r="D3063">
        <v>14489.65</v>
      </c>
      <c r="E3063">
        <v>13756.34</v>
      </c>
      <c r="F3063">
        <v>141.69</v>
      </c>
      <c r="G3063">
        <v>282.11</v>
      </c>
      <c r="H3063">
        <f>E3063*1000000/D3063</f>
        <v>949390.7720338311</v>
      </c>
      <c r="I3063" t="str">
        <f>IF(AND(B3063&gt;=2018, B3063&lt;=2021), "2018-2021", IF(AND(B3063&gt;=2022, B3063&lt;=2024), "2022-2024", "Other"))</f>
        <v>2022-2024</v>
      </c>
    </row>
    <row r="3064" spans="1:9" x14ac:dyDescent="0.3">
      <c r="A3064" t="s">
        <v>24</v>
      </c>
      <c r="B3064">
        <v>2024</v>
      </c>
      <c r="C3064" t="s">
        <v>6</v>
      </c>
      <c r="D3064">
        <v>39062.57</v>
      </c>
      <c r="E3064">
        <v>37034.199999999997</v>
      </c>
      <c r="F3064">
        <v>50.69</v>
      </c>
      <c r="G3064">
        <v>263.79000000000002</v>
      </c>
      <c r="H3064">
        <f>E3064*1000000/D3064</f>
        <v>948073.82105171273</v>
      </c>
      <c r="I3064" t="str">
        <f>IF(AND(B3064&gt;=2018, B3064&lt;=2021), "2018-2021", IF(AND(B3064&gt;=2022, B3064&lt;=2024), "2022-2024", "Other"))</f>
        <v>2022-2024</v>
      </c>
    </row>
    <row r="3065" spans="1:9" x14ac:dyDescent="0.3">
      <c r="A3065" t="s">
        <v>17</v>
      </c>
      <c r="B3065">
        <v>2018</v>
      </c>
      <c r="C3065" t="s">
        <v>9</v>
      </c>
      <c r="D3065">
        <v>5427.23</v>
      </c>
      <c r="E3065">
        <v>4559.83</v>
      </c>
      <c r="F3065">
        <v>93.69</v>
      </c>
      <c r="G3065">
        <v>191.13</v>
      </c>
      <c r="H3065">
        <f>E3065*1000000/D3065</f>
        <v>840176.2961952968</v>
      </c>
      <c r="I3065" t="str">
        <f>IF(AND(B3065&gt;=2018, B3065&lt;=2021), "2018-2021", IF(AND(B3065&gt;=2022, B3065&lt;=2024), "2022-2024", "Other"))</f>
        <v>2018-2021</v>
      </c>
    </row>
    <row r="3066" spans="1:9" x14ac:dyDescent="0.3">
      <c r="A3066" t="s">
        <v>17</v>
      </c>
      <c r="B3066">
        <v>2023</v>
      </c>
      <c r="C3066" t="s">
        <v>2</v>
      </c>
      <c r="D3066">
        <v>16197.32</v>
      </c>
      <c r="E3066">
        <v>17595.57</v>
      </c>
      <c r="F3066">
        <v>117.11</v>
      </c>
      <c r="G3066">
        <v>506.79</v>
      </c>
      <c r="H3066">
        <f>E3066*1000000/D3066</f>
        <v>1086326.0094879894</v>
      </c>
      <c r="I3066" t="str">
        <f>IF(AND(B3066&gt;=2018, B3066&lt;=2021), "2018-2021", IF(AND(B3066&gt;=2022, B3066&lt;=2024), "2022-2024", "Other"))</f>
        <v>2022-2024</v>
      </c>
    </row>
    <row r="3067" spans="1:9" x14ac:dyDescent="0.3">
      <c r="A3067" t="s">
        <v>27</v>
      </c>
      <c r="B3067">
        <v>2019</v>
      </c>
      <c r="C3067" t="s">
        <v>6</v>
      </c>
      <c r="D3067">
        <v>17168.32</v>
      </c>
      <c r="E3067">
        <v>16327.88</v>
      </c>
      <c r="F3067">
        <v>192.34</v>
      </c>
      <c r="G3067">
        <v>1355.95</v>
      </c>
      <c r="H3067">
        <f>E3067*1000000/D3067</f>
        <v>951047.04478947271</v>
      </c>
      <c r="I3067" t="str">
        <f>IF(AND(B3067&gt;=2018, B3067&lt;=2021), "2018-2021", IF(AND(B3067&gt;=2022, B3067&lt;=2024), "2022-2024", "Other"))</f>
        <v>2018-2021</v>
      </c>
    </row>
    <row r="3068" spans="1:9" x14ac:dyDescent="0.3">
      <c r="A3068" t="s">
        <v>26</v>
      </c>
      <c r="B3068">
        <v>2022</v>
      </c>
      <c r="C3068" t="s">
        <v>6</v>
      </c>
      <c r="D3068">
        <v>37844.67</v>
      </c>
      <c r="E3068">
        <v>39814.870000000003</v>
      </c>
      <c r="F3068">
        <v>130.72</v>
      </c>
      <c r="G3068">
        <v>20.03</v>
      </c>
      <c r="H3068">
        <f>E3068*1000000/D3068</f>
        <v>1052060.1712209408</v>
      </c>
      <c r="I3068" t="str">
        <f>IF(AND(B3068&gt;=2018, B3068&lt;=2021), "2018-2021", IF(AND(B3068&gt;=2022, B3068&lt;=2024), "2022-2024", "Other"))</f>
        <v>2022-2024</v>
      </c>
    </row>
    <row r="3069" spans="1:9" x14ac:dyDescent="0.3">
      <c r="A3069" t="s">
        <v>13</v>
      </c>
      <c r="B3069">
        <v>2024</v>
      </c>
      <c r="C3069" t="s">
        <v>14</v>
      </c>
      <c r="D3069">
        <v>39141.040000000001</v>
      </c>
      <c r="E3069">
        <v>46408.66</v>
      </c>
      <c r="F3069">
        <v>102.53</v>
      </c>
      <c r="G3069">
        <v>1300.5999999999999</v>
      </c>
      <c r="H3069">
        <f>E3069*1000000/D3069</f>
        <v>1185677.7438719054</v>
      </c>
      <c r="I3069" t="str">
        <f>IF(AND(B3069&gt;=2018, B3069&lt;=2021), "2018-2021", IF(AND(B3069&gt;=2022, B3069&lt;=2024), "2022-2024", "Other"))</f>
        <v>2022-2024</v>
      </c>
    </row>
    <row r="3070" spans="1:9" x14ac:dyDescent="0.3">
      <c r="A3070" t="s">
        <v>1</v>
      </c>
      <c r="B3070">
        <v>2018</v>
      </c>
      <c r="C3070" t="s">
        <v>6</v>
      </c>
      <c r="D3070">
        <v>21876.97</v>
      </c>
      <c r="E3070">
        <v>22063.37</v>
      </c>
      <c r="F3070">
        <v>191.86</v>
      </c>
      <c r="G3070">
        <v>899.78</v>
      </c>
      <c r="H3070">
        <f>E3070*1000000/D3070</f>
        <v>1008520.3755364659</v>
      </c>
      <c r="I3070" t="str">
        <f>IF(AND(B3070&gt;=2018, B3070&lt;=2021), "2018-2021", IF(AND(B3070&gt;=2022, B3070&lt;=2024), "2022-2024", "Other"))</f>
        <v>2018-2021</v>
      </c>
    </row>
    <row r="3071" spans="1:9" x14ac:dyDescent="0.3">
      <c r="A3071" t="s">
        <v>19</v>
      </c>
      <c r="B3071">
        <v>2018</v>
      </c>
      <c r="C3071" t="s">
        <v>9</v>
      </c>
      <c r="D3071">
        <v>14020.05</v>
      </c>
      <c r="E3071">
        <v>16743.689999999999</v>
      </c>
      <c r="F3071">
        <v>135.13999999999999</v>
      </c>
      <c r="G3071">
        <v>1250.73</v>
      </c>
      <c r="H3071">
        <f>E3071*1000000/D3071</f>
        <v>1194267.495479688</v>
      </c>
      <c r="I3071" t="str">
        <f>IF(AND(B3071&gt;=2018, B3071&lt;=2021), "2018-2021", IF(AND(B3071&gt;=2022, B3071&lt;=2024), "2022-2024", "Other"))</f>
        <v>2018-2021</v>
      </c>
    </row>
    <row r="3072" spans="1:9" x14ac:dyDescent="0.3">
      <c r="A3072" t="s">
        <v>18</v>
      </c>
      <c r="B3072">
        <v>2023</v>
      </c>
      <c r="C3072" t="s">
        <v>6</v>
      </c>
      <c r="D3072">
        <v>25835.42</v>
      </c>
      <c r="E3072">
        <v>24080.3</v>
      </c>
      <c r="F3072">
        <v>166.84</v>
      </c>
      <c r="G3072">
        <v>74.73</v>
      </c>
      <c r="H3072">
        <f>E3072*1000000/D3072</f>
        <v>932065.35833363654</v>
      </c>
      <c r="I3072" t="str">
        <f>IF(AND(B3072&gt;=2018, B3072&lt;=2021), "2018-2021", IF(AND(B3072&gt;=2022, B3072&lt;=2024), "2022-2024", "Other"))</f>
        <v>2022-2024</v>
      </c>
    </row>
    <row r="3073" spans="1:9" x14ac:dyDescent="0.3">
      <c r="A3073" t="s">
        <v>17</v>
      </c>
      <c r="B3073">
        <v>2023</v>
      </c>
      <c r="C3073" t="s">
        <v>2</v>
      </c>
      <c r="D3073">
        <v>40308.129999999997</v>
      </c>
      <c r="E3073">
        <v>39763.46</v>
      </c>
      <c r="F3073">
        <v>129.72</v>
      </c>
      <c r="G3073">
        <v>1150.25</v>
      </c>
      <c r="H3073">
        <f>E3073*1000000/D3073</f>
        <v>986487.3413874571</v>
      </c>
      <c r="I3073" t="str">
        <f>IF(AND(B3073&gt;=2018, B3073&lt;=2021), "2018-2021", IF(AND(B3073&gt;=2022, B3073&lt;=2024), "2022-2024", "Other"))</f>
        <v>2022-2024</v>
      </c>
    </row>
    <row r="3074" spans="1:9" x14ac:dyDescent="0.3">
      <c r="A3074" t="s">
        <v>1</v>
      </c>
      <c r="B3074">
        <v>2023</v>
      </c>
      <c r="C3074" t="s">
        <v>4</v>
      </c>
      <c r="D3074">
        <v>17363.939999999999</v>
      </c>
      <c r="E3074">
        <v>20058.8</v>
      </c>
      <c r="F3074">
        <v>104.17</v>
      </c>
      <c r="G3074">
        <v>1356.41</v>
      </c>
      <c r="H3074">
        <f>E3074*1000000/D3074</f>
        <v>1155198.6473116125</v>
      </c>
      <c r="I3074" t="str">
        <f>IF(AND(B3074&gt;=2018, B3074&lt;=2021), "2018-2021", IF(AND(B3074&gt;=2022, B3074&lt;=2024), "2022-2024", "Other"))</f>
        <v>2022-2024</v>
      </c>
    </row>
    <row r="3075" spans="1:9" x14ac:dyDescent="0.3">
      <c r="A3075" t="s">
        <v>11</v>
      </c>
      <c r="B3075">
        <v>2021</v>
      </c>
      <c r="C3075" t="s">
        <v>12</v>
      </c>
      <c r="D3075">
        <v>40699.85</v>
      </c>
      <c r="E3075">
        <v>42273.3</v>
      </c>
      <c r="F3075">
        <v>161.69</v>
      </c>
      <c r="G3075">
        <v>501.17</v>
      </c>
      <c r="H3075">
        <f>E3075*1000000/D3075</f>
        <v>1038659.8476407161</v>
      </c>
      <c r="I3075" t="str">
        <f>IF(AND(B3075&gt;=2018, B3075&lt;=2021), "2018-2021", IF(AND(B3075&gt;=2022, B3075&lt;=2024), "2022-2024", "Other"))</f>
        <v>2018-2021</v>
      </c>
    </row>
    <row r="3076" spans="1:9" x14ac:dyDescent="0.3">
      <c r="A3076" t="s">
        <v>22</v>
      </c>
      <c r="B3076">
        <v>2018</v>
      </c>
      <c r="C3076" t="s">
        <v>6</v>
      </c>
      <c r="D3076">
        <v>27946.26</v>
      </c>
      <c r="E3076">
        <v>23796.9</v>
      </c>
      <c r="F3076">
        <v>160.12</v>
      </c>
      <c r="G3076">
        <v>1154.92</v>
      </c>
      <c r="H3076">
        <f>E3076*1000000/D3076</f>
        <v>851523.60280051793</v>
      </c>
      <c r="I3076" t="str">
        <f>IF(AND(B3076&gt;=2018, B3076&lt;=2021), "2018-2021", IF(AND(B3076&gt;=2022, B3076&lt;=2024), "2022-2024", "Other"))</f>
        <v>2018-2021</v>
      </c>
    </row>
    <row r="3077" spans="1:9" x14ac:dyDescent="0.3">
      <c r="A3077" t="s">
        <v>1</v>
      </c>
      <c r="B3077">
        <v>2020</v>
      </c>
      <c r="C3077" t="s">
        <v>4</v>
      </c>
      <c r="D3077">
        <v>18719</v>
      </c>
      <c r="E3077">
        <v>19006.64</v>
      </c>
      <c r="F3077">
        <v>43.65</v>
      </c>
      <c r="G3077">
        <v>326.61</v>
      </c>
      <c r="H3077">
        <f>E3077*1000000/D3077</f>
        <v>1015366.2054596933</v>
      </c>
      <c r="I3077" t="str">
        <f>IF(AND(B3077&gt;=2018, B3077&lt;=2021), "2018-2021", IF(AND(B3077&gt;=2022, B3077&lt;=2024), "2022-2024", "Other"))</f>
        <v>2018-2021</v>
      </c>
    </row>
    <row r="3078" spans="1:9" x14ac:dyDescent="0.3">
      <c r="A3078" t="s">
        <v>25</v>
      </c>
      <c r="B3078">
        <v>2019</v>
      </c>
      <c r="C3078" t="s">
        <v>4</v>
      </c>
      <c r="D3078">
        <v>30726.13</v>
      </c>
      <c r="E3078">
        <v>33026.33</v>
      </c>
      <c r="F3078">
        <v>185.18</v>
      </c>
      <c r="G3078">
        <v>938.83</v>
      </c>
      <c r="H3078">
        <f>E3078*1000000/D3078</f>
        <v>1074861.3639270549</v>
      </c>
      <c r="I3078" t="str">
        <f>IF(AND(B3078&gt;=2018, B3078&lt;=2021), "2018-2021", IF(AND(B3078&gt;=2022, B3078&lt;=2024), "2022-2024", "Other"))</f>
        <v>2018-2021</v>
      </c>
    </row>
    <row r="3079" spans="1:9" x14ac:dyDescent="0.3">
      <c r="A3079" t="s">
        <v>17</v>
      </c>
      <c r="B3079">
        <v>2018</v>
      </c>
      <c r="C3079" t="s">
        <v>6</v>
      </c>
      <c r="D3079">
        <v>40760.26</v>
      </c>
      <c r="E3079">
        <v>41849.72</v>
      </c>
      <c r="F3079">
        <v>177.83</v>
      </c>
      <c r="G3079">
        <v>154.79</v>
      </c>
      <c r="H3079">
        <f>E3079*1000000/D3079</f>
        <v>1026728.4850489177</v>
      </c>
      <c r="I3079" t="str">
        <f>IF(AND(B3079&gt;=2018, B3079&lt;=2021), "2018-2021", IF(AND(B3079&gt;=2022, B3079&lt;=2024), "2022-2024", "Other"))</f>
        <v>2018-2021</v>
      </c>
    </row>
    <row r="3080" spans="1:9" x14ac:dyDescent="0.3">
      <c r="A3080" t="s">
        <v>18</v>
      </c>
      <c r="B3080">
        <v>2022</v>
      </c>
      <c r="C3080" t="s">
        <v>14</v>
      </c>
      <c r="D3080">
        <v>14117.53</v>
      </c>
      <c r="E3080">
        <v>12597.16</v>
      </c>
      <c r="F3080">
        <v>159.80000000000001</v>
      </c>
      <c r="G3080">
        <v>406.27</v>
      </c>
      <c r="H3080">
        <f>E3080*1000000/D3080</f>
        <v>892306.23203917395</v>
      </c>
      <c r="I3080" t="str">
        <f>IF(AND(B3080&gt;=2018, B3080&lt;=2021), "2018-2021", IF(AND(B3080&gt;=2022, B3080&lt;=2024), "2022-2024", "Other"))</f>
        <v>2022-2024</v>
      </c>
    </row>
    <row r="3081" spans="1:9" x14ac:dyDescent="0.3">
      <c r="A3081" t="s">
        <v>25</v>
      </c>
      <c r="B3081">
        <v>2024</v>
      </c>
      <c r="C3081" t="s">
        <v>9</v>
      </c>
      <c r="D3081">
        <v>12982.7</v>
      </c>
      <c r="E3081">
        <v>13913.86</v>
      </c>
      <c r="F3081">
        <v>129.69999999999999</v>
      </c>
      <c r="G3081">
        <v>569.61</v>
      </c>
      <c r="H3081">
        <f>E3081*1000000/D3081</f>
        <v>1071723.1392545463</v>
      </c>
      <c r="I3081" t="str">
        <f>IF(AND(B3081&gt;=2018, B3081&lt;=2021), "2018-2021", IF(AND(B3081&gt;=2022, B3081&lt;=2024), "2022-2024", "Other"))</f>
        <v>2022-2024</v>
      </c>
    </row>
    <row r="3082" spans="1:9" x14ac:dyDescent="0.3">
      <c r="A3082" t="s">
        <v>18</v>
      </c>
      <c r="B3082">
        <v>2024</v>
      </c>
      <c r="C3082" t="s">
        <v>6</v>
      </c>
      <c r="D3082">
        <v>29507.41</v>
      </c>
      <c r="E3082">
        <v>30625.79</v>
      </c>
      <c r="F3082">
        <v>89.02</v>
      </c>
      <c r="G3082">
        <v>601.24</v>
      </c>
      <c r="H3082">
        <f>E3082*1000000/D3082</f>
        <v>1037901.6660560856</v>
      </c>
      <c r="I3082" t="str">
        <f>IF(AND(B3082&gt;=2018, B3082&lt;=2021), "2018-2021", IF(AND(B3082&gt;=2022, B3082&lt;=2024), "2022-2024", "Other"))</f>
        <v>2022-2024</v>
      </c>
    </row>
    <row r="3083" spans="1:9" x14ac:dyDescent="0.3">
      <c r="A3083" t="s">
        <v>21</v>
      </c>
      <c r="B3083">
        <v>2019</v>
      </c>
      <c r="C3083" t="s">
        <v>0</v>
      </c>
      <c r="D3083">
        <v>46860.24</v>
      </c>
      <c r="E3083">
        <v>47913.04</v>
      </c>
      <c r="F3083">
        <v>147.29</v>
      </c>
      <c r="G3083">
        <v>713.78</v>
      </c>
      <c r="H3083">
        <f>E3083*1000000/D3083</f>
        <v>1022466.8076817362</v>
      </c>
      <c r="I3083" t="str">
        <f>IF(AND(B3083&gt;=2018, B3083&lt;=2021), "2018-2021", IF(AND(B3083&gt;=2022, B3083&lt;=2024), "2022-2024", "Other"))</f>
        <v>2018-2021</v>
      </c>
    </row>
    <row r="3084" spans="1:9" x14ac:dyDescent="0.3">
      <c r="A3084" t="s">
        <v>17</v>
      </c>
      <c r="B3084">
        <v>2024</v>
      </c>
      <c r="C3084" t="s">
        <v>8</v>
      </c>
      <c r="D3084">
        <v>1901.13</v>
      </c>
      <c r="E3084">
        <v>2239.79</v>
      </c>
      <c r="F3084">
        <v>42.76</v>
      </c>
      <c r="G3084">
        <v>453.7</v>
      </c>
      <c r="H3084">
        <f>E3084*1000000/D3084</f>
        <v>1178136.1611252255</v>
      </c>
      <c r="I3084" t="str">
        <f>IF(AND(B3084&gt;=2018, B3084&lt;=2021), "2018-2021", IF(AND(B3084&gt;=2022, B3084&lt;=2024), "2022-2024", "Other"))</f>
        <v>2022-2024</v>
      </c>
    </row>
    <row r="3085" spans="1:9" x14ac:dyDescent="0.3">
      <c r="A3085" t="s">
        <v>3</v>
      </c>
      <c r="B3085">
        <v>2022</v>
      </c>
      <c r="C3085" t="s">
        <v>12</v>
      </c>
      <c r="D3085">
        <v>18067.07</v>
      </c>
      <c r="E3085">
        <v>16203.86</v>
      </c>
      <c r="F3085">
        <v>185.11</v>
      </c>
      <c r="G3085">
        <v>281.01</v>
      </c>
      <c r="H3085">
        <f>E3085*1000000/D3085</f>
        <v>896872.59749367216</v>
      </c>
      <c r="I3085" t="str">
        <f>IF(AND(B3085&gt;=2018, B3085&lt;=2021), "2018-2021", IF(AND(B3085&gt;=2022, B3085&lt;=2024), "2022-2024", "Other"))</f>
        <v>2022-2024</v>
      </c>
    </row>
    <row r="3086" spans="1:9" x14ac:dyDescent="0.3">
      <c r="A3086" t="s">
        <v>10</v>
      </c>
      <c r="B3086">
        <v>2023</v>
      </c>
      <c r="C3086" t="s">
        <v>2</v>
      </c>
      <c r="D3086">
        <v>10674.94</v>
      </c>
      <c r="E3086">
        <v>10306.219999999999</v>
      </c>
      <c r="F3086">
        <v>89.03</v>
      </c>
      <c r="G3086">
        <v>78.38</v>
      </c>
      <c r="H3086">
        <f>E3086*1000000/D3086</f>
        <v>965459.29063769907</v>
      </c>
      <c r="I3086" t="str">
        <f>IF(AND(B3086&gt;=2018, B3086&lt;=2021), "2018-2021", IF(AND(B3086&gt;=2022, B3086&lt;=2024), "2022-2024", "Other"))</f>
        <v>2022-2024</v>
      </c>
    </row>
    <row r="3087" spans="1:9" x14ac:dyDescent="0.3">
      <c r="A3087" t="s">
        <v>3</v>
      </c>
      <c r="B3087">
        <v>2023</v>
      </c>
      <c r="C3087" t="s">
        <v>0</v>
      </c>
      <c r="D3087">
        <v>19242.900000000001</v>
      </c>
      <c r="E3087">
        <v>19706.14</v>
      </c>
      <c r="F3087">
        <v>75.459999999999994</v>
      </c>
      <c r="G3087">
        <v>1021.61</v>
      </c>
      <c r="H3087">
        <f>E3087*1000000/D3087</f>
        <v>1024073.2945657878</v>
      </c>
      <c r="I3087" t="str">
        <f>IF(AND(B3087&gt;=2018, B3087&lt;=2021), "2018-2021", IF(AND(B3087&gt;=2022, B3087&lt;=2024), "2022-2024", "Other"))</f>
        <v>2022-2024</v>
      </c>
    </row>
    <row r="3088" spans="1:9" x14ac:dyDescent="0.3">
      <c r="A3088" t="s">
        <v>11</v>
      </c>
      <c r="B3088">
        <v>2020</v>
      </c>
      <c r="C3088" t="s">
        <v>14</v>
      </c>
      <c r="D3088">
        <v>40875.35</v>
      </c>
      <c r="E3088">
        <v>48277.06</v>
      </c>
      <c r="F3088">
        <v>62.37</v>
      </c>
      <c r="G3088">
        <v>334.85</v>
      </c>
      <c r="H3088">
        <f>E3088*1000000/D3088</f>
        <v>1181080.0396816174</v>
      </c>
      <c r="I3088" t="str">
        <f>IF(AND(B3088&gt;=2018, B3088&lt;=2021), "2018-2021", IF(AND(B3088&gt;=2022, B3088&lt;=2024), "2022-2024", "Other"))</f>
        <v>2018-2021</v>
      </c>
    </row>
    <row r="3089" spans="1:9" x14ac:dyDescent="0.3">
      <c r="A3089" t="s">
        <v>5</v>
      </c>
      <c r="B3089">
        <v>2018</v>
      </c>
      <c r="C3089" t="s">
        <v>6</v>
      </c>
      <c r="D3089">
        <v>37736.870000000003</v>
      </c>
      <c r="E3089">
        <v>33975.050000000003</v>
      </c>
      <c r="F3089">
        <v>127.75</v>
      </c>
      <c r="G3089">
        <v>1241.3</v>
      </c>
      <c r="H3089">
        <f>E3089*1000000/D3089</f>
        <v>900314.46699209558</v>
      </c>
      <c r="I3089" t="str">
        <f>IF(AND(B3089&gt;=2018, B3089&lt;=2021), "2018-2021", IF(AND(B3089&gt;=2022, B3089&lt;=2024), "2022-2024", "Other"))</f>
        <v>2018-2021</v>
      </c>
    </row>
    <row r="3090" spans="1:9" x14ac:dyDescent="0.3">
      <c r="A3090" t="s">
        <v>20</v>
      </c>
      <c r="B3090">
        <v>2020</v>
      </c>
      <c r="C3090" t="s">
        <v>14</v>
      </c>
      <c r="D3090">
        <v>25834.28</v>
      </c>
      <c r="E3090">
        <v>29660.46</v>
      </c>
      <c r="F3090">
        <v>88.18</v>
      </c>
      <c r="G3090">
        <v>323.58</v>
      </c>
      <c r="H3090">
        <f>E3090*1000000/D3090</f>
        <v>1148104.766225341</v>
      </c>
      <c r="I3090" t="str">
        <f>IF(AND(B3090&gt;=2018, B3090&lt;=2021), "2018-2021", IF(AND(B3090&gt;=2022, B3090&lt;=2024), "2022-2024", "Other"))</f>
        <v>2018-2021</v>
      </c>
    </row>
    <row r="3091" spans="1:9" x14ac:dyDescent="0.3">
      <c r="A3091" t="s">
        <v>5</v>
      </c>
      <c r="B3091">
        <v>2023</v>
      </c>
      <c r="C3091" t="s">
        <v>12</v>
      </c>
      <c r="D3091">
        <v>29295.27</v>
      </c>
      <c r="E3091">
        <v>24527.98</v>
      </c>
      <c r="F3091">
        <v>90.56</v>
      </c>
      <c r="G3091">
        <v>1391.16</v>
      </c>
      <c r="H3091">
        <f>E3091*1000000/D3091</f>
        <v>837267.5862007757</v>
      </c>
      <c r="I3091" t="str">
        <f>IF(AND(B3091&gt;=2018, B3091&lt;=2021), "2018-2021", IF(AND(B3091&gt;=2022, B3091&lt;=2024), "2022-2024", "Other"))</f>
        <v>2022-2024</v>
      </c>
    </row>
    <row r="3092" spans="1:9" x14ac:dyDescent="0.3">
      <c r="A3092" t="s">
        <v>23</v>
      </c>
      <c r="B3092">
        <v>2023</v>
      </c>
      <c r="C3092" t="s">
        <v>12</v>
      </c>
      <c r="D3092">
        <v>49990.76</v>
      </c>
      <c r="E3092">
        <v>42801.82</v>
      </c>
      <c r="F3092">
        <v>31.59</v>
      </c>
      <c r="G3092">
        <v>105.47</v>
      </c>
      <c r="H3092">
        <f>E3092*1000000/D3092</f>
        <v>856194.6247666569</v>
      </c>
      <c r="I3092" t="str">
        <f>IF(AND(B3092&gt;=2018, B3092&lt;=2021), "2018-2021", IF(AND(B3092&gt;=2022, B3092&lt;=2024), "2022-2024", "Other"))</f>
        <v>2022-2024</v>
      </c>
    </row>
    <row r="3093" spans="1:9" x14ac:dyDescent="0.3">
      <c r="A3093" t="s">
        <v>18</v>
      </c>
      <c r="B3093">
        <v>2021</v>
      </c>
      <c r="C3093" t="s">
        <v>2</v>
      </c>
      <c r="D3093">
        <v>25921.62</v>
      </c>
      <c r="E3093">
        <v>29082.33</v>
      </c>
      <c r="F3093">
        <v>34.54</v>
      </c>
      <c r="G3093">
        <v>1378.97</v>
      </c>
      <c r="H3093">
        <f>E3093*1000000/D3093</f>
        <v>1121933.3513877606</v>
      </c>
      <c r="I3093" t="str">
        <f>IF(AND(B3093&gt;=2018, B3093&lt;=2021), "2018-2021", IF(AND(B3093&gt;=2022, B3093&lt;=2024), "2022-2024", "Other"))</f>
        <v>2018-2021</v>
      </c>
    </row>
    <row r="3094" spans="1:9" x14ac:dyDescent="0.3">
      <c r="A3094" t="s">
        <v>16</v>
      </c>
      <c r="B3094">
        <v>2024</v>
      </c>
      <c r="C3094" t="s">
        <v>8</v>
      </c>
      <c r="D3094">
        <v>28002.27</v>
      </c>
      <c r="E3094">
        <v>22590.63</v>
      </c>
      <c r="F3094">
        <v>49.68</v>
      </c>
      <c r="G3094">
        <v>604.04999999999995</v>
      </c>
      <c r="H3094">
        <f>E3094*1000000/D3094</f>
        <v>806742.81049357785</v>
      </c>
      <c r="I3094" t="str">
        <f>IF(AND(B3094&gt;=2018, B3094&lt;=2021), "2018-2021", IF(AND(B3094&gt;=2022, B3094&lt;=2024), "2022-2024", "Other"))</f>
        <v>2022-2024</v>
      </c>
    </row>
    <row r="3095" spans="1:9" x14ac:dyDescent="0.3">
      <c r="A3095" t="s">
        <v>10</v>
      </c>
      <c r="B3095">
        <v>2020</v>
      </c>
      <c r="C3095" t="s">
        <v>4</v>
      </c>
      <c r="D3095">
        <v>41774.54</v>
      </c>
      <c r="E3095">
        <v>47767.39</v>
      </c>
      <c r="F3095">
        <v>69.28</v>
      </c>
      <c r="G3095">
        <v>661.56</v>
      </c>
      <c r="H3095">
        <f>E3095*1000000/D3095</f>
        <v>1143456.9955767316</v>
      </c>
      <c r="I3095" t="str">
        <f>IF(AND(B3095&gt;=2018, B3095&lt;=2021), "2018-2021", IF(AND(B3095&gt;=2022, B3095&lt;=2024), "2022-2024", "Other"))</f>
        <v>2018-2021</v>
      </c>
    </row>
    <row r="3096" spans="1:9" x14ac:dyDescent="0.3">
      <c r="A3096" t="s">
        <v>1</v>
      </c>
      <c r="B3096">
        <v>2018</v>
      </c>
      <c r="C3096" t="s">
        <v>0</v>
      </c>
      <c r="D3096">
        <v>7294.75</v>
      </c>
      <c r="E3096">
        <v>5873.03</v>
      </c>
      <c r="F3096">
        <v>152.25</v>
      </c>
      <c r="G3096">
        <v>80.099999999999994</v>
      </c>
      <c r="H3096">
        <f>E3096*1000000/D3096</f>
        <v>805103.67044792487</v>
      </c>
      <c r="I3096" t="str">
        <f>IF(AND(B3096&gt;=2018, B3096&lt;=2021), "2018-2021", IF(AND(B3096&gt;=2022, B3096&lt;=2024), "2022-2024", "Other"))</f>
        <v>2018-2021</v>
      </c>
    </row>
    <row r="3097" spans="1:9" x14ac:dyDescent="0.3">
      <c r="A3097" t="s">
        <v>17</v>
      </c>
      <c r="B3097">
        <v>2019</v>
      </c>
      <c r="C3097" t="s">
        <v>4</v>
      </c>
      <c r="D3097">
        <v>42159.48</v>
      </c>
      <c r="E3097">
        <v>36466.89</v>
      </c>
      <c r="F3097">
        <v>158.66999999999999</v>
      </c>
      <c r="G3097">
        <v>633.66999999999996</v>
      </c>
      <c r="H3097">
        <f>E3097*1000000/D3097</f>
        <v>864974.85263100965</v>
      </c>
      <c r="I3097" t="str">
        <f>IF(AND(B3097&gt;=2018, B3097&lt;=2021), "2018-2021", IF(AND(B3097&gt;=2022, B3097&lt;=2024), "2022-2024", "Other"))</f>
        <v>2018-2021</v>
      </c>
    </row>
    <row r="3098" spans="1:9" x14ac:dyDescent="0.3">
      <c r="A3098" t="s">
        <v>18</v>
      </c>
      <c r="B3098">
        <v>2019</v>
      </c>
      <c r="C3098" t="s">
        <v>0</v>
      </c>
      <c r="D3098">
        <v>33836.15</v>
      </c>
      <c r="E3098">
        <v>33239.919999999998</v>
      </c>
      <c r="F3098">
        <v>32.119999999999997</v>
      </c>
      <c r="G3098">
        <v>697.28</v>
      </c>
      <c r="H3098">
        <f>E3098*1000000/D3098</f>
        <v>982378.90540147142</v>
      </c>
      <c r="I3098" t="str">
        <f>IF(AND(B3098&gt;=2018, B3098&lt;=2021), "2018-2021", IF(AND(B3098&gt;=2022, B3098&lt;=2024), "2022-2024", "Other"))</f>
        <v>2018-2021</v>
      </c>
    </row>
    <row r="3099" spans="1:9" x14ac:dyDescent="0.3">
      <c r="A3099" t="s">
        <v>1</v>
      </c>
      <c r="B3099">
        <v>2020</v>
      </c>
      <c r="C3099" t="s">
        <v>12</v>
      </c>
      <c r="D3099">
        <v>10062.85</v>
      </c>
      <c r="E3099">
        <v>9142.6</v>
      </c>
      <c r="F3099">
        <v>127.62</v>
      </c>
      <c r="G3099">
        <v>256.67</v>
      </c>
      <c r="H3099">
        <f>E3099*1000000/D3099</f>
        <v>908549.76472868025</v>
      </c>
      <c r="I3099" t="str">
        <f>IF(AND(B3099&gt;=2018, B3099&lt;=2021), "2018-2021", IF(AND(B3099&gt;=2022, B3099&lt;=2024), "2022-2024", "Other"))</f>
        <v>2018-2021</v>
      </c>
    </row>
    <row r="3100" spans="1:9" x14ac:dyDescent="0.3">
      <c r="A3100" t="s">
        <v>26</v>
      </c>
      <c r="B3100">
        <v>2024</v>
      </c>
      <c r="C3100" t="s">
        <v>0</v>
      </c>
      <c r="D3100">
        <v>3942.39</v>
      </c>
      <c r="E3100">
        <v>3890.65</v>
      </c>
      <c r="F3100">
        <v>149.88</v>
      </c>
      <c r="G3100">
        <v>61.35</v>
      </c>
      <c r="H3100">
        <f>E3100*1000000/D3100</f>
        <v>986875.98132097535</v>
      </c>
      <c r="I3100" t="str">
        <f>IF(AND(B3100&gt;=2018, B3100&lt;=2021), "2018-2021", IF(AND(B3100&gt;=2022, B3100&lt;=2024), "2022-2024", "Other"))</f>
        <v>2022-2024</v>
      </c>
    </row>
    <row r="3101" spans="1:9" x14ac:dyDescent="0.3">
      <c r="A3101" t="s">
        <v>22</v>
      </c>
      <c r="B3101">
        <v>2024</v>
      </c>
      <c r="C3101" t="s">
        <v>4</v>
      </c>
      <c r="D3101">
        <v>41534.44</v>
      </c>
      <c r="E3101">
        <v>36355.89</v>
      </c>
      <c r="F3101">
        <v>61.84</v>
      </c>
      <c r="G3101">
        <v>1280.08</v>
      </c>
      <c r="H3101">
        <f>E3101*1000000/D3101</f>
        <v>875319.13274862978</v>
      </c>
      <c r="I3101" t="str">
        <f>IF(AND(B3101&gt;=2018, B3101&lt;=2021), "2018-2021", IF(AND(B3101&gt;=2022, B3101&lt;=2024), "2022-2024", "Other"))</f>
        <v>2022-2024</v>
      </c>
    </row>
    <row r="3102" spans="1:9" x14ac:dyDescent="0.3">
      <c r="A3102" t="s">
        <v>21</v>
      </c>
      <c r="B3102">
        <v>2024</v>
      </c>
      <c r="C3102" t="s">
        <v>12</v>
      </c>
      <c r="D3102">
        <v>40044.04</v>
      </c>
      <c r="E3102">
        <v>35715.51</v>
      </c>
      <c r="F3102">
        <v>111.75</v>
      </c>
      <c r="G3102">
        <v>130.38999999999999</v>
      </c>
      <c r="H3102">
        <f>E3102*1000000/D3102</f>
        <v>891905.76175630628</v>
      </c>
      <c r="I3102" t="str">
        <f>IF(AND(B3102&gt;=2018, B3102&lt;=2021), "2018-2021", IF(AND(B3102&gt;=2022, B3102&lt;=2024), "2022-2024", "Other"))</f>
        <v>2022-2024</v>
      </c>
    </row>
    <row r="3103" spans="1:9" x14ac:dyDescent="0.3">
      <c r="A3103" t="s">
        <v>7</v>
      </c>
      <c r="B3103">
        <v>2020</v>
      </c>
      <c r="C3103" t="s">
        <v>9</v>
      </c>
      <c r="D3103">
        <v>27026.05</v>
      </c>
      <c r="E3103">
        <v>24435.66</v>
      </c>
      <c r="F3103">
        <v>191.4</v>
      </c>
      <c r="G3103">
        <v>100.53</v>
      </c>
      <c r="H3103">
        <f>E3103*1000000/D3103</f>
        <v>904152.10509859934</v>
      </c>
      <c r="I3103" t="str">
        <f>IF(AND(B3103&gt;=2018, B3103&lt;=2021), "2018-2021", IF(AND(B3103&gt;=2022, B3103&lt;=2024), "2022-2024", "Other"))</f>
        <v>2018-2021</v>
      </c>
    </row>
    <row r="3104" spans="1:9" x14ac:dyDescent="0.3">
      <c r="A3104" t="s">
        <v>22</v>
      </c>
      <c r="B3104">
        <v>2024</v>
      </c>
      <c r="C3104" t="s">
        <v>2</v>
      </c>
      <c r="D3104">
        <v>18885.14</v>
      </c>
      <c r="E3104">
        <v>19560.38</v>
      </c>
      <c r="F3104">
        <v>115.2</v>
      </c>
      <c r="G3104">
        <v>294.63</v>
      </c>
      <c r="H3104">
        <f>E3104*1000000/D3104</f>
        <v>1035755.0963350021</v>
      </c>
      <c r="I3104" t="str">
        <f>IF(AND(B3104&gt;=2018, B3104&lt;=2021), "2018-2021", IF(AND(B3104&gt;=2022, B3104&lt;=2024), "2022-2024", "Other"))</f>
        <v>2022-2024</v>
      </c>
    </row>
    <row r="3105" spans="1:9" x14ac:dyDescent="0.3">
      <c r="A3105" t="s">
        <v>24</v>
      </c>
      <c r="B3105">
        <v>2022</v>
      </c>
      <c r="C3105" t="s">
        <v>6</v>
      </c>
      <c r="D3105">
        <v>15312.77</v>
      </c>
      <c r="E3105">
        <v>13090.17</v>
      </c>
      <c r="F3105">
        <v>28.72</v>
      </c>
      <c r="G3105">
        <v>992.86</v>
      </c>
      <c r="H3105">
        <f>E3105*1000000/D3105</f>
        <v>854853.17156856658</v>
      </c>
      <c r="I3105" t="str">
        <f>IF(AND(B3105&gt;=2018, B3105&lt;=2021), "2018-2021", IF(AND(B3105&gt;=2022, B3105&lt;=2024), "2022-2024", "Other"))</f>
        <v>2022-2024</v>
      </c>
    </row>
    <row r="3106" spans="1:9" x14ac:dyDescent="0.3">
      <c r="A3106" t="s">
        <v>5</v>
      </c>
      <c r="B3106">
        <v>2023</v>
      </c>
      <c r="C3106" t="s">
        <v>4</v>
      </c>
      <c r="D3106">
        <v>34012.71</v>
      </c>
      <c r="E3106">
        <v>31826.080000000002</v>
      </c>
      <c r="F3106">
        <v>71.36</v>
      </c>
      <c r="G3106">
        <v>542.32000000000005</v>
      </c>
      <c r="H3106">
        <f>E3106*1000000/D3106</f>
        <v>935711.38553793565</v>
      </c>
      <c r="I3106" t="str">
        <f>IF(AND(B3106&gt;=2018, B3106&lt;=2021), "2018-2021", IF(AND(B3106&gt;=2022, B3106&lt;=2024), "2022-2024", "Other"))</f>
        <v>2022-2024</v>
      </c>
    </row>
    <row r="3107" spans="1:9" x14ac:dyDescent="0.3">
      <c r="A3107" t="s">
        <v>26</v>
      </c>
      <c r="B3107">
        <v>2024</v>
      </c>
      <c r="C3107" t="s">
        <v>8</v>
      </c>
      <c r="D3107">
        <v>42466.49</v>
      </c>
      <c r="E3107">
        <v>40712.080000000002</v>
      </c>
      <c r="F3107">
        <v>62.88</v>
      </c>
      <c r="G3107">
        <v>671.81</v>
      </c>
      <c r="H3107">
        <f>E3107*1000000/D3107</f>
        <v>958687.19077088789</v>
      </c>
      <c r="I3107" t="str">
        <f>IF(AND(B3107&gt;=2018, B3107&lt;=2021), "2018-2021", IF(AND(B3107&gt;=2022, B3107&lt;=2024), "2022-2024", "Other"))</f>
        <v>2022-2024</v>
      </c>
    </row>
    <row r="3108" spans="1:9" x14ac:dyDescent="0.3">
      <c r="A3108" t="s">
        <v>17</v>
      </c>
      <c r="B3108">
        <v>2022</v>
      </c>
      <c r="C3108" t="s">
        <v>14</v>
      </c>
      <c r="D3108">
        <v>12611.69</v>
      </c>
      <c r="E3108">
        <v>13049.41</v>
      </c>
      <c r="F3108">
        <v>137.25</v>
      </c>
      <c r="G3108">
        <v>638.69000000000005</v>
      </c>
      <c r="H3108">
        <f>E3108*1000000/D3108</f>
        <v>1034707.4817094299</v>
      </c>
      <c r="I3108" t="str">
        <f>IF(AND(B3108&gt;=2018, B3108&lt;=2021), "2018-2021", IF(AND(B3108&gt;=2022, B3108&lt;=2024), "2022-2024", "Other"))</f>
        <v>2022-2024</v>
      </c>
    </row>
    <row r="3109" spans="1:9" x14ac:dyDescent="0.3">
      <c r="A3109" t="s">
        <v>5</v>
      </c>
      <c r="B3109">
        <v>2020</v>
      </c>
      <c r="C3109" t="s">
        <v>0</v>
      </c>
      <c r="D3109">
        <v>30582.77</v>
      </c>
      <c r="E3109">
        <v>29572.31</v>
      </c>
      <c r="F3109">
        <v>185</v>
      </c>
      <c r="G3109">
        <v>605.16</v>
      </c>
      <c r="H3109">
        <f>E3109*1000000/D3109</f>
        <v>966959.82737992669</v>
      </c>
      <c r="I3109" t="str">
        <f>IF(AND(B3109&gt;=2018, B3109&lt;=2021), "2018-2021", IF(AND(B3109&gt;=2022, B3109&lt;=2024), "2022-2024", "Other"))</f>
        <v>2018-2021</v>
      </c>
    </row>
    <row r="3110" spans="1:9" x14ac:dyDescent="0.3">
      <c r="A3110" t="s">
        <v>1</v>
      </c>
      <c r="B3110">
        <v>2021</v>
      </c>
      <c r="C3110" t="s">
        <v>6</v>
      </c>
      <c r="D3110">
        <v>32118.15</v>
      </c>
      <c r="E3110">
        <v>31259.27</v>
      </c>
      <c r="F3110">
        <v>148.47</v>
      </c>
      <c r="G3110">
        <v>854.64</v>
      </c>
      <c r="H3110">
        <f>E3110*1000000/D3110</f>
        <v>973258.7337689125</v>
      </c>
      <c r="I3110" t="str">
        <f>IF(AND(B3110&gt;=2018, B3110&lt;=2021), "2018-2021", IF(AND(B3110&gt;=2022, B3110&lt;=2024), "2022-2024", "Other"))</f>
        <v>2018-2021</v>
      </c>
    </row>
    <row r="3111" spans="1:9" x14ac:dyDescent="0.3">
      <c r="A3111" t="s">
        <v>21</v>
      </c>
      <c r="B3111">
        <v>2018</v>
      </c>
      <c r="C3111" t="s">
        <v>6</v>
      </c>
      <c r="D3111">
        <v>37422.06</v>
      </c>
      <c r="E3111">
        <v>36503.07</v>
      </c>
      <c r="F3111">
        <v>183.55</v>
      </c>
      <c r="G3111">
        <v>1236.07</v>
      </c>
      <c r="H3111">
        <f>E3111*1000000/D3111</f>
        <v>975442.55981632229</v>
      </c>
      <c r="I3111" t="str">
        <f>IF(AND(B3111&gt;=2018, B3111&lt;=2021), "2018-2021", IF(AND(B3111&gt;=2022, B3111&lt;=2024), "2022-2024", "Other"))</f>
        <v>2018-2021</v>
      </c>
    </row>
    <row r="3112" spans="1:9" x14ac:dyDescent="0.3">
      <c r="A3112" t="s">
        <v>25</v>
      </c>
      <c r="B3112">
        <v>2020</v>
      </c>
      <c r="C3112" t="s">
        <v>12</v>
      </c>
      <c r="D3112">
        <v>8609.89</v>
      </c>
      <c r="E3112">
        <v>9939.09</v>
      </c>
      <c r="F3112">
        <v>155.97</v>
      </c>
      <c r="G3112">
        <v>1184.98</v>
      </c>
      <c r="H3112">
        <f>E3112*1000000/D3112</f>
        <v>1154380.6018427645</v>
      </c>
      <c r="I3112" t="str">
        <f>IF(AND(B3112&gt;=2018, B3112&lt;=2021), "2018-2021", IF(AND(B3112&gt;=2022, B3112&lt;=2024), "2022-2024", "Other"))</f>
        <v>2018-2021</v>
      </c>
    </row>
    <row r="3113" spans="1:9" x14ac:dyDescent="0.3">
      <c r="A3113" t="s">
        <v>21</v>
      </c>
      <c r="B3113">
        <v>2018</v>
      </c>
      <c r="C3113" t="s">
        <v>8</v>
      </c>
      <c r="D3113">
        <v>9303.75</v>
      </c>
      <c r="E3113">
        <v>9591.51</v>
      </c>
      <c r="F3113">
        <v>73.05</v>
      </c>
      <c r="G3113">
        <v>1284.6600000000001</v>
      </c>
      <c r="H3113">
        <f>E3113*1000000/D3113</f>
        <v>1030929.4639258364</v>
      </c>
      <c r="I3113" t="str">
        <f>IF(AND(B3113&gt;=2018, B3113&lt;=2021), "2018-2021", IF(AND(B3113&gt;=2022, B3113&lt;=2024), "2022-2024", "Other"))</f>
        <v>2018-2021</v>
      </c>
    </row>
    <row r="3114" spans="1:9" x14ac:dyDescent="0.3">
      <c r="A3114" t="s">
        <v>19</v>
      </c>
      <c r="B3114">
        <v>2022</v>
      </c>
      <c r="C3114" t="s">
        <v>0</v>
      </c>
      <c r="D3114">
        <v>17391.900000000001</v>
      </c>
      <c r="E3114">
        <v>16126.72</v>
      </c>
      <c r="F3114">
        <v>114.09</v>
      </c>
      <c r="G3114">
        <v>221.61</v>
      </c>
      <c r="H3114">
        <f>E3114*1000000/D3114</f>
        <v>927254.6415285276</v>
      </c>
      <c r="I3114" t="str">
        <f>IF(AND(B3114&gt;=2018, B3114&lt;=2021), "2018-2021", IF(AND(B3114&gt;=2022, B3114&lt;=2024), "2022-2024", "Other"))</f>
        <v>2022-2024</v>
      </c>
    </row>
    <row r="3115" spans="1:9" x14ac:dyDescent="0.3">
      <c r="A3115" t="s">
        <v>11</v>
      </c>
      <c r="B3115">
        <v>2024</v>
      </c>
      <c r="C3115" t="s">
        <v>4</v>
      </c>
      <c r="D3115">
        <v>20928.259999999998</v>
      </c>
      <c r="E3115">
        <v>24655.67</v>
      </c>
      <c r="F3115">
        <v>184.88</v>
      </c>
      <c r="G3115">
        <v>713.52</v>
      </c>
      <c r="H3115">
        <f>E3115*1000000/D3115</f>
        <v>1178104.1519935247</v>
      </c>
      <c r="I3115" t="str">
        <f>IF(AND(B3115&gt;=2018, B3115&lt;=2021), "2018-2021", IF(AND(B3115&gt;=2022, B3115&lt;=2024), "2022-2024", "Other"))</f>
        <v>2022-2024</v>
      </c>
    </row>
    <row r="3116" spans="1:9" x14ac:dyDescent="0.3">
      <c r="A3116" t="s">
        <v>16</v>
      </c>
      <c r="B3116">
        <v>2024</v>
      </c>
      <c r="C3116" t="s">
        <v>14</v>
      </c>
      <c r="D3116">
        <v>39133.39</v>
      </c>
      <c r="E3116">
        <v>40211.56</v>
      </c>
      <c r="F3116">
        <v>89.79</v>
      </c>
      <c r="G3116">
        <v>263.08999999999997</v>
      </c>
      <c r="H3116">
        <f>E3116*1000000/D3116</f>
        <v>1027551.1526090635</v>
      </c>
      <c r="I3116" t="str">
        <f>IF(AND(B3116&gt;=2018, B3116&lt;=2021), "2018-2021", IF(AND(B3116&gt;=2022, B3116&lt;=2024), "2022-2024", "Other"))</f>
        <v>2022-2024</v>
      </c>
    </row>
    <row r="3117" spans="1:9" x14ac:dyDescent="0.3">
      <c r="A3117" t="s">
        <v>22</v>
      </c>
      <c r="B3117">
        <v>2018</v>
      </c>
      <c r="C3117" t="s">
        <v>4</v>
      </c>
      <c r="D3117">
        <v>24565.360000000001</v>
      </c>
      <c r="E3117">
        <v>29283.24</v>
      </c>
      <c r="F3117">
        <v>70.98</v>
      </c>
      <c r="G3117">
        <v>391.57</v>
      </c>
      <c r="H3117">
        <f>E3117*1000000/D3117</f>
        <v>1192054.1771014144</v>
      </c>
      <c r="I3117" t="str">
        <f>IF(AND(B3117&gt;=2018, B3117&lt;=2021), "2018-2021", IF(AND(B3117&gt;=2022, B3117&lt;=2024), "2022-2024", "Other"))</f>
        <v>2018-2021</v>
      </c>
    </row>
    <row r="3118" spans="1:9" x14ac:dyDescent="0.3">
      <c r="A3118" t="s">
        <v>20</v>
      </c>
      <c r="B3118">
        <v>2022</v>
      </c>
      <c r="C3118" t="s">
        <v>8</v>
      </c>
      <c r="D3118">
        <v>45691.23</v>
      </c>
      <c r="E3118">
        <v>42724.89</v>
      </c>
      <c r="F3118">
        <v>185.1</v>
      </c>
      <c r="G3118">
        <v>1376.12</v>
      </c>
      <c r="H3118">
        <f>E3118*1000000/D3118</f>
        <v>935078.56978242868</v>
      </c>
      <c r="I3118" t="str">
        <f>IF(AND(B3118&gt;=2018, B3118&lt;=2021), "2018-2021", IF(AND(B3118&gt;=2022, B3118&lt;=2024), "2022-2024", "Other"))</f>
        <v>2022-2024</v>
      </c>
    </row>
    <row r="3119" spans="1:9" x14ac:dyDescent="0.3">
      <c r="A3119" t="s">
        <v>10</v>
      </c>
      <c r="B3119">
        <v>2023</v>
      </c>
      <c r="C3119" t="s">
        <v>6</v>
      </c>
      <c r="D3119">
        <v>2771.73</v>
      </c>
      <c r="E3119">
        <v>2709.71</v>
      </c>
      <c r="F3119">
        <v>137.36000000000001</v>
      </c>
      <c r="G3119">
        <v>806.38</v>
      </c>
      <c r="H3119">
        <f>E3119*1000000/D3119</f>
        <v>977624.08315384248</v>
      </c>
      <c r="I3119" t="str">
        <f>IF(AND(B3119&gt;=2018, B3119&lt;=2021), "2018-2021", IF(AND(B3119&gt;=2022, B3119&lt;=2024), "2022-2024", "Other"))</f>
        <v>2022-2024</v>
      </c>
    </row>
    <row r="3120" spans="1:9" x14ac:dyDescent="0.3">
      <c r="A3120" t="s">
        <v>21</v>
      </c>
      <c r="B3120">
        <v>2020</v>
      </c>
      <c r="C3120" t="s">
        <v>4</v>
      </c>
      <c r="D3120">
        <v>15465.35</v>
      </c>
      <c r="E3120">
        <v>18092.810000000001</v>
      </c>
      <c r="F3120">
        <v>153.96</v>
      </c>
      <c r="G3120">
        <v>74.06</v>
      </c>
      <c r="H3120">
        <f>E3120*1000000/D3120</f>
        <v>1169893.3422133997</v>
      </c>
      <c r="I3120" t="str">
        <f>IF(AND(B3120&gt;=2018, B3120&lt;=2021), "2018-2021", IF(AND(B3120&gt;=2022, B3120&lt;=2024), "2022-2024", "Other"))</f>
        <v>2018-2021</v>
      </c>
    </row>
    <row r="3121" spans="1:9" x14ac:dyDescent="0.3">
      <c r="A3121" t="s">
        <v>24</v>
      </c>
      <c r="B3121">
        <v>2023</v>
      </c>
      <c r="C3121" t="s">
        <v>6</v>
      </c>
      <c r="D3121">
        <v>49852.33</v>
      </c>
      <c r="E3121">
        <v>49951.05</v>
      </c>
      <c r="F3121">
        <v>46.82</v>
      </c>
      <c r="G3121">
        <v>346.57</v>
      </c>
      <c r="H3121">
        <f>E3121*1000000/D3121</f>
        <v>1001980.2484658189</v>
      </c>
      <c r="I3121" t="str">
        <f>IF(AND(B3121&gt;=2018, B3121&lt;=2021), "2018-2021", IF(AND(B3121&gt;=2022, B3121&lt;=2024), "2022-2024", "Other"))</f>
        <v>2022-2024</v>
      </c>
    </row>
    <row r="3122" spans="1:9" x14ac:dyDescent="0.3">
      <c r="A3122" t="s">
        <v>13</v>
      </c>
      <c r="B3122">
        <v>2020</v>
      </c>
      <c r="C3122" t="s">
        <v>0</v>
      </c>
      <c r="D3122">
        <v>6578.83</v>
      </c>
      <c r="E3122">
        <v>6321.95</v>
      </c>
      <c r="F3122">
        <v>71.849999999999994</v>
      </c>
      <c r="G3122">
        <v>190.85</v>
      </c>
      <c r="H3122">
        <f>E3122*1000000/D3122</f>
        <v>960953.54341121449</v>
      </c>
      <c r="I3122" t="str">
        <f>IF(AND(B3122&gt;=2018, B3122&lt;=2021), "2018-2021", IF(AND(B3122&gt;=2022, B3122&lt;=2024), "2022-2024", "Other"))</f>
        <v>2018-2021</v>
      </c>
    </row>
    <row r="3123" spans="1:9" x14ac:dyDescent="0.3">
      <c r="A3123" t="s">
        <v>22</v>
      </c>
      <c r="B3123">
        <v>2022</v>
      </c>
      <c r="C3123" t="s">
        <v>2</v>
      </c>
      <c r="D3123">
        <v>13364.72</v>
      </c>
      <c r="E3123">
        <v>12820.98</v>
      </c>
      <c r="F3123">
        <v>91.65</v>
      </c>
      <c r="G3123">
        <v>719.34</v>
      </c>
      <c r="H3123">
        <f>E3123*1000000/D3123</f>
        <v>959315.27185006498</v>
      </c>
      <c r="I3123" t="str">
        <f>IF(AND(B3123&gt;=2018, B3123&lt;=2021), "2018-2021", IF(AND(B3123&gt;=2022, B3123&lt;=2024), "2022-2024", "Other"))</f>
        <v>2022-2024</v>
      </c>
    </row>
    <row r="3124" spans="1:9" x14ac:dyDescent="0.3">
      <c r="A3124" t="s">
        <v>22</v>
      </c>
      <c r="B3124">
        <v>2023</v>
      </c>
      <c r="C3124" t="s">
        <v>4</v>
      </c>
      <c r="D3124">
        <v>39004.75</v>
      </c>
      <c r="E3124">
        <v>34266.949999999997</v>
      </c>
      <c r="F3124">
        <v>30.61</v>
      </c>
      <c r="G3124">
        <v>738.34</v>
      </c>
      <c r="H3124">
        <f>E3124*1000000/D3124</f>
        <v>878532.74280696572</v>
      </c>
      <c r="I3124" t="str">
        <f>IF(AND(B3124&gt;=2018, B3124&lt;=2021), "2018-2021", IF(AND(B3124&gt;=2022, B3124&lt;=2024), "2022-2024", "Other"))</f>
        <v>2022-2024</v>
      </c>
    </row>
    <row r="3125" spans="1:9" x14ac:dyDescent="0.3">
      <c r="A3125" t="s">
        <v>11</v>
      </c>
      <c r="B3125">
        <v>2018</v>
      </c>
      <c r="C3125" t="s">
        <v>6</v>
      </c>
      <c r="D3125">
        <v>23281.4</v>
      </c>
      <c r="E3125">
        <v>25265.3</v>
      </c>
      <c r="F3125">
        <v>166.94</v>
      </c>
      <c r="G3125">
        <v>27.03</v>
      </c>
      <c r="H3125">
        <f>E3125*1000000/D3125</f>
        <v>1085213.9476148342</v>
      </c>
      <c r="I3125" t="str">
        <f>IF(AND(B3125&gt;=2018, B3125&lt;=2021), "2018-2021", IF(AND(B3125&gt;=2022, B3125&lt;=2024), "2022-2024", "Other"))</f>
        <v>2018-2021</v>
      </c>
    </row>
    <row r="3126" spans="1:9" x14ac:dyDescent="0.3">
      <c r="A3126" t="s">
        <v>24</v>
      </c>
      <c r="B3126">
        <v>2021</v>
      </c>
      <c r="C3126" t="s">
        <v>4</v>
      </c>
      <c r="D3126">
        <v>9175.67</v>
      </c>
      <c r="E3126">
        <v>8689.93</v>
      </c>
      <c r="F3126">
        <v>189.59</v>
      </c>
      <c r="G3126">
        <v>903.39</v>
      </c>
      <c r="H3126">
        <f>E3126*1000000/D3126</f>
        <v>947062.17638602958</v>
      </c>
      <c r="I3126" t="str">
        <f>IF(AND(B3126&gt;=2018, B3126&lt;=2021), "2018-2021", IF(AND(B3126&gt;=2022, B3126&lt;=2024), "2022-2024", "Other"))</f>
        <v>2018-2021</v>
      </c>
    </row>
    <row r="3127" spans="1:9" x14ac:dyDescent="0.3">
      <c r="A3127" t="s">
        <v>21</v>
      </c>
      <c r="B3127">
        <v>2019</v>
      </c>
      <c r="C3127" t="s">
        <v>2</v>
      </c>
      <c r="D3127">
        <v>16086.64</v>
      </c>
      <c r="E3127">
        <v>14182.44</v>
      </c>
      <c r="F3127">
        <v>198.1</v>
      </c>
      <c r="G3127">
        <v>469.81</v>
      </c>
      <c r="H3127">
        <f>E3127*1000000/D3127</f>
        <v>881628.48177120893</v>
      </c>
      <c r="I3127" t="str">
        <f>IF(AND(B3127&gt;=2018, B3127&lt;=2021), "2018-2021", IF(AND(B3127&gt;=2022, B3127&lt;=2024), "2022-2024", "Other"))</f>
        <v>2018-2021</v>
      </c>
    </row>
    <row r="3128" spans="1:9" x14ac:dyDescent="0.3">
      <c r="A3128" t="s">
        <v>15</v>
      </c>
      <c r="B3128">
        <v>2024</v>
      </c>
      <c r="C3128" t="s">
        <v>0</v>
      </c>
      <c r="D3128">
        <v>19152.439999999999</v>
      </c>
      <c r="E3128">
        <v>18329.72</v>
      </c>
      <c r="F3128">
        <v>126.57</v>
      </c>
      <c r="G3128">
        <v>189.89</v>
      </c>
      <c r="H3128">
        <f>E3128*1000000/D3128</f>
        <v>957043.59340115415</v>
      </c>
      <c r="I3128" t="str">
        <f>IF(AND(B3128&gt;=2018, B3128&lt;=2021), "2018-2021", IF(AND(B3128&gt;=2022, B3128&lt;=2024), "2022-2024", "Other"))</f>
        <v>2022-2024</v>
      </c>
    </row>
    <row r="3129" spans="1:9" x14ac:dyDescent="0.3">
      <c r="A3129" t="s">
        <v>11</v>
      </c>
      <c r="B3129">
        <v>2022</v>
      </c>
      <c r="C3129" t="s">
        <v>4</v>
      </c>
      <c r="D3129">
        <v>47998.97</v>
      </c>
      <c r="E3129">
        <v>42542.48</v>
      </c>
      <c r="F3129">
        <v>21.12</v>
      </c>
      <c r="G3129">
        <v>1259.95</v>
      </c>
      <c r="H3129">
        <f>E3129*1000000/D3129</f>
        <v>886320.68563137914</v>
      </c>
      <c r="I3129" t="str">
        <f>IF(AND(B3129&gt;=2018, B3129&lt;=2021), "2018-2021", IF(AND(B3129&gt;=2022, B3129&lt;=2024), "2022-2024", "Other"))</f>
        <v>2022-2024</v>
      </c>
    </row>
    <row r="3130" spans="1:9" x14ac:dyDescent="0.3">
      <c r="A3130" t="s">
        <v>25</v>
      </c>
      <c r="B3130">
        <v>2024</v>
      </c>
      <c r="C3130" t="s">
        <v>6</v>
      </c>
      <c r="D3130">
        <v>8691.0400000000009</v>
      </c>
      <c r="E3130">
        <v>9861.66</v>
      </c>
      <c r="F3130">
        <v>146.93</v>
      </c>
      <c r="G3130">
        <v>299.45</v>
      </c>
      <c r="H3130">
        <f>E3130*1000000/D3130</f>
        <v>1134692.7410298421</v>
      </c>
      <c r="I3130" t="str">
        <f>IF(AND(B3130&gt;=2018, B3130&lt;=2021), "2018-2021", IF(AND(B3130&gt;=2022, B3130&lt;=2024), "2022-2024", "Other"))</f>
        <v>2022-2024</v>
      </c>
    </row>
    <row r="3131" spans="1:9" x14ac:dyDescent="0.3">
      <c r="A3131" t="s">
        <v>15</v>
      </c>
      <c r="B3131">
        <v>2023</v>
      </c>
      <c r="C3131" t="s">
        <v>0</v>
      </c>
      <c r="D3131">
        <v>2259.0100000000002</v>
      </c>
      <c r="E3131">
        <v>2390.27</v>
      </c>
      <c r="F3131">
        <v>114.47</v>
      </c>
      <c r="G3131">
        <v>343.08</v>
      </c>
      <c r="H3131">
        <f>E3131*1000000/D3131</f>
        <v>1058105.0991363472</v>
      </c>
      <c r="I3131" t="str">
        <f>IF(AND(B3131&gt;=2018, B3131&lt;=2021), "2018-2021", IF(AND(B3131&gt;=2022, B3131&lt;=2024), "2022-2024", "Other"))</f>
        <v>2022-2024</v>
      </c>
    </row>
    <row r="3132" spans="1:9" x14ac:dyDescent="0.3">
      <c r="A3132" t="s">
        <v>16</v>
      </c>
      <c r="B3132">
        <v>2018</v>
      </c>
      <c r="C3132" t="s">
        <v>8</v>
      </c>
      <c r="D3132">
        <v>12851.64</v>
      </c>
      <c r="E3132">
        <v>14590.46</v>
      </c>
      <c r="F3132">
        <v>98.09</v>
      </c>
      <c r="G3132">
        <v>469.07</v>
      </c>
      <c r="H3132">
        <f>E3132*1000000/D3132</f>
        <v>1135299.4637260304</v>
      </c>
      <c r="I3132" t="str">
        <f>IF(AND(B3132&gt;=2018, B3132&lt;=2021), "2018-2021", IF(AND(B3132&gt;=2022, B3132&lt;=2024), "2022-2024", "Other"))</f>
        <v>2018-2021</v>
      </c>
    </row>
    <row r="3133" spans="1:9" x14ac:dyDescent="0.3">
      <c r="A3133" t="s">
        <v>19</v>
      </c>
      <c r="B3133">
        <v>2023</v>
      </c>
      <c r="C3133" t="s">
        <v>14</v>
      </c>
      <c r="D3133">
        <v>19505.47</v>
      </c>
      <c r="E3133">
        <v>19105.95</v>
      </c>
      <c r="F3133">
        <v>76.06</v>
      </c>
      <c r="G3133">
        <v>782.7</v>
      </c>
      <c r="H3133">
        <f>E3133*1000000/D3133</f>
        <v>979517.54046429018</v>
      </c>
      <c r="I3133" t="str">
        <f>IF(AND(B3133&gt;=2018, B3133&lt;=2021), "2018-2021", IF(AND(B3133&gt;=2022, B3133&lt;=2024), "2022-2024", "Other"))</f>
        <v>2022-2024</v>
      </c>
    </row>
    <row r="3134" spans="1:9" x14ac:dyDescent="0.3">
      <c r="A3134" t="s">
        <v>21</v>
      </c>
      <c r="B3134">
        <v>2023</v>
      </c>
      <c r="C3134" t="s">
        <v>0</v>
      </c>
      <c r="D3134">
        <v>14903.6</v>
      </c>
      <c r="E3134">
        <v>14035.31</v>
      </c>
      <c r="F3134">
        <v>37.51</v>
      </c>
      <c r="G3134">
        <v>877.69</v>
      </c>
      <c r="H3134">
        <f>E3134*1000000/D3134</f>
        <v>941739.57969886472</v>
      </c>
      <c r="I3134" t="str">
        <f>IF(AND(B3134&gt;=2018, B3134&lt;=2021), "2018-2021", IF(AND(B3134&gt;=2022, B3134&lt;=2024), "2022-2024", "Other"))</f>
        <v>2022-2024</v>
      </c>
    </row>
    <row r="3135" spans="1:9" x14ac:dyDescent="0.3">
      <c r="A3135" t="s">
        <v>19</v>
      </c>
      <c r="B3135">
        <v>2023</v>
      </c>
      <c r="C3135" t="s">
        <v>8</v>
      </c>
      <c r="D3135">
        <v>13958.86</v>
      </c>
      <c r="E3135">
        <v>11903.19</v>
      </c>
      <c r="F3135">
        <v>157.1</v>
      </c>
      <c r="G3135">
        <v>564.27</v>
      </c>
      <c r="H3135">
        <f>E3135*1000000/D3135</f>
        <v>852733.67595921154</v>
      </c>
      <c r="I3135" t="str">
        <f>IF(AND(B3135&gt;=2018, B3135&lt;=2021), "2018-2021", IF(AND(B3135&gt;=2022, B3135&lt;=2024), "2022-2024", "Other"))</f>
        <v>2022-2024</v>
      </c>
    </row>
    <row r="3136" spans="1:9" x14ac:dyDescent="0.3">
      <c r="A3136" t="s">
        <v>10</v>
      </c>
      <c r="B3136">
        <v>2022</v>
      </c>
      <c r="C3136" t="s">
        <v>0</v>
      </c>
      <c r="D3136">
        <v>11966.64</v>
      </c>
      <c r="E3136">
        <v>13301.59</v>
      </c>
      <c r="F3136">
        <v>115.83</v>
      </c>
      <c r="G3136">
        <v>915.51</v>
      </c>
      <c r="H3136">
        <f>E3136*1000000/D3136</f>
        <v>1111555.9588990728</v>
      </c>
      <c r="I3136" t="str">
        <f>IF(AND(B3136&gt;=2018, B3136&lt;=2021), "2018-2021", IF(AND(B3136&gt;=2022, B3136&lt;=2024), "2022-2024", "Other"))</f>
        <v>2022-2024</v>
      </c>
    </row>
    <row r="3137" spans="1:9" x14ac:dyDescent="0.3">
      <c r="A3137" t="s">
        <v>1</v>
      </c>
      <c r="B3137">
        <v>2023</v>
      </c>
      <c r="C3137" t="s">
        <v>4</v>
      </c>
      <c r="D3137">
        <v>30862.799999999999</v>
      </c>
      <c r="E3137">
        <v>28061.49</v>
      </c>
      <c r="F3137">
        <v>22.5</v>
      </c>
      <c r="G3137">
        <v>605.39</v>
      </c>
      <c r="H3137">
        <f>E3137*1000000/D3137</f>
        <v>909233.44609043899</v>
      </c>
      <c r="I3137" t="str">
        <f>IF(AND(B3137&gt;=2018, B3137&lt;=2021), "2018-2021", IF(AND(B3137&gt;=2022, B3137&lt;=2024), "2022-2024", "Other"))</f>
        <v>2022-2024</v>
      </c>
    </row>
    <row r="3138" spans="1:9" x14ac:dyDescent="0.3">
      <c r="A3138" t="s">
        <v>7</v>
      </c>
      <c r="B3138">
        <v>2018</v>
      </c>
      <c r="C3138" t="s">
        <v>14</v>
      </c>
      <c r="D3138">
        <v>45048.61</v>
      </c>
      <c r="E3138">
        <v>45687.34</v>
      </c>
      <c r="F3138">
        <v>23.68</v>
      </c>
      <c r="G3138">
        <v>340.97</v>
      </c>
      <c r="H3138">
        <f>E3138*1000000/D3138</f>
        <v>1014178.6838706011</v>
      </c>
      <c r="I3138" t="str">
        <f>IF(AND(B3138&gt;=2018, B3138&lt;=2021), "2018-2021", IF(AND(B3138&gt;=2022, B3138&lt;=2024), "2022-2024", "Other"))</f>
        <v>2018-2021</v>
      </c>
    </row>
    <row r="3139" spans="1:9" x14ac:dyDescent="0.3">
      <c r="A3139" t="s">
        <v>20</v>
      </c>
      <c r="B3139">
        <v>2023</v>
      </c>
      <c r="C3139" t="s">
        <v>8</v>
      </c>
      <c r="D3139">
        <v>33076.620000000003</v>
      </c>
      <c r="E3139">
        <v>27055.64</v>
      </c>
      <c r="F3139">
        <v>32.99</v>
      </c>
      <c r="G3139">
        <v>1075.06</v>
      </c>
      <c r="H3139">
        <f>E3139*1000000/D3139</f>
        <v>817968.70417835913</v>
      </c>
      <c r="I3139" t="str">
        <f>IF(AND(B3139&gt;=2018, B3139&lt;=2021), "2018-2021", IF(AND(B3139&gt;=2022, B3139&lt;=2024), "2022-2024", "Other"))</f>
        <v>2022-2024</v>
      </c>
    </row>
    <row r="3140" spans="1:9" x14ac:dyDescent="0.3">
      <c r="A3140" t="s">
        <v>7</v>
      </c>
      <c r="B3140">
        <v>2020</v>
      </c>
      <c r="C3140" t="s">
        <v>6</v>
      </c>
      <c r="D3140">
        <v>38591.620000000003</v>
      </c>
      <c r="E3140">
        <v>31119.05</v>
      </c>
      <c r="F3140">
        <v>134.81</v>
      </c>
      <c r="G3140">
        <v>256.76</v>
      </c>
      <c r="H3140">
        <f>E3140*1000000/D3140</f>
        <v>806368.06643514836</v>
      </c>
      <c r="I3140" t="str">
        <f>IF(AND(B3140&gt;=2018, B3140&lt;=2021), "2018-2021", IF(AND(B3140&gt;=2022, B3140&lt;=2024), "2022-2024", "Other"))</f>
        <v>2018-2021</v>
      </c>
    </row>
    <row r="3141" spans="1:9" x14ac:dyDescent="0.3">
      <c r="A3141" t="s">
        <v>25</v>
      </c>
      <c r="B3141">
        <v>2020</v>
      </c>
      <c r="C3141" t="s">
        <v>4</v>
      </c>
      <c r="D3141">
        <v>37097.269999999997</v>
      </c>
      <c r="E3141">
        <v>31259.119999999999</v>
      </c>
      <c r="F3141">
        <v>85.57</v>
      </c>
      <c r="G3141">
        <v>1135.93</v>
      </c>
      <c r="H3141">
        <f>E3141*1000000/D3141</f>
        <v>842625.8859479418</v>
      </c>
      <c r="I3141" t="str">
        <f>IF(AND(B3141&gt;=2018, B3141&lt;=2021), "2018-2021", IF(AND(B3141&gt;=2022, B3141&lt;=2024), "2022-2024", "Other"))</f>
        <v>2018-2021</v>
      </c>
    </row>
    <row r="3142" spans="1:9" x14ac:dyDescent="0.3">
      <c r="A3142" t="s">
        <v>11</v>
      </c>
      <c r="B3142">
        <v>2018</v>
      </c>
      <c r="C3142" t="s">
        <v>8</v>
      </c>
      <c r="D3142">
        <v>18565.849999999999</v>
      </c>
      <c r="E3142">
        <v>16172.53</v>
      </c>
      <c r="F3142">
        <v>45.13</v>
      </c>
      <c r="G3142">
        <v>335.33</v>
      </c>
      <c r="H3142">
        <f>E3142*1000000/D3142</f>
        <v>871090.20055639802</v>
      </c>
      <c r="I3142" t="str">
        <f>IF(AND(B3142&gt;=2018, B3142&lt;=2021), "2018-2021", IF(AND(B3142&gt;=2022, B3142&lt;=2024), "2022-2024", "Other"))</f>
        <v>2018-2021</v>
      </c>
    </row>
    <row r="3143" spans="1:9" x14ac:dyDescent="0.3">
      <c r="A3143" t="s">
        <v>11</v>
      </c>
      <c r="B3143">
        <v>2020</v>
      </c>
      <c r="C3143" t="s">
        <v>0</v>
      </c>
      <c r="D3143">
        <v>4854.43</v>
      </c>
      <c r="E3143">
        <v>5591.6</v>
      </c>
      <c r="F3143">
        <v>22.92</v>
      </c>
      <c r="G3143">
        <v>101.56</v>
      </c>
      <c r="H3143">
        <f>E3143*1000000/D3143</f>
        <v>1151855.1096627205</v>
      </c>
      <c r="I3143" t="str">
        <f>IF(AND(B3143&gt;=2018, B3143&lt;=2021), "2018-2021", IF(AND(B3143&gt;=2022, B3143&lt;=2024), "2022-2024", "Other"))</f>
        <v>2018-2021</v>
      </c>
    </row>
    <row r="3144" spans="1:9" x14ac:dyDescent="0.3">
      <c r="A3144" t="s">
        <v>27</v>
      </c>
      <c r="B3144">
        <v>2024</v>
      </c>
      <c r="C3144" t="s">
        <v>4</v>
      </c>
      <c r="D3144">
        <v>12538.16</v>
      </c>
      <c r="E3144">
        <v>11004.04</v>
      </c>
      <c r="F3144">
        <v>74.709999999999994</v>
      </c>
      <c r="G3144">
        <v>250.62</v>
      </c>
      <c r="H3144">
        <f>E3144*1000000/D3144</f>
        <v>877643.92861472501</v>
      </c>
      <c r="I3144" t="str">
        <f>IF(AND(B3144&gt;=2018, B3144&lt;=2021), "2018-2021", IF(AND(B3144&gt;=2022, B3144&lt;=2024), "2022-2024", "Other"))</f>
        <v>2022-2024</v>
      </c>
    </row>
    <row r="3145" spans="1:9" x14ac:dyDescent="0.3">
      <c r="A3145" t="s">
        <v>7</v>
      </c>
      <c r="B3145">
        <v>2023</v>
      </c>
      <c r="C3145" t="s">
        <v>4</v>
      </c>
      <c r="D3145">
        <v>47916.19</v>
      </c>
      <c r="E3145">
        <v>56688.98</v>
      </c>
      <c r="F3145">
        <v>173.25</v>
      </c>
      <c r="G3145">
        <v>499.28</v>
      </c>
      <c r="H3145">
        <f>E3145*1000000/D3145</f>
        <v>1183086.1343525017</v>
      </c>
      <c r="I3145" t="str">
        <f>IF(AND(B3145&gt;=2018, B3145&lt;=2021), "2018-2021", IF(AND(B3145&gt;=2022, B3145&lt;=2024), "2022-2024", "Other"))</f>
        <v>2022-2024</v>
      </c>
    </row>
    <row r="3146" spans="1:9" x14ac:dyDescent="0.3">
      <c r="A3146" t="s">
        <v>13</v>
      </c>
      <c r="B3146">
        <v>2019</v>
      </c>
      <c r="C3146" t="s">
        <v>6</v>
      </c>
      <c r="D3146">
        <v>49897.41</v>
      </c>
      <c r="E3146">
        <v>52983.4</v>
      </c>
      <c r="F3146">
        <v>118.17</v>
      </c>
      <c r="G3146">
        <v>1356.14</v>
      </c>
      <c r="H3146">
        <f>E3146*1000000/D3146</f>
        <v>1061846.6970530134</v>
      </c>
      <c r="I3146" t="str">
        <f>IF(AND(B3146&gt;=2018, B3146&lt;=2021), "2018-2021", IF(AND(B3146&gt;=2022, B3146&lt;=2024), "2022-2024", "Other"))</f>
        <v>2018-2021</v>
      </c>
    </row>
    <row r="3147" spans="1:9" x14ac:dyDescent="0.3">
      <c r="A3147" t="s">
        <v>21</v>
      </c>
      <c r="B3147">
        <v>2023</v>
      </c>
      <c r="C3147" t="s">
        <v>9</v>
      </c>
      <c r="D3147">
        <v>49279.74</v>
      </c>
      <c r="E3147">
        <v>49982.07</v>
      </c>
      <c r="F3147">
        <v>166.35</v>
      </c>
      <c r="G3147">
        <v>852.67</v>
      </c>
      <c r="H3147">
        <f>E3147*1000000/D3147</f>
        <v>1014251.9014913634</v>
      </c>
      <c r="I3147" t="str">
        <f>IF(AND(B3147&gt;=2018, B3147&lt;=2021), "2018-2021", IF(AND(B3147&gt;=2022, B3147&lt;=2024), "2022-2024", "Other"))</f>
        <v>2022-2024</v>
      </c>
    </row>
    <row r="3148" spans="1:9" x14ac:dyDescent="0.3">
      <c r="A3148" t="s">
        <v>20</v>
      </c>
      <c r="B3148">
        <v>2019</v>
      </c>
      <c r="C3148" t="s">
        <v>14</v>
      </c>
      <c r="D3148">
        <v>27104.63</v>
      </c>
      <c r="E3148">
        <v>27798.720000000001</v>
      </c>
      <c r="F3148">
        <v>164.98</v>
      </c>
      <c r="G3148">
        <v>326.08</v>
      </c>
      <c r="H3148">
        <f>E3148*1000000/D3148</f>
        <v>1025607.8020618617</v>
      </c>
      <c r="I3148" t="str">
        <f>IF(AND(B3148&gt;=2018, B3148&lt;=2021), "2018-2021", IF(AND(B3148&gt;=2022, B3148&lt;=2024), "2022-2024", "Other"))</f>
        <v>2018-2021</v>
      </c>
    </row>
    <row r="3149" spans="1:9" x14ac:dyDescent="0.3">
      <c r="A3149" t="s">
        <v>20</v>
      </c>
      <c r="B3149">
        <v>2022</v>
      </c>
      <c r="C3149" t="s">
        <v>12</v>
      </c>
      <c r="D3149">
        <v>34535.449999999997</v>
      </c>
      <c r="E3149">
        <v>40893.1</v>
      </c>
      <c r="F3149">
        <v>118.14</v>
      </c>
      <c r="G3149">
        <v>935.55</v>
      </c>
      <c r="H3149">
        <f>E3149*1000000/D3149</f>
        <v>1184090.5504344087</v>
      </c>
      <c r="I3149" t="str">
        <f>IF(AND(B3149&gt;=2018, B3149&lt;=2021), "2018-2021", IF(AND(B3149&gt;=2022, B3149&lt;=2024), "2022-2024", "Other"))</f>
        <v>2022-2024</v>
      </c>
    </row>
    <row r="3150" spans="1:9" x14ac:dyDescent="0.3">
      <c r="A3150" t="s">
        <v>18</v>
      </c>
      <c r="B3150">
        <v>2019</v>
      </c>
      <c r="C3150" t="s">
        <v>2</v>
      </c>
      <c r="D3150">
        <v>3821.97</v>
      </c>
      <c r="E3150">
        <v>3440.76</v>
      </c>
      <c r="F3150">
        <v>192.16</v>
      </c>
      <c r="G3150">
        <v>512.62</v>
      </c>
      <c r="H3150">
        <f>E3150*1000000/D3150</f>
        <v>900258.24378527305</v>
      </c>
      <c r="I3150" t="str">
        <f>IF(AND(B3150&gt;=2018, B3150&lt;=2021), "2018-2021", IF(AND(B3150&gt;=2022, B3150&lt;=2024), "2022-2024", "Other"))</f>
        <v>2018-2021</v>
      </c>
    </row>
    <row r="3151" spans="1:9" x14ac:dyDescent="0.3">
      <c r="A3151" t="s">
        <v>22</v>
      </c>
      <c r="B3151">
        <v>2021</v>
      </c>
      <c r="C3151" t="s">
        <v>8</v>
      </c>
      <c r="D3151">
        <v>12506.13</v>
      </c>
      <c r="E3151">
        <v>10524.25</v>
      </c>
      <c r="F3151">
        <v>111.28</v>
      </c>
      <c r="G3151">
        <v>209.63</v>
      </c>
      <c r="H3151">
        <f>E3151*1000000/D3151</f>
        <v>841527.31500472175</v>
      </c>
      <c r="I3151" t="str">
        <f>IF(AND(B3151&gt;=2018, B3151&lt;=2021), "2018-2021", IF(AND(B3151&gt;=2022, B3151&lt;=2024), "2022-2024", "Other"))</f>
        <v>2018-2021</v>
      </c>
    </row>
    <row r="3152" spans="1:9" x14ac:dyDescent="0.3">
      <c r="A3152" t="s">
        <v>26</v>
      </c>
      <c r="B3152">
        <v>2023</v>
      </c>
      <c r="C3152" t="s">
        <v>12</v>
      </c>
      <c r="D3152">
        <v>1221.6199999999999</v>
      </c>
      <c r="E3152">
        <v>984.57</v>
      </c>
      <c r="F3152">
        <v>96.88</v>
      </c>
      <c r="G3152">
        <v>547.78</v>
      </c>
      <c r="H3152">
        <f>E3152*1000000/D3152</f>
        <v>805954.38843502896</v>
      </c>
      <c r="I3152" t="str">
        <f>IF(AND(B3152&gt;=2018, B3152&lt;=2021), "2018-2021", IF(AND(B3152&gt;=2022, B3152&lt;=2024), "2022-2024", "Other"))</f>
        <v>2022-2024</v>
      </c>
    </row>
    <row r="3153" spans="1:9" x14ac:dyDescent="0.3">
      <c r="A3153" t="s">
        <v>15</v>
      </c>
      <c r="B3153">
        <v>2024</v>
      </c>
      <c r="C3153" t="s">
        <v>6</v>
      </c>
      <c r="D3153">
        <v>29489.02</v>
      </c>
      <c r="E3153">
        <v>30542.09</v>
      </c>
      <c r="F3153">
        <v>138.28</v>
      </c>
      <c r="G3153">
        <v>382.43</v>
      </c>
      <c r="H3153">
        <f>E3153*1000000/D3153</f>
        <v>1035710.5797344232</v>
      </c>
      <c r="I3153" t="str">
        <f>IF(AND(B3153&gt;=2018, B3153&lt;=2021), "2018-2021", IF(AND(B3153&gt;=2022, B3153&lt;=2024), "2022-2024", "Other"))</f>
        <v>2022-2024</v>
      </c>
    </row>
    <row r="3154" spans="1:9" x14ac:dyDescent="0.3">
      <c r="A3154" t="s">
        <v>26</v>
      </c>
      <c r="B3154">
        <v>2020</v>
      </c>
      <c r="C3154" t="s">
        <v>14</v>
      </c>
      <c r="D3154">
        <v>5438.27</v>
      </c>
      <c r="E3154">
        <v>5256.73</v>
      </c>
      <c r="F3154">
        <v>172.27</v>
      </c>
      <c r="G3154">
        <v>851.51</v>
      </c>
      <c r="H3154">
        <f>E3154*1000000/D3154</f>
        <v>966618.0605229236</v>
      </c>
      <c r="I3154" t="str">
        <f>IF(AND(B3154&gt;=2018, B3154&lt;=2021), "2018-2021", IF(AND(B3154&gt;=2022, B3154&lt;=2024), "2022-2024", "Other"))</f>
        <v>2018-2021</v>
      </c>
    </row>
    <row r="3155" spans="1:9" x14ac:dyDescent="0.3">
      <c r="A3155" t="s">
        <v>18</v>
      </c>
      <c r="B3155">
        <v>2018</v>
      </c>
      <c r="C3155" t="s">
        <v>9</v>
      </c>
      <c r="D3155">
        <v>7741.56</v>
      </c>
      <c r="E3155">
        <v>6879.98</v>
      </c>
      <c r="F3155">
        <v>36.450000000000003</v>
      </c>
      <c r="G3155">
        <v>1035.4100000000001</v>
      </c>
      <c r="H3155">
        <f>E3155*1000000/D3155</f>
        <v>888707.18563183642</v>
      </c>
      <c r="I3155" t="str">
        <f>IF(AND(B3155&gt;=2018, B3155&lt;=2021), "2018-2021", IF(AND(B3155&gt;=2022, B3155&lt;=2024), "2022-2024", "Other"))</f>
        <v>2018-2021</v>
      </c>
    </row>
    <row r="3156" spans="1:9" x14ac:dyDescent="0.3">
      <c r="A3156" t="s">
        <v>17</v>
      </c>
      <c r="B3156">
        <v>2024</v>
      </c>
      <c r="C3156" t="s">
        <v>8</v>
      </c>
      <c r="D3156">
        <v>2469.34</v>
      </c>
      <c r="E3156">
        <v>2547.15</v>
      </c>
      <c r="F3156">
        <v>65.180000000000007</v>
      </c>
      <c r="G3156">
        <v>1204.7</v>
      </c>
      <c r="H3156">
        <f>E3156*1000000/D3156</f>
        <v>1031510.444086274</v>
      </c>
      <c r="I3156" t="str">
        <f>IF(AND(B3156&gt;=2018, B3156&lt;=2021), "2018-2021", IF(AND(B3156&gt;=2022, B3156&lt;=2024), "2022-2024", "Other"))</f>
        <v>2022-2024</v>
      </c>
    </row>
    <row r="3157" spans="1:9" x14ac:dyDescent="0.3">
      <c r="A3157" t="s">
        <v>13</v>
      </c>
      <c r="B3157">
        <v>2023</v>
      </c>
      <c r="C3157" t="s">
        <v>4</v>
      </c>
      <c r="D3157">
        <v>26024.78</v>
      </c>
      <c r="E3157">
        <v>29269.93</v>
      </c>
      <c r="F3157">
        <v>29.33</v>
      </c>
      <c r="G3157">
        <v>576.62</v>
      </c>
      <c r="H3157">
        <f>E3157*1000000/D3157</f>
        <v>1124694.6179756371</v>
      </c>
      <c r="I3157" t="str">
        <f>IF(AND(B3157&gt;=2018, B3157&lt;=2021), "2018-2021", IF(AND(B3157&gt;=2022, B3157&lt;=2024), "2022-2024", "Other"))</f>
        <v>2022-2024</v>
      </c>
    </row>
    <row r="3158" spans="1:9" x14ac:dyDescent="0.3">
      <c r="A3158" t="s">
        <v>19</v>
      </c>
      <c r="B3158">
        <v>2020</v>
      </c>
      <c r="C3158" t="s">
        <v>12</v>
      </c>
      <c r="D3158">
        <v>47273.49</v>
      </c>
      <c r="E3158">
        <v>49943.03</v>
      </c>
      <c r="F3158">
        <v>51.64</v>
      </c>
      <c r="G3158">
        <v>1212.97</v>
      </c>
      <c r="H3158">
        <f>E3158*1000000/D3158</f>
        <v>1056470.1273377533</v>
      </c>
      <c r="I3158" t="str">
        <f>IF(AND(B3158&gt;=2018, B3158&lt;=2021), "2018-2021", IF(AND(B3158&gt;=2022, B3158&lt;=2024), "2022-2024", "Other"))</f>
        <v>2018-2021</v>
      </c>
    </row>
    <row r="3159" spans="1:9" x14ac:dyDescent="0.3">
      <c r="A3159" t="s">
        <v>26</v>
      </c>
      <c r="B3159">
        <v>2018</v>
      </c>
      <c r="C3159" t="s">
        <v>2</v>
      </c>
      <c r="D3159">
        <v>40523.019999999997</v>
      </c>
      <c r="E3159">
        <v>36379.9</v>
      </c>
      <c r="F3159">
        <v>83.53</v>
      </c>
      <c r="G3159">
        <v>1070.5999999999999</v>
      </c>
      <c r="H3159">
        <f>E3159*1000000/D3159</f>
        <v>897758.85410317406</v>
      </c>
      <c r="I3159" t="str">
        <f>IF(AND(B3159&gt;=2018, B3159&lt;=2021), "2018-2021", IF(AND(B3159&gt;=2022, B3159&lt;=2024), "2022-2024", "Other"))</f>
        <v>2018-2021</v>
      </c>
    </row>
    <row r="3160" spans="1:9" x14ac:dyDescent="0.3">
      <c r="A3160" t="s">
        <v>15</v>
      </c>
      <c r="B3160">
        <v>2021</v>
      </c>
      <c r="C3160" t="s">
        <v>6</v>
      </c>
      <c r="D3160">
        <v>36470.879999999997</v>
      </c>
      <c r="E3160">
        <v>30124.89</v>
      </c>
      <c r="F3160">
        <v>123.59</v>
      </c>
      <c r="G3160">
        <v>655.42</v>
      </c>
      <c r="H3160">
        <f>E3160*1000000/D3160</f>
        <v>825998.44039957365</v>
      </c>
      <c r="I3160" t="str">
        <f>IF(AND(B3160&gt;=2018, B3160&lt;=2021), "2018-2021", IF(AND(B3160&gt;=2022, B3160&lt;=2024), "2022-2024", "Other"))</f>
        <v>2018-2021</v>
      </c>
    </row>
    <row r="3161" spans="1:9" x14ac:dyDescent="0.3">
      <c r="A3161" t="s">
        <v>24</v>
      </c>
      <c r="B3161">
        <v>2024</v>
      </c>
      <c r="C3161" t="s">
        <v>0</v>
      </c>
      <c r="D3161">
        <v>41051.019999999997</v>
      </c>
      <c r="E3161">
        <v>47576.89</v>
      </c>
      <c r="F3161">
        <v>128.4</v>
      </c>
      <c r="G3161">
        <v>220.64</v>
      </c>
      <c r="H3161">
        <f>E3161*1000000/D3161</f>
        <v>1158969.7405813546</v>
      </c>
      <c r="I3161" t="str">
        <f>IF(AND(B3161&gt;=2018, B3161&lt;=2021), "2018-2021", IF(AND(B3161&gt;=2022, B3161&lt;=2024), "2022-2024", "Other"))</f>
        <v>2022-2024</v>
      </c>
    </row>
    <row r="3162" spans="1:9" x14ac:dyDescent="0.3">
      <c r="A3162" t="s">
        <v>18</v>
      </c>
      <c r="B3162">
        <v>2021</v>
      </c>
      <c r="C3162" t="s">
        <v>12</v>
      </c>
      <c r="D3162">
        <v>16178.17</v>
      </c>
      <c r="E3162">
        <v>18650.75</v>
      </c>
      <c r="F3162">
        <v>25.83</v>
      </c>
      <c r="G3162">
        <v>137.81</v>
      </c>
      <c r="H3162">
        <f>E3162*1000000/D3162</f>
        <v>1152834.3440574552</v>
      </c>
      <c r="I3162" t="str">
        <f>IF(AND(B3162&gt;=2018, B3162&lt;=2021), "2018-2021", IF(AND(B3162&gt;=2022, B3162&lt;=2024), "2022-2024", "Other"))</f>
        <v>2018-2021</v>
      </c>
    </row>
    <row r="3163" spans="1:9" x14ac:dyDescent="0.3">
      <c r="A3163" t="s">
        <v>22</v>
      </c>
      <c r="B3163">
        <v>2023</v>
      </c>
      <c r="C3163" t="s">
        <v>6</v>
      </c>
      <c r="D3163">
        <v>46501.82</v>
      </c>
      <c r="E3163">
        <v>45442.62</v>
      </c>
      <c r="F3163">
        <v>109.76</v>
      </c>
      <c r="G3163">
        <v>23.36</v>
      </c>
      <c r="H3163">
        <f>E3163*1000000/D3163</f>
        <v>977222.3968868315</v>
      </c>
      <c r="I3163" t="str">
        <f>IF(AND(B3163&gt;=2018, B3163&lt;=2021), "2018-2021", IF(AND(B3163&gt;=2022, B3163&lt;=2024), "2022-2024", "Other"))</f>
        <v>2022-2024</v>
      </c>
    </row>
    <row r="3164" spans="1:9" x14ac:dyDescent="0.3">
      <c r="A3164" t="s">
        <v>20</v>
      </c>
      <c r="B3164">
        <v>2021</v>
      </c>
      <c r="C3164" t="s">
        <v>8</v>
      </c>
      <c r="D3164">
        <v>23806.82</v>
      </c>
      <c r="E3164">
        <v>28173.06</v>
      </c>
      <c r="F3164">
        <v>121.6</v>
      </c>
      <c r="G3164">
        <v>1201.8800000000001</v>
      </c>
      <c r="H3164">
        <f>E3164*1000000/D3164</f>
        <v>1183402.9072341456</v>
      </c>
      <c r="I3164" t="str">
        <f>IF(AND(B3164&gt;=2018, B3164&lt;=2021), "2018-2021", IF(AND(B3164&gt;=2022, B3164&lt;=2024), "2022-2024", "Other"))</f>
        <v>2018-2021</v>
      </c>
    </row>
    <row r="3165" spans="1:9" x14ac:dyDescent="0.3">
      <c r="A3165" t="s">
        <v>17</v>
      </c>
      <c r="B3165">
        <v>2023</v>
      </c>
      <c r="C3165" t="s">
        <v>9</v>
      </c>
      <c r="D3165">
        <v>19710.77</v>
      </c>
      <c r="E3165">
        <v>18712.96</v>
      </c>
      <c r="F3165">
        <v>162.09</v>
      </c>
      <c r="G3165">
        <v>1231.96</v>
      </c>
      <c r="H3165">
        <f>E3165*1000000/D3165</f>
        <v>949377.42158221116</v>
      </c>
      <c r="I3165" t="str">
        <f>IF(AND(B3165&gt;=2018, B3165&lt;=2021), "2018-2021", IF(AND(B3165&gt;=2022, B3165&lt;=2024), "2022-2024", "Other"))</f>
        <v>2022-2024</v>
      </c>
    </row>
    <row r="3166" spans="1:9" x14ac:dyDescent="0.3">
      <c r="A3166" t="s">
        <v>15</v>
      </c>
      <c r="B3166">
        <v>2023</v>
      </c>
      <c r="C3166" t="s">
        <v>2</v>
      </c>
      <c r="D3166">
        <v>14272.87</v>
      </c>
      <c r="E3166">
        <v>13616.01</v>
      </c>
      <c r="F3166">
        <v>45.6</v>
      </c>
      <c r="G3166">
        <v>857.44</v>
      </c>
      <c r="H3166">
        <f>E3166*1000000/D3166</f>
        <v>953978.42199921946</v>
      </c>
      <c r="I3166" t="str">
        <f>IF(AND(B3166&gt;=2018, B3166&lt;=2021), "2018-2021", IF(AND(B3166&gt;=2022, B3166&lt;=2024), "2022-2024", "Other"))</f>
        <v>2022-2024</v>
      </c>
    </row>
    <row r="3167" spans="1:9" x14ac:dyDescent="0.3">
      <c r="A3167" t="s">
        <v>15</v>
      </c>
      <c r="B3167">
        <v>2023</v>
      </c>
      <c r="C3167" t="s">
        <v>2</v>
      </c>
      <c r="D3167">
        <v>2267.39</v>
      </c>
      <c r="E3167">
        <v>2004.48</v>
      </c>
      <c r="F3167">
        <v>184.53</v>
      </c>
      <c r="G3167">
        <v>417.62</v>
      </c>
      <c r="H3167">
        <f>E3167*1000000/D3167</f>
        <v>884047.29667150346</v>
      </c>
      <c r="I3167" t="str">
        <f>IF(AND(B3167&gt;=2018, B3167&lt;=2021), "2018-2021", IF(AND(B3167&gt;=2022, B3167&lt;=2024), "2022-2024", "Other"))</f>
        <v>2022-2024</v>
      </c>
    </row>
    <row r="3168" spans="1:9" x14ac:dyDescent="0.3">
      <c r="A3168" t="s">
        <v>27</v>
      </c>
      <c r="B3168">
        <v>2023</v>
      </c>
      <c r="C3168" t="s">
        <v>12</v>
      </c>
      <c r="D3168">
        <v>33972.57</v>
      </c>
      <c r="E3168">
        <v>38497.82</v>
      </c>
      <c r="F3168">
        <v>178.06</v>
      </c>
      <c r="G3168">
        <v>385.75</v>
      </c>
      <c r="H3168">
        <f>E3168*1000000/D3168</f>
        <v>1133203.0517561669</v>
      </c>
      <c r="I3168" t="str">
        <f>IF(AND(B3168&gt;=2018, B3168&lt;=2021), "2018-2021", IF(AND(B3168&gt;=2022, B3168&lt;=2024), "2022-2024", "Other"))</f>
        <v>2022-2024</v>
      </c>
    </row>
    <row r="3169" spans="1:9" x14ac:dyDescent="0.3">
      <c r="A3169" t="s">
        <v>7</v>
      </c>
      <c r="B3169">
        <v>2022</v>
      </c>
      <c r="C3169" t="s">
        <v>6</v>
      </c>
      <c r="D3169">
        <v>10946.27</v>
      </c>
      <c r="E3169">
        <v>9985.4</v>
      </c>
      <c r="F3169">
        <v>22.7</v>
      </c>
      <c r="G3169">
        <v>41.39</v>
      </c>
      <c r="H3169">
        <f>E3169*1000000/D3169</f>
        <v>912219.41355365794</v>
      </c>
      <c r="I3169" t="str">
        <f>IF(AND(B3169&gt;=2018, B3169&lt;=2021), "2018-2021", IF(AND(B3169&gt;=2022, B3169&lt;=2024), "2022-2024", "Other"))</f>
        <v>2022-2024</v>
      </c>
    </row>
    <row r="3170" spans="1:9" x14ac:dyDescent="0.3">
      <c r="A3170" t="s">
        <v>23</v>
      </c>
      <c r="B3170">
        <v>2020</v>
      </c>
      <c r="C3170" t="s">
        <v>0</v>
      </c>
      <c r="D3170">
        <v>49676.32</v>
      </c>
      <c r="E3170">
        <v>41270.26</v>
      </c>
      <c r="F3170">
        <v>29.32</v>
      </c>
      <c r="G3170">
        <v>474.65</v>
      </c>
      <c r="H3170">
        <f>E3170*1000000/D3170</f>
        <v>830783.35915381811</v>
      </c>
      <c r="I3170" t="str">
        <f>IF(AND(B3170&gt;=2018, B3170&lt;=2021), "2018-2021", IF(AND(B3170&gt;=2022, B3170&lt;=2024), "2022-2024", "Other"))</f>
        <v>2018-2021</v>
      </c>
    </row>
    <row r="3171" spans="1:9" x14ac:dyDescent="0.3">
      <c r="A3171" t="s">
        <v>11</v>
      </c>
      <c r="B3171">
        <v>2019</v>
      </c>
      <c r="C3171" t="s">
        <v>6</v>
      </c>
      <c r="D3171">
        <v>9255.1200000000008</v>
      </c>
      <c r="E3171">
        <v>9241.7900000000009</v>
      </c>
      <c r="F3171">
        <v>24.29</v>
      </c>
      <c r="G3171">
        <v>297.27999999999997</v>
      </c>
      <c r="H3171">
        <f>E3171*1000000/D3171</f>
        <v>998559.71613550116</v>
      </c>
      <c r="I3171" t="str">
        <f>IF(AND(B3171&gt;=2018, B3171&lt;=2021), "2018-2021", IF(AND(B3171&gt;=2022, B3171&lt;=2024), "2022-2024", "Other"))</f>
        <v>2018-2021</v>
      </c>
    </row>
    <row r="3172" spans="1:9" x14ac:dyDescent="0.3">
      <c r="A3172" t="s">
        <v>10</v>
      </c>
      <c r="B3172">
        <v>2024</v>
      </c>
      <c r="C3172" t="s">
        <v>6</v>
      </c>
      <c r="D3172">
        <v>9277.3799999999992</v>
      </c>
      <c r="E3172">
        <v>9834.82</v>
      </c>
      <c r="F3172">
        <v>32.39</v>
      </c>
      <c r="G3172">
        <v>670.16</v>
      </c>
      <c r="H3172">
        <f>E3172*1000000/D3172</f>
        <v>1060085.9294326631</v>
      </c>
      <c r="I3172" t="str">
        <f>IF(AND(B3172&gt;=2018, B3172&lt;=2021), "2018-2021", IF(AND(B3172&gt;=2022, B3172&lt;=2024), "2022-2024", "Other"))</f>
        <v>2022-2024</v>
      </c>
    </row>
    <row r="3173" spans="1:9" x14ac:dyDescent="0.3">
      <c r="A3173" t="s">
        <v>18</v>
      </c>
      <c r="B3173">
        <v>2018</v>
      </c>
      <c r="C3173" t="s">
        <v>14</v>
      </c>
      <c r="D3173">
        <v>18076.68</v>
      </c>
      <c r="E3173">
        <v>16060.53</v>
      </c>
      <c r="F3173">
        <v>85.35</v>
      </c>
      <c r="G3173">
        <v>74.900000000000006</v>
      </c>
      <c r="H3173">
        <f>E3173*1000000/D3173</f>
        <v>888466.79810673196</v>
      </c>
      <c r="I3173" t="str">
        <f>IF(AND(B3173&gt;=2018, B3173&lt;=2021), "2018-2021", IF(AND(B3173&gt;=2022, B3173&lt;=2024), "2022-2024", "Other"))</f>
        <v>2018-2021</v>
      </c>
    </row>
    <row r="3174" spans="1:9" x14ac:dyDescent="0.3">
      <c r="A3174" t="s">
        <v>24</v>
      </c>
      <c r="B3174">
        <v>2018</v>
      </c>
      <c r="C3174" t="s">
        <v>9</v>
      </c>
      <c r="D3174">
        <v>13198.24</v>
      </c>
      <c r="E3174">
        <v>12355.27</v>
      </c>
      <c r="F3174">
        <v>152.49</v>
      </c>
      <c r="G3174">
        <v>686.52</v>
      </c>
      <c r="H3174">
        <f>E3174*1000000/D3174</f>
        <v>936130.12037968705</v>
      </c>
      <c r="I3174" t="str">
        <f>IF(AND(B3174&gt;=2018, B3174&lt;=2021), "2018-2021", IF(AND(B3174&gt;=2022, B3174&lt;=2024), "2022-2024", "Other"))</f>
        <v>2018-2021</v>
      </c>
    </row>
    <row r="3175" spans="1:9" x14ac:dyDescent="0.3">
      <c r="A3175" t="s">
        <v>15</v>
      </c>
      <c r="B3175">
        <v>2020</v>
      </c>
      <c r="C3175" t="s">
        <v>14</v>
      </c>
      <c r="D3175">
        <v>28422.26</v>
      </c>
      <c r="E3175">
        <v>24190.07</v>
      </c>
      <c r="F3175">
        <v>119.24</v>
      </c>
      <c r="G3175">
        <v>331.15</v>
      </c>
      <c r="H3175">
        <f>E3175*1000000/D3175</f>
        <v>851095.93677631556</v>
      </c>
      <c r="I3175" t="str">
        <f>IF(AND(B3175&gt;=2018, B3175&lt;=2021), "2018-2021", IF(AND(B3175&gt;=2022, B3175&lt;=2024), "2022-2024", "Other"))</f>
        <v>2018-2021</v>
      </c>
    </row>
    <row r="3176" spans="1:9" x14ac:dyDescent="0.3">
      <c r="A3176" t="s">
        <v>27</v>
      </c>
      <c r="B3176">
        <v>2024</v>
      </c>
      <c r="C3176" t="s">
        <v>12</v>
      </c>
      <c r="D3176">
        <v>35696.79</v>
      </c>
      <c r="E3176">
        <v>32244.91</v>
      </c>
      <c r="F3176">
        <v>74.78</v>
      </c>
      <c r="G3176">
        <v>857.01</v>
      </c>
      <c r="H3176">
        <f>E3176*1000000/D3176</f>
        <v>903299.98859841458</v>
      </c>
      <c r="I3176" t="str">
        <f>IF(AND(B3176&gt;=2018, B3176&lt;=2021), "2018-2021", IF(AND(B3176&gt;=2022, B3176&lt;=2024), "2022-2024", "Other"))</f>
        <v>2022-2024</v>
      </c>
    </row>
    <row r="3177" spans="1:9" x14ac:dyDescent="0.3">
      <c r="A3177" t="s">
        <v>27</v>
      </c>
      <c r="B3177">
        <v>2023</v>
      </c>
      <c r="C3177" t="s">
        <v>0</v>
      </c>
      <c r="D3177">
        <v>15390.05</v>
      </c>
      <c r="E3177">
        <v>12457.12</v>
      </c>
      <c r="F3177">
        <v>38.01</v>
      </c>
      <c r="G3177">
        <v>662.54</v>
      </c>
      <c r="H3177">
        <f>E3177*1000000/D3177</f>
        <v>809426.86995818734</v>
      </c>
      <c r="I3177" t="str">
        <f>IF(AND(B3177&gt;=2018, B3177&lt;=2021), "2018-2021", IF(AND(B3177&gt;=2022, B3177&lt;=2024), "2022-2024", "Other"))</f>
        <v>2022-2024</v>
      </c>
    </row>
    <row r="3178" spans="1:9" x14ac:dyDescent="0.3">
      <c r="A3178" t="s">
        <v>1</v>
      </c>
      <c r="B3178">
        <v>2023</v>
      </c>
      <c r="C3178" t="s">
        <v>6</v>
      </c>
      <c r="D3178">
        <v>25561.919999999998</v>
      </c>
      <c r="E3178">
        <v>27983.11</v>
      </c>
      <c r="F3178">
        <v>153.81</v>
      </c>
      <c r="G3178">
        <v>305.69</v>
      </c>
      <c r="H3178">
        <f>E3178*1000000/D3178</f>
        <v>1094718.628334648</v>
      </c>
      <c r="I3178" t="str">
        <f>IF(AND(B3178&gt;=2018, B3178&lt;=2021), "2018-2021", IF(AND(B3178&gt;=2022, B3178&lt;=2024), "2022-2024", "Other"))</f>
        <v>2022-2024</v>
      </c>
    </row>
    <row r="3179" spans="1:9" x14ac:dyDescent="0.3">
      <c r="A3179" t="s">
        <v>20</v>
      </c>
      <c r="B3179">
        <v>2022</v>
      </c>
      <c r="C3179" t="s">
        <v>12</v>
      </c>
      <c r="D3179">
        <v>36016.94</v>
      </c>
      <c r="E3179">
        <v>41810.769999999997</v>
      </c>
      <c r="F3179">
        <v>143.72999999999999</v>
      </c>
      <c r="G3179">
        <v>380.81</v>
      </c>
      <c r="H3179">
        <f>E3179*1000000/D3179</f>
        <v>1160864.0267607409</v>
      </c>
      <c r="I3179" t="str">
        <f>IF(AND(B3179&gt;=2018, B3179&lt;=2021), "2018-2021", IF(AND(B3179&gt;=2022, B3179&lt;=2024), "2022-2024", "Other"))</f>
        <v>2022-2024</v>
      </c>
    </row>
    <row r="3180" spans="1:9" x14ac:dyDescent="0.3">
      <c r="A3180" t="s">
        <v>25</v>
      </c>
      <c r="B3180">
        <v>2022</v>
      </c>
      <c r="C3180" t="s">
        <v>0</v>
      </c>
      <c r="D3180">
        <v>16918.080000000002</v>
      </c>
      <c r="E3180">
        <v>13849.39</v>
      </c>
      <c r="F3180">
        <v>60.7</v>
      </c>
      <c r="G3180">
        <v>1373.73</v>
      </c>
      <c r="H3180">
        <f>E3180*1000000/D3180</f>
        <v>818614.76006733614</v>
      </c>
      <c r="I3180" t="str">
        <f>IF(AND(B3180&gt;=2018, B3180&lt;=2021), "2018-2021", IF(AND(B3180&gt;=2022, B3180&lt;=2024), "2022-2024", "Other"))</f>
        <v>2022-2024</v>
      </c>
    </row>
    <row r="3181" spans="1:9" x14ac:dyDescent="0.3">
      <c r="A3181" t="s">
        <v>25</v>
      </c>
      <c r="B3181">
        <v>2020</v>
      </c>
      <c r="C3181" t="s">
        <v>2</v>
      </c>
      <c r="D3181">
        <v>24061.59</v>
      </c>
      <c r="E3181">
        <v>19712.45</v>
      </c>
      <c r="F3181">
        <v>148.24</v>
      </c>
      <c r="G3181">
        <v>436.47</v>
      </c>
      <c r="H3181">
        <f>E3181*1000000/D3181</f>
        <v>819249.68383219896</v>
      </c>
      <c r="I3181" t="str">
        <f>IF(AND(B3181&gt;=2018, B3181&lt;=2021), "2018-2021", IF(AND(B3181&gt;=2022, B3181&lt;=2024), "2022-2024", "Other"))</f>
        <v>2018-2021</v>
      </c>
    </row>
    <row r="3182" spans="1:9" x14ac:dyDescent="0.3">
      <c r="A3182" t="s">
        <v>13</v>
      </c>
      <c r="B3182">
        <v>2019</v>
      </c>
      <c r="C3182" t="s">
        <v>14</v>
      </c>
      <c r="D3182">
        <v>32367.96</v>
      </c>
      <c r="E3182">
        <v>31487.91</v>
      </c>
      <c r="F3182">
        <v>100.27</v>
      </c>
      <c r="G3182">
        <v>432.17</v>
      </c>
      <c r="H3182">
        <f>E3182*1000000/D3182</f>
        <v>972811.0761382553</v>
      </c>
      <c r="I3182" t="str">
        <f>IF(AND(B3182&gt;=2018, B3182&lt;=2021), "2018-2021", IF(AND(B3182&gt;=2022, B3182&lt;=2024), "2022-2024", "Other"))</f>
        <v>2018-2021</v>
      </c>
    </row>
    <row r="3183" spans="1:9" x14ac:dyDescent="0.3">
      <c r="A3183" t="s">
        <v>27</v>
      </c>
      <c r="B3183">
        <v>2022</v>
      </c>
      <c r="C3183" t="s">
        <v>6</v>
      </c>
      <c r="D3183">
        <v>19416.71</v>
      </c>
      <c r="E3183">
        <v>19012.689999999999</v>
      </c>
      <c r="F3183">
        <v>174.09</v>
      </c>
      <c r="G3183">
        <v>850.25</v>
      </c>
      <c r="H3183">
        <f>E3183*1000000/D3183</f>
        <v>979192.14944241336</v>
      </c>
      <c r="I3183" t="str">
        <f>IF(AND(B3183&gt;=2018, B3183&lt;=2021), "2018-2021", IF(AND(B3183&gt;=2022, B3183&lt;=2024), "2022-2024", "Other"))</f>
        <v>2022-2024</v>
      </c>
    </row>
    <row r="3184" spans="1:9" x14ac:dyDescent="0.3">
      <c r="A3184" t="s">
        <v>1</v>
      </c>
      <c r="B3184">
        <v>2022</v>
      </c>
      <c r="C3184" t="s">
        <v>14</v>
      </c>
      <c r="D3184">
        <v>36132.800000000003</v>
      </c>
      <c r="E3184">
        <v>38019.370000000003</v>
      </c>
      <c r="F3184">
        <v>174.75</v>
      </c>
      <c r="G3184">
        <v>291.54000000000002</v>
      </c>
      <c r="H3184">
        <f>E3184*1000000/D3184</f>
        <v>1052212.1175220297</v>
      </c>
      <c r="I3184" t="str">
        <f>IF(AND(B3184&gt;=2018, B3184&lt;=2021), "2018-2021", IF(AND(B3184&gt;=2022, B3184&lt;=2024), "2022-2024", "Other"))</f>
        <v>2022-2024</v>
      </c>
    </row>
    <row r="3185" spans="1:9" x14ac:dyDescent="0.3">
      <c r="A3185" t="s">
        <v>24</v>
      </c>
      <c r="B3185">
        <v>2019</v>
      </c>
      <c r="C3185" t="s">
        <v>9</v>
      </c>
      <c r="D3185">
        <v>47226.41</v>
      </c>
      <c r="E3185">
        <v>56384.01</v>
      </c>
      <c r="F3185">
        <v>182.4</v>
      </c>
      <c r="G3185">
        <v>1210.94</v>
      </c>
      <c r="H3185">
        <f>E3185*1000000/D3185</f>
        <v>1193908.4508011511</v>
      </c>
      <c r="I3185" t="str">
        <f>IF(AND(B3185&gt;=2018, B3185&lt;=2021), "2018-2021", IF(AND(B3185&gt;=2022, B3185&lt;=2024), "2022-2024", "Other"))</f>
        <v>2018-2021</v>
      </c>
    </row>
    <row r="3186" spans="1:9" x14ac:dyDescent="0.3">
      <c r="A3186" t="s">
        <v>25</v>
      </c>
      <c r="B3186">
        <v>2018</v>
      </c>
      <c r="C3186" t="s">
        <v>6</v>
      </c>
      <c r="D3186">
        <v>15455.6</v>
      </c>
      <c r="E3186">
        <v>15670.96</v>
      </c>
      <c r="F3186">
        <v>185.32</v>
      </c>
      <c r="G3186">
        <v>242.18</v>
      </c>
      <c r="H3186">
        <f>E3186*1000000/D3186</f>
        <v>1013934.1080255701</v>
      </c>
      <c r="I3186" t="str">
        <f>IF(AND(B3186&gt;=2018, B3186&lt;=2021), "2018-2021", IF(AND(B3186&gt;=2022, B3186&lt;=2024), "2022-2024", "Other"))</f>
        <v>2018-2021</v>
      </c>
    </row>
    <row r="3187" spans="1:9" x14ac:dyDescent="0.3">
      <c r="A3187" t="s">
        <v>7</v>
      </c>
      <c r="B3187">
        <v>2021</v>
      </c>
      <c r="C3187" t="s">
        <v>14</v>
      </c>
      <c r="D3187">
        <v>49439.9</v>
      </c>
      <c r="E3187">
        <v>52836.52</v>
      </c>
      <c r="F3187">
        <v>94.15</v>
      </c>
      <c r="G3187">
        <v>237.99</v>
      </c>
      <c r="H3187">
        <f>E3187*1000000/D3187</f>
        <v>1068701.9998017794</v>
      </c>
      <c r="I3187" t="str">
        <f>IF(AND(B3187&gt;=2018, B3187&lt;=2021), "2018-2021", IF(AND(B3187&gt;=2022, B3187&lt;=2024), "2022-2024", "Other"))</f>
        <v>2018-2021</v>
      </c>
    </row>
    <row r="3188" spans="1:9" x14ac:dyDescent="0.3">
      <c r="A3188" t="s">
        <v>13</v>
      </c>
      <c r="B3188">
        <v>2019</v>
      </c>
      <c r="C3188" t="s">
        <v>12</v>
      </c>
      <c r="D3188">
        <v>29604.66</v>
      </c>
      <c r="E3188">
        <v>23736.51</v>
      </c>
      <c r="F3188">
        <v>137.85</v>
      </c>
      <c r="G3188">
        <v>905.25</v>
      </c>
      <c r="H3188">
        <f>E3188*1000000/D3188</f>
        <v>801782.89499018062</v>
      </c>
      <c r="I3188" t="str">
        <f>IF(AND(B3188&gt;=2018, B3188&lt;=2021), "2018-2021", IF(AND(B3188&gt;=2022, B3188&lt;=2024), "2022-2024", "Other"))</f>
        <v>2018-2021</v>
      </c>
    </row>
    <row r="3189" spans="1:9" x14ac:dyDescent="0.3">
      <c r="A3189" t="s">
        <v>25</v>
      </c>
      <c r="B3189">
        <v>2022</v>
      </c>
      <c r="C3189" t="s">
        <v>6</v>
      </c>
      <c r="D3189">
        <v>15110.91</v>
      </c>
      <c r="E3189">
        <v>13466.97</v>
      </c>
      <c r="F3189">
        <v>103.86</v>
      </c>
      <c r="G3189">
        <v>183.22</v>
      </c>
      <c r="H3189">
        <f>E3189*1000000/D3189</f>
        <v>891208.4050530378</v>
      </c>
      <c r="I3189" t="str">
        <f>IF(AND(B3189&gt;=2018, B3189&lt;=2021), "2018-2021", IF(AND(B3189&gt;=2022, B3189&lt;=2024), "2022-2024", "Other"))</f>
        <v>2022-2024</v>
      </c>
    </row>
    <row r="3190" spans="1:9" x14ac:dyDescent="0.3">
      <c r="A3190" t="s">
        <v>26</v>
      </c>
      <c r="B3190">
        <v>2024</v>
      </c>
      <c r="C3190" t="s">
        <v>12</v>
      </c>
      <c r="D3190">
        <v>48698.53</v>
      </c>
      <c r="E3190">
        <v>52480.03</v>
      </c>
      <c r="F3190">
        <v>178.45</v>
      </c>
      <c r="G3190">
        <v>1066.76</v>
      </c>
      <c r="H3190">
        <f>E3190*1000000/D3190</f>
        <v>1077651.2145233131</v>
      </c>
      <c r="I3190" t="str">
        <f>IF(AND(B3190&gt;=2018, B3190&lt;=2021), "2018-2021", IF(AND(B3190&gt;=2022, B3190&lt;=2024), "2022-2024", "Other"))</f>
        <v>2022-2024</v>
      </c>
    </row>
    <row r="3191" spans="1:9" x14ac:dyDescent="0.3">
      <c r="A3191" t="s">
        <v>23</v>
      </c>
      <c r="B3191">
        <v>2022</v>
      </c>
      <c r="C3191" t="s">
        <v>6</v>
      </c>
      <c r="D3191">
        <v>48130.47</v>
      </c>
      <c r="E3191">
        <v>46308.2</v>
      </c>
      <c r="F3191">
        <v>52.01</v>
      </c>
      <c r="G3191">
        <v>1163.3399999999999</v>
      </c>
      <c r="H3191">
        <f>E3191*1000000/D3191</f>
        <v>962138.95272578881</v>
      </c>
      <c r="I3191" t="str">
        <f>IF(AND(B3191&gt;=2018, B3191&lt;=2021), "2018-2021", IF(AND(B3191&gt;=2022, B3191&lt;=2024), "2022-2024", "Other"))</f>
        <v>2022-2024</v>
      </c>
    </row>
    <row r="3192" spans="1:9" x14ac:dyDescent="0.3">
      <c r="A3192" t="s">
        <v>10</v>
      </c>
      <c r="B3192">
        <v>2023</v>
      </c>
      <c r="C3192" t="s">
        <v>0</v>
      </c>
      <c r="D3192">
        <v>29749.279999999999</v>
      </c>
      <c r="E3192">
        <v>29411.3</v>
      </c>
      <c r="F3192">
        <v>199</v>
      </c>
      <c r="G3192">
        <v>1125.81</v>
      </c>
      <c r="H3192">
        <f>E3192*1000000/D3192</f>
        <v>988639.05277707567</v>
      </c>
      <c r="I3192" t="str">
        <f>IF(AND(B3192&gt;=2018, B3192&lt;=2021), "2018-2021", IF(AND(B3192&gt;=2022, B3192&lt;=2024), "2022-2024", "Other"))</f>
        <v>2022-2024</v>
      </c>
    </row>
    <row r="3193" spans="1:9" x14ac:dyDescent="0.3">
      <c r="A3193" t="s">
        <v>21</v>
      </c>
      <c r="B3193">
        <v>2021</v>
      </c>
      <c r="C3193" t="s">
        <v>4</v>
      </c>
      <c r="D3193">
        <v>49420.7</v>
      </c>
      <c r="E3193">
        <v>48154.17</v>
      </c>
      <c r="F3193">
        <v>159.25</v>
      </c>
      <c r="G3193">
        <v>548.37</v>
      </c>
      <c r="H3193">
        <f>E3193*1000000/D3193</f>
        <v>974372.47954804369</v>
      </c>
      <c r="I3193" t="str">
        <f>IF(AND(B3193&gt;=2018, B3193&lt;=2021), "2018-2021", IF(AND(B3193&gt;=2022, B3193&lt;=2024), "2022-2024", "Other"))</f>
        <v>2018-2021</v>
      </c>
    </row>
    <row r="3194" spans="1:9" x14ac:dyDescent="0.3">
      <c r="A3194" t="s">
        <v>26</v>
      </c>
      <c r="B3194">
        <v>2022</v>
      </c>
      <c r="C3194" t="s">
        <v>8</v>
      </c>
      <c r="D3194">
        <v>10154.620000000001</v>
      </c>
      <c r="E3194">
        <v>11557.75</v>
      </c>
      <c r="F3194">
        <v>121.16</v>
      </c>
      <c r="G3194">
        <v>93.24</v>
      </c>
      <c r="H3194">
        <f>E3194*1000000/D3194</f>
        <v>1138176.514729256</v>
      </c>
      <c r="I3194" t="str">
        <f>IF(AND(B3194&gt;=2018, B3194&lt;=2021), "2018-2021", IF(AND(B3194&gt;=2022, B3194&lt;=2024), "2022-2024", "Other"))</f>
        <v>2022-2024</v>
      </c>
    </row>
    <row r="3195" spans="1:9" x14ac:dyDescent="0.3">
      <c r="A3195" t="s">
        <v>13</v>
      </c>
      <c r="B3195">
        <v>2023</v>
      </c>
      <c r="C3195" t="s">
        <v>6</v>
      </c>
      <c r="D3195">
        <v>10271.44</v>
      </c>
      <c r="E3195">
        <v>10902.15</v>
      </c>
      <c r="F3195">
        <v>130.22999999999999</v>
      </c>
      <c r="G3195">
        <v>342.36</v>
      </c>
      <c r="H3195">
        <f>E3195*1000000/D3195</f>
        <v>1061404.2432219824</v>
      </c>
      <c r="I3195" t="str">
        <f>IF(AND(B3195&gt;=2018, B3195&lt;=2021), "2018-2021", IF(AND(B3195&gt;=2022, B3195&lt;=2024), "2022-2024", "Other"))</f>
        <v>2022-2024</v>
      </c>
    </row>
    <row r="3196" spans="1:9" x14ac:dyDescent="0.3">
      <c r="A3196" t="s">
        <v>16</v>
      </c>
      <c r="B3196">
        <v>2022</v>
      </c>
      <c r="C3196" t="s">
        <v>12</v>
      </c>
      <c r="D3196">
        <v>7387.67</v>
      </c>
      <c r="E3196">
        <v>6592.27</v>
      </c>
      <c r="F3196">
        <v>162.25</v>
      </c>
      <c r="G3196">
        <v>310.58999999999997</v>
      </c>
      <c r="H3196">
        <f>E3196*1000000/D3196</f>
        <v>892334.11887645221</v>
      </c>
      <c r="I3196" t="str">
        <f>IF(AND(B3196&gt;=2018, B3196&lt;=2021), "2018-2021", IF(AND(B3196&gt;=2022, B3196&lt;=2024), "2022-2024", "Other"))</f>
        <v>2022-2024</v>
      </c>
    </row>
    <row r="3197" spans="1:9" x14ac:dyDescent="0.3">
      <c r="A3197" t="s">
        <v>11</v>
      </c>
      <c r="B3197">
        <v>2023</v>
      </c>
      <c r="C3197" t="s">
        <v>14</v>
      </c>
      <c r="D3197">
        <v>30586.38</v>
      </c>
      <c r="E3197">
        <v>28529.85</v>
      </c>
      <c r="F3197">
        <v>21.61</v>
      </c>
      <c r="G3197">
        <v>653.86</v>
      </c>
      <c r="H3197">
        <f>E3197*1000000/D3197</f>
        <v>932763.21029163955</v>
      </c>
      <c r="I3197" t="str">
        <f>IF(AND(B3197&gt;=2018, B3197&lt;=2021), "2018-2021", IF(AND(B3197&gt;=2022, B3197&lt;=2024), "2022-2024", "Other"))</f>
        <v>2022-2024</v>
      </c>
    </row>
    <row r="3198" spans="1:9" x14ac:dyDescent="0.3">
      <c r="A3198" t="s">
        <v>13</v>
      </c>
      <c r="B3198">
        <v>2020</v>
      </c>
      <c r="C3198" t="s">
        <v>14</v>
      </c>
      <c r="D3198">
        <v>22837.5</v>
      </c>
      <c r="E3198">
        <v>24524.92</v>
      </c>
      <c r="F3198">
        <v>38.43</v>
      </c>
      <c r="G3198">
        <v>642.13</v>
      </c>
      <c r="H3198">
        <f>E3198*1000000/D3198</f>
        <v>1073888.1226053641</v>
      </c>
      <c r="I3198" t="str">
        <f>IF(AND(B3198&gt;=2018, B3198&lt;=2021), "2018-2021", IF(AND(B3198&gt;=2022, B3198&lt;=2024), "2022-2024", "Other"))</f>
        <v>2018-2021</v>
      </c>
    </row>
    <row r="3199" spans="1:9" x14ac:dyDescent="0.3">
      <c r="A3199" t="s">
        <v>11</v>
      </c>
      <c r="B3199">
        <v>2020</v>
      </c>
      <c r="C3199" t="s">
        <v>4</v>
      </c>
      <c r="D3199">
        <v>5453.64</v>
      </c>
      <c r="E3199">
        <v>5401.48</v>
      </c>
      <c r="F3199">
        <v>59.39</v>
      </c>
      <c r="G3199">
        <v>1172.6400000000001</v>
      </c>
      <c r="H3199">
        <f>E3199*1000000/D3199</f>
        <v>990435.74566711404</v>
      </c>
      <c r="I3199" t="str">
        <f>IF(AND(B3199&gt;=2018, B3199&lt;=2021), "2018-2021", IF(AND(B3199&gt;=2022, B3199&lt;=2024), "2022-2024", "Other"))</f>
        <v>2018-2021</v>
      </c>
    </row>
    <row r="3200" spans="1:9" x14ac:dyDescent="0.3">
      <c r="A3200" t="s">
        <v>19</v>
      </c>
      <c r="B3200">
        <v>2018</v>
      </c>
      <c r="C3200" t="s">
        <v>14</v>
      </c>
      <c r="D3200">
        <v>39668.22</v>
      </c>
      <c r="E3200">
        <v>42869.87</v>
      </c>
      <c r="F3200">
        <v>123.85</v>
      </c>
      <c r="G3200">
        <v>222.12</v>
      </c>
      <c r="H3200">
        <f>E3200*1000000/D3200</f>
        <v>1080710.7049421426</v>
      </c>
      <c r="I3200" t="str">
        <f>IF(AND(B3200&gt;=2018, B3200&lt;=2021), "2018-2021", IF(AND(B3200&gt;=2022, B3200&lt;=2024), "2022-2024", "Other"))</f>
        <v>2018-2021</v>
      </c>
    </row>
    <row r="3201" spans="1:9" x14ac:dyDescent="0.3">
      <c r="A3201" t="s">
        <v>3</v>
      </c>
      <c r="B3201">
        <v>2024</v>
      </c>
      <c r="C3201" t="s">
        <v>12</v>
      </c>
      <c r="D3201">
        <v>30169.17</v>
      </c>
      <c r="E3201">
        <v>24451.32</v>
      </c>
      <c r="F3201">
        <v>145.75</v>
      </c>
      <c r="G3201">
        <v>560.4</v>
      </c>
      <c r="H3201">
        <f>E3201*1000000/D3201</f>
        <v>810473.7385881017</v>
      </c>
      <c r="I3201" t="str">
        <f>IF(AND(B3201&gt;=2018, B3201&lt;=2021), "2018-2021", IF(AND(B3201&gt;=2022, B3201&lt;=2024), "2022-2024", "Other"))</f>
        <v>2022-2024</v>
      </c>
    </row>
    <row r="3202" spans="1:9" x14ac:dyDescent="0.3">
      <c r="A3202" t="s">
        <v>15</v>
      </c>
      <c r="B3202">
        <v>2022</v>
      </c>
      <c r="C3202" t="s">
        <v>9</v>
      </c>
      <c r="D3202">
        <v>18581.47</v>
      </c>
      <c r="E3202">
        <v>17912.97</v>
      </c>
      <c r="F3202">
        <v>25.24</v>
      </c>
      <c r="G3202">
        <v>636.98</v>
      </c>
      <c r="H3202">
        <f>E3202*1000000/D3202</f>
        <v>964023.29847961431</v>
      </c>
      <c r="I3202" t="str">
        <f>IF(AND(B3202&gt;=2018, B3202&lt;=2021), "2018-2021", IF(AND(B3202&gt;=2022, B3202&lt;=2024), "2022-2024", "Other"))</f>
        <v>2022-2024</v>
      </c>
    </row>
    <row r="3203" spans="1:9" x14ac:dyDescent="0.3">
      <c r="A3203" t="s">
        <v>7</v>
      </c>
      <c r="B3203">
        <v>2018</v>
      </c>
      <c r="C3203" t="s">
        <v>0</v>
      </c>
      <c r="D3203">
        <v>24399.68</v>
      </c>
      <c r="E3203">
        <v>28258.6</v>
      </c>
      <c r="F3203">
        <v>104.23</v>
      </c>
      <c r="G3203">
        <v>1269.21</v>
      </c>
      <c r="H3203">
        <f>E3203*1000000/D3203</f>
        <v>1158154.5331742056</v>
      </c>
      <c r="I3203" t="str">
        <f>IF(AND(B3203&gt;=2018, B3203&lt;=2021), "2018-2021", IF(AND(B3203&gt;=2022, B3203&lt;=2024), "2022-2024", "Other"))</f>
        <v>2018-2021</v>
      </c>
    </row>
    <row r="3204" spans="1:9" x14ac:dyDescent="0.3">
      <c r="A3204" t="s">
        <v>5</v>
      </c>
      <c r="B3204">
        <v>2022</v>
      </c>
      <c r="C3204" t="s">
        <v>2</v>
      </c>
      <c r="D3204">
        <v>9330.5300000000007</v>
      </c>
      <c r="E3204">
        <v>10553.98</v>
      </c>
      <c r="F3204">
        <v>198.22</v>
      </c>
      <c r="G3204">
        <v>477.18</v>
      </c>
      <c r="H3204">
        <f>E3204*1000000/D3204</f>
        <v>1131123.3123949014</v>
      </c>
      <c r="I3204" t="str">
        <f>IF(AND(B3204&gt;=2018, B3204&lt;=2021), "2018-2021", IF(AND(B3204&gt;=2022, B3204&lt;=2024), "2022-2024", "Other"))</f>
        <v>2022-2024</v>
      </c>
    </row>
    <row r="3205" spans="1:9" x14ac:dyDescent="0.3">
      <c r="A3205" t="s">
        <v>16</v>
      </c>
      <c r="B3205">
        <v>2023</v>
      </c>
      <c r="C3205" t="s">
        <v>12</v>
      </c>
      <c r="D3205">
        <v>31640.720000000001</v>
      </c>
      <c r="E3205">
        <v>35128.75</v>
      </c>
      <c r="F3205">
        <v>136.76</v>
      </c>
      <c r="G3205">
        <v>1095.9100000000001</v>
      </c>
      <c r="H3205">
        <f>E3205*1000000/D3205</f>
        <v>1110238.6418513863</v>
      </c>
      <c r="I3205" t="str">
        <f>IF(AND(B3205&gt;=2018, B3205&lt;=2021), "2018-2021", IF(AND(B3205&gt;=2022, B3205&lt;=2024), "2022-2024", "Other"))</f>
        <v>2022-2024</v>
      </c>
    </row>
    <row r="3206" spans="1:9" x14ac:dyDescent="0.3">
      <c r="A3206" t="s">
        <v>20</v>
      </c>
      <c r="B3206">
        <v>2019</v>
      </c>
      <c r="C3206" t="s">
        <v>4</v>
      </c>
      <c r="D3206">
        <v>9673.8700000000008</v>
      </c>
      <c r="E3206">
        <v>10923.68</v>
      </c>
      <c r="F3206">
        <v>153.44</v>
      </c>
      <c r="G3206">
        <v>1181.6199999999999</v>
      </c>
      <c r="H3206">
        <f>E3206*1000000/D3206</f>
        <v>1129194.4175392061</v>
      </c>
      <c r="I3206" t="str">
        <f>IF(AND(B3206&gt;=2018, B3206&lt;=2021), "2018-2021", IF(AND(B3206&gt;=2022, B3206&lt;=2024), "2022-2024", "Other"))</f>
        <v>2018-2021</v>
      </c>
    </row>
    <row r="3207" spans="1:9" x14ac:dyDescent="0.3">
      <c r="A3207" t="s">
        <v>21</v>
      </c>
      <c r="B3207">
        <v>2021</v>
      </c>
      <c r="C3207" t="s">
        <v>12</v>
      </c>
      <c r="D3207">
        <v>24999.17</v>
      </c>
      <c r="E3207">
        <v>21631.22</v>
      </c>
      <c r="F3207">
        <v>60.68</v>
      </c>
      <c r="G3207">
        <v>427.12</v>
      </c>
      <c r="H3207">
        <f>E3207*1000000/D3207</f>
        <v>865277.52721390361</v>
      </c>
      <c r="I3207" t="str">
        <f>IF(AND(B3207&gt;=2018, B3207&lt;=2021), "2018-2021", IF(AND(B3207&gt;=2022, B3207&lt;=2024), "2022-2024", "Other"))</f>
        <v>2018-2021</v>
      </c>
    </row>
    <row r="3208" spans="1:9" x14ac:dyDescent="0.3">
      <c r="A3208" t="s">
        <v>26</v>
      </c>
      <c r="B3208">
        <v>2020</v>
      </c>
      <c r="C3208" t="s">
        <v>0</v>
      </c>
      <c r="D3208">
        <v>2724.23</v>
      </c>
      <c r="E3208">
        <v>2696.9</v>
      </c>
      <c r="F3208">
        <v>197.1</v>
      </c>
      <c r="G3208">
        <v>698.55</v>
      </c>
      <c r="H3208">
        <f>E3208*1000000/D3208</f>
        <v>989967.80741714174</v>
      </c>
      <c r="I3208" t="str">
        <f>IF(AND(B3208&gt;=2018, B3208&lt;=2021), "2018-2021", IF(AND(B3208&gt;=2022, B3208&lt;=2024), "2022-2024", "Other"))</f>
        <v>2018-2021</v>
      </c>
    </row>
    <row r="3209" spans="1:9" x14ac:dyDescent="0.3">
      <c r="A3209" t="s">
        <v>24</v>
      </c>
      <c r="B3209">
        <v>2024</v>
      </c>
      <c r="C3209" t="s">
        <v>2</v>
      </c>
      <c r="D3209">
        <v>44657.84</v>
      </c>
      <c r="E3209">
        <v>39602.83</v>
      </c>
      <c r="F3209">
        <v>112.49</v>
      </c>
      <c r="G3209">
        <v>1186.47</v>
      </c>
      <c r="H3209">
        <f>E3209*1000000/D3209</f>
        <v>886805.76579610666</v>
      </c>
      <c r="I3209" t="str">
        <f>IF(AND(B3209&gt;=2018, B3209&lt;=2021), "2018-2021", IF(AND(B3209&gt;=2022, B3209&lt;=2024), "2022-2024", "Other"))</f>
        <v>2022-2024</v>
      </c>
    </row>
    <row r="3210" spans="1:9" x14ac:dyDescent="0.3">
      <c r="A3210" t="s">
        <v>16</v>
      </c>
      <c r="B3210">
        <v>2019</v>
      </c>
      <c r="C3210" t="s">
        <v>0</v>
      </c>
      <c r="D3210">
        <v>10222.620000000001</v>
      </c>
      <c r="E3210">
        <v>9346.4500000000007</v>
      </c>
      <c r="F3210">
        <v>182.78</v>
      </c>
      <c r="G3210">
        <v>1001.16</v>
      </c>
      <c r="H3210">
        <f>E3210*1000000/D3210</f>
        <v>914291.05258730147</v>
      </c>
      <c r="I3210" t="str">
        <f>IF(AND(B3210&gt;=2018, B3210&lt;=2021), "2018-2021", IF(AND(B3210&gt;=2022, B3210&lt;=2024), "2022-2024", "Other"))</f>
        <v>2018-2021</v>
      </c>
    </row>
    <row r="3211" spans="1:9" x14ac:dyDescent="0.3">
      <c r="A3211" t="s">
        <v>21</v>
      </c>
      <c r="B3211">
        <v>2022</v>
      </c>
      <c r="C3211" t="s">
        <v>6</v>
      </c>
      <c r="D3211">
        <v>49077.56</v>
      </c>
      <c r="E3211">
        <v>43299.18</v>
      </c>
      <c r="F3211">
        <v>157.78</v>
      </c>
      <c r="G3211">
        <v>751.16</v>
      </c>
      <c r="H3211">
        <f>E3211*1000000/D3211</f>
        <v>882260.2427667554</v>
      </c>
      <c r="I3211" t="str">
        <f>IF(AND(B3211&gt;=2018, B3211&lt;=2021), "2018-2021", IF(AND(B3211&gt;=2022, B3211&lt;=2024), "2022-2024", "Other"))</f>
        <v>2022-2024</v>
      </c>
    </row>
    <row r="3212" spans="1:9" x14ac:dyDescent="0.3">
      <c r="A3212" t="s">
        <v>11</v>
      </c>
      <c r="B3212">
        <v>2019</v>
      </c>
      <c r="C3212" t="s">
        <v>6</v>
      </c>
      <c r="D3212">
        <v>17956.52</v>
      </c>
      <c r="E3212">
        <v>20776.169999999998</v>
      </c>
      <c r="F3212">
        <v>53.38</v>
      </c>
      <c r="G3212">
        <v>1020.89</v>
      </c>
      <c r="H3212">
        <f>E3212*1000000/D3212</f>
        <v>1157026.5285255718</v>
      </c>
      <c r="I3212" t="str">
        <f>IF(AND(B3212&gt;=2018, B3212&lt;=2021), "2018-2021", IF(AND(B3212&gt;=2022, B3212&lt;=2024), "2022-2024", "Other"))</f>
        <v>2018-2021</v>
      </c>
    </row>
    <row r="3213" spans="1:9" x14ac:dyDescent="0.3">
      <c r="A3213" t="s">
        <v>3</v>
      </c>
      <c r="B3213">
        <v>2022</v>
      </c>
      <c r="C3213" t="s">
        <v>12</v>
      </c>
      <c r="D3213">
        <v>44018.09</v>
      </c>
      <c r="E3213">
        <v>40651.870000000003</v>
      </c>
      <c r="F3213">
        <v>56.74</v>
      </c>
      <c r="G3213">
        <v>520.98</v>
      </c>
      <c r="H3213">
        <f>E3213*1000000/D3213</f>
        <v>923526.44106093666</v>
      </c>
      <c r="I3213" t="str">
        <f>IF(AND(B3213&gt;=2018, B3213&lt;=2021), "2018-2021", IF(AND(B3213&gt;=2022, B3213&lt;=2024), "2022-2024", "Other"))</f>
        <v>2022-2024</v>
      </c>
    </row>
    <row r="3214" spans="1:9" x14ac:dyDescent="0.3">
      <c r="A3214" t="s">
        <v>19</v>
      </c>
      <c r="B3214">
        <v>2023</v>
      </c>
      <c r="C3214" t="s">
        <v>2</v>
      </c>
      <c r="D3214">
        <v>38240.080000000002</v>
      </c>
      <c r="E3214">
        <v>40202.81</v>
      </c>
      <c r="F3214">
        <v>81.28</v>
      </c>
      <c r="G3214">
        <v>1267.55</v>
      </c>
      <c r="H3214">
        <f>E3214*1000000/D3214</f>
        <v>1051326.5139612679</v>
      </c>
      <c r="I3214" t="str">
        <f>IF(AND(B3214&gt;=2018, B3214&lt;=2021), "2018-2021", IF(AND(B3214&gt;=2022, B3214&lt;=2024), "2022-2024", "Other"))</f>
        <v>2022-2024</v>
      </c>
    </row>
    <row r="3215" spans="1:9" x14ac:dyDescent="0.3">
      <c r="A3215" t="s">
        <v>26</v>
      </c>
      <c r="B3215">
        <v>2020</v>
      </c>
      <c r="C3215" t="s">
        <v>0</v>
      </c>
      <c r="D3215">
        <v>42108.4</v>
      </c>
      <c r="E3215">
        <v>41111.410000000003</v>
      </c>
      <c r="F3215">
        <v>145.08000000000001</v>
      </c>
      <c r="G3215">
        <v>774.3</v>
      </c>
      <c r="H3215">
        <f>E3215*1000000/D3215</f>
        <v>976323.25141776935</v>
      </c>
      <c r="I3215" t="str">
        <f>IF(AND(B3215&gt;=2018, B3215&lt;=2021), "2018-2021", IF(AND(B3215&gt;=2022, B3215&lt;=2024), "2022-2024", "Other"))</f>
        <v>2018-2021</v>
      </c>
    </row>
    <row r="3216" spans="1:9" x14ac:dyDescent="0.3">
      <c r="A3216" t="s">
        <v>7</v>
      </c>
      <c r="B3216">
        <v>2018</v>
      </c>
      <c r="C3216" t="s">
        <v>14</v>
      </c>
      <c r="D3216">
        <v>44584.14</v>
      </c>
      <c r="E3216">
        <v>52667.37</v>
      </c>
      <c r="F3216">
        <v>72.72</v>
      </c>
      <c r="G3216">
        <v>458.48</v>
      </c>
      <c r="H3216">
        <f>E3216*1000000/D3216</f>
        <v>1181302.8130631207</v>
      </c>
      <c r="I3216" t="str">
        <f>IF(AND(B3216&gt;=2018, B3216&lt;=2021), "2018-2021", IF(AND(B3216&gt;=2022, B3216&lt;=2024), "2022-2024", "Other"))</f>
        <v>2018-2021</v>
      </c>
    </row>
    <row r="3217" spans="1:9" x14ac:dyDescent="0.3">
      <c r="A3217" t="s">
        <v>10</v>
      </c>
      <c r="B3217">
        <v>2022</v>
      </c>
      <c r="C3217" t="s">
        <v>6</v>
      </c>
      <c r="D3217">
        <v>11790.92</v>
      </c>
      <c r="E3217">
        <v>10744.15</v>
      </c>
      <c r="F3217">
        <v>76.64</v>
      </c>
      <c r="G3217">
        <v>1181.97</v>
      </c>
      <c r="H3217">
        <f>E3217*1000000/D3217</f>
        <v>911222.36432780477</v>
      </c>
      <c r="I3217" t="str">
        <f>IF(AND(B3217&gt;=2018, B3217&lt;=2021), "2018-2021", IF(AND(B3217&gt;=2022, B3217&lt;=2024), "2022-2024", "Other"))</f>
        <v>2022-2024</v>
      </c>
    </row>
    <row r="3218" spans="1:9" x14ac:dyDescent="0.3">
      <c r="A3218" t="s">
        <v>23</v>
      </c>
      <c r="B3218">
        <v>2018</v>
      </c>
      <c r="C3218" t="s">
        <v>14</v>
      </c>
      <c r="D3218">
        <v>23203.3</v>
      </c>
      <c r="E3218">
        <v>22950.99</v>
      </c>
      <c r="F3218">
        <v>120.83</v>
      </c>
      <c r="G3218">
        <v>57.27</v>
      </c>
      <c r="H3218">
        <f>E3218*1000000/D3218</f>
        <v>989126.11568182113</v>
      </c>
      <c r="I3218" t="str">
        <f>IF(AND(B3218&gt;=2018, B3218&lt;=2021), "2018-2021", IF(AND(B3218&gt;=2022, B3218&lt;=2024), "2022-2024", "Other"))</f>
        <v>2018-2021</v>
      </c>
    </row>
    <row r="3219" spans="1:9" x14ac:dyDescent="0.3">
      <c r="A3219" t="s">
        <v>20</v>
      </c>
      <c r="B3219">
        <v>2020</v>
      </c>
      <c r="C3219" t="s">
        <v>2</v>
      </c>
      <c r="D3219">
        <v>36282.29</v>
      </c>
      <c r="E3219">
        <v>38887.61</v>
      </c>
      <c r="F3219">
        <v>31.53</v>
      </c>
      <c r="G3219">
        <v>1284.1300000000001</v>
      </c>
      <c r="H3219">
        <f>E3219*1000000/D3219</f>
        <v>1071806.9339063219</v>
      </c>
      <c r="I3219" t="str">
        <f>IF(AND(B3219&gt;=2018, B3219&lt;=2021), "2018-2021", IF(AND(B3219&gt;=2022, B3219&lt;=2024), "2022-2024", "Other"))</f>
        <v>2018-2021</v>
      </c>
    </row>
    <row r="3220" spans="1:9" x14ac:dyDescent="0.3">
      <c r="A3220" t="s">
        <v>23</v>
      </c>
      <c r="B3220">
        <v>2019</v>
      </c>
      <c r="C3220" t="s">
        <v>6</v>
      </c>
      <c r="D3220">
        <v>26672.639999999999</v>
      </c>
      <c r="E3220">
        <v>28769.77</v>
      </c>
      <c r="F3220">
        <v>154.78</v>
      </c>
      <c r="G3220">
        <v>945.8</v>
      </c>
      <c r="H3220">
        <f>E3220*1000000/D3220</f>
        <v>1078624.7630530761</v>
      </c>
      <c r="I3220" t="str">
        <f>IF(AND(B3220&gt;=2018, B3220&lt;=2021), "2018-2021", IF(AND(B3220&gt;=2022, B3220&lt;=2024), "2022-2024", "Other"))</f>
        <v>2018-2021</v>
      </c>
    </row>
    <row r="3221" spans="1:9" x14ac:dyDescent="0.3">
      <c r="A3221" t="s">
        <v>5</v>
      </c>
      <c r="B3221">
        <v>2018</v>
      </c>
      <c r="C3221" t="s">
        <v>9</v>
      </c>
      <c r="D3221">
        <v>14181.6</v>
      </c>
      <c r="E3221">
        <v>14290.25</v>
      </c>
      <c r="F3221">
        <v>42.93</v>
      </c>
      <c r="G3221">
        <v>789.09</v>
      </c>
      <c r="H3221">
        <f>E3221*1000000/D3221</f>
        <v>1007661.3358154228</v>
      </c>
      <c r="I3221" t="str">
        <f>IF(AND(B3221&gt;=2018, B3221&lt;=2021), "2018-2021", IF(AND(B3221&gt;=2022, B3221&lt;=2024), "2022-2024", "Other"))</f>
        <v>2018-2021</v>
      </c>
    </row>
    <row r="3222" spans="1:9" x14ac:dyDescent="0.3">
      <c r="A3222" t="s">
        <v>25</v>
      </c>
      <c r="B3222">
        <v>2018</v>
      </c>
      <c r="C3222" t="s">
        <v>8</v>
      </c>
      <c r="D3222">
        <v>2657.35</v>
      </c>
      <c r="E3222">
        <v>2749.43</v>
      </c>
      <c r="F3222">
        <v>105.85</v>
      </c>
      <c r="G3222">
        <v>719.87</v>
      </c>
      <c r="H3222">
        <f>E3222*1000000/D3222</f>
        <v>1034651.0621483809</v>
      </c>
      <c r="I3222" t="str">
        <f>IF(AND(B3222&gt;=2018, B3222&lt;=2021), "2018-2021", IF(AND(B3222&gt;=2022, B3222&lt;=2024), "2022-2024", "Other"))</f>
        <v>2018-2021</v>
      </c>
    </row>
    <row r="3223" spans="1:9" x14ac:dyDescent="0.3">
      <c r="A3223" t="s">
        <v>26</v>
      </c>
      <c r="B3223">
        <v>2018</v>
      </c>
      <c r="C3223" t="s">
        <v>2</v>
      </c>
      <c r="D3223">
        <v>10214.52</v>
      </c>
      <c r="E3223">
        <v>10766.71</v>
      </c>
      <c r="F3223">
        <v>130.54</v>
      </c>
      <c r="G3223">
        <v>122.3</v>
      </c>
      <c r="H3223">
        <f>E3223*1000000/D3223</f>
        <v>1054059.3194785463</v>
      </c>
      <c r="I3223" t="str">
        <f>IF(AND(B3223&gt;=2018, B3223&lt;=2021), "2018-2021", IF(AND(B3223&gt;=2022, B3223&lt;=2024), "2022-2024", "Other"))</f>
        <v>2018-2021</v>
      </c>
    </row>
    <row r="3224" spans="1:9" x14ac:dyDescent="0.3">
      <c r="A3224" t="s">
        <v>27</v>
      </c>
      <c r="B3224">
        <v>2022</v>
      </c>
      <c r="C3224" t="s">
        <v>6</v>
      </c>
      <c r="D3224">
        <v>22759.88</v>
      </c>
      <c r="E3224">
        <v>23150.959999999999</v>
      </c>
      <c r="F3224">
        <v>140.15</v>
      </c>
      <c r="G3224">
        <v>1164.68</v>
      </c>
      <c r="H3224">
        <f>E3224*1000000/D3224</f>
        <v>1017182.8673964889</v>
      </c>
      <c r="I3224" t="str">
        <f>IF(AND(B3224&gt;=2018, B3224&lt;=2021), "2018-2021", IF(AND(B3224&gt;=2022, B3224&lt;=2024), "2022-2024", "Other"))</f>
        <v>2022-2024</v>
      </c>
    </row>
    <row r="3225" spans="1:9" x14ac:dyDescent="0.3">
      <c r="A3225" t="s">
        <v>19</v>
      </c>
      <c r="B3225">
        <v>2024</v>
      </c>
      <c r="C3225" t="s">
        <v>4</v>
      </c>
      <c r="D3225">
        <v>49289.97</v>
      </c>
      <c r="E3225">
        <v>45872.9</v>
      </c>
      <c r="F3225">
        <v>193.92</v>
      </c>
      <c r="G3225">
        <v>785.38</v>
      </c>
      <c r="H3225">
        <f>E3225*1000000/D3225</f>
        <v>930674.13106561033</v>
      </c>
      <c r="I3225" t="str">
        <f>IF(AND(B3225&gt;=2018, B3225&lt;=2021), "2018-2021", IF(AND(B3225&gt;=2022, B3225&lt;=2024), "2022-2024", "Other"))</f>
        <v>2022-2024</v>
      </c>
    </row>
    <row r="3226" spans="1:9" x14ac:dyDescent="0.3">
      <c r="A3226" t="s">
        <v>19</v>
      </c>
      <c r="B3226">
        <v>2019</v>
      </c>
      <c r="C3226" t="s">
        <v>9</v>
      </c>
      <c r="D3226">
        <v>8252.2099999999991</v>
      </c>
      <c r="E3226">
        <v>9074.6</v>
      </c>
      <c r="F3226">
        <v>49.69</v>
      </c>
      <c r="G3226">
        <v>1207.75</v>
      </c>
      <c r="H3226">
        <f>E3226*1000000/D3226</f>
        <v>1099656.9403832429</v>
      </c>
      <c r="I3226" t="str">
        <f>IF(AND(B3226&gt;=2018, B3226&lt;=2021), "2018-2021", IF(AND(B3226&gt;=2022, B3226&lt;=2024), "2022-2024", "Other"))</f>
        <v>2018-2021</v>
      </c>
    </row>
    <row r="3227" spans="1:9" x14ac:dyDescent="0.3">
      <c r="A3227" t="s">
        <v>22</v>
      </c>
      <c r="B3227">
        <v>2020</v>
      </c>
      <c r="C3227" t="s">
        <v>12</v>
      </c>
      <c r="D3227">
        <v>7815.04</v>
      </c>
      <c r="E3227">
        <v>8006.65</v>
      </c>
      <c r="F3227">
        <v>43.23</v>
      </c>
      <c r="G3227">
        <v>695.57</v>
      </c>
      <c r="H3227">
        <f>E3227*1000000/D3227</f>
        <v>1024518.1086725084</v>
      </c>
      <c r="I3227" t="str">
        <f>IF(AND(B3227&gt;=2018, B3227&lt;=2021), "2018-2021", IF(AND(B3227&gt;=2022, B3227&lt;=2024), "2022-2024", "Other"))</f>
        <v>2018-2021</v>
      </c>
    </row>
    <row r="3228" spans="1:9" x14ac:dyDescent="0.3">
      <c r="A3228" t="s">
        <v>26</v>
      </c>
      <c r="B3228">
        <v>2022</v>
      </c>
      <c r="C3228" t="s">
        <v>12</v>
      </c>
      <c r="D3228">
        <v>4066.93</v>
      </c>
      <c r="E3228">
        <v>3535.25</v>
      </c>
      <c r="F3228">
        <v>34.090000000000003</v>
      </c>
      <c r="G3228">
        <v>763.98</v>
      </c>
      <c r="H3228">
        <f>E3228*1000000/D3228</f>
        <v>869267.4818597812</v>
      </c>
      <c r="I3228" t="str">
        <f>IF(AND(B3228&gt;=2018, B3228&lt;=2021), "2018-2021", IF(AND(B3228&gt;=2022, B3228&lt;=2024), "2022-2024", "Other"))</f>
        <v>2022-2024</v>
      </c>
    </row>
    <row r="3229" spans="1:9" x14ac:dyDescent="0.3">
      <c r="A3229" t="s">
        <v>15</v>
      </c>
      <c r="B3229">
        <v>2023</v>
      </c>
      <c r="C3229" t="s">
        <v>6</v>
      </c>
      <c r="D3229">
        <v>34123.410000000003</v>
      </c>
      <c r="E3229">
        <v>28542.1</v>
      </c>
      <c r="F3229">
        <v>98.44</v>
      </c>
      <c r="G3229">
        <v>1087.99</v>
      </c>
      <c r="H3229">
        <f>E3229*1000000/D3229</f>
        <v>836437.507271401</v>
      </c>
      <c r="I3229" t="str">
        <f>IF(AND(B3229&gt;=2018, B3229&lt;=2021), "2018-2021", IF(AND(B3229&gt;=2022, B3229&lt;=2024), "2022-2024", "Other"))</f>
        <v>2022-2024</v>
      </c>
    </row>
    <row r="3230" spans="1:9" x14ac:dyDescent="0.3">
      <c r="A3230" t="s">
        <v>24</v>
      </c>
      <c r="B3230">
        <v>2022</v>
      </c>
      <c r="C3230" t="s">
        <v>12</v>
      </c>
      <c r="D3230">
        <v>19883.54</v>
      </c>
      <c r="E3230">
        <v>20482.16</v>
      </c>
      <c r="F3230">
        <v>89.54</v>
      </c>
      <c r="G3230">
        <v>143.28</v>
      </c>
      <c r="H3230">
        <f>E3230*1000000/D3230</f>
        <v>1030106.3090375254</v>
      </c>
      <c r="I3230" t="str">
        <f>IF(AND(B3230&gt;=2018, B3230&lt;=2021), "2018-2021", IF(AND(B3230&gt;=2022, B3230&lt;=2024), "2022-2024", "Other"))</f>
        <v>2022-2024</v>
      </c>
    </row>
    <row r="3231" spans="1:9" x14ac:dyDescent="0.3">
      <c r="A3231" t="s">
        <v>20</v>
      </c>
      <c r="B3231">
        <v>2024</v>
      </c>
      <c r="C3231" t="s">
        <v>8</v>
      </c>
      <c r="D3231">
        <v>32403.48</v>
      </c>
      <c r="E3231">
        <v>34763.83</v>
      </c>
      <c r="F3231">
        <v>86.95</v>
      </c>
      <c r="G3231">
        <v>1116.02</v>
      </c>
      <c r="H3231">
        <f>E3231*1000000/D3231</f>
        <v>1072842.4848195317</v>
      </c>
      <c r="I3231" t="str">
        <f>IF(AND(B3231&gt;=2018, B3231&lt;=2021), "2018-2021", IF(AND(B3231&gt;=2022, B3231&lt;=2024), "2022-2024", "Other"))</f>
        <v>2022-2024</v>
      </c>
    </row>
    <row r="3232" spans="1:9" x14ac:dyDescent="0.3">
      <c r="A3232" t="s">
        <v>26</v>
      </c>
      <c r="B3232">
        <v>2021</v>
      </c>
      <c r="C3232" t="s">
        <v>2</v>
      </c>
      <c r="D3232">
        <v>27915.58</v>
      </c>
      <c r="E3232">
        <v>29184.68</v>
      </c>
      <c r="F3232">
        <v>169.61</v>
      </c>
      <c r="G3232">
        <v>373.93</v>
      </c>
      <c r="H3232">
        <f>E3232*1000000/D3232</f>
        <v>1045462.0681354282</v>
      </c>
      <c r="I3232" t="str">
        <f>IF(AND(B3232&gt;=2018, B3232&lt;=2021), "2018-2021", IF(AND(B3232&gt;=2022, B3232&lt;=2024), "2022-2024", "Other"))</f>
        <v>2018-2021</v>
      </c>
    </row>
    <row r="3233" spans="1:9" x14ac:dyDescent="0.3">
      <c r="A3233" t="s">
        <v>15</v>
      </c>
      <c r="B3233">
        <v>2019</v>
      </c>
      <c r="C3233" t="s">
        <v>9</v>
      </c>
      <c r="D3233">
        <v>28594.17</v>
      </c>
      <c r="E3233">
        <v>26009.58</v>
      </c>
      <c r="F3233">
        <v>107.98</v>
      </c>
      <c r="G3233">
        <v>628.83000000000004</v>
      </c>
      <c r="H3233">
        <f>E3233*1000000/D3233</f>
        <v>909611.2948898325</v>
      </c>
      <c r="I3233" t="str">
        <f>IF(AND(B3233&gt;=2018, B3233&lt;=2021), "2018-2021", IF(AND(B3233&gt;=2022, B3233&lt;=2024), "2022-2024", "Other"))</f>
        <v>2018-2021</v>
      </c>
    </row>
    <row r="3234" spans="1:9" x14ac:dyDescent="0.3">
      <c r="A3234" t="s">
        <v>21</v>
      </c>
      <c r="B3234">
        <v>2024</v>
      </c>
      <c r="C3234" t="s">
        <v>9</v>
      </c>
      <c r="D3234">
        <v>45663.94</v>
      </c>
      <c r="E3234">
        <v>49092.95</v>
      </c>
      <c r="F3234">
        <v>193.39</v>
      </c>
      <c r="G3234">
        <v>1099.33</v>
      </c>
      <c r="H3234">
        <f>E3234*1000000/D3234</f>
        <v>1075092.2938318506</v>
      </c>
      <c r="I3234" t="str">
        <f>IF(AND(B3234&gt;=2018, B3234&lt;=2021), "2018-2021", IF(AND(B3234&gt;=2022, B3234&lt;=2024), "2022-2024", "Other"))</f>
        <v>2022-2024</v>
      </c>
    </row>
    <row r="3235" spans="1:9" x14ac:dyDescent="0.3">
      <c r="A3235" t="s">
        <v>21</v>
      </c>
      <c r="B3235">
        <v>2019</v>
      </c>
      <c r="C3235" t="s">
        <v>9</v>
      </c>
      <c r="D3235">
        <v>4872.53</v>
      </c>
      <c r="E3235">
        <v>5391.97</v>
      </c>
      <c r="F3235">
        <v>115.87</v>
      </c>
      <c r="G3235">
        <v>749.74</v>
      </c>
      <c r="H3235">
        <f>E3235*1000000/D3235</f>
        <v>1106605.8084814255</v>
      </c>
      <c r="I3235" t="str">
        <f>IF(AND(B3235&gt;=2018, B3235&lt;=2021), "2018-2021", IF(AND(B3235&gt;=2022, B3235&lt;=2024), "2022-2024", "Other"))</f>
        <v>2018-2021</v>
      </c>
    </row>
    <row r="3236" spans="1:9" x14ac:dyDescent="0.3">
      <c r="A3236" t="s">
        <v>3</v>
      </c>
      <c r="B3236">
        <v>2019</v>
      </c>
      <c r="C3236" t="s">
        <v>2</v>
      </c>
      <c r="D3236">
        <v>29752.19</v>
      </c>
      <c r="E3236">
        <v>35634.720000000001</v>
      </c>
      <c r="F3236">
        <v>81.62</v>
      </c>
      <c r="G3236">
        <v>139.63999999999999</v>
      </c>
      <c r="H3236">
        <f>E3236*1000000/D3236</f>
        <v>1197717.5461705509</v>
      </c>
      <c r="I3236" t="str">
        <f>IF(AND(B3236&gt;=2018, B3236&lt;=2021), "2018-2021", IF(AND(B3236&gt;=2022, B3236&lt;=2024), "2022-2024", "Other"))</f>
        <v>2018-2021</v>
      </c>
    </row>
    <row r="3237" spans="1:9" x14ac:dyDescent="0.3">
      <c r="A3237" t="s">
        <v>26</v>
      </c>
      <c r="B3237">
        <v>2021</v>
      </c>
      <c r="C3237" t="s">
        <v>14</v>
      </c>
      <c r="D3237">
        <v>741.25</v>
      </c>
      <c r="E3237">
        <v>702.15</v>
      </c>
      <c r="F3237">
        <v>27</v>
      </c>
      <c r="G3237">
        <v>1232.46</v>
      </c>
      <c r="H3237">
        <f>E3237*1000000/D3237</f>
        <v>947251.26475548057</v>
      </c>
      <c r="I3237" t="str">
        <f>IF(AND(B3237&gt;=2018, B3237&lt;=2021), "2018-2021", IF(AND(B3237&gt;=2022, B3237&lt;=2024), "2022-2024", "Other"))</f>
        <v>2018-2021</v>
      </c>
    </row>
    <row r="3238" spans="1:9" x14ac:dyDescent="0.3">
      <c r="A3238" t="s">
        <v>19</v>
      </c>
      <c r="B3238">
        <v>2019</v>
      </c>
      <c r="C3238" t="s">
        <v>9</v>
      </c>
      <c r="D3238">
        <v>951.49</v>
      </c>
      <c r="E3238">
        <v>971.59</v>
      </c>
      <c r="F3238">
        <v>59.51</v>
      </c>
      <c r="G3238">
        <v>239.46</v>
      </c>
      <c r="H3238">
        <f>E3238*1000000/D3238</f>
        <v>1021124.7622150521</v>
      </c>
      <c r="I3238" t="str">
        <f>IF(AND(B3238&gt;=2018, B3238&lt;=2021), "2018-2021", IF(AND(B3238&gt;=2022, B3238&lt;=2024), "2022-2024", "Other"))</f>
        <v>2018-2021</v>
      </c>
    </row>
    <row r="3239" spans="1:9" x14ac:dyDescent="0.3">
      <c r="A3239" t="s">
        <v>3</v>
      </c>
      <c r="B3239">
        <v>2021</v>
      </c>
      <c r="C3239" t="s">
        <v>8</v>
      </c>
      <c r="D3239">
        <v>23084.31</v>
      </c>
      <c r="E3239">
        <v>22540.78</v>
      </c>
      <c r="F3239">
        <v>72.819999999999993</v>
      </c>
      <c r="G3239">
        <v>598.04</v>
      </c>
      <c r="H3239">
        <f>E3239*1000000/D3239</f>
        <v>976454.57022540411</v>
      </c>
      <c r="I3239" t="str">
        <f>IF(AND(B3239&gt;=2018, B3239&lt;=2021), "2018-2021", IF(AND(B3239&gt;=2022, B3239&lt;=2024), "2022-2024", "Other"))</f>
        <v>2018-2021</v>
      </c>
    </row>
    <row r="3240" spans="1:9" x14ac:dyDescent="0.3">
      <c r="A3240" t="s">
        <v>19</v>
      </c>
      <c r="B3240">
        <v>2018</v>
      </c>
      <c r="C3240" t="s">
        <v>12</v>
      </c>
      <c r="D3240">
        <v>28482.39</v>
      </c>
      <c r="E3240">
        <v>32840.47</v>
      </c>
      <c r="F3240">
        <v>173.83</v>
      </c>
      <c r="G3240">
        <v>1255.6400000000001</v>
      </c>
      <c r="H3240">
        <f>E3240*1000000/D3240</f>
        <v>1153009.6315653287</v>
      </c>
      <c r="I3240" t="str">
        <f>IF(AND(B3240&gt;=2018, B3240&lt;=2021), "2018-2021", IF(AND(B3240&gt;=2022, B3240&lt;=2024), "2022-2024", "Other"))</f>
        <v>2018-2021</v>
      </c>
    </row>
    <row r="3241" spans="1:9" x14ac:dyDescent="0.3">
      <c r="A3241" t="s">
        <v>7</v>
      </c>
      <c r="B3241">
        <v>2019</v>
      </c>
      <c r="C3241" t="s">
        <v>14</v>
      </c>
      <c r="D3241">
        <v>20993.040000000001</v>
      </c>
      <c r="E3241">
        <v>23060.49</v>
      </c>
      <c r="F3241">
        <v>85.23</v>
      </c>
      <c r="G3241">
        <v>1086.5999999999999</v>
      </c>
      <c r="H3241">
        <f>E3241*1000000/D3241</f>
        <v>1098482.6399606727</v>
      </c>
      <c r="I3241" t="str">
        <f>IF(AND(B3241&gt;=2018, B3241&lt;=2021), "2018-2021", IF(AND(B3241&gt;=2022, B3241&lt;=2024), "2022-2024", "Other"))</f>
        <v>2018-2021</v>
      </c>
    </row>
    <row r="3242" spans="1:9" x14ac:dyDescent="0.3">
      <c r="A3242" t="s">
        <v>1</v>
      </c>
      <c r="B3242">
        <v>2023</v>
      </c>
      <c r="C3242" t="s">
        <v>4</v>
      </c>
      <c r="D3242">
        <v>45741</v>
      </c>
      <c r="E3242">
        <v>53825.919999999998</v>
      </c>
      <c r="F3242">
        <v>118.48</v>
      </c>
      <c r="G3242">
        <v>486.24</v>
      </c>
      <c r="H3242">
        <f>E3242*1000000/D3242</f>
        <v>1176754.33418596</v>
      </c>
      <c r="I3242" t="str">
        <f>IF(AND(B3242&gt;=2018, B3242&lt;=2021), "2018-2021", IF(AND(B3242&gt;=2022, B3242&lt;=2024), "2022-2024", "Other"))</f>
        <v>2022-2024</v>
      </c>
    </row>
    <row r="3243" spans="1:9" x14ac:dyDescent="0.3">
      <c r="A3243" t="s">
        <v>25</v>
      </c>
      <c r="B3243">
        <v>2020</v>
      </c>
      <c r="C3243" t="s">
        <v>6</v>
      </c>
      <c r="D3243">
        <v>15487.59</v>
      </c>
      <c r="E3243">
        <v>13728.5</v>
      </c>
      <c r="F3243">
        <v>162.97999999999999</v>
      </c>
      <c r="G3243">
        <v>221.65</v>
      </c>
      <c r="H3243">
        <f>E3243*1000000/D3243</f>
        <v>886419.3848106775</v>
      </c>
      <c r="I3243" t="str">
        <f>IF(AND(B3243&gt;=2018, B3243&lt;=2021), "2018-2021", IF(AND(B3243&gt;=2022, B3243&lt;=2024), "2022-2024", "Other"))</f>
        <v>2018-2021</v>
      </c>
    </row>
    <row r="3244" spans="1:9" x14ac:dyDescent="0.3">
      <c r="A3244" t="s">
        <v>18</v>
      </c>
      <c r="B3244">
        <v>2020</v>
      </c>
      <c r="C3244" t="s">
        <v>6</v>
      </c>
      <c r="D3244">
        <v>37501.839999999997</v>
      </c>
      <c r="E3244">
        <v>32638.080000000002</v>
      </c>
      <c r="F3244">
        <v>149.76</v>
      </c>
      <c r="G3244">
        <v>241.81</v>
      </c>
      <c r="H3244">
        <f>E3244*1000000/D3244</f>
        <v>870306.0969808416</v>
      </c>
      <c r="I3244" t="str">
        <f>IF(AND(B3244&gt;=2018, B3244&lt;=2021), "2018-2021", IF(AND(B3244&gt;=2022, B3244&lt;=2024), "2022-2024", "Other"))</f>
        <v>2018-2021</v>
      </c>
    </row>
    <row r="3245" spans="1:9" x14ac:dyDescent="0.3">
      <c r="A3245" t="s">
        <v>5</v>
      </c>
      <c r="B3245">
        <v>2024</v>
      </c>
      <c r="C3245" t="s">
        <v>0</v>
      </c>
      <c r="D3245">
        <v>20898.45</v>
      </c>
      <c r="E3245">
        <v>18035.66</v>
      </c>
      <c r="F3245">
        <v>85.24</v>
      </c>
      <c r="G3245">
        <v>1037.9100000000001</v>
      </c>
      <c r="H3245">
        <f>E3245*1000000/D3245</f>
        <v>863014.24268306978</v>
      </c>
      <c r="I3245" t="str">
        <f>IF(AND(B3245&gt;=2018, B3245&lt;=2021), "2018-2021", IF(AND(B3245&gt;=2022, B3245&lt;=2024), "2022-2024", "Other"))</f>
        <v>2022-2024</v>
      </c>
    </row>
    <row r="3246" spans="1:9" x14ac:dyDescent="0.3">
      <c r="A3246" t="s">
        <v>11</v>
      </c>
      <c r="B3246">
        <v>2018</v>
      </c>
      <c r="C3246" t="s">
        <v>14</v>
      </c>
      <c r="D3246">
        <v>32954.42</v>
      </c>
      <c r="E3246">
        <v>36165.449999999997</v>
      </c>
      <c r="F3246">
        <v>121.48</v>
      </c>
      <c r="G3246">
        <v>1025.46</v>
      </c>
      <c r="H3246">
        <f>E3246*1000000/D3246</f>
        <v>1097438.5226625139</v>
      </c>
      <c r="I3246" t="str">
        <f>IF(AND(B3246&gt;=2018, B3246&lt;=2021), "2018-2021", IF(AND(B3246&gt;=2022, B3246&lt;=2024), "2022-2024", "Other"))</f>
        <v>2018-2021</v>
      </c>
    </row>
    <row r="3247" spans="1:9" x14ac:dyDescent="0.3">
      <c r="A3247" t="s">
        <v>23</v>
      </c>
      <c r="B3247">
        <v>2023</v>
      </c>
      <c r="C3247" t="s">
        <v>9</v>
      </c>
      <c r="D3247">
        <v>44885.35</v>
      </c>
      <c r="E3247">
        <v>44685.57</v>
      </c>
      <c r="F3247">
        <v>168.07</v>
      </c>
      <c r="G3247">
        <v>1255.06</v>
      </c>
      <c r="H3247">
        <f>E3247*1000000/D3247</f>
        <v>995549.10455193068</v>
      </c>
      <c r="I3247" t="str">
        <f>IF(AND(B3247&gt;=2018, B3247&lt;=2021), "2018-2021", IF(AND(B3247&gt;=2022, B3247&lt;=2024), "2022-2024", "Other"))</f>
        <v>2022-2024</v>
      </c>
    </row>
    <row r="3248" spans="1:9" x14ac:dyDescent="0.3">
      <c r="A3248" t="s">
        <v>10</v>
      </c>
      <c r="B3248">
        <v>2023</v>
      </c>
      <c r="C3248" t="s">
        <v>2</v>
      </c>
      <c r="D3248">
        <v>48844.63</v>
      </c>
      <c r="E3248">
        <v>45591.87</v>
      </c>
      <c r="F3248">
        <v>155.9</v>
      </c>
      <c r="G3248">
        <v>252.03</v>
      </c>
      <c r="H3248">
        <f>E3248*1000000/D3248</f>
        <v>933405.98546861764</v>
      </c>
      <c r="I3248" t="str">
        <f>IF(AND(B3248&gt;=2018, B3248&lt;=2021), "2018-2021", IF(AND(B3248&gt;=2022, B3248&lt;=2024), "2022-2024", "Other"))</f>
        <v>2022-2024</v>
      </c>
    </row>
    <row r="3249" spans="1:9" x14ac:dyDescent="0.3">
      <c r="A3249" t="s">
        <v>24</v>
      </c>
      <c r="B3249">
        <v>2022</v>
      </c>
      <c r="C3249" t="s">
        <v>6</v>
      </c>
      <c r="D3249">
        <v>25266.57</v>
      </c>
      <c r="E3249">
        <v>29103.97</v>
      </c>
      <c r="F3249">
        <v>23.08</v>
      </c>
      <c r="G3249">
        <v>365.87</v>
      </c>
      <c r="H3249">
        <f>E3249*1000000/D3249</f>
        <v>1151876.5705040297</v>
      </c>
      <c r="I3249" t="str">
        <f>IF(AND(B3249&gt;=2018, B3249&lt;=2021), "2018-2021", IF(AND(B3249&gt;=2022, B3249&lt;=2024), "2022-2024", "Other"))</f>
        <v>2022-2024</v>
      </c>
    </row>
    <row r="3250" spans="1:9" x14ac:dyDescent="0.3">
      <c r="A3250" t="s">
        <v>24</v>
      </c>
      <c r="B3250">
        <v>2022</v>
      </c>
      <c r="C3250" t="s">
        <v>8</v>
      </c>
      <c r="D3250">
        <v>29858.48</v>
      </c>
      <c r="E3250">
        <v>26602</v>
      </c>
      <c r="F3250">
        <v>148.96</v>
      </c>
      <c r="G3250">
        <v>1148.5999999999999</v>
      </c>
      <c r="H3250">
        <f>E3250*1000000/D3250</f>
        <v>890936.17625545571</v>
      </c>
      <c r="I3250" t="str">
        <f>IF(AND(B3250&gt;=2018, B3250&lt;=2021), "2018-2021", IF(AND(B3250&gt;=2022, B3250&lt;=2024), "2022-2024", "Other"))</f>
        <v>2022-2024</v>
      </c>
    </row>
    <row r="3251" spans="1:9" x14ac:dyDescent="0.3">
      <c r="A3251" t="s">
        <v>23</v>
      </c>
      <c r="B3251">
        <v>2024</v>
      </c>
      <c r="C3251" t="s">
        <v>6</v>
      </c>
      <c r="D3251">
        <v>34453.360000000001</v>
      </c>
      <c r="E3251">
        <v>37407.49</v>
      </c>
      <c r="F3251">
        <v>129.69</v>
      </c>
      <c r="G3251">
        <v>401.37</v>
      </c>
      <c r="H3251">
        <f>E3251*1000000/D3251</f>
        <v>1085742.8709420504</v>
      </c>
      <c r="I3251" t="str">
        <f>IF(AND(B3251&gt;=2018, B3251&lt;=2021), "2018-2021", IF(AND(B3251&gt;=2022, B3251&lt;=2024), "2022-2024", "Other"))</f>
        <v>2022-2024</v>
      </c>
    </row>
    <row r="3252" spans="1:9" x14ac:dyDescent="0.3">
      <c r="A3252" t="s">
        <v>1</v>
      </c>
      <c r="B3252">
        <v>2020</v>
      </c>
      <c r="C3252" t="s">
        <v>14</v>
      </c>
      <c r="D3252">
        <v>5843.61</v>
      </c>
      <c r="E3252">
        <v>5831.34</v>
      </c>
      <c r="F3252">
        <v>183.29</v>
      </c>
      <c r="G3252">
        <v>945.2</v>
      </c>
      <c r="H3252">
        <f>E3252*1000000/D3252</f>
        <v>997900.27055193624</v>
      </c>
      <c r="I3252" t="str">
        <f>IF(AND(B3252&gt;=2018, B3252&lt;=2021), "2018-2021", IF(AND(B3252&gt;=2022, B3252&lt;=2024), "2022-2024", "Other"))</f>
        <v>2018-2021</v>
      </c>
    </row>
    <row r="3253" spans="1:9" x14ac:dyDescent="0.3">
      <c r="A3253" t="s">
        <v>22</v>
      </c>
      <c r="B3253">
        <v>2023</v>
      </c>
      <c r="C3253" t="s">
        <v>0</v>
      </c>
      <c r="D3253">
        <v>38423.54</v>
      </c>
      <c r="E3253">
        <v>38743.01</v>
      </c>
      <c r="F3253">
        <v>184.79</v>
      </c>
      <c r="G3253">
        <v>816.25</v>
      </c>
      <c r="H3253">
        <f>E3253*1000000/D3253</f>
        <v>1008314.4343285392</v>
      </c>
      <c r="I3253" t="str">
        <f>IF(AND(B3253&gt;=2018, B3253&lt;=2021), "2018-2021", IF(AND(B3253&gt;=2022, B3253&lt;=2024), "2022-2024", "Other"))</f>
        <v>2022-2024</v>
      </c>
    </row>
    <row r="3254" spans="1:9" x14ac:dyDescent="0.3">
      <c r="A3254" t="s">
        <v>22</v>
      </c>
      <c r="B3254">
        <v>2021</v>
      </c>
      <c r="C3254" t="s">
        <v>12</v>
      </c>
      <c r="D3254">
        <v>21529.71</v>
      </c>
      <c r="E3254">
        <v>20410.14</v>
      </c>
      <c r="F3254">
        <v>57.39</v>
      </c>
      <c r="G3254">
        <v>791.89</v>
      </c>
      <c r="H3254">
        <f>E3254*1000000/D3254</f>
        <v>947998.83509810397</v>
      </c>
      <c r="I3254" t="str">
        <f>IF(AND(B3254&gt;=2018, B3254&lt;=2021), "2018-2021", IF(AND(B3254&gt;=2022, B3254&lt;=2024), "2022-2024", "Other"))</f>
        <v>2018-2021</v>
      </c>
    </row>
    <row r="3255" spans="1:9" x14ac:dyDescent="0.3">
      <c r="A3255" t="s">
        <v>17</v>
      </c>
      <c r="B3255">
        <v>2023</v>
      </c>
      <c r="C3255" t="s">
        <v>8</v>
      </c>
      <c r="D3255">
        <v>27290.77</v>
      </c>
      <c r="E3255">
        <v>24428.52</v>
      </c>
      <c r="F3255">
        <v>132.97</v>
      </c>
      <c r="G3255">
        <v>913.05</v>
      </c>
      <c r="H3255">
        <f>E3255*1000000/D3255</f>
        <v>895120.21830091276</v>
      </c>
      <c r="I3255" t="str">
        <f>IF(AND(B3255&gt;=2018, B3255&lt;=2021), "2018-2021", IF(AND(B3255&gt;=2022, B3255&lt;=2024), "2022-2024", "Other"))</f>
        <v>2022-2024</v>
      </c>
    </row>
    <row r="3256" spans="1:9" x14ac:dyDescent="0.3">
      <c r="A3256" t="s">
        <v>17</v>
      </c>
      <c r="B3256">
        <v>2022</v>
      </c>
      <c r="C3256" t="s">
        <v>0</v>
      </c>
      <c r="D3256">
        <v>41358.449999999997</v>
      </c>
      <c r="E3256">
        <v>38242.080000000002</v>
      </c>
      <c r="F3256">
        <v>29.43</v>
      </c>
      <c r="G3256">
        <v>1344.69</v>
      </c>
      <c r="H3256">
        <f>E3256*1000000/D3256</f>
        <v>924649.73904969846</v>
      </c>
      <c r="I3256" t="str">
        <f>IF(AND(B3256&gt;=2018, B3256&lt;=2021), "2018-2021", IF(AND(B3256&gt;=2022, B3256&lt;=2024), "2022-2024", "Other"))</f>
        <v>2022-2024</v>
      </c>
    </row>
    <row r="3257" spans="1:9" x14ac:dyDescent="0.3">
      <c r="A3257" t="s">
        <v>11</v>
      </c>
      <c r="B3257">
        <v>2021</v>
      </c>
      <c r="C3257" t="s">
        <v>14</v>
      </c>
      <c r="D3257">
        <v>35704.42</v>
      </c>
      <c r="E3257">
        <v>34459.550000000003</v>
      </c>
      <c r="F3257">
        <v>110.88</v>
      </c>
      <c r="G3257">
        <v>1098.53</v>
      </c>
      <c r="H3257">
        <f>E3257*1000000/D3257</f>
        <v>965134.00861854083</v>
      </c>
      <c r="I3257" t="str">
        <f>IF(AND(B3257&gt;=2018, B3257&lt;=2021), "2018-2021", IF(AND(B3257&gt;=2022, B3257&lt;=2024), "2022-2024", "Other"))</f>
        <v>2018-2021</v>
      </c>
    </row>
    <row r="3258" spans="1:9" x14ac:dyDescent="0.3">
      <c r="A3258" t="s">
        <v>1</v>
      </c>
      <c r="B3258">
        <v>2020</v>
      </c>
      <c r="C3258" t="s">
        <v>0</v>
      </c>
      <c r="D3258">
        <v>16853.16</v>
      </c>
      <c r="E3258">
        <v>17040.689999999999</v>
      </c>
      <c r="F3258">
        <v>32.64</v>
      </c>
      <c r="G3258">
        <v>284.86</v>
      </c>
      <c r="H3258">
        <f>E3258*1000000/D3258</f>
        <v>1011127.290074977</v>
      </c>
      <c r="I3258" t="str">
        <f>IF(AND(B3258&gt;=2018, B3258&lt;=2021), "2018-2021", IF(AND(B3258&gt;=2022, B3258&lt;=2024), "2022-2024", "Other"))</f>
        <v>2018-2021</v>
      </c>
    </row>
    <row r="3259" spans="1:9" x14ac:dyDescent="0.3">
      <c r="A3259" t="s">
        <v>27</v>
      </c>
      <c r="B3259">
        <v>2024</v>
      </c>
      <c r="C3259" t="s">
        <v>12</v>
      </c>
      <c r="D3259">
        <v>37078.589999999997</v>
      </c>
      <c r="E3259">
        <v>39001.29</v>
      </c>
      <c r="F3259">
        <v>59.38</v>
      </c>
      <c r="G3259">
        <v>137.16</v>
      </c>
      <c r="H3259">
        <f>E3259*1000000/D3259</f>
        <v>1051854.7226310386</v>
      </c>
      <c r="I3259" t="str">
        <f>IF(AND(B3259&gt;=2018, B3259&lt;=2021), "2018-2021", IF(AND(B3259&gt;=2022, B3259&lt;=2024), "2022-2024", "Other"))</f>
        <v>2022-2024</v>
      </c>
    </row>
    <row r="3260" spans="1:9" x14ac:dyDescent="0.3">
      <c r="A3260" t="s">
        <v>27</v>
      </c>
      <c r="B3260">
        <v>2020</v>
      </c>
      <c r="C3260" t="s">
        <v>2</v>
      </c>
      <c r="D3260">
        <v>22346.15</v>
      </c>
      <c r="E3260">
        <v>21709.58</v>
      </c>
      <c r="F3260">
        <v>194.72</v>
      </c>
      <c r="G3260">
        <v>465.73</v>
      </c>
      <c r="H3260">
        <f>E3260*1000000/D3260</f>
        <v>971513.2136855789</v>
      </c>
      <c r="I3260" t="str">
        <f>IF(AND(B3260&gt;=2018, B3260&lt;=2021), "2018-2021", IF(AND(B3260&gt;=2022, B3260&lt;=2024), "2022-2024", "Other"))</f>
        <v>2018-2021</v>
      </c>
    </row>
    <row r="3261" spans="1:9" x14ac:dyDescent="0.3">
      <c r="A3261" t="s">
        <v>3</v>
      </c>
      <c r="B3261">
        <v>2020</v>
      </c>
      <c r="C3261" t="s">
        <v>6</v>
      </c>
      <c r="D3261">
        <v>43672.959999999999</v>
      </c>
      <c r="E3261">
        <v>47834.03</v>
      </c>
      <c r="F3261">
        <v>60.42</v>
      </c>
      <c r="G3261">
        <v>1259.67</v>
      </c>
      <c r="H3261">
        <f>E3261*1000000/D3261</f>
        <v>1095277.947727839</v>
      </c>
      <c r="I3261" t="str">
        <f>IF(AND(B3261&gt;=2018, B3261&lt;=2021), "2018-2021", IF(AND(B3261&gt;=2022, B3261&lt;=2024), "2022-2024", "Other"))</f>
        <v>2018-2021</v>
      </c>
    </row>
    <row r="3262" spans="1:9" x14ac:dyDescent="0.3">
      <c r="A3262" t="s">
        <v>21</v>
      </c>
      <c r="B3262">
        <v>2019</v>
      </c>
      <c r="C3262" t="s">
        <v>6</v>
      </c>
      <c r="D3262">
        <v>9645.98</v>
      </c>
      <c r="E3262">
        <v>11083.33</v>
      </c>
      <c r="F3262">
        <v>49.54</v>
      </c>
      <c r="G3262">
        <v>146.01</v>
      </c>
      <c r="H3262">
        <f>E3262*1000000/D3262</f>
        <v>1149010.2612694616</v>
      </c>
      <c r="I3262" t="str">
        <f>IF(AND(B3262&gt;=2018, B3262&lt;=2021), "2018-2021", IF(AND(B3262&gt;=2022, B3262&lt;=2024), "2022-2024", "Other"))</f>
        <v>2018-2021</v>
      </c>
    </row>
    <row r="3263" spans="1:9" x14ac:dyDescent="0.3">
      <c r="A3263" t="s">
        <v>15</v>
      </c>
      <c r="B3263">
        <v>2018</v>
      </c>
      <c r="C3263" t="s">
        <v>2</v>
      </c>
      <c r="D3263">
        <v>2050.37</v>
      </c>
      <c r="E3263">
        <v>1861.12</v>
      </c>
      <c r="F3263">
        <v>40.549999999999997</v>
      </c>
      <c r="G3263">
        <v>263.20999999999998</v>
      </c>
      <c r="H3263">
        <f>E3263*1000000/D3263</f>
        <v>907699.58592839341</v>
      </c>
      <c r="I3263" t="str">
        <f>IF(AND(B3263&gt;=2018, B3263&lt;=2021), "2018-2021", IF(AND(B3263&gt;=2022, B3263&lt;=2024), "2022-2024", "Other"))</f>
        <v>2018-2021</v>
      </c>
    </row>
    <row r="3264" spans="1:9" x14ac:dyDescent="0.3">
      <c r="A3264" t="s">
        <v>3</v>
      </c>
      <c r="B3264">
        <v>2020</v>
      </c>
      <c r="C3264" t="s">
        <v>6</v>
      </c>
      <c r="D3264">
        <v>2655.52</v>
      </c>
      <c r="E3264">
        <v>2170.41</v>
      </c>
      <c r="F3264">
        <v>22.1</v>
      </c>
      <c r="G3264">
        <v>963.92</v>
      </c>
      <c r="H3264">
        <f>E3264*1000000/D3264</f>
        <v>817320.14821955771</v>
      </c>
      <c r="I3264" t="str">
        <f>IF(AND(B3264&gt;=2018, B3264&lt;=2021), "2018-2021", IF(AND(B3264&gt;=2022, B3264&lt;=2024), "2022-2024", "Other"))</f>
        <v>2018-2021</v>
      </c>
    </row>
    <row r="3265" spans="1:9" x14ac:dyDescent="0.3">
      <c r="A3265" t="s">
        <v>21</v>
      </c>
      <c r="B3265">
        <v>2023</v>
      </c>
      <c r="C3265" t="s">
        <v>6</v>
      </c>
      <c r="D3265">
        <v>6588.75</v>
      </c>
      <c r="E3265">
        <v>6546.04</v>
      </c>
      <c r="F3265">
        <v>117.77</v>
      </c>
      <c r="G3265">
        <v>415.85</v>
      </c>
      <c r="H3265">
        <f>E3265*1000000/D3265</f>
        <v>993517.73856953136</v>
      </c>
      <c r="I3265" t="str">
        <f>IF(AND(B3265&gt;=2018, B3265&lt;=2021), "2018-2021", IF(AND(B3265&gt;=2022, B3265&lt;=2024), "2022-2024", "Other"))</f>
        <v>2022-2024</v>
      </c>
    </row>
    <row r="3266" spans="1:9" x14ac:dyDescent="0.3">
      <c r="A3266" t="s">
        <v>24</v>
      </c>
      <c r="B3266">
        <v>2023</v>
      </c>
      <c r="C3266" t="s">
        <v>8</v>
      </c>
      <c r="D3266">
        <v>1807.34</v>
      </c>
      <c r="E3266">
        <v>1560.33</v>
      </c>
      <c r="F3266">
        <v>123.17</v>
      </c>
      <c r="G3266">
        <v>224.6</v>
      </c>
      <c r="H3266">
        <f>E3266*1000000/D3266</f>
        <v>863329.5340113095</v>
      </c>
      <c r="I3266" t="str">
        <f>IF(AND(B3266&gt;=2018, B3266&lt;=2021), "2018-2021", IF(AND(B3266&gt;=2022, B3266&lt;=2024), "2022-2024", "Other"))</f>
        <v>2022-2024</v>
      </c>
    </row>
    <row r="3267" spans="1:9" x14ac:dyDescent="0.3">
      <c r="A3267" t="s">
        <v>13</v>
      </c>
      <c r="B3267">
        <v>2024</v>
      </c>
      <c r="C3267" t="s">
        <v>12</v>
      </c>
      <c r="D3267">
        <v>46722.63</v>
      </c>
      <c r="E3267">
        <v>51041.87</v>
      </c>
      <c r="F3267">
        <v>32.36</v>
      </c>
      <c r="G3267">
        <v>1361.24</v>
      </c>
      <c r="H3267">
        <f>E3267*1000000/D3267</f>
        <v>1092444.2823531125</v>
      </c>
      <c r="I3267" t="str">
        <f>IF(AND(B3267&gt;=2018, B3267&lt;=2021), "2018-2021", IF(AND(B3267&gt;=2022, B3267&lt;=2024), "2022-2024", "Other"))</f>
        <v>2022-2024</v>
      </c>
    </row>
    <row r="3268" spans="1:9" x14ac:dyDescent="0.3">
      <c r="A3268" t="s">
        <v>1</v>
      </c>
      <c r="B3268">
        <v>2023</v>
      </c>
      <c r="C3268" t="s">
        <v>2</v>
      </c>
      <c r="D3268">
        <v>46815.03</v>
      </c>
      <c r="E3268">
        <v>40941.21</v>
      </c>
      <c r="F3268">
        <v>144.09</v>
      </c>
      <c r="G3268">
        <v>549.6</v>
      </c>
      <c r="H3268">
        <f>E3268*1000000/D3268</f>
        <v>874531.32039005426</v>
      </c>
      <c r="I3268" t="str">
        <f>IF(AND(B3268&gt;=2018, B3268&lt;=2021), "2018-2021", IF(AND(B3268&gt;=2022, B3268&lt;=2024), "2022-2024", "Other"))</f>
        <v>2022-2024</v>
      </c>
    </row>
    <row r="3269" spans="1:9" x14ac:dyDescent="0.3">
      <c r="A3269" t="s">
        <v>24</v>
      </c>
      <c r="B3269">
        <v>2018</v>
      </c>
      <c r="C3269" t="s">
        <v>2</v>
      </c>
      <c r="D3269">
        <v>33769.17</v>
      </c>
      <c r="E3269">
        <v>38293.01</v>
      </c>
      <c r="F3269">
        <v>71.84</v>
      </c>
      <c r="G3269">
        <v>208.15</v>
      </c>
      <c r="H3269">
        <f>E3269*1000000/D3269</f>
        <v>1133963.6123718766</v>
      </c>
      <c r="I3269" t="str">
        <f>IF(AND(B3269&gt;=2018, B3269&lt;=2021), "2018-2021", IF(AND(B3269&gt;=2022, B3269&lt;=2024), "2022-2024", "Other"))</f>
        <v>2018-2021</v>
      </c>
    </row>
    <row r="3270" spans="1:9" x14ac:dyDescent="0.3">
      <c r="A3270" t="s">
        <v>5</v>
      </c>
      <c r="B3270">
        <v>2024</v>
      </c>
      <c r="C3270" t="s">
        <v>0</v>
      </c>
      <c r="D3270">
        <v>16024.39</v>
      </c>
      <c r="E3270">
        <v>16640.57</v>
      </c>
      <c r="F3270">
        <v>20.84</v>
      </c>
      <c r="G3270">
        <v>1030.1400000000001</v>
      </c>
      <c r="H3270">
        <f>E3270*1000000/D3270</f>
        <v>1038452.6337664024</v>
      </c>
      <c r="I3270" t="str">
        <f>IF(AND(B3270&gt;=2018, B3270&lt;=2021), "2018-2021", IF(AND(B3270&gt;=2022, B3270&lt;=2024), "2022-2024", "Other"))</f>
        <v>2022-2024</v>
      </c>
    </row>
    <row r="3271" spans="1:9" x14ac:dyDescent="0.3">
      <c r="A3271" t="s">
        <v>25</v>
      </c>
      <c r="B3271">
        <v>2024</v>
      </c>
      <c r="C3271" t="s">
        <v>9</v>
      </c>
      <c r="D3271">
        <v>15502.28</v>
      </c>
      <c r="E3271">
        <v>13784.37</v>
      </c>
      <c r="F3271">
        <v>131.25</v>
      </c>
      <c r="G3271">
        <v>1331.08</v>
      </c>
      <c r="H3271">
        <f>E3271*1000000/D3271</f>
        <v>889183.39753894263</v>
      </c>
      <c r="I3271" t="str">
        <f>IF(AND(B3271&gt;=2018, B3271&lt;=2021), "2018-2021", IF(AND(B3271&gt;=2022, B3271&lt;=2024), "2022-2024", "Other"))</f>
        <v>2022-2024</v>
      </c>
    </row>
    <row r="3272" spans="1:9" x14ac:dyDescent="0.3">
      <c r="A3272" t="s">
        <v>26</v>
      </c>
      <c r="B3272">
        <v>2024</v>
      </c>
      <c r="C3272" t="s">
        <v>12</v>
      </c>
      <c r="D3272">
        <v>8983.06</v>
      </c>
      <c r="E3272">
        <v>10583.84</v>
      </c>
      <c r="F3272">
        <v>72.739999999999995</v>
      </c>
      <c r="G3272">
        <v>402</v>
      </c>
      <c r="H3272">
        <f>E3272*1000000/D3272</f>
        <v>1178199.8561737316</v>
      </c>
      <c r="I3272" t="str">
        <f>IF(AND(B3272&gt;=2018, B3272&lt;=2021), "2018-2021", IF(AND(B3272&gt;=2022, B3272&lt;=2024), "2022-2024", "Other"))</f>
        <v>2022-2024</v>
      </c>
    </row>
    <row r="3273" spans="1:9" x14ac:dyDescent="0.3">
      <c r="A3273" t="s">
        <v>25</v>
      </c>
      <c r="B3273">
        <v>2021</v>
      </c>
      <c r="C3273" t="s">
        <v>14</v>
      </c>
      <c r="D3273">
        <v>19195.97</v>
      </c>
      <c r="E3273">
        <v>20988.26</v>
      </c>
      <c r="F3273">
        <v>169.68</v>
      </c>
      <c r="G3273">
        <v>422.31</v>
      </c>
      <c r="H3273">
        <f>E3273*1000000/D3273</f>
        <v>1093368.0350615259</v>
      </c>
      <c r="I3273" t="str">
        <f>IF(AND(B3273&gt;=2018, B3273&lt;=2021), "2018-2021", IF(AND(B3273&gt;=2022, B3273&lt;=2024), "2022-2024", "Other"))</f>
        <v>2018-2021</v>
      </c>
    </row>
    <row r="3274" spans="1:9" x14ac:dyDescent="0.3">
      <c r="A3274" t="s">
        <v>1</v>
      </c>
      <c r="B3274">
        <v>2022</v>
      </c>
      <c r="C3274" t="s">
        <v>8</v>
      </c>
      <c r="D3274">
        <v>32301.18</v>
      </c>
      <c r="E3274">
        <v>37418.51</v>
      </c>
      <c r="F3274">
        <v>88.09</v>
      </c>
      <c r="G3274">
        <v>208.25</v>
      </c>
      <c r="H3274">
        <f>E3274*1000000/D3274</f>
        <v>1158425.4816697098</v>
      </c>
      <c r="I3274" t="str">
        <f>IF(AND(B3274&gt;=2018, B3274&lt;=2021), "2018-2021", IF(AND(B3274&gt;=2022, B3274&lt;=2024), "2022-2024", "Other"))</f>
        <v>2022-2024</v>
      </c>
    </row>
    <row r="3275" spans="1:9" x14ac:dyDescent="0.3">
      <c r="A3275" t="s">
        <v>13</v>
      </c>
      <c r="B3275">
        <v>2020</v>
      </c>
      <c r="C3275" t="s">
        <v>12</v>
      </c>
      <c r="D3275">
        <v>4887.7299999999996</v>
      </c>
      <c r="E3275">
        <v>5265.03</v>
      </c>
      <c r="F3275">
        <v>22.07</v>
      </c>
      <c r="G3275">
        <v>897.92</v>
      </c>
      <c r="H3275">
        <f>E3275*1000000/D3275</f>
        <v>1077193.2983204883</v>
      </c>
      <c r="I3275" t="str">
        <f>IF(AND(B3275&gt;=2018, B3275&lt;=2021), "2018-2021", IF(AND(B3275&gt;=2022, B3275&lt;=2024), "2022-2024", "Other"))</f>
        <v>2018-2021</v>
      </c>
    </row>
    <row r="3276" spans="1:9" x14ac:dyDescent="0.3">
      <c r="A3276" t="s">
        <v>5</v>
      </c>
      <c r="B3276">
        <v>2023</v>
      </c>
      <c r="C3276" t="s">
        <v>2</v>
      </c>
      <c r="D3276">
        <v>3712.38</v>
      </c>
      <c r="E3276">
        <v>3146.93</v>
      </c>
      <c r="F3276">
        <v>157.55000000000001</v>
      </c>
      <c r="G3276">
        <v>709.35</v>
      </c>
      <c r="H3276">
        <f>E3276*1000000/D3276</f>
        <v>847685.3123872017</v>
      </c>
      <c r="I3276" t="str">
        <f>IF(AND(B3276&gt;=2018, B3276&lt;=2021), "2018-2021", IF(AND(B3276&gt;=2022, B3276&lt;=2024), "2022-2024", "Other"))</f>
        <v>2022-2024</v>
      </c>
    </row>
    <row r="3277" spans="1:9" x14ac:dyDescent="0.3">
      <c r="A3277" t="s">
        <v>20</v>
      </c>
      <c r="B3277">
        <v>2023</v>
      </c>
      <c r="C3277" t="s">
        <v>14</v>
      </c>
      <c r="D3277">
        <v>5114.3</v>
      </c>
      <c r="E3277">
        <v>4884.28</v>
      </c>
      <c r="F3277">
        <v>33.619999999999997</v>
      </c>
      <c r="G3277">
        <v>148.41</v>
      </c>
      <c r="H3277">
        <f>E3277*1000000/D3277</f>
        <v>955024.14797724027</v>
      </c>
      <c r="I3277" t="str">
        <f>IF(AND(B3277&gt;=2018, B3277&lt;=2021), "2018-2021", IF(AND(B3277&gt;=2022, B3277&lt;=2024), "2022-2024", "Other"))</f>
        <v>2022-2024</v>
      </c>
    </row>
    <row r="3278" spans="1:9" x14ac:dyDescent="0.3">
      <c r="A3278" t="s">
        <v>7</v>
      </c>
      <c r="B3278">
        <v>2022</v>
      </c>
      <c r="C3278" t="s">
        <v>0</v>
      </c>
      <c r="D3278">
        <v>39060.620000000003</v>
      </c>
      <c r="E3278">
        <v>34962.300000000003</v>
      </c>
      <c r="F3278">
        <v>199.92</v>
      </c>
      <c r="G3278">
        <v>885.96</v>
      </c>
      <c r="H3278">
        <f>E3278*1000000/D3278</f>
        <v>895077.95831197756</v>
      </c>
      <c r="I3278" t="str">
        <f>IF(AND(B3278&gt;=2018, B3278&lt;=2021), "2018-2021", IF(AND(B3278&gt;=2022, B3278&lt;=2024), "2022-2024", "Other"))</f>
        <v>2022-2024</v>
      </c>
    </row>
    <row r="3279" spans="1:9" x14ac:dyDescent="0.3">
      <c r="A3279" t="s">
        <v>15</v>
      </c>
      <c r="B3279">
        <v>2019</v>
      </c>
      <c r="C3279" t="s">
        <v>12</v>
      </c>
      <c r="D3279">
        <v>40255.89</v>
      </c>
      <c r="E3279">
        <v>34570.93</v>
      </c>
      <c r="F3279">
        <v>194.77</v>
      </c>
      <c r="G3279">
        <v>573.91999999999996</v>
      </c>
      <c r="H3279">
        <f>E3279*1000000/D3279</f>
        <v>858779.42333407607</v>
      </c>
      <c r="I3279" t="str">
        <f>IF(AND(B3279&gt;=2018, B3279&lt;=2021), "2018-2021", IF(AND(B3279&gt;=2022, B3279&lt;=2024), "2022-2024", "Other"))</f>
        <v>2018-2021</v>
      </c>
    </row>
    <row r="3280" spans="1:9" x14ac:dyDescent="0.3">
      <c r="A3280" t="s">
        <v>18</v>
      </c>
      <c r="B3280">
        <v>2021</v>
      </c>
      <c r="C3280" t="s">
        <v>6</v>
      </c>
      <c r="D3280">
        <v>24282.86</v>
      </c>
      <c r="E3280">
        <v>28463.98</v>
      </c>
      <c r="F3280">
        <v>110.28</v>
      </c>
      <c r="G3280">
        <v>101.68</v>
      </c>
      <c r="H3280">
        <f>E3280*1000000/D3280</f>
        <v>1172184.0013902811</v>
      </c>
      <c r="I3280" t="str">
        <f>IF(AND(B3280&gt;=2018, B3280&lt;=2021), "2018-2021", IF(AND(B3280&gt;=2022, B3280&lt;=2024), "2022-2024", "Other"))</f>
        <v>2018-2021</v>
      </c>
    </row>
    <row r="3281" spans="1:9" x14ac:dyDescent="0.3">
      <c r="A3281" t="s">
        <v>7</v>
      </c>
      <c r="B3281">
        <v>2024</v>
      </c>
      <c r="C3281" t="s">
        <v>8</v>
      </c>
      <c r="D3281">
        <v>19616.759999999998</v>
      </c>
      <c r="E3281">
        <v>16787.22</v>
      </c>
      <c r="F3281">
        <v>116.5</v>
      </c>
      <c r="G3281">
        <v>253.22</v>
      </c>
      <c r="H3281">
        <f>E3281*1000000/D3281</f>
        <v>855759.05501214287</v>
      </c>
      <c r="I3281" t="str">
        <f>IF(AND(B3281&gt;=2018, B3281&lt;=2021), "2018-2021", IF(AND(B3281&gt;=2022, B3281&lt;=2024), "2022-2024", "Other"))</f>
        <v>2022-2024</v>
      </c>
    </row>
    <row r="3282" spans="1:9" x14ac:dyDescent="0.3">
      <c r="A3282" t="s">
        <v>19</v>
      </c>
      <c r="B3282">
        <v>2024</v>
      </c>
      <c r="C3282" t="s">
        <v>14</v>
      </c>
      <c r="D3282">
        <v>1999.43</v>
      </c>
      <c r="E3282">
        <v>2209.15</v>
      </c>
      <c r="F3282">
        <v>81.150000000000006</v>
      </c>
      <c r="G3282">
        <v>250.93</v>
      </c>
      <c r="H3282">
        <f>E3282*1000000/D3282</f>
        <v>1104889.8936196815</v>
      </c>
      <c r="I3282" t="str">
        <f>IF(AND(B3282&gt;=2018, B3282&lt;=2021), "2018-2021", IF(AND(B3282&gt;=2022, B3282&lt;=2024), "2022-2024", "Other"))</f>
        <v>2022-2024</v>
      </c>
    </row>
    <row r="3283" spans="1:9" x14ac:dyDescent="0.3">
      <c r="A3283" t="s">
        <v>21</v>
      </c>
      <c r="B3283">
        <v>2019</v>
      </c>
      <c r="C3283" t="s">
        <v>4</v>
      </c>
      <c r="D3283">
        <v>34166.79</v>
      </c>
      <c r="E3283">
        <v>40472.400000000001</v>
      </c>
      <c r="F3283">
        <v>46.19</v>
      </c>
      <c r="G3283">
        <v>652.71</v>
      </c>
      <c r="H3283">
        <f>E3283*1000000/D3283</f>
        <v>1184553.7728302835</v>
      </c>
      <c r="I3283" t="str">
        <f>IF(AND(B3283&gt;=2018, B3283&lt;=2021), "2018-2021", IF(AND(B3283&gt;=2022, B3283&lt;=2024), "2022-2024", "Other"))</f>
        <v>2018-2021</v>
      </c>
    </row>
    <row r="3284" spans="1:9" x14ac:dyDescent="0.3">
      <c r="A3284" t="s">
        <v>24</v>
      </c>
      <c r="B3284">
        <v>2018</v>
      </c>
      <c r="C3284" t="s">
        <v>2</v>
      </c>
      <c r="D3284">
        <v>46773.98</v>
      </c>
      <c r="E3284">
        <v>48206.73</v>
      </c>
      <c r="F3284">
        <v>84.36</v>
      </c>
      <c r="G3284">
        <v>988.47</v>
      </c>
      <c r="H3284">
        <f>E3284*1000000/D3284</f>
        <v>1030631.3467444933</v>
      </c>
      <c r="I3284" t="str">
        <f>IF(AND(B3284&gt;=2018, B3284&lt;=2021), "2018-2021", IF(AND(B3284&gt;=2022, B3284&lt;=2024), "2022-2024", "Other"))</f>
        <v>2018-2021</v>
      </c>
    </row>
    <row r="3285" spans="1:9" x14ac:dyDescent="0.3">
      <c r="A3285" t="s">
        <v>5</v>
      </c>
      <c r="B3285">
        <v>2022</v>
      </c>
      <c r="C3285" t="s">
        <v>14</v>
      </c>
      <c r="D3285">
        <v>46538.54</v>
      </c>
      <c r="E3285">
        <v>48512.62</v>
      </c>
      <c r="F3285">
        <v>28.93</v>
      </c>
      <c r="G3285">
        <v>200.8</v>
      </c>
      <c r="H3285">
        <f>E3285*1000000/D3285</f>
        <v>1042418.1764189422</v>
      </c>
      <c r="I3285" t="str">
        <f>IF(AND(B3285&gt;=2018, B3285&lt;=2021), "2018-2021", IF(AND(B3285&gt;=2022, B3285&lt;=2024), "2022-2024", "Other"))</f>
        <v>2022-2024</v>
      </c>
    </row>
    <row r="3286" spans="1:9" x14ac:dyDescent="0.3">
      <c r="A3286" t="s">
        <v>26</v>
      </c>
      <c r="B3286">
        <v>2021</v>
      </c>
      <c r="C3286" t="s">
        <v>14</v>
      </c>
      <c r="D3286">
        <v>11491.37</v>
      </c>
      <c r="E3286">
        <v>10326.31</v>
      </c>
      <c r="F3286">
        <v>138.19</v>
      </c>
      <c r="G3286">
        <v>463.47</v>
      </c>
      <c r="H3286">
        <f>E3286*1000000/D3286</f>
        <v>898614.351465491</v>
      </c>
      <c r="I3286" t="str">
        <f>IF(AND(B3286&gt;=2018, B3286&lt;=2021), "2018-2021", IF(AND(B3286&gt;=2022, B3286&lt;=2024), "2022-2024", "Other"))</f>
        <v>2018-2021</v>
      </c>
    </row>
    <row r="3287" spans="1:9" x14ac:dyDescent="0.3">
      <c r="A3287" t="s">
        <v>24</v>
      </c>
      <c r="B3287">
        <v>2024</v>
      </c>
      <c r="C3287" t="s">
        <v>2</v>
      </c>
      <c r="D3287">
        <v>43696.76</v>
      </c>
      <c r="E3287">
        <v>38169.410000000003</v>
      </c>
      <c r="F3287">
        <v>104.85</v>
      </c>
      <c r="G3287">
        <v>1153.5</v>
      </c>
      <c r="H3287">
        <f>E3287*1000000/D3287</f>
        <v>873506.63985155872</v>
      </c>
      <c r="I3287" t="str">
        <f>IF(AND(B3287&gt;=2018, B3287&lt;=2021), "2018-2021", IF(AND(B3287&gt;=2022, B3287&lt;=2024), "2022-2024", "Other"))</f>
        <v>2022-2024</v>
      </c>
    </row>
    <row r="3288" spans="1:9" x14ac:dyDescent="0.3">
      <c r="A3288" t="s">
        <v>10</v>
      </c>
      <c r="B3288">
        <v>2023</v>
      </c>
      <c r="C3288" t="s">
        <v>8</v>
      </c>
      <c r="D3288">
        <v>17496.98</v>
      </c>
      <c r="E3288">
        <v>20725.2</v>
      </c>
      <c r="F3288">
        <v>85.12</v>
      </c>
      <c r="G3288">
        <v>1235.29</v>
      </c>
      <c r="H3288">
        <f>E3288*1000000/D3288</f>
        <v>1184501.5539824588</v>
      </c>
      <c r="I3288" t="str">
        <f>IF(AND(B3288&gt;=2018, B3288&lt;=2021), "2018-2021", IF(AND(B3288&gt;=2022, B3288&lt;=2024), "2022-2024", "Other"))</f>
        <v>2022-2024</v>
      </c>
    </row>
    <row r="3289" spans="1:9" x14ac:dyDescent="0.3">
      <c r="A3289" t="s">
        <v>16</v>
      </c>
      <c r="B3289">
        <v>2024</v>
      </c>
      <c r="C3289" t="s">
        <v>9</v>
      </c>
      <c r="D3289">
        <v>44426.82</v>
      </c>
      <c r="E3289">
        <v>39419.51</v>
      </c>
      <c r="F3289">
        <v>73.58</v>
      </c>
      <c r="G3289">
        <v>1397.97</v>
      </c>
      <c r="H3289">
        <f>E3289*1000000/D3289</f>
        <v>887290.83017870737</v>
      </c>
      <c r="I3289" t="str">
        <f>IF(AND(B3289&gt;=2018, B3289&lt;=2021), "2018-2021", IF(AND(B3289&gt;=2022, B3289&lt;=2024), "2022-2024", "Other"))</f>
        <v>2022-2024</v>
      </c>
    </row>
    <row r="3290" spans="1:9" x14ac:dyDescent="0.3">
      <c r="A3290" t="s">
        <v>20</v>
      </c>
      <c r="B3290">
        <v>2023</v>
      </c>
      <c r="C3290" t="s">
        <v>14</v>
      </c>
      <c r="D3290">
        <v>9282.85</v>
      </c>
      <c r="E3290">
        <v>7976.85</v>
      </c>
      <c r="F3290">
        <v>44.24</v>
      </c>
      <c r="G3290">
        <v>253.85</v>
      </c>
      <c r="H3290">
        <f>E3290*1000000/D3290</f>
        <v>859310.44883844932</v>
      </c>
      <c r="I3290" t="str">
        <f>IF(AND(B3290&gt;=2018, B3290&lt;=2021), "2018-2021", IF(AND(B3290&gt;=2022, B3290&lt;=2024), "2022-2024", "Other"))</f>
        <v>2022-2024</v>
      </c>
    </row>
    <row r="3291" spans="1:9" x14ac:dyDescent="0.3">
      <c r="A3291" t="s">
        <v>20</v>
      </c>
      <c r="B3291">
        <v>2019</v>
      </c>
      <c r="C3291" t="s">
        <v>9</v>
      </c>
      <c r="D3291">
        <v>32065.24</v>
      </c>
      <c r="E3291">
        <v>36800.089999999997</v>
      </c>
      <c r="F3291">
        <v>61.8</v>
      </c>
      <c r="G3291">
        <v>738.23</v>
      </c>
      <c r="H3291">
        <f>E3291*1000000/D3291</f>
        <v>1147663.0145291288</v>
      </c>
      <c r="I3291" t="str">
        <f>IF(AND(B3291&gt;=2018, B3291&lt;=2021), "2018-2021", IF(AND(B3291&gt;=2022, B3291&lt;=2024), "2022-2024", "Other"))</f>
        <v>2018-2021</v>
      </c>
    </row>
    <row r="3292" spans="1:9" x14ac:dyDescent="0.3">
      <c r="A3292" t="s">
        <v>23</v>
      </c>
      <c r="B3292">
        <v>2022</v>
      </c>
      <c r="C3292" t="s">
        <v>0</v>
      </c>
      <c r="D3292">
        <v>26722.17</v>
      </c>
      <c r="E3292">
        <v>27929.17</v>
      </c>
      <c r="F3292">
        <v>129.94999999999999</v>
      </c>
      <c r="G3292">
        <v>1242.06</v>
      </c>
      <c r="H3292">
        <f>E3292*1000000/D3292</f>
        <v>1045168.4874394558</v>
      </c>
      <c r="I3292" t="str">
        <f>IF(AND(B3292&gt;=2018, B3292&lt;=2021), "2018-2021", IF(AND(B3292&gt;=2022, B3292&lt;=2024), "2022-2024", "Other"))</f>
        <v>2022-2024</v>
      </c>
    </row>
    <row r="3293" spans="1:9" x14ac:dyDescent="0.3">
      <c r="A3293" t="s">
        <v>13</v>
      </c>
      <c r="B3293">
        <v>2021</v>
      </c>
      <c r="C3293" t="s">
        <v>2</v>
      </c>
      <c r="D3293">
        <v>7398.36</v>
      </c>
      <c r="E3293">
        <v>6727.97</v>
      </c>
      <c r="F3293">
        <v>154.96</v>
      </c>
      <c r="G3293">
        <v>569.53</v>
      </c>
      <c r="H3293">
        <f>E3293*1000000/D3293</f>
        <v>909386.67488470417</v>
      </c>
      <c r="I3293" t="str">
        <f>IF(AND(B3293&gt;=2018, B3293&lt;=2021), "2018-2021", IF(AND(B3293&gt;=2022, B3293&lt;=2024), "2022-2024", "Other"))</f>
        <v>2018-2021</v>
      </c>
    </row>
    <row r="3294" spans="1:9" x14ac:dyDescent="0.3">
      <c r="A3294" t="s">
        <v>23</v>
      </c>
      <c r="B3294">
        <v>2019</v>
      </c>
      <c r="C3294" t="s">
        <v>4</v>
      </c>
      <c r="D3294">
        <v>3622.54</v>
      </c>
      <c r="E3294">
        <v>3115.14</v>
      </c>
      <c r="F3294">
        <v>34.51</v>
      </c>
      <c r="G3294">
        <v>1062.83</v>
      </c>
      <c r="H3294">
        <f>E3294*1000000/D3294</f>
        <v>859932.53352619987</v>
      </c>
      <c r="I3294" t="str">
        <f>IF(AND(B3294&gt;=2018, B3294&lt;=2021), "2018-2021", IF(AND(B3294&gt;=2022, B3294&lt;=2024), "2022-2024", "Other"))</f>
        <v>2018-2021</v>
      </c>
    </row>
    <row r="3295" spans="1:9" x14ac:dyDescent="0.3">
      <c r="A3295" t="s">
        <v>17</v>
      </c>
      <c r="B3295">
        <v>2018</v>
      </c>
      <c r="C3295" t="s">
        <v>12</v>
      </c>
      <c r="D3295">
        <v>23255.62</v>
      </c>
      <c r="E3295">
        <v>25460.94</v>
      </c>
      <c r="F3295">
        <v>151.46</v>
      </c>
      <c r="G3295">
        <v>491.13</v>
      </c>
      <c r="H3295">
        <f>E3295*1000000/D3295</f>
        <v>1094829.5508784545</v>
      </c>
      <c r="I3295" t="str">
        <f>IF(AND(B3295&gt;=2018, B3295&lt;=2021), "2018-2021", IF(AND(B3295&gt;=2022, B3295&lt;=2024), "2022-2024", "Other"))</f>
        <v>2018-2021</v>
      </c>
    </row>
    <row r="3296" spans="1:9" x14ac:dyDescent="0.3">
      <c r="A3296" t="s">
        <v>7</v>
      </c>
      <c r="B3296">
        <v>2023</v>
      </c>
      <c r="C3296" t="s">
        <v>0</v>
      </c>
      <c r="D3296">
        <v>4809.6899999999996</v>
      </c>
      <c r="E3296">
        <v>4984.28</v>
      </c>
      <c r="F3296">
        <v>39.14</v>
      </c>
      <c r="G3296">
        <v>107.84</v>
      </c>
      <c r="H3296">
        <f>E3296*1000000/D3296</f>
        <v>1036299.6367749274</v>
      </c>
      <c r="I3296" t="str">
        <f>IF(AND(B3296&gt;=2018, B3296&lt;=2021), "2018-2021", IF(AND(B3296&gt;=2022, B3296&lt;=2024), "2022-2024", "Other"))</f>
        <v>2022-2024</v>
      </c>
    </row>
    <row r="3297" spans="1:9" x14ac:dyDescent="0.3">
      <c r="A3297" t="s">
        <v>24</v>
      </c>
      <c r="B3297">
        <v>2019</v>
      </c>
      <c r="C3297" t="s">
        <v>2</v>
      </c>
      <c r="D3297">
        <v>14370.21</v>
      </c>
      <c r="E3297">
        <v>16927.689999999999</v>
      </c>
      <c r="F3297">
        <v>59.53</v>
      </c>
      <c r="G3297">
        <v>639.87</v>
      </c>
      <c r="H3297">
        <f>E3297*1000000/D3297</f>
        <v>1177970.9551913298</v>
      </c>
      <c r="I3297" t="str">
        <f>IF(AND(B3297&gt;=2018, B3297&lt;=2021), "2018-2021", IF(AND(B3297&gt;=2022, B3297&lt;=2024), "2022-2024", "Other"))</f>
        <v>2018-2021</v>
      </c>
    </row>
    <row r="3298" spans="1:9" x14ac:dyDescent="0.3">
      <c r="A3298" t="s">
        <v>15</v>
      </c>
      <c r="B3298">
        <v>2022</v>
      </c>
      <c r="C3298" t="s">
        <v>6</v>
      </c>
      <c r="D3298">
        <v>8866.15</v>
      </c>
      <c r="E3298">
        <v>7180.84</v>
      </c>
      <c r="F3298">
        <v>151.04</v>
      </c>
      <c r="G3298">
        <v>1211.4100000000001</v>
      </c>
      <c r="H3298">
        <f>E3298*1000000/D3298</f>
        <v>809916.36730711756</v>
      </c>
      <c r="I3298" t="str">
        <f>IF(AND(B3298&gt;=2018, B3298&lt;=2021), "2018-2021", IF(AND(B3298&gt;=2022, B3298&lt;=2024), "2022-2024", "Other"))</f>
        <v>2022-2024</v>
      </c>
    </row>
    <row r="3299" spans="1:9" x14ac:dyDescent="0.3">
      <c r="A3299" t="s">
        <v>22</v>
      </c>
      <c r="B3299">
        <v>2018</v>
      </c>
      <c r="C3299" t="s">
        <v>8</v>
      </c>
      <c r="D3299">
        <v>22552.63</v>
      </c>
      <c r="E3299">
        <v>22164.55</v>
      </c>
      <c r="F3299">
        <v>172.3</v>
      </c>
      <c r="G3299">
        <v>839.76</v>
      </c>
      <c r="H3299">
        <f>E3299*1000000/D3299</f>
        <v>982792.25083726377</v>
      </c>
      <c r="I3299" t="str">
        <f>IF(AND(B3299&gt;=2018, B3299&lt;=2021), "2018-2021", IF(AND(B3299&gt;=2022, B3299&lt;=2024), "2022-2024", "Other"))</f>
        <v>2018-2021</v>
      </c>
    </row>
    <row r="3300" spans="1:9" x14ac:dyDescent="0.3">
      <c r="A3300" t="s">
        <v>24</v>
      </c>
      <c r="B3300">
        <v>2020</v>
      </c>
      <c r="C3300" t="s">
        <v>9</v>
      </c>
      <c r="D3300">
        <v>41734.14</v>
      </c>
      <c r="E3300">
        <v>46916.87</v>
      </c>
      <c r="F3300">
        <v>80.040000000000006</v>
      </c>
      <c r="G3300">
        <v>1192.94</v>
      </c>
      <c r="H3300">
        <f>E3300*1000000/D3300</f>
        <v>1124184.4207164687</v>
      </c>
      <c r="I3300" t="str">
        <f>IF(AND(B3300&gt;=2018, B3300&lt;=2021), "2018-2021", IF(AND(B3300&gt;=2022, B3300&lt;=2024), "2022-2024", "Other"))</f>
        <v>2018-2021</v>
      </c>
    </row>
    <row r="3301" spans="1:9" x14ac:dyDescent="0.3">
      <c r="A3301" t="s">
        <v>23</v>
      </c>
      <c r="B3301">
        <v>2019</v>
      </c>
      <c r="C3301" t="s">
        <v>14</v>
      </c>
      <c r="D3301">
        <v>21239.11</v>
      </c>
      <c r="E3301">
        <v>19429.830000000002</v>
      </c>
      <c r="F3301">
        <v>91.54</v>
      </c>
      <c r="G3301">
        <v>531.66999999999996</v>
      </c>
      <c r="H3301">
        <f>E3301*1000000/D3301</f>
        <v>914813.75632029772</v>
      </c>
      <c r="I3301" t="str">
        <f>IF(AND(B3301&gt;=2018, B3301&lt;=2021), "2018-2021", IF(AND(B3301&gt;=2022, B3301&lt;=2024), "2022-2024", "Other"))</f>
        <v>2018-2021</v>
      </c>
    </row>
    <row r="3302" spans="1:9" x14ac:dyDescent="0.3">
      <c r="A3302" t="s">
        <v>20</v>
      </c>
      <c r="B3302">
        <v>2022</v>
      </c>
      <c r="C3302" t="s">
        <v>6</v>
      </c>
      <c r="D3302">
        <v>29107.43</v>
      </c>
      <c r="E3302">
        <v>29245.63</v>
      </c>
      <c r="F3302">
        <v>41.61</v>
      </c>
      <c r="G3302">
        <v>218.47</v>
      </c>
      <c r="H3302">
        <f>E3302*1000000/D3302</f>
        <v>1004747.9286216612</v>
      </c>
      <c r="I3302" t="str">
        <f>IF(AND(B3302&gt;=2018, B3302&lt;=2021), "2018-2021", IF(AND(B3302&gt;=2022, B3302&lt;=2024), "2022-2024", "Other"))</f>
        <v>2022-2024</v>
      </c>
    </row>
    <row r="3303" spans="1:9" x14ac:dyDescent="0.3">
      <c r="A3303" t="s">
        <v>22</v>
      </c>
      <c r="B3303">
        <v>2023</v>
      </c>
      <c r="C3303" t="s">
        <v>0</v>
      </c>
      <c r="D3303">
        <v>533.57000000000005</v>
      </c>
      <c r="E3303">
        <v>560.98</v>
      </c>
      <c r="F3303">
        <v>134.44</v>
      </c>
      <c r="G3303">
        <v>69.81</v>
      </c>
      <c r="H3303">
        <f>E3303*1000000/D3303</f>
        <v>1051370.9541391006</v>
      </c>
      <c r="I3303" t="str">
        <f>IF(AND(B3303&gt;=2018, B3303&lt;=2021), "2018-2021", IF(AND(B3303&gt;=2022, B3303&lt;=2024), "2022-2024", "Other"))</f>
        <v>2022-2024</v>
      </c>
    </row>
    <row r="3304" spans="1:9" x14ac:dyDescent="0.3">
      <c r="A3304" t="s">
        <v>10</v>
      </c>
      <c r="B3304">
        <v>2022</v>
      </c>
      <c r="C3304" t="s">
        <v>6</v>
      </c>
      <c r="D3304">
        <v>46401.05</v>
      </c>
      <c r="E3304">
        <v>48577</v>
      </c>
      <c r="F3304">
        <v>126.89</v>
      </c>
      <c r="G3304">
        <v>258.06</v>
      </c>
      <c r="H3304">
        <f>E3304*1000000/D3304</f>
        <v>1046894.4129497069</v>
      </c>
      <c r="I3304" t="str">
        <f>IF(AND(B3304&gt;=2018, B3304&lt;=2021), "2018-2021", IF(AND(B3304&gt;=2022, B3304&lt;=2024), "2022-2024", "Other"))</f>
        <v>2022-2024</v>
      </c>
    </row>
    <row r="3305" spans="1:9" x14ac:dyDescent="0.3">
      <c r="A3305" t="s">
        <v>20</v>
      </c>
      <c r="B3305">
        <v>2020</v>
      </c>
      <c r="C3305" t="s">
        <v>4</v>
      </c>
      <c r="D3305">
        <v>22704.79</v>
      </c>
      <c r="E3305">
        <v>22767.89</v>
      </c>
      <c r="F3305">
        <v>109.48</v>
      </c>
      <c r="G3305">
        <v>1296.8900000000001</v>
      </c>
      <c r="H3305">
        <f>E3305*1000000/D3305</f>
        <v>1002779.1492455996</v>
      </c>
      <c r="I3305" t="str">
        <f>IF(AND(B3305&gt;=2018, B3305&lt;=2021), "2018-2021", IF(AND(B3305&gt;=2022, B3305&lt;=2024), "2022-2024", "Other"))</f>
        <v>2018-2021</v>
      </c>
    </row>
    <row r="3306" spans="1:9" x14ac:dyDescent="0.3">
      <c r="A3306" t="s">
        <v>11</v>
      </c>
      <c r="B3306">
        <v>2020</v>
      </c>
      <c r="C3306" t="s">
        <v>12</v>
      </c>
      <c r="D3306">
        <v>6960.42</v>
      </c>
      <c r="E3306">
        <v>7031.06</v>
      </c>
      <c r="F3306">
        <v>97.19</v>
      </c>
      <c r="G3306">
        <v>105.43</v>
      </c>
      <c r="H3306">
        <f>E3306*1000000/D3306</f>
        <v>1010148.8128589941</v>
      </c>
      <c r="I3306" t="str">
        <f>IF(AND(B3306&gt;=2018, B3306&lt;=2021), "2018-2021", IF(AND(B3306&gt;=2022, B3306&lt;=2024), "2022-2024", "Other"))</f>
        <v>2018-2021</v>
      </c>
    </row>
    <row r="3307" spans="1:9" x14ac:dyDescent="0.3">
      <c r="A3307" t="s">
        <v>23</v>
      </c>
      <c r="B3307">
        <v>2019</v>
      </c>
      <c r="C3307" t="s">
        <v>14</v>
      </c>
      <c r="D3307">
        <v>42902.400000000001</v>
      </c>
      <c r="E3307">
        <v>40219.21</v>
      </c>
      <c r="F3307">
        <v>161.36000000000001</v>
      </c>
      <c r="G3307">
        <v>955.17</v>
      </c>
      <c r="H3307">
        <f>E3307*1000000/D3307</f>
        <v>937458.27739240695</v>
      </c>
      <c r="I3307" t="str">
        <f>IF(AND(B3307&gt;=2018, B3307&lt;=2021), "2018-2021", IF(AND(B3307&gt;=2022, B3307&lt;=2024), "2022-2024", "Other"))</f>
        <v>2018-2021</v>
      </c>
    </row>
    <row r="3308" spans="1:9" x14ac:dyDescent="0.3">
      <c r="A3308" t="s">
        <v>24</v>
      </c>
      <c r="B3308">
        <v>2022</v>
      </c>
      <c r="C3308" t="s">
        <v>6</v>
      </c>
      <c r="D3308">
        <v>8042.22</v>
      </c>
      <c r="E3308">
        <v>7615.36</v>
      </c>
      <c r="F3308">
        <v>23.76</v>
      </c>
      <c r="G3308">
        <v>697.81</v>
      </c>
      <c r="H3308">
        <f>E3308*1000000/D3308</f>
        <v>946922.61589461612</v>
      </c>
      <c r="I3308" t="str">
        <f>IF(AND(B3308&gt;=2018, B3308&lt;=2021), "2018-2021", IF(AND(B3308&gt;=2022, B3308&lt;=2024), "2022-2024", "Other"))</f>
        <v>2022-2024</v>
      </c>
    </row>
    <row r="3309" spans="1:9" x14ac:dyDescent="0.3">
      <c r="A3309" t="s">
        <v>17</v>
      </c>
      <c r="B3309">
        <v>2021</v>
      </c>
      <c r="C3309" t="s">
        <v>14</v>
      </c>
      <c r="D3309">
        <v>5585.75</v>
      </c>
      <c r="E3309">
        <v>6072.85</v>
      </c>
      <c r="F3309">
        <v>52.1</v>
      </c>
      <c r="G3309">
        <v>1188.67</v>
      </c>
      <c r="H3309">
        <f>E3309*1000000/D3309</f>
        <v>1087204.0460099359</v>
      </c>
      <c r="I3309" t="str">
        <f>IF(AND(B3309&gt;=2018, B3309&lt;=2021), "2018-2021", IF(AND(B3309&gt;=2022, B3309&lt;=2024), "2022-2024", "Other"))</f>
        <v>2018-2021</v>
      </c>
    </row>
    <row r="3310" spans="1:9" x14ac:dyDescent="0.3">
      <c r="A3310" t="s">
        <v>27</v>
      </c>
      <c r="B3310">
        <v>2023</v>
      </c>
      <c r="C3310" t="s">
        <v>0</v>
      </c>
      <c r="D3310">
        <v>17794.580000000002</v>
      </c>
      <c r="E3310">
        <v>17921.04</v>
      </c>
      <c r="F3310">
        <v>20.63</v>
      </c>
      <c r="G3310">
        <v>904.78</v>
      </c>
      <c r="H3310">
        <f>E3310*1000000/D3310</f>
        <v>1007106.6583195557</v>
      </c>
      <c r="I3310" t="str">
        <f>IF(AND(B3310&gt;=2018, B3310&lt;=2021), "2018-2021", IF(AND(B3310&gt;=2022, B3310&lt;=2024), "2022-2024", "Other"))</f>
        <v>2022-2024</v>
      </c>
    </row>
    <row r="3311" spans="1:9" x14ac:dyDescent="0.3">
      <c r="A3311" t="s">
        <v>18</v>
      </c>
      <c r="B3311">
        <v>2019</v>
      </c>
      <c r="C3311" t="s">
        <v>14</v>
      </c>
      <c r="D3311">
        <v>30097.01</v>
      </c>
      <c r="E3311">
        <v>27556.1</v>
      </c>
      <c r="F3311">
        <v>83.75</v>
      </c>
      <c r="G3311">
        <v>951.46</v>
      </c>
      <c r="H3311">
        <f>E3311*1000000/D3311</f>
        <v>915575.99907764932</v>
      </c>
      <c r="I3311" t="str">
        <f>IF(AND(B3311&gt;=2018, B3311&lt;=2021), "2018-2021", IF(AND(B3311&gt;=2022, B3311&lt;=2024), "2022-2024", "Other"))</f>
        <v>2018-2021</v>
      </c>
    </row>
    <row r="3312" spans="1:9" x14ac:dyDescent="0.3">
      <c r="A3312" t="s">
        <v>26</v>
      </c>
      <c r="B3312">
        <v>2024</v>
      </c>
      <c r="C3312" t="s">
        <v>6</v>
      </c>
      <c r="D3312">
        <v>6267.9</v>
      </c>
      <c r="E3312">
        <v>5730.43</v>
      </c>
      <c r="F3312">
        <v>182.82</v>
      </c>
      <c r="G3312">
        <v>1254.1099999999999</v>
      </c>
      <c r="H3312">
        <f>E3312*1000000/D3312</f>
        <v>914250.38689194154</v>
      </c>
      <c r="I3312" t="str">
        <f>IF(AND(B3312&gt;=2018, B3312&lt;=2021), "2018-2021", IF(AND(B3312&gt;=2022, B3312&lt;=2024), "2022-2024", "Other"))</f>
        <v>2022-2024</v>
      </c>
    </row>
    <row r="3313" spans="1:9" x14ac:dyDescent="0.3">
      <c r="A3313" t="s">
        <v>17</v>
      </c>
      <c r="B3313">
        <v>2023</v>
      </c>
      <c r="C3313" t="s">
        <v>6</v>
      </c>
      <c r="D3313">
        <v>35785.61</v>
      </c>
      <c r="E3313">
        <v>41521.980000000003</v>
      </c>
      <c r="F3313">
        <v>150.06</v>
      </c>
      <c r="G3313">
        <v>163.44999999999999</v>
      </c>
      <c r="H3313">
        <f>E3313*1000000/D3313</f>
        <v>1160298.2316076211</v>
      </c>
      <c r="I3313" t="str">
        <f>IF(AND(B3313&gt;=2018, B3313&lt;=2021), "2018-2021", IF(AND(B3313&gt;=2022, B3313&lt;=2024), "2022-2024", "Other"))</f>
        <v>2022-2024</v>
      </c>
    </row>
    <row r="3314" spans="1:9" x14ac:dyDescent="0.3">
      <c r="A3314" t="s">
        <v>17</v>
      </c>
      <c r="B3314">
        <v>2018</v>
      </c>
      <c r="C3314" t="s">
        <v>6</v>
      </c>
      <c r="D3314">
        <v>46778.67</v>
      </c>
      <c r="E3314">
        <v>46048.82</v>
      </c>
      <c r="F3314">
        <v>183.41</v>
      </c>
      <c r="G3314">
        <v>230.94</v>
      </c>
      <c r="H3314">
        <f>E3314*1000000/D3314</f>
        <v>984397.80352883064</v>
      </c>
      <c r="I3314" t="str">
        <f>IF(AND(B3314&gt;=2018, B3314&lt;=2021), "2018-2021", IF(AND(B3314&gt;=2022, B3314&lt;=2024), "2022-2024", "Other"))</f>
        <v>2018-2021</v>
      </c>
    </row>
    <row r="3315" spans="1:9" x14ac:dyDescent="0.3">
      <c r="A3315" t="s">
        <v>5</v>
      </c>
      <c r="B3315">
        <v>2024</v>
      </c>
      <c r="C3315" t="s">
        <v>9</v>
      </c>
      <c r="D3315">
        <v>45552.71</v>
      </c>
      <c r="E3315">
        <v>53739.43</v>
      </c>
      <c r="F3315">
        <v>156.02000000000001</v>
      </c>
      <c r="G3315">
        <v>270.5</v>
      </c>
      <c r="H3315">
        <f>E3315*1000000/D3315</f>
        <v>1179719.7137118736</v>
      </c>
      <c r="I3315" t="str">
        <f>IF(AND(B3315&gt;=2018, B3315&lt;=2021), "2018-2021", IF(AND(B3315&gt;=2022, B3315&lt;=2024), "2022-2024", "Other"))</f>
        <v>2022-2024</v>
      </c>
    </row>
    <row r="3316" spans="1:9" x14ac:dyDescent="0.3">
      <c r="A3316" t="s">
        <v>22</v>
      </c>
      <c r="B3316">
        <v>2018</v>
      </c>
      <c r="C3316" t="s">
        <v>6</v>
      </c>
      <c r="D3316">
        <v>2537.5300000000002</v>
      </c>
      <c r="E3316">
        <v>2519.27</v>
      </c>
      <c r="F3316">
        <v>33.520000000000003</v>
      </c>
      <c r="G3316">
        <v>44.16</v>
      </c>
      <c r="H3316">
        <f>E3316*1000000/D3316</f>
        <v>992804.0259622545</v>
      </c>
      <c r="I3316" t="str">
        <f>IF(AND(B3316&gt;=2018, B3316&lt;=2021), "2018-2021", IF(AND(B3316&gt;=2022, B3316&lt;=2024), "2022-2024", "Other"))</f>
        <v>2018-2021</v>
      </c>
    </row>
    <row r="3317" spans="1:9" x14ac:dyDescent="0.3">
      <c r="A3317" t="s">
        <v>27</v>
      </c>
      <c r="B3317">
        <v>2022</v>
      </c>
      <c r="C3317" t="s">
        <v>8</v>
      </c>
      <c r="D3317">
        <v>27519</v>
      </c>
      <c r="E3317">
        <v>27745.27</v>
      </c>
      <c r="F3317">
        <v>163.55000000000001</v>
      </c>
      <c r="G3317">
        <v>791.56</v>
      </c>
      <c r="H3317">
        <f>E3317*1000000/D3317</f>
        <v>1008222.3191249683</v>
      </c>
      <c r="I3317" t="str">
        <f>IF(AND(B3317&gt;=2018, B3317&lt;=2021), "2018-2021", IF(AND(B3317&gt;=2022, B3317&lt;=2024), "2022-2024", "Other"))</f>
        <v>2022-2024</v>
      </c>
    </row>
    <row r="3318" spans="1:9" x14ac:dyDescent="0.3">
      <c r="A3318" t="s">
        <v>7</v>
      </c>
      <c r="B3318">
        <v>2024</v>
      </c>
      <c r="C3318" t="s">
        <v>9</v>
      </c>
      <c r="D3318">
        <v>44612.93</v>
      </c>
      <c r="E3318">
        <v>45623.519999999997</v>
      </c>
      <c r="F3318">
        <v>93.88</v>
      </c>
      <c r="G3318">
        <v>1206.98</v>
      </c>
      <c r="H3318">
        <f>E3318*1000000/D3318</f>
        <v>1022652.4014450519</v>
      </c>
      <c r="I3318" t="str">
        <f>IF(AND(B3318&gt;=2018, B3318&lt;=2021), "2018-2021", IF(AND(B3318&gt;=2022, B3318&lt;=2024), "2022-2024", "Other"))</f>
        <v>2022-2024</v>
      </c>
    </row>
    <row r="3319" spans="1:9" x14ac:dyDescent="0.3">
      <c r="A3319" t="s">
        <v>16</v>
      </c>
      <c r="B3319">
        <v>2021</v>
      </c>
      <c r="C3319" t="s">
        <v>2</v>
      </c>
      <c r="D3319">
        <v>1756.7</v>
      </c>
      <c r="E3319">
        <v>1780.36</v>
      </c>
      <c r="F3319">
        <v>126.15</v>
      </c>
      <c r="G3319">
        <v>183.95</v>
      </c>
      <c r="H3319">
        <f>E3319*1000000/D3319</f>
        <v>1013468.4351340581</v>
      </c>
      <c r="I3319" t="str">
        <f>IF(AND(B3319&gt;=2018, B3319&lt;=2021), "2018-2021", IF(AND(B3319&gt;=2022, B3319&lt;=2024), "2022-2024", "Other"))</f>
        <v>2018-2021</v>
      </c>
    </row>
    <row r="3320" spans="1:9" x14ac:dyDescent="0.3">
      <c r="A3320" t="s">
        <v>24</v>
      </c>
      <c r="B3320">
        <v>2022</v>
      </c>
      <c r="C3320" t="s">
        <v>14</v>
      </c>
      <c r="D3320">
        <v>21686.39</v>
      </c>
      <c r="E3320">
        <v>18997.419999999998</v>
      </c>
      <c r="F3320">
        <v>82.69</v>
      </c>
      <c r="G3320">
        <v>440.06</v>
      </c>
      <c r="H3320">
        <f>E3320*1000000/D3320</f>
        <v>876006.56448583654</v>
      </c>
      <c r="I3320" t="str">
        <f>IF(AND(B3320&gt;=2018, B3320&lt;=2021), "2018-2021", IF(AND(B3320&gt;=2022, B3320&lt;=2024), "2022-2024", "Other"))</f>
        <v>2022-2024</v>
      </c>
    </row>
    <row r="3321" spans="1:9" x14ac:dyDescent="0.3">
      <c r="A3321" t="s">
        <v>18</v>
      </c>
      <c r="B3321">
        <v>2020</v>
      </c>
      <c r="C3321" t="s">
        <v>2</v>
      </c>
      <c r="D3321">
        <v>8037.57</v>
      </c>
      <c r="E3321">
        <v>9462.7099999999991</v>
      </c>
      <c r="F3321">
        <v>50.79</v>
      </c>
      <c r="G3321">
        <v>409.67</v>
      </c>
      <c r="H3321">
        <f>E3321*1000000/D3321</f>
        <v>1177309.8088103742</v>
      </c>
      <c r="I3321" t="str">
        <f>IF(AND(B3321&gt;=2018, B3321&lt;=2021), "2018-2021", IF(AND(B3321&gt;=2022, B3321&lt;=2024), "2022-2024", "Other"))</f>
        <v>2018-2021</v>
      </c>
    </row>
    <row r="3322" spans="1:9" x14ac:dyDescent="0.3">
      <c r="A3322" t="s">
        <v>1</v>
      </c>
      <c r="B3322">
        <v>2019</v>
      </c>
      <c r="C3322" t="s">
        <v>12</v>
      </c>
      <c r="D3322">
        <v>30265.74</v>
      </c>
      <c r="E3322">
        <v>27579.4</v>
      </c>
      <c r="F3322">
        <v>73.17</v>
      </c>
      <c r="G3322">
        <v>25.11</v>
      </c>
      <c r="H3322">
        <f>E3322*1000000/D3322</f>
        <v>911241.55563353142</v>
      </c>
      <c r="I3322" t="str">
        <f>IF(AND(B3322&gt;=2018, B3322&lt;=2021), "2018-2021", IF(AND(B3322&gt;=2022, B3322&lt;=2024), "2022-2024", "Other"))</f>
        <v>2018-2021</v>
      </c>
    </row>
    <row r="3323" spans="1:9" x14ac:dyDescent="0.3">
      <c r="A3323" t="s">
        <v>18</v>
      </c>
      <c r="B3323">
        <v>2020</v>
      </c>
      <c r="C3323" t="s">
        <v>4</v>
      </c>
      <c r="D3323">
        <v>35756.269999999997</v>
      </c>
      <c r="E3323">
        <v>29631.95</v>
      </c>
      <c r="F3323">
        <v>182.04</v>
      </c>
      <c r="G3323">
        <v>881.59</v>
      </c>
      <c r="H3323">
        <f>E3323*1000000/D3323</f>
        <v>828720.38945896772</v>
      </c>
      <c r="I3323" t="str">
        <f>IF(AND(B3323&gt;=2018, B3323&lt;=2021), "2018-2021", IF(AND(B3323&gt;=2022, B3323&lt;=2024), "2022-2024", "Other"))</f>
        <v>2018-2021</v>
      </c>
    </row>
    <row r="3324" spans="1:9" x14ac:dyDescent="0.3">
      <c r="A3324" t="s">
        <v>27</v>
      </c>
      <c r="B3324">
        <v>2019</v>
      </c>
      <c r="C3324" t="s">
        <v>4</v>
      </c>
      <c r="D3324">
        <v>15462.88</v>
      </c>
      <c r="E3324">
        <v>17410.11</v>
      </c>
      <c r="F3324">
        <v>71.52</v>
      </c>
      <c r="G3324">
        <v>548.5</v>
      </c>
      <c r="H3324">
        <f>E3324*1000000/D3324</f>
        <v>1125929.3223513344</v>
      </c>
      <c r="I3324" t="str">
        <f>IF(AND(B3324&gt;=2018, B3324&lt;=2021), "2018-2021", IF(AND(B3324&gt;=2022, B3324&lt;=2024), "2022-2024", "Other"))</f>
        <v>2018-2021</v>
      </c>
    </row>
    <row r="3325" spans="1:9" x14ac:dyDescent="0.3">
      <c r="A3325" t="s">
        <v>19</v>
      </c>
      <c r="B3325">
        <v>2019</v>
      </c>
      <c r="C3325" t="s">
        <v>12</v>
      </c>
      <c r="D3325">
        <v>13800.61</v>
      </c>
      <c r="E3325">
        <v>14300.07</v>
      </c>
      <c r="F3325">
        <v>53.27</v>
      </c>
      <c r="G3325">
        <v>265.22000000000003</v>
      </c>
      <c r="H3325">
        <f>E3325*1000000/D3325</f>
        <v>1036191.1538692855</v>
      </c>
      <c r="I3325" t="str">
        <f>IF(AND(B3325&gt;=2018, B3325&lt;=2021), "2018-2021", IF(AND(B3325&gt;=2022, B3325&lt;=2024), "2022-2024", "Other"))</f>
        <v>2018-2021</v>
      </c>
    </row>
    <row r="3326" spans="1:9" x14ac:dyDescent="0.3">
      <c r="A3326" t="s">
        <v>7</v>
      </c>
      <c r="B3326">
        <v>2021</v>
      </c>
      <c r="C3326" t="s">
        <v>6</v>
      </c>
      <c r="D3326">
        <v>48499.44</v>
      </c>
      <c r="E3326">
        <v>49055.91</v>
      </c>
      <c r="F3326">
        <v>41.74</v>
      </c>
      <c r="G3326">
        <v>569.55999999999995</v>
      </c>
      <c r="H3326">
        <f>E3326*1000000/D3326</f>
        <v>1011473.740727728</v>
      </c>
      <c r="I3326" t="str">
        <f>IF(AND(B3326&gt;=2018, B3326&lt;=2021), "2018-2021", IF(AND(B3326&gt;=2022, B3326&lt;=2024), "2022-2024", "Other"))</f>
        <v>2018-2021</v>
      </c>
    </row>
    <row r="3327" spans="1:9" x14ac:dyDescent="0.3">
      <c r="A3327" t="s">
        <v>17</v>
      </c>
      <c r="B3327">
        <v>2018</v>
      </c>
      <c r="C3327" t="s">
        <v>9</v>
      </c>
      <c r="D3327">
        <v>20534.12</v>
      </c>
      <c r="E3327">
        <v>22972.25</v>
      </c>
      <c r="F3327">
        <v>90.13</v>
      </c>
      <c r="G3327">
        <v>699.74</v>
      </c>
      <c r="H3327">
        <f>E3327*1000000/D3327</f>
        <v>1118735.5484432739</v>
      </c>
      <c r="I3327" t="str">
        <f>IF(AND(B3327&gt;=2018, B3327&lt;=2021), "2018-2021", IF(AND(B3327&gt;=2022, B3327&lt;=2024), "2022-2024", "Other"))</f>
        <v>2018-2021</v>
      </c>
    </row>
    <row r="3328" spans="1:9" x14ac:dyDescent="0.3">
      <c r="A3328" t="s">
        <v>5</v>
      </c>
      <c r="B3328">
        <v>2024</v>
      </c>
      <c r="C3328" t="s">
        <v>4</v>
      </c>
      <c r="D3328">
        <v>44313.75</v>
      </c>
      <c r="E3328">
        <v>48631.01</v>
      </c>
      <c r="F3328">
        <v>108.24</v>
      </c>
      <c r="G3328">
        <v>684.06</v>
      </c>
      <c r="H3328">
        <f>E3328*1000000/D3328</f>
        <v>1097424.8399198893</v>
      </c>
      <c r="I3328" t="str">
        <f>IF(AND(B3328&gt;=2018, B3328&lt;=2021), "2018-2021", IF(AND(B3328&gt;=2022, B3328&lt;=2024), "2022-2024", "Other"))</f>
        <v>2022-2024</v>
      </c>
    </row>
    <row r="3329" spans="1:9" x14ac:dyDescent="0.3">
      <c r="A3329" t="s">
        <v>23</v>
      </c>
      <c r="B3329">
        <v>2020</v>
      </c>
      <c r="C3329" t="s">
        <v>6</v>
      </c>
      <c r="D3329">
        <v>25153.49</v>
      </c>
      <c r="E3329">
        <v>26899.88</v>
      </c>
      <c r="F3329">
        <v>25.7</v>
      </c>
      <c r="G3329">
        <v>260.55</v>
      </c>
      <c r="H3329">
        <f>E3329*1000000/D3329</f>
        <v>1069429.3316752466</v>
      </c>
      <c r="I3329" t="str">
        <f>IF(AND(B3329&gt;=2018, B3329&lt;=2021), "2018-2021", IF(AND(B3329&gt;=2022, B3329&lt;=2024), "2022-2024", "Other"))</f>
        <v>2018-2021</v>
      </c>
    </row>
    <row r="3330" spans="1:9" x14ac:dyDescent="0.3">
      <c r="A3330" t="s">
        <v>10</v>
      </c>
      <c r="B3330">
        <v>2022</v>
      </c>
      <c r="C3330" t="s">
        <v>2</v>
      </c>
      <c r="D3330">
        <v>17580.509999999998</v>
      </c>
      <c r="E3330">
        <v>19982.080000000002</v>
      </c>
      <c r="F3330">
        <v>58.39</v>
      </c>
      <c r="G3330">
        <v>1265.72</v>
      </c>
      <c r="H3330">
        <f>E3330*1000000/D3330</f>
        <v>1136604.1144426414</v>
      </c>
      <c r="I3330" t="str">
        <f>IF(AND(B3330&gt;=2018, B3330&lt;=2021), "2018-2021", IF(AND(B3330&gt;=2022, B3330&lt;=2024), "2022-2024", "Other"))</f>
        <v>2022-2024</v>
      </c>
    </row>
    <row r="3331" spans="1:9" x14ac:dyDescent="0.3">
      <c r="A3331" t="s">
        <v>21</v>
      </c>
      <c r="B3331">
        <v>2022</v>
      </c>
      <c r="C3331" t="s">
        <v>6</v>
      </c>
      <c r="D3331">
        <v>23655.31</v>
      </c>
      <c r="E3331">
        <v>23348.89</v>
      </c>
      <c r="F3331">
        <v>79.569999999999993</v>
      </c>
      <c r="G3331">
        <v>83.43</v>
      </c>
      <c r="H3331">
        <f>E3331*1000000/D3331</f>
        <v>987046.46018166735</v>
      </c>
      <c r="I3331" t="str">
        <f>IF(AND(B3331&gt;=2018, B3331&lt;=2021), "2018-2021", IF(AND(B3331&gt;=2022, B3331&lt;=2024), "2022-2024", "Other"))</f>
        <v>2022-2024</v>
      </c>
    </row>
    <row r="3332" spans="1:9" x14ac:dyDescent="0.3">
      <c r="A3332" t="s">
        <v>20</v>
      </c>
      <c r="B3332">
        <v>2020</v>
      </c>
      <c r="C3332" t="s">
        <v>14</v>
      </c>
      <c r="D3332">
        <v>15176.46</v>
      </c>
      <c r="E3332">
        <v>13202.09</v>
      </c>
      <c r="F3332">
        <v>63.83</v>
      </c>
      <c r="G3332">
        <v>162.07</v>
      </c>
      <c r="H3332">
        <f>E3332*1000000/D3332</f>
        <v>869905.76194975642</v>
      </c>
      <c r="I3332" t="str">
        <f>IF(AND(B3332&gt;=2018, B3332&lt;=2021), "2018-2021", IF(AND(B3332&gt;=2022, B3332&lt;=2024), "2022-2024", "Other"))</f>
        <v>2018-2021</v>
      </c>
    </row>
    <row r="3333" spans="1:9" x14ac:dyDescent="0.3">
      <c r="A3333" t="s">
        <v>22</v>
      </c>
      <c r="B3333">
        <v>2024</v>
      </c>
      <c r="C3333" t="s">
        <v>12</v>
      </c>
      <c r="D3333">
        <v>5214.72</v>
      </c>
      <c r="E3333">
        <v>5805.35</v>
      </c>
      <c r="F3333">
        <v>52.33</v>
      </c>
      <c r="G3333">
        <v>1376.05</v>
      </c>
      <c r="H3333">
        <f>E3333*1000000/D3333</f>
        <v>1113262.073514973</v>
      </c>
      <c r="I3333" t="str">
        <f>IF(AND(B3333&gt;=2018, B3333&lt;=2021), "2018-2021", IF(AND(B3333&gt;=2022, B3333&lt;=2024), "2022-2024", "Other"))</f>
        <v>2022-2024</v>
      </c>
    </row>
    <row r="3334" spans="1:9" x14ac:dyDescent="0.3">
      <c r="A3334" t="s">
        <v>23</v>
      </c>
      <c r="B3334">
        <v>2020</v>
      </c>
      <c r="C3334" t="s">
        <v>8</v>
      </c>
      <c r="D3334">
        <v>15753.94</v>
      </c>
      <c r="E3334">
        <v>13558.12</v>
      </c>
      <c r="F3334">
        <v>124.64</v>
      </c>
      <c r="G3334">
        <v>253.44</v>
      </c>
      <c r="H3334">
        <f>E3334*1000000/D3334</f>
        <v>860617.72483581887</v>
      </c>
      <c r="I3334" t="str">
        <f>IF(AND(B3334&gt;=2018, B3334&lt;=2021), "2018-2021", IF(AND(B3334&gt;=2022, B3334&lt;=2024), "2022-2024", "Other"))</f>
        <v>2018-2021</v>
      </c>
    </row>
    <row r="3335" spans="1:9" x14ac:dyDescent="0.3">
      <c r="A3335" t="s">
        <v>13</v>
      </c>
      <c r="B3335">
        <v>2023</v>
      </c>
      <c r="C3335" t="s">
        <v>6</v>
      </c>
      <c r="D3335">
        <v>38470.53</v>
      </c>
      <c r="E3335">
        <v>32336.93</v>
      </c>
      <c r="F3335">
        <v>186.34</v>
      </c>
      <c r="G3335">
        <v>372.01</v>
      </c>
      <c r="H3335">
        <f>E3335*1000000/D3335</f>
        <v>840563.67302452039</v>
      </c>
      <c r="I3335" t="str">
        <f>IF(AND(B3335&gt;=2018, B3335&lt;=2021), "2018-2021", IF(AND(B3335&gt;=2022, B3335&lt;=2024), "2022-2024", "Other"))</f>
        <v>2022-2024</v>
      </c>
    </row>
    <row r="3336" spans="1:9" x14ac:dyDescent="0.3">
      <c r="A3336" t="s">
        <v>15</v>
      </c>
      <c r="B3336">
        <v>2023</v>
      </c>
      <c r="C3336" t="s">
        <v>4</v>
      </c>
      <c r="D3336">
        <v>36023.96</v>
      </c>
      <c r="E3336">
        <v>30105.02</v>
      </c>
      <c r="F3336">
        <v>39.729999999999997</v>
      </c>
      <c r="G3336">
        <v>1099.99</v>
      </c>
      <c r="H3336">
        <f>E3336*1000000/D3336</f>
        <v>835694.35453514825</v>
      </c>
      <c r="I3336" t="str">
        <f>IF(AND(B3336&gt;=2018, B3336&lt;=2021), "2018-2021", IF(AND(B3336&gt;=2022, B3336&lt;=2024), "2022-2024", "Other"))</f>
        <v>2022-2024</v>
      </c>
    </row>
    <row r="3337" spans="1:9" x14ac:dyDescent="0.3">
      <c r="A3337" t="s">
        <v>25</v>
      </c>
      <c r="B3337">
        <v>2023</v>
      </c>
      <c r="C3337" t="s">
        <v>0</v>
      </c>
      <c r="D3337">
        <v>37698.370000000003</v>
      </c>
      <c r="E3337">
        <v>36436.28</v>
      </c>
      <c r="F3337">
        <v>28.26</v>
      </c>
      <c r="G3337">
        <v>90.79</v>
      </c>
      <c r="H3337">
        <f>E3337*1000000/D3337</f>
        <v>966521.36418630299</v>
      </c>
      <c r="I3337" t="str">
        <f>IF(AND(B3337&gt;=2018, B3337&lt;=2021), "2018-2021", IF(AND(B3337&gt;=2022, B3337&lt;=2024), "2022-2024", "Other"))</f>
        <v>2022-2024</v>
      </c>
    </row>
    <row r="3338" spans="1:9" x14ac:dyDescent="0.3">
      <c r="A3338" t="s">
        <v>5</v>
      </c>
      <c r="B3338">
        <v>2024</v>
      </c>
      <c r="C3338" t="s">
        <v>12</v>
      </c>
      <c r="D3338">
        <v>14112.86</v>
      </c>
      <c r="E3338">
        <v>16584.400000000001</v>
      </c>
      <c r="F3338">
        <v>72.25</v>
      </c>
      <c r="G3338">
        <v>1333.34</v>
      </c>
      <c r="H3338">
        <f>E3338*1000000/D3338</f>
        <v>1175126.7992455109</v>
      </c>
      <c r="I3338" t="str">
        <f>IF(AND(B3338&gt;=2018, B3338&lt;=2021), "2018-2021", IF(AND(B3338&gt;=2022, B3338&lt;=2024), "2022-2024", "Other"))</f>
        <v>2022-2024</v>
      </c>
    </row>
    <row r="3339" spans="1:9" x14ac:dyDescent="0.3">
      <c r="A3339" t="s">
        <v>24</v>
      </c>
      <c r="B3339">
        <v>2018</v>
      </c>
      <c r="C3339" t="s">
        <v>6</v>
      </c>
      <c r="D3339">
        <v>44042.55</v>
      </c>
      <c r="E3339">
        <v>47727.23</v>
      </c>
      <c r="F3339">
        <v>30.99</v>
      </c>
      <c r="G3339">
        <v>1251.2</v>
      </c>
      <c r="H3339">
        <f>E3339*1000000/D3339</f>
        <v>1083661.8224875715</v>
      </c>
      <c r="I3339" t="str">
        <f>IF(AND(B3339&gt;=2018, B3339&lt;=2021), "2018-2021", IF(AND(B3339&gt;=2022, B3339&lt;=2024), "2022-2024", "Other"))</f>
        <v>2018-2021</v>
      </c>
    </row>
    <row r="3340" spans="1:9" x14ac:dyDescent="0.3">
      <c r="A3340" t="s">
        <v>19</v>
      </c>
      <c r="B3340">
        <v>2020</v>
      </c>
      <c r="C3340" t="s">
        <v>9</v>
      </c>
      <c r="D3340">
        <v>14982.46</v>
      </c>
      <c r="E3340">
        <v>12154.94</v>
      </c>
      <c r="F3340">
        <v>106.96</v>
      </c>
      <c r="G3340">
        <v>427.53</v>
      </c>
      <c r="H3340">
        <f>E3340*1000000/D3340</f>
        <v>811277.9877269821</v>
      </c>
      <c r="I3340" t="str">
        <f>IF(AND(B3340&gt;=2018, B3340&lt;=2021), "2018-2021", IF(AND(B3340&gt;=2022, B3340&lt;=2024), "2022-2024", "Other"))</f>
        <v>2018-2021</v>
      </c>
    </row>
    <row r="3341" spans="1:9" x14ac:dyDescent="0.3">
      <c r="A3341" t="s">
        <v>10</v>
      </c>
      <c r="B3341">
        <v>2018</v>
      </c>
      <c r="C3341" t="s">
        <v>12</v>
      </c>
      <c r="D3341">
        <v>32333.47</v>
      </c>
      <c r="E3341">
        <v>38720.22</v>
      </c>
      <c r="F3341">
        <v>150.97</v>
      </c>
      <c r="G3341">
        <v>752.32</v>
      </c>
      <c r="H3341">
        <f>E3341*1000000/D3341</f>
        <v>1197527.5156053463</v>
      </c>
      <c r="I3341" t="str">
        <f>IF(AND(B3341&gt;=2018, B3341&lt;=2021), "2018-2021", IF(AND(B3341&gt;=2022, B3341&lt;=2024), "2022-2024", "Other"))</f>
        <v>2018-2021</v>
      </c>
    </row>
    <row r="3342" spans="1:9" x14ac:dyDescent="0.3">
      <c r="A3342" t="s">
        <v>25</v>
      </c>
      <c r="B3342">
        <v>2018</v>
      </c>
      <c r="C3342" t="s">
        <v>12</v>
      </c>
      <c r="D3342">
        <v>24208.080000000002</v>
      </c>
      <c r="E3342">
        <v>21417.200000000001</v>
      </c>
      <c r="F3342">
        <v>196.57</v>
      </c>
      <c r="G3342">
        <v>1029.54</v>
      </c>
      <c r="H3342">
        <f>E3342*1000000/D3342</f>
        <v>884712.872726792</v>
      </c>
      <c r="I3342" t="str">
        <f>IF(AND(B3342&gt;=2018, B3342&lt;=2021), "2018-2021", IF(AND(B3342&gt;=2022, B3342&lt;=2024), "2022-2024", "Other"))</f>
        <v>2018-2021</v>
      </c>
    </row>
    <row r="3343" spans="1:9" x14ac:dyDescent="0.3">
      <c r="A3343" t="s">
        <v>18</v>
      </c>
      <c r="B3343">
        <v>2018</v>
      </c>
      <c r="C3343" t="s">
        <v>2</v>
      </c>
      <c r="D3343">
        <v>32795.599999999999</v>
      </c>
      <c r="E3343">
        <v>37385.22</v>
      </c>
      <c r="F3343">
        <v>122.13</v>
      </c>
      <c r="G3343">
        <v>667.32</v>
      </c>
      <c r="H3343">
        <f>E3343*1000000/D3343</f>
        <v>1139946.2122967716</v>
      </c>
      <c r="I3343" t="str">
        <f>IF(AND(B3343&gt;=2018, B3343&lt;=2021), "2018-2021", IF(AND(B3343&gt;=2022, B3343&lt;=2024), "2022-2024", "Other"))</f>
        <v>2018-2021</v>
      </c>
    </row>
    <row r="3344" spans="1:9" x14ac:dyDescent="0.3">
      <c r="A3344" t="s">
        <v>7</v>
      </c>
      <c r="B3344">
        <v>2023</v>
      </c>
      <c r="C3344" t="s">
        <v>4</v>
      </c>
      <c r="D3344">
        <v>26972.75</v>
      </c>
      <c r="E3344">
        <v>23026.53</v>
      </c>
      <c r="F3344">
        <v>103.94</v>
      </c>
      <c r="G3344">
        <v>454.48</v>
      </c>
      <c r="H3344">
        <f>E3344*1000000/D3344</f>
        <v>853696.04508253699</v>
      </c>
      <c r="I3344" t="str">
        <f>IF(AND(B3344&gt;=2018, B3344&lt;=2021), "2018-2021", IF(AND(B3344&gt;=2022, B3344&lt;=2024), "2022-2024", "Other"))</f>
        <v>2022-2024</v>
      </c>
    </row>
    <row r="3345" spans="1:9" x14ac:dyDescent="0.3">
      <c r="A3345" t="s">
        <v>18</v>
      </c>
      <c r="B3345">
        <v>2023</v>
      </c>
      <c r="C3345" t="s">
        <v>4</v>
      </c>
      <c r="D3345">
        <v>23314.59</v>
      </c>
      <c r="E3345">
        <v>20936.8</v>
      </c>
      <c r="F3345">
        <v>167.1</v>
      </c>
      <c r="G3345">
        <v>659.43</v>
      </c>
      <c r="H3345">
        <f>E3345*1000000/D3345</f>
        <v>898012.78941641259</v>
      </c>
      <c r="I3345" t="str">
        <f>IF(AND(B3345&gt;=2018, B3345&lt;=2021), "2018-2021", IF(AND(B3345&gt;=2022, B3345&lt;=2024), "2022-2024", "Other"))</f>
        <v>2022-2024</v>
      </c>
    </row>
    <row r="3346" spans="1:9" x14ac:dyDescent="0.3">
      <c r="A3346" t="s">
        <v>10</v>
      </c>
      <c r="B3346">
        <v>2018</v>
      </c>
      <c r="C3346" t="s">
        <v>0</v>
      </c>
      <c r="D3346">
        <v>25539.279999999999</v>
      </c>
      <c r="E3346">
        <v>28544.06</v>
      </c>
      <c r="F3346">
        <v>164.53</v>
      </c>
      <c r="G3346">
        <v>1094.29</v>
      </c>
      <c r="H3346">
        <f>E3346*1000000/D3346</f>
        <v>1117653.2776178499</v>
      </c>
      <c r="I3346" t="str">
        <f>IF(AND(B3346&gt;=2018, B3346&lt;=2021), "2018-2021", IF(AND(B3346&gt;=2022, B3346&lt;=2024), "2022-2024", "Other"))</f>
        <v>2018-2021</v>
      </c>
    </row>
    <row r="3347" spans="1:9" x14ac:dyDescent="0.3">
      <c r="A3347" t="s">
        <v>11</v>
      </c>
      <c r="B3347">
        <v>2022</v>
      </c>
      <c r="C3347" t="s">
        <v>8</v>
      </c>
      <c r="D3347">
        <v>46451.63</v>
      </c>
      <c r="E3347">
        <v>39707.99</v>
      </c>
      <c r="F3347">
        <v>104.93</v>
      </c>
      <c r="G3347">
        <v>1223.69</v>
      </c>
      <c r="H3347">
        <f>E3347*1000000/D3347</f>
        <v>854824.47009932704</v>
      </c>
      <c r="I3347" t="str">
        <f>IF(AND(B3347&gt;=2018, B3347&lt;=2021), "2018-2021", IF(AND(B3347&gt;=2022, B3347&lt;=2024), "2022-2024", "Other"))</f>
        <v>2022-2024</v>
      </c>
    </row>
    <row r="3348" spans="1:9" x14ac:dyDescent="0.3">
      <c r="A3348" t="s">
        <v>25</v>
      </c>
      <c r="B3348">
        <v>2018</v>
      </c>
      <c r="C3348" t="s">
        <v>6</v>
      </c>
      <c r="D3348">
        <v>29156.880000000001</v>
      </c>
      <c r="E3348">
        <v>33590.67</v>
      </c>
      <c r="F3348">
        <v>90.47</v>
      </c>
      <c r="G3348">
        <v>1067.52</v>
      </c>
      <c r="H3348">
        <f>E3348*1000000/D3348</f>
        <v>1152066.6820318224</v>
      </c>
      <c r="I3348" t="str">
        <f>IF(AND(B3348&gt;=2018, B3348&lt;=2021), "2018-2021", IF(AND(B3348&gt;=2022, B3348&lt;=2024), "2022-2024", "Other"))</f>
        <v>2018-2021</v>
      </c>
    </row>
    <row r="3349" spans="1:9" x14ac:dyDescent="0.3">
      <c r="A3349" t="s">
        <v>7</v>
      </c>
      <c r="B3349">
        <v>2021</v>
      </c>
      <c r="C3349" t="s">
        <v>8</v>
      </c>
      <c r="D3349">
        <v>39316.949999999997</v>
      </c>
      <c r="E3349">
        <v>36589.5</v>
      </c>
      <c r="F3349">
        <v>112.78</v>
      </c>
      <c r="G3349">
        <v>189.35</v>
      </c>
      <c r="H3349">
        <f>E3349*1000000/D3349</f>
        <v>930629.15612731921</v>
      </c>
      <c r="I3349" t="str">
        <f>IF(AND(B3349&gt;=2018, B3349&lt;=2021), "2018-2021", IF(AND(B3349&gt;=2022, B3349&lt;=2024), "2022-2024", "Other"))</f>
        <v>2018-2021</v>
      </c>
    </row>
    <row r="3350" spans="1:9" x14ac:dyDescent="0.3">
      <c r="A3350" t="s">
        <v>20</v>
      </c>
      <c r="B3350">
        <v>2021</v>
      </c>
      <c r="C3350" t="s">
        <v>6</v>
      </c>
      <c r="D3350">
        <v>27210.3</v>
      </c>
      <c r="E3350">
        <v>27979.67</v>
      </c>
      <c r="F3350">
        <v>45.43</v>
      </c>
      <c r="G3350">
        <v>1137.8699999999999</v>
      </c>
      <c r="H3350">
        <f>E3350*1000000/D3350</f>
        <v>1028274.9547046523</v>
      </c>
      <c r="I3350" t="str">
        <f>IF(AND(B3350&gt;=2018, B3350&lt;=2021), "2018-2021", IF(AND(B3350&gt;=2022, B3350&lt;=2024), "2022-2024", "Other"))</f>
        <v>2018-2021</v>
      </c>
    </row>
    <row r="3351" spans="1:9" x14ac:dyDescent="0.3">
      <c r="A3351" t="s">
        <v>25</v>
      </c>
      <c r="B3351">
        <v>2018</v>
      </c>
      <c r="C3351" t="s">
        <v>12</v>
      </c>
      <c r="D3351">
        <v>5558.27</v>
      </c>
      <c r="E3351">
        <v>5169.3999999999996</v>
      </c>
      <c r="F3351">
        <v>180.66</v>
      </c>
      <c r="G3351">
        <v>1118.5</v>
      </c>
      <c r="H3351">
        <f>E3351*1000000/D3351</f>
        <v>930037.5836366351</v>
      </c>
      <c r="I3351" t="str">
        <f>IF(AND(B3351&gt;=2018, B3351&lt;=2021), "2018-2021", IF(AND(B3351&gt;=2022, B3351&lt;=2024), "2022-2024", "Other"))</f>
        <v>2018-2021</v>
      </c>
    </row>
    <row r="3352" spans="1:9" x14ac:dyDescent="0.3">
      <c r="A3352" t="s">
        <v>20</v>
      </c>
      <c r="B3352">
        <v>2021</v>
      </c>
      <c r="C3352" t="s">
        <v>8</v>
      </c>
      <c r="D3352">
        <v>35972.5</v>
      </c>
      <c r="E3352">
        <v>38671.769999999997</v>
      </c>
      <c r="F3352">
        <v>34.68</v>
      </c>
      <c r="G3352">
        <v>145.29</v>
      </c>
      <c r="H3352">
        <f>E3352*1000000/D3352</f>
        <v>1075037.0421850025</v>
      </c>
      <c r="I3352" t="str">
        <f>IF(AND(B3352&gt;=2018, B3352&lt;=2021), "2018-2021", IF(AND(B3352&gt;=2022, B3352&lt;=2024), "2022-2024", "Other"))</f>
        <v>2018-2021</v>
      </c>
    </row>
    <row r="3353" spans="1:9" x14ac:dyDescent="0.3">
      <c r="A3353" t="s">
        <v>19</v>
      </c>
      <c r="B3353">
        <v>2021</v>
      </c>
      <c r="C3353" t="s">
        <v>9</v>
      </c>
      <c r="D3353">
        <v>34379.480000000003</v>
      </c>
      <c r="E3353">
        <v>37594.21</v>
      </c>
      <c r="F3353">
        <v>104.98</v>
      </c>
      <c r="G3353">
        <v>359.03</v>
      </c>
      <c r="H3353">
        <f>E3353*1000000/D3353</f>
        <v>1093507.2316393382</v>
      </c>
      <c r="I3353" t="str">
        <f>IF(AND(B3353&gt;=2018, B3353&lt;=2021), "2018-2021", IF(AND(B3353&gt;=2022, B3353&lt;=2024), "2022-2024", "Other"))</f>
        <v>2018-2021</v>
      </c>
    </row>
    <row r="3354" spans="1:9" x14ac:dyDescent="0.3">
      <c r="A3354" t="s">
        <v>16</v>
      </c>
      <c r="B3354">
        <v>2018</v>
      </c>
      <c r="C3354" t="s">
        <v>0</v>
      </c>
      <c r="D3354">
        <v>43460.32</v>
      </c>
      <c r="E3354">
        <v>51777.73</v>
      </c>
      <c r="F3354">
        <v>107.63</v>
      </c>
      <c r="G3354">
        <v>541.25</v>
      </c>
      <c r="H3354">
        <f>E3354*1000000/D3354</f>
        <v>1191379.4007959445</v>
      </c>
      <c r="I3354" t="str">
        <f>IF(AND(B3354&gt;=2018, B3354&lt;=2021), "2018-2021", IF(AND(B3354&gt;=2022, B3354&lt;=2024), "2022-2024", "Other"))</f>
        <v>2018-2021</v>
      </c>
    </row>
    <row r="3355" spans="1:9" x14ac:dyDescent="0.3">
      <c r="A3355" t="s">
        <v>11</v>
      </c>
      <c r="B3355">
        <v>2023</v>
      </c>
      <c r="C3355" t="s">
        <v>4</v>
      </c>
      <c r="D3355">
        <v>19412.2</v>
      </c>
      <c r="E3355">
        <v>18532.37</v>
      </c>
      <c r="F3355">
        <v>36.130000000000003</v>
      </c>
      <c r="G3355">
        <v>813.79</v>
      </c>
      <c r="H3355">
        <f>E3355*1000000/D3355</f>
        <v>954676.44058890792</v>
      </c>
      <c r="I3355" t="str">
        <f>IF(AND(B3355&gt;=2018, B3355&lt;=2021), "2018-2021", IF(AND(B3355&gt;=2022, B3355&lt;=2024), "2022-2024", "Other"))</f>
        <v>2022-2024</v>
      </c>
    </row>
    <row r="3356" spans="1:9" x14ac:dyDescent="0.3">
      <c r="A3356" t="s">
        <v>19</v>
      </c>
      <c r="B3356">
        <v>2023</v>
      </c>
      <c r="C3356" t="s">
        <v>6</v>
      </c>
      <c r="D3356">
        <v>46789.67</v>
      </c>
      <c r="E3356">
        <v>47361.14</v>
      </c>
      <c r="F3356">
        <v>174.92</v>
      </c>
      <c r="G3356">
        <v>1320.44</v>
      </c>
      <c r="H3356">
        <f>E3356*1000000/D3356</f>
        <v>1012213.5932995467</v>
      </c>
      <c r="I3356" t="str">
        <f>IF(AND(B3356&gt;=2018, B3356&lt;=2021), "2018-2021", IF(AND(B3356&gt;=2022, B3356&lt;=2024), "2022-2024", "Other"))</f>
        <v>2022-2024</v>
      </c>
    </row>
    <row r="3357" spans="1:9" x14ac:dyDescent="0.3">
      <c r="A3357" t="s">
        <v>20</v>
      </c>
      <c r="B3357">
        <v>2020</v>
      </c>
      <c r="C3357" t="s">
        <v>8</v>
      </c>
      <c r="D3357">
        <v>40204.589999999997</v>
      </c>
      <c r="E3357">
        <v>43618.55</v>
      </c>
      <c r="F3357">
        <v>21.08</v>
      </c>
      <c r="G3357">
        <v>1051.82</v>
      </c>
      <c r="H3357">
        <f>E3357*1000000/D3357</f>
        <v>1084914.6826270334</v>
      </c>
      <c r="I3357" t="str">
        <f>IF(AND(B3357&gt;=2018, B3357&lt;=2021), "2018-2021", IF(AND(B3357&gt;=2022, B3357&lt;=2024), "2022-2024", "Other"))</f>
        <v>2018-2021</v>
      </c>
    </row>
    <row r="3358" spans="1:9" x14ac:dyDescent="0.3">
      <c r="A3358" t="s">
        <v>3</v>
      </c>
      <c r="B3358">
        <v>2023</v>
      </c>
      <c r="C3358" t="s">
        <v>4</v>
      </c>
      <c r="D3358">
        <v>24682.22</v>
      </c>
      <c r="E3358">
        <v>28654.54</v>
      </c>
      <c r="F3358">
        <v>182.5</v>
      </c>
      <c r="G3358">
        <v>1173.32</v>
      </c>
      <c r="H3358">
        <f>E3358*1000000/D3358</f>
        <v>1160938.5217375099</v>
      </c>
      <c r="I3358" t="str">
        <f>IF(AND(B3358&gt;=2018, B3358&lt;=2021), "2018-2021", IF(AND(B3358&gt;=2022, B3358&lt;=2024), "2022-2024", "Other"))</f>
        <v>2022-2024</v>
      </c>
    </row>
    <row r="3359" spans="1:9" x14ac:dyDescent="0.3">
      <c r="A3359" t="s">
        <v>5</v>
      </c>
      <c r="B3359">
        <v>2020</v>
      </c>
      <c r="C3359" t="s">
        <v>9</v>
      </c>
      <c r="D3359">
        <v>41022.69</v>
      </c>
      <c r="E3359">
        <v>37983.5</v>
      </c>
      <c r="F3359">
        <v>124.4</v>
      </c>
      <c r="G3359">
        <v>595.79999999999995</v>
      </c>
      <c r="H3359">
        <f>E3359*1000000/D3359</f>
        <v>925914.41468124103</v>
      </c>
      <c r="I3359" t="str">
        <f>IF(AND(B3359&gt;=2018, B3359&lt;=2021), "2018-2021", IF(AND(B3359&gt;=2022, B3359&lt;=2024), "2022-2024", "Other"))</f>
        <v>2018-2021</v>
      </c>
    </row>
    <row r="3360" spans="1:9" x14ac:dyDescent="0.3">
      <c r="A3360" t="s">
        <v>27</v>
      </c>
      <c r="B3360">
        <v>2020</v>
      </c>
      <c r="C3360" t="s">
        <v>8</v>
      </c>
      <c r="D3360">
        <v>23062.5</v>
      </c>
      <c r="E3360">
        <v>26536.15</v>
      </c>
      <c r="F3360">
        <v>78.77</v>
      </c>
      <c r="G3360">
        <v>1317.97</v>
      </c>
      <c r="H3360">
        <f>E3360*1000000/D3360</f>
        <v>1150618.970189702</v>
      </c>
      <c r="I3360" t="str">
        <f>IF(AND(B3360&gt;=2018, B3360&lt;=2021), "2018-2021", IF(AND(B3360&gt;=2022, B3360&lt;=2024), "2022-2024", "Other"))</f>
        <v>2018-2021</v>
      </c>
    </row>
    <row r="3361" spans="1:9" x14ac:dyDescent="0.3">
      <c r="A3361" t="s">
        <v>26</v>
      </c>
      <c r="B3361">
        <v>2024</v>
      </c>
      <c r="C3361" t="s">
        <v>12</v>
      </c>
      <c r="D3361">
        <v>9075.75</v>
      </c>
      <c r="E3361">
        <v>8738.84</v>
      </c>
      <c r="F3361">
        <v>83.56</v>
      </c>
      <c r="G3361">
        <v>869.57</v>
      </c>
      <c r="H3361">
        <f>E3361*1000000/D3361</f>
        <v>962877.99906343827</v>
      </c>
      <c r="I3361" t="str">
        <f>IF(AND(B3361&gt;=2018, B3361&lt;=2021), "2018-2021", IF(AND(B3361&gt;=2022, B3361&lt;=2024), "2022-2024", "Other"))</f>
        <v>2022-2024</v>
      </c>
    </row>
    <row r="3362" spans="1:9" x14ac:dyDescent="0.3">
      <c r="A3362" t="s">
        <v>26</v>
      </c>
      <c r="B3362">
        <v>2018</v>
      </c>
      <c r="C3362" t="s">
        <v>9</v>
      </c>
      <c r="D3362">
        <v>5738.46</v>
      </c>
      <c r="E3362">
        <v>6447.91</v>
      </c>
      <c r="F3362">
        <v>33.99</v>
      </c>
      <c r="G3362">
        <v>1302.6600000000001</v>
      </c>
      <c r="H3362">
        <f>E3362*1000000/D3362</f>
        <v>1123630.7301959062</v>
      </c>
      <c r="I3362" t="str">
        <f>IF(AND(B3362&gt;=2018, B3362&lt;=2021), "2018-2021", IF(AND(B3362&gt;=2022, B3362&lt;=2024), "2022-2024", "Other"))</f>
        <v>2018-2021</v>
      </c>
    </row>
    <row r="3363" spans="1:9" x14ac:dyDescent="0.3">
      <c r="A3363" t="s">
        <v>15</v>
      </c>
      <c r="B3363">
        <v>2021</v>
      </c>
      <c r="C3363" t="s">
        <v>4</v>
      </c>
      <c r="D3363">
        <v>20741.310000000001</v>
      </c>
      <c r="E3363">
        <v>22020.13</v>
      </c>
      <c r="F3363">
        <v>189.06</v>
      </c>
      <c r="G3363">
        <v>1036.27</v>
      </c>
      <c r="H3363">
        <f>E3363*1000000/D3363</f>
        <v>1061655.7006283596</v>
      </c>
      <c r="I3363" t="str">
        <f>IF(AND(B3363&gt;=2018, B3363&lt;=2021), "2018-2021", IF(AND(B3363&gt;=2022, B3363&lt;=2024), "2022-2024", "Other"))</f>
        <v>2018-2021</v>
      </c>
    </row>
    <row r="3364" spans="1:9" x14ac:dyDescent="0.3">
      <c r="A3364" t="s">
        <v>20</v>
      </c>
      <c r="B3364">
        <v>2023</v>
      </c>
      <c r="C3364" t="s">
        <v>8</v>
      </c>
      <c r="D3364">
        <v>5238.17</v>
      </c>
      <c r="E3364">
        <v>4223.7299999999996</v>
      </c>
      <c r="F3364">
        <v>58.54</v>
      </c>
      <c r="G3364">
        <v>99.46</v>
      </c>
      <c r="H3364">
        <f>E3364*1000000/D3364</f>
        <v>806336.94591813546</v>
      </c>
      <c r="I3364" t="str">
        <f>IF(AND(B3364&gt;=2018, B3364&lt;=2021), "2018-2021", IF(AND(B3364&gt;=2022, B3364&lt;=2024), "2022-2024", "Other"))</f>
        <v>2022-2024</v>
      </c>
    </row>
    <row r="3365" spans="1:9" x14ac:dyDescent="0.3">
      <c r="A3365" t="s">
        <v>10</v>
      </c>
      <c r="B3365">
        <v>2023</v>
      </c>
      <c r="C3365" t="s">
        <v>12</v>
      </c>
      <c r="D3365">
        <v>6249.74</v>
      </c>
      <c r="E3365">
        <v>6674.64</v>
      </c>
      <c r="F3365">
        <v>53.21</v>
      </c>
      <c r="G3365">
        <v>446.03</v>
      </c>
      <c r="H3365">
        <f>E3365*1000000/D3365</f>
        <v>1067986.8282520552</v>
      </c>
      <c r="I3365" t="str">
        <f>IF(AND(B3365&gt;=2018, B3365&lt;=2021), "2018-2021", IF(AND(B3365&gt;=2022, B3365&lt;=2024), "2022-2024", "Other"))</f>
        <v>2022-2024</v>
      </c>
    </row>
    <row r="3366" spans="1:9" x14ac:dyDescent="0.3">
      <c r="A3366" t="s">
        <v>23</v>
      </c>
      <c r="B3366">
        <v>2019</v>
      </c>
      <c r="C3366" t="s">
        <v>14</v>
      </c>
      <c r="D3366">
        <v>5227.6099999999997</v>
      </c>
      <c r="E3366">
        <v>6105.45</v>
      </c>
      <c r="F3366">
        <v>55.64</v>
      </c>
      <c r="G3366">
        <v>1354.95</v>
      </c>
      <c r="H3366">
        <f>E3366*1000000/D3366</f>
        <v>1167923.7739617149</v>
      </c>
      <c r="I3366" t="str">
        <f>IF(AND(B3366&gt;=2018, B3366&lt;=2021), "2018-2021", IF(AND(B3366&gt;=2022, B3366&lt;=2024), "2022-2024", "Other"))</f>
        <v>2018-2021</v>
      </c>
    </row>
    <row r="3367" spans="1:9" x14ac:dyDescent="0.3">
      <c r="A3367" t="s">
        <v>10</v>
      </c>
      <c r="B3367">
        <v>2024</v>
      </c>
      <c r="C3367" t="s">
        <v>6</v>
      </c>
      <c r="D3367">
        <v>38206.78</v>
      </c>
      <c r="E3367">
        <v>32981.14</v>
      </c>
      <c r="F3367">
        <v>65.260000000000005</v>
      </c>
      <c r="G3367">
        <v>981.18</v>
      </c>
      <c r="H3367">
        <f>E3367*1000000/D3367</f>
        <v>863227.41670457448</v>
      </c>
      <c r="I3367" t="str">
        <f>IF(AND(B3367&gt;=2018, B3367&lt;=2021), "2018-2021", IF(AND(B3367&gt;=2022, B3367&lt;=2024), "2022-2024", "Other"))</f>
        <v>2022-2024</v>
      </c>
    </row>
    <row r="3368" spans="1:9" x14ac:dyDescent="0.3">
      <c r="A3368" t="s">
        <v>21</v>
      </c>
      <c r="B3368">
        <v>2022</v>
      </c>
      <c r="C3368" t="s">
        <v>4</v>
      </c>
      <c r="D3368">
        <v>12421.08</v>
      </c>
      <c r="E3368">
        <v>12731.67</v>
      </c>
      <c r="F3368">
        <v>114.22</v>
      </c>
      <c r="G3368">
        <v>1324.66</v>
      </c>
      <c r="H3368">
        <f>E3368*1000000/D3368</f>
        <v>1025005.0720227227</v>
      </c>
      <c r="I3368" t="str">
        <f>IF(AND(B3368&gt;=2018, B3368&lt;=2021), "2018-2021", IF(AND(B3368&gt;=2022, B3368&lt;=2024), "2022-2024", "Other"))</f>
        <v>2022-2024</v>
      </c>
    </row>
    <row r="3369" spans="1:9" x14ac:dyDescent="0.3">
      <c r="A3369" t="s">
        <v>5</v>
      </c>
      <c r="B3369">
        <v>2022</v>
      </c>
      <c r="C3369" t="s">
        <v>0</v>
      </c>
      <c r="D3369">
        <v>1393.35</v>
      </c>
      <c r="E3369">
        <v>1181.6500000000001</v>
      </c>
      <c r="F3369">
        <v>97.46</v>
      </c>
      <c r="G3369">
        <v>1196.78</v>
      </c>
      <c r="H3369">
        <f>E3369*1000000/D3369</f>
        <v>848064.018372986</v>
      </c>
      <c r="I3369" t="str">
        <f>IF(AND(B3369&gt;=2018, B3369&lt;=2021), "2018-2021", IF(AND(B3369&gt;=2022, B3369&lt;=2024), "2022-2024", "Other"))</f>
        <v>2022-2024</v>
      </c>
    </row>
    <row r="3370" spans="1:9" x14ac:dyDescent="0.3">
      <c r="A3370" t="s">
        <v>25</v>
      </c>
      <c r="B3370">
        <v>2021</v>
      </c>
      <c r="C3370" t="s">
        <v>12</v>
      </c>
      <c r="D3370">
        <v>19352.73</v>
      </c>
      <c r="E3370">
        <v>16499.62</v>
      </c>
      <c r="F3370">
        <v>30.08</v>
      </c>
      <c r="G3370">
        <v>607.53</v>
      </c>
      <c r="H3370">
        <f>E3370*1000000/D3370</f>
        <v>852573.25452274689</v>
      </c>
      <c r="I3370" t="str">
        <f>IF(AND(B3370&gt;=2018, B3370&lt;=2021), "2018-2021", IF(AND(B3370&gt;=2022, B3370&lt;=2024), "2022-2024", "Other"))</f>
        <v>2018-2021</v>
      </c>
    </row>
    <row r="3371" spans="1:9" x14ac:dyDescent="0.3">
      <c r="A3371" t="s">
        <v>19</v>
      </c>
      <c r="B3371">
        <v>2024</v>
      </c>
      <c r="C3371" t="s">
        <v>14</v>
      </c>
      <c r="D3371">
        <v>25383.46</v>
      </c>
      <c r="E3371">
        <v>24480.33</v>
      </c>
      <c r="F3371">
        <v>22.15</v>
      </c>
      <c r="G3371">
        <v>201.71</v>
      </c>
      <c r="H3371">
        <f>E3371*1000000/D3371</f>
        <v>964420.53211027978</v>
      </c>
      <c r="I3371" t="str">
        <f>IF(AND(B3371&gt;=2018, B3371&lt;=2021), "2018-2021", IF(AND(B3371&gt;=2022, B3371&lt;=2024), "2022-2024", "Other"))</f>
        <v>2022-2024</v>
      </c>
    </row>
    <row r="3372" spans="1:9" x14ac:dyDescent="0.3">
      <c r="A3372" t="s">
        <v>17</v>
      </c>
      <c r="B3372">
        <v>2023</v>
      </c>
      <c r="C3372" t="s">
        <v>14</v>
      </c>
      <c r="D3372">
        <v>22462.46</v>
      </c>
      <c r="E3372">
        <v>25994.95</v>
      </c>
      <c r="F3372">
        <v>69.930000000000007</v>
      </c>
      <c r="G3372">
        <v>1190.43</v>
      </c>
      <c r="H3372">
        <f>E3372*1000000/D3372</f>
        <v>1157261.9383629397</v>
      </c>
      <c r="I3372" t="str">
        <f>IF(AND(B3372&gt;=2018, B3372&lt;=2021), "2018-2021", IF(AND(B3372&gt;=2022, B3372&lt;=2024), "2022-2024", "Other"))</f>
        <v>2022-2024</v>
      </c>
    </row>
    <row r="3373" spans="1:9" x14ac:dyDescent="0.3">
      <c r="A3373" t="s">
        <v>20</v>
      </c>
      <c r="B3373">
        <v>2018</v>
      </c>
      <c r="C3373" t="s">
        <v>0</v>
      </c>
      <c r="D3373">
        <v>7499.8</v>
      </c>
      <c r="E3373">
        <v>6557.21</v>
      </c>
      <c r="F3373">
        <v>147.24</v>
      </c>
      <c r="G3373">
        <v>601.02</v>
      </c>
      <c r="H3373">
        <f>E3373*1000000/D3373</f>
        <v>874317.98181284836</v>
      </c>
      <c r="I3373" t="str">
        <f>IF(AND(B3373&gt;=2018, B3373&lt;=2021), "2018-2021", IF(AND(B3373&gt;=2022, B3373&lt;=2024), "2022-2024", "Other"))</f>
        <v>2018-2021</v>
      </c>
    </row>
    <row r="3374" spans="1:9" x14ac:dyDescent="0.3">
      <c r="A3374" t="s">
        <v>15</v>
      </c>
      <c r="B3374">
        <v>2019</v>
      </c>
      <c r="C3374" t="s">
        <v>2</v>
      </c>
      <c r="D3374">
        <v>12946.24</v>
      </c>
      <c r="E3374">
        <v>12645.64</v>
      </c>
      <c r="F3374">
        <v>148.32</v>
      </c>
      <c r="G3374">
        <v>653.75</v>
      </c>
      <c r="H3374">
        <f>E3374*1000000/D3374</f>
        <v>976780.90318115533</v>
      </c>
      <c r="I3374" t="str">
        <f>IF(AND(B3374&gt;=2018, B3374&lt;=2021), "2018-2021", IF(AND(B3374&gt;=2022, B3374&lt;=2024), "2022-2024", "Other"))</f>
        <v>2018-2021</v>
      </c>
    </row>
    <row r="3375" spans="1:9" x14ac:dyDescent="0.3">
      <c r="A3375" t="s">
        <v>23</v>
      </c>
      <c r="B3375">
        <v>2024</v>
      </c>
      <c r="C3375" t="s">
        <v>9</v>
      </c>
      <c r="D3375">
        <v>17849.11</v>
      </c>
      <c r="E3375">
        <v>18029.79</v>
      </c>
      <c r="F3375">
        <v>69.27</v>
      </c>
      <c r="G3375">
        <v>545.32000000000005</v>
      </c>
      <c r="H3375">
        <f>E3375*1000000/D3375</f>
        <v>1010122.633565483</v>
      </c>
      <c r="I3375" t="str">
        <f>IF(AND(B3375&gt;=2018, B3375&lt;=2021), "2018-2021", IF(AND(B3375&gt;=2022, B3375&lt;=2024), "2022-2024", "Other"))</f>
        <v>2022-2024</v>
      </c>
    </row>
    <row r="3376" spans="1:9" x14ac:dyDescent="0.3">
      <c r="A3376" t="s">
        <v>25</v>
      </c>
      <c r="B3376">
        <v>2024</v>
      </c>
      <c r="C3376" t="s">
        <v>2</v>
      </c>
      <c r="D3376">
        <v>19678.150000000001</v>
      </c>
      <c r="E3376">
        <v>19772.16</v>
      </c>
      <c r="F3376">
        <v>173.21</v>
      </c>
      <c r="G3376">
        <v>1137.81</v>
      </c>
      <c r="H3376">
        <f>E3376*1000000/D3376</f>
        <v>1004777.379987448</v>
      </c>
      <c r="I3376" t="str">
        <f>IF(AND(B3376&gt;=2018, B3376&lt;=2021), "2018-2021", IF(AND(B3376&gt;=2022, B3376&lt;=2024), "2022-2024", "Other"))</f>
        <v>2022-2024</v>
      </c>
    </row>
    <row r="3377" spans="1:9" x14ac:dyDescent="0.3">
      <c r="A3377" t="s">
        <v>15</v>
      </c>
      <c r="B3377">
        <v>2024</v>
      </c>
      <c r="C3377" t="s">
        <v>6</v>
      </c>
      <c r="D3377">
        <v>7322.68</v>
      </c>
      <c r="E3377">
        <v>7798.37</v>
      </c>
      <c r="F3377">
        <v>89.85</v>
      </c>
      <c r="G3377">
        <v>240.95</v>
      </c>
      <c r="H3377">
        <f>E3377*1000000/D3377</f>
        <v>1064961.189072853</v>
      </c>
      <c r="I3377" t="str">
        <f>IF(AND(B3377&gt;=2018, B3377&lt;=2021), "2018-2021", IF(AND(B3377&gt;=2022, B3377&lt;=2024), "2022-2024", "Other"))</f>
        <v>2022-2024</v>
      </c>
    </row>
    <row r="3378" spans="1:9" x14ac:dyDescent="0.3">
      <c r="A3378" t="s">
        <v>25</v>
      </c>
      <c r="B3378">
        <v>2022</v>
      </c>
      <c r="C3378" t="s">
        <v>2</v>
      </c>
      <c r="D3378">
        <v>31791.18</v>
      </c>
      <c r="E3378">
        <v>27882.5</v>
      </c>
      <c r="F3378">
        <v>140.94</v>
      </c>
      <c r="G3378">
        <v>272.42</v>
      </c>
      <c r="H3378">
        <f>E3378*1000000/D3378</f>
        <v>877051.43376244605</v>
      </c>
      <c r="I3378" t="str">
        <f>IF(AND(B3378&gt;=2018, B3378&lt;=2021), "2018-2021", IF(AND(B3378&gt;=2022, B3378&lt;=2024), "2022-2024", "Other"))</f>
        <v>2022-2024</v>
      </c>
    </row>
    <row r="3379" spans="1:9" x14ac:dyDescent="0.3">
      <c r="A3379" t="s">
        <v>25</v>
      </c>
      <c r="B3379">
        <v>2022</v>
      </c>
      <c r="C3379" t="s">
        <v>12</v>
      </c>
      <c r="D3379">
        <v>19895.02</v>
      </c>
      <c r="E3379">
        <v>18052.810000000001</v>
      </c>
      <c r="F3379">
        <v>90.72</v>
      </c>
      <c r="G3379">
        <v>360.53</v>
      </c>
      <c r="H3379">
        <f>E3379*1000000/D3379</f>
        <v>907403.46076555841</v>
      </c>
      <c r="I3379" t="str">
        <f>IF(AND(B3379&gt;=2018, B3379&lt;=2021), "2018-2021", IF(AND(B3379&gt;=2022, B3379&lt;=2024), "2022-2024", "Other"))</f>
        <v>2022-2024</v>
      </c>
    </row>
    <row r="3380" spans="1:9" x14ac:dyDescent="0.3">
      <c r="A3380" t="s">
        <v>21</v>
      </c>
      <c r="B3380">
        <v>2024</v>
      </c>
      <c r="C3380" t="s">
        <v>9</v>
      </c>
      <c r="D3380">
        <v>22381.439999999999</v>
      </c>
      <c r="E3380">
        <v>23224.97</v>
      </c>
      <c r="F3380">
        <v>115.02</v>
      </c>
      <c r="G3380">
        <v>871.36</v>
      </c>
      <c r="H3380">
        <f>E3380*1000000/D3380</f>
        <v>1037688.8171627921</v>
      </c>
      <c r="I3380" t="str">
        <f>IF(AND(B3380&gt;=2018, B3380&lt;=2021), "2018-2021", IF(AND(B3380&gt;=2022, B3380&lt;=2024), "2022-2024", "Other"))</f>
        <v>2022-2024</v>
      </c>
    </row>
    <row r="3381" spans="1:9" x14ac:dyDescent="0.3">
      <c r="A3381" t="s">
        <v>19</v>
      </c>
      <c r="B3381">
        <v>2021</v>
      </c>
      <c r="C3381" t="s">
        <v>0</v>
      </c>
      <c r="D3381">
        <v>24999.74</v>
      </c>
      <c r="E3381">
        <v>20405.37</v>
      </c>
      <c r="F3381">
        <v>199.08</v>
      </c>
      <c r="G3381">
        <v>1245.58</v>
      </c>
      <c r="H3381">
        <f>E3381*1000000/D3381</f>
        <v>816223.28872220265</v>
      </c>
      <c r="I3381" t="str">
        <f>IF(AND(B3381&gt;=2018, B3381&lt;=2021), "2018-2021", IF(AND(B3381&gt;=2022, B3381&lt;=2024), "2022-2024", "Other"))</f>
        <v>2018-2021</v>
      </c>
    </row>
    <row r="3382" spans="1:9" x14ac:dyDescent="0.3">
      <c r="A3382" t="s">
        <v>20</v>
      </c>
      <c r="B3382">
        <v>2020</v>
      </c>
      <c r="C3382" t="s">
        <v>8</v>
      </c>
      <c r="D3382">
        <v>2029.71</v>
      </c>
      <c r="E3382">
        <v>1939.64</v>
      </c>
      <c r="F3382">
        <v>167.54</v>
      </c>
      <c r="G3382">
        <v>755.19</v>
      </c>
      <c r="H3382">
        <f>E3382*1000000/D3382</f>
        <v>955624.20247227431</v>
      </c>
      <c r="I3382" t="str">
        <f>IF(AND(B3382&gt;=2018, B3382&lt;=2021), "2018-2021", IF(AND(B3382&gt;=2022, B3382&lt;=2024), "2022-2024", "Other"))</f>
        <v>2018-2021</v>
      </c>
    </row>
    <row r="3383" spans="1:9" x14ac:dyDescent="0.3">
      <c r="A3383" t="s">
        <v>5</v>
      </c>
      <c r="B3383">
        <v>2018</v>
      </c>
      <c r="C3383" t="s">
        <v>14</v>
      </c>
      <c r="D3383">
        <v>8971.56</v>
      </c>
      <c r="E3383">
        <v>8331.7999999999993</v>
      </c>
      <c r="F3383">
        <v>29.86</v>
      </c>
      <c r="G3383">
        <v>983.07</v>
      </c>
      <c r="H3383">
        <f>E3383*1000000/D3383</f>
        <v>928690.2166401383</v>
      </c>
      <c r="I3383" t="str">
        <f>IF(AND(B3383&gt;=2018, B3383&lt;=2021), "2018-2021", IF(AND(B3383&gt;=2022, B3383&lt;=2024), "2022-2024", "Other"))</f>
        <v>2018-2021</v>
      </c>
    </row>
    <row r="3384" spans="1:9" x14ac:dyDescent="0.3">
      <c r="A3384" t="s">
        <v>15</v>
      </c>
      <c r="B3384">
        <v>2021</v>
      </c>
      <c r="C3384" t="s">
        <v>14</v>
      </c>
      <c r="D3384">
        <v>8025.09</v>
      </c>
      <c r="E3384">
        <v>9211.6200000000008</v>
      </c>
      <c r="F3384">
        <v>30.09</v>
      </c>
      <c r="G3384">
        <v>281.02</v>
      </c>
      <c r="H3384">
        <f>E3384*1000000/D3384</f>
        <v>1147852.5474480661</v>
      </c>
      <c r="I3384" t="str">
        <f>IF(AND(B3384&gt;=2018, B3384&lt;=2021), "2018-2021", IF(AND(B3384&gt;=2022, B3384&lt;=2024), "2022-2024", "Other"))</f>
        <v>2018-2021</v>
      </c>
    </row>
    <row r="3385" spans="1:9" x14ac:dyDescent="0.3">
      <c r="A3385" t="s">
        <v>26</v>
      </c>
      <c r="B3385">
        <v>2021</v>
      </c>
      <c r="C3385" t="s">
        <v>9</v>
      </c>
      <c r="D3385">
        <v>13833.33</v>
      </c>
      <c r="E3385">
        <v>12039.53</v>
      </c>
      <c r="F3385">
        <v>124.84</v>
      </c>
      <c r="G3385">
        <v>377.44</v>
      </c>
      <c r="H3385">
        <f>E3385*1000000/D3385</f>
        <v>870327.67959703121</v>
      </c>
      <c r="I3385" t="str">
        <f>IF(AND(B3385&gt;=2018, B3385&lt;=2021), "2018-2021", IF(AND(B3385&gt;=2022, B3385&lt;=2024), "2022-2024", "Other"))</f>
        <v>2018-2021</v>
      </c>
    </row>
    <row r="3386" spans="1:9" x14ac:dyDescent="0.3">
      <c r="A3386" t="s">
        <v>21</v>
      </c>
      <c r="B3386">
        <v>2019</v>
      </c>
      <c r="C3386" t="s">
        <v>14</v>
      </c>
      <c r="D3386">
        <v>27903.119999999999</v>
      </c>
      <c r="E3386">
        <v>30467.52</v>
      </c>
      <c r="F3386">
        <v>114.51</v>
      </c>
      <c r="G3386">
        <v>1189.02</v>
      </c>
      <c r="H3386">
        <f>E3386*1000000/D3386</f>
        <v>1091903.7010914909</v>
      </c>
      <c r="I3386" t="str">
        <f>IF(AND(B3386&gt;=2018, B3386&lt;=2021), "2018-2021", IF(AND(B3386&gt;=2022, B3386&lt;=2024), "2022-2024", "Other"))</f>
        <v>2018-2021</v>
      </c>
    </row>
    <row r="3387" spans="1:9" x14ac:dyDescent="0.3">
      <c r="A3387" t="s">
        <v>13</v>
      </c>
      <c r="B3387">
        <v>2021</v>
      </c>
      <c r="C3387" t="s">
        <v>2</v>
      </c>
      <c r="D3387">
        <v>45111.22</v>
      </c>
      <c r="E3387">
        <v>38372.58</v>
      </c>
      <c r="F3387">
        <v>101.35</v>
      </c>
      <c r="G3387">
        <v>166.36</v>
      </c>
      <c r="H3387">
        <f>E3387*1000000/D3387</f>
        <v>850621.6413566292</v>
      </c>
      <c r="I3387" t="str">
        <f>IF(AND(B3387&gt;=2018, B3387&lt;=2021), "2018-2021", IF(AND(B3387&gt;=2022, B3387&lt;=2024), "2022-2024", "Other"))</f>
        <v>2018-2021</v>
      </c>
    </row>
    <row r="3388" spans="1:9" x14ac:dyDescent="0.3">
      <c r="A3388" t="s">
        <v>15</v>
      </c>
      <c r="B3388">
        <v>2024</v>
      </c>
      <c r="C3388" t="s">
        <v>8</v>
      </c>
      <c r="D3388">
        <v>29844.57</v>
      </c>
      <c r="E3388">
        <v>33358.93</v>
      </c>
      <c r="F3388">
        <v>139.27000000000001</v>
      </c>
      <c r="G3388">
        <v>966.21</v>
      </c>
      <c r="H3388">
        <f>E3388*1000000/D3388</f>
        <v>1117755.4241860411</v>
      </c>
      <c r="I3388" t="str">
        <f>IF(AND(B3388&gt;=2018, B3388&lt;=2021), "2018-2021", IF(AND(B3388&gt;=2022, B3388&lt;=2024), "2022-2024", "Other"))</f>
        <v>2022-2024</v>
      </c>
    </row>
    <row r="3389" spans="1:9" x14ac:dyDescent="0.3">
      <c r="A3389" t="s">
        <v>19</v>
      </c>
      <c r="B3389">
        <v>2018</v>
      </c>
      <c r="C3389" t="s">
        <v>12</v>
      </c>
      <c r="D3389">
        <v>6023.68</v>
      </c>
      <c r="E3389">
        <v>5862.1</v>
      </c>
      <c r="F3389">
        <v>147.63</v>
      </c>
      <c r="G3389">
        <v>1237.29</v>
      </c>
      <c r="H3389">
        <f>E3389*1000000/D3389</f>
        <v>973175.86591585202</v>
      </c>
      <c r="I3389" t="str">
        <f>IF(AND(B3389&gt;=2018, B3389&lt;=2021), "2018-2021", IF(AND(B3389&gt;=2022, B3389&lt;=2024), "2022-2024", "Other"))</f>
        <v>2018-2021</v>
      </c>
    </row>
    <row r="3390" spans="1:9" x14ac:dyDescent="0.3">
      <c r="A3390" t="s">
        <v>7</v>
      </c>
      <c r="B3390">
        <v>2022</v>
      </c>
      <c r="C3390" t="s">
        <v>12</v>
      </c>
      <c r="D3390">
        <v>36567.57</v>
      </c>
      <c r="E3390">
        <v>39207.300000000003</v>
      </c>
      <c r="F3390">
        <v>153.83000000000001</v>
      </c>
      <c r="G3390">
        <v>362.32</v>
      </c>
      <c r="H3390">
        <f>E3390*1000000/D3390</f>
        <v>1072187.733557357</v>
      </c>
      <c r="I3390" t="str">
        <f>IF(AND(B3390&gt;=2018, B3390&lt;=2021), "2018-2021", IF(AND(B3390&gt;=2022, B3390&lt;=2024), "2022-2024", "Other"))</f>
        <v>2022-2024</v>
      </c>
    </row>
    <row r="3391" spans="1:9" x14ac:dyDescent="0.3">
      <c r="A3391" t="s">
        <v>24</v>
      </c>
      <c r="B3391">
        <v>2018</v>
      </c>
      <c r="C3391" t="s">
        <v>12</v>
      </c>
      <c r="D3391">
        <v>8610.6</v>
      </c>
      <c r="E3391">
        <v>9965.75</v>
      </c>
      <c r="F3391">
        <v>176.51</v>
      </c>
      <c r="G3391">
        <v>188.16</v>
      </c>
      <c r="H3391">
        <f>E3391*1000000/D3391</f>
        <v>1157381.5994239657</v>
      </c>
      <c r="I3391" t="str">
        <f>IF(AND(B3391&gt;=2018, B3391&lt;=2021), "2018-2021", IF(AND(B3391&gt;=2022, B3391&lt;=2024), "2022-2024", "Other"))</f>
        <v>2018-2021</v>
      </c>
    </row>
    <row r="3392" spans="1:9" x14ac:dyDescent="0.3">
      <c r="A3392" t="s">
        <v>21</v>
      </c>
      <c r="B3392">
        <v>2018</v>
      </c>
      <c r="C3392" t="s">
        <v>14</v>
      </c>
      <c r="D3392">
        <v>665.76</v>
      </c>
      <c r="E3392">
        <v>777.85</v>
      </c>
      <c r="F3392">
        <v>59.98</v>
      </c>
      <c r="G3392">
        <v>111.12</v>
      </c>
      <c r="H3392">
        <f>E3392*1000000/D3392</f>
        <v>1168363.9750060083</v>
      </c>
      <c r="I3392" t="str">
        <f>IF(AND(B3392&gt;=2018, B3392&lt;=2021), "2018-2021", IF(AND(B3392&gt;=2022, B3392&lt;=2024), "2022-2024", "Other"))</f>
        <v>2018-2021</v>
      </c>
    </row>
    <row r="3393" spans="1:9" x14ac:dyDescent="0.3">
      <c r="A3393" t="s">
        <v>16</v>
      </c>
      <c r="B3393">
        <v>2021</v>
      </c>
      <c r="C3393" t="s">
        <v>9</v>
      </c>
      <c r="D3393">
        <v>24247.74</v>
      </c>
      <c r="E3393">
        <v>22169.09</v>
      </c>
      <c r="F3393">
        <v>169.1</v>
      </c>
      <c r="G3393">
        <v>1375.81</v>
      </c>
      <c r="H3393">
        <f>E3393*1000000/D3393</f>
        <v>914274.48496230983</v>
      </c>
      <c r="I3393" t="str">
        <f>IF(AND(B3393&gt;=2018, B3393&lt;=2021), "2018-2021", IF(AND(B3393&gt;=2022, B3393&lt;=2024), "2022-2024", "Other"))</f>
        <v>2018-2021</v>
      </c>
    </row>
    <row r="3394" spans="1:9" x14ac:dyDescent="0.3">
      <c r="A3394" t="s">
        <v>3</v>
      </c>
      <c r="B3394">
        <v>2024</v>
      </c>
      <c r="C3394" t="s">
        <v>9</v>
      </c>
      <c r="D3394">
        <v>29146.86</v>
      </c>
      <c r="E3394">
        <v>29856.58</v>
      </c>
      <c r="F3394">
        <v>85.87</v>
      </c>
      <c r="G3394">
        <v>1050.94</v>
      </c>
      <c r="H3394">
        <f>E3394*1000000/D3394</f>
        <v>1024349.7927392522</v>
      </c>
      <c r="I3394" t="str">
        <f>IF(AND(B3394&gt;=2018, B3394&lt;=2021), "2018-2021", IF(AND(B3394&gt;=2022, B3394&lt;=2024), "2022-2024", "Other"))</f>
        <v>2022-2024</v>
      </c>
    </row>
    <row r="3395" spans="1:9" x14ac:dyDescent="0.3">
      <c r="A3395" t="s">
        <v>27</v>
      </c>
      <c r="B3395">
        <v>2023</v>
      </c>
      <c r="C3395" t="s">
        <v>14</v>
      </c>
      <c r="D3395">
        <v>28953.39</v>
      </c>
      <c r="E3395">
        <v>23474.35</v>
      </c>
      <c r="F3395">
        <v>85.73</v>
      </c>
      <c r="G3395">
        <v>692.25</v>
      </c>
      <c r="H3395">
        <f>E3395*1000000/D3395</f>
        <v>810763.43737296399</v>
      </c>
      <c r="I3395" t="str">
        <f>IF(AND(B3395&gt;=2018, B3395&lt;=2021), "2018-2021", IF(AND(B3395&gt;=2022, B3395&lt;=2024), "2022-2024", "Other"))</f>
        <v>2022-2024</v>
      </c>
    </row>
    <row r="3396" spans="1:9" x14ac:dyDescent="0.3">
      <c r="A3396" t="s">
        <v>19</v>
      </c>
      <c r="B3396">
        <v>2018</v>
      </c>
      <c r="C3396" t="s">
        <v>0</v>
      </c>
      <c r="D3396">
        <v>32055.29</v>
      </c>
      <c r="E3396">
        <v>32302.720000000001</v>
      </c>
      <c r="F3396">
        <v>183.77</v>
      </c>
      <c r="G3396">
        <v>402.02</v>
      </c>
      <c r="H3396">
        <f>E3396*1000000/D3396</f>
        <v>1007718.8507731485</v>
      </c>
      <c r="I3396" t="str">
        <f>IF(AND(B3396&gt;=2018, B3396&lt;=2021), "2018-2021", IF(AND(B3396&gt;=2022, B3396&lt;=2024), "2022-2024", "Other"))</f>
        <v>2018-2021</v>
      </c>
    </row>
    <row r="3397" spans="1:9" x14ac:dyDescent="0.3">
      <c r="A3397" t="s">
        <v>21</v>
      </c>
      <c r="B3397">
        <v>2021</v>
      </c>
      <c r="C3397" t="s">
        <v>12</v>
      </c>
      <c r="D3397">
        <v>15039.52</v>
      </c>
      <c r="E3397">
        <v>14360.69</v>
      </c>
      <c r="F3397">
        <v>189.16</v>
      </c>
      <c r="G3397">
        <v>405.88</v>
      </c>
      <c r="H3397">
        <f>E3397*1000000/D3397</f>
        <v>954863.5860718959</v>
      </c>
      <c r="I3397" t="str">
        <f>IF(AND(B3397&gt;=2018, B3397&lt;=2021), "2018-2021", IF(AND(B3397&gt;=2022, B3397&lt;=2024), "2022-2024", "Other"))</f>
        <v>2018-2021</v>
      </c>
    </row>
    <row r="3398" spans="1:9" x14ac:dyDescent="0.3">
      <c r="A3398" t="s">
        <v>21</v>
      </c>
      <c r="B3398">
        <v>2019</v>
      </c>
      <c r="C3398" t="s">
        <v>0</v>
      </c>
      <c r="D3398">
        <v>23175.08</v>
      </c>
      <c r="E3398">
        <v>23172.639999999999</v>
      </c>
      <c r="F3398">
        <v>33.68</v>
      </c>
      <c r="G3398">
        <v>441.44</v>
      </c>
      <c r="H3398">
        <f>E3398*1000000/D3398</f>
        <v>999894.71449505235</v>
      </c>
      <c r="I3398" t="str">
        <f>IF(AND(B3398&gt;=2018, B3398&lt;=2021), "2018-2021", IF(AND(B3398&gt;=2022, B3398&lt;=2024), "2022-2024", "Other"))</f>
        <v>2018-2021</v>
      </c>
    </row>
    <row r="3399" spans="1:9" x14ac:dyDescent="0.3">
      <c r="A3399" t="s">
        <v>21</v>
      </c>
      <c r="B3399">
        <v>2020</v>
      </c>
      <c r="C3399" t="s">
        <v>6</v>
      </c>
      <c r="D3399">
        <v>36320</v>
      </c>
      <c r="E3399">
        <v>35895.51</v>
      </c>
      <c r="F3399">
        <v>42.43</v>
      </c>
      <c r="G3399">
        <v>87.64</v>
      </c>
      <c r="H3399">
        <f>E3399*1000000/D3399</f>
        <v>988312.5</v>
      </c>
      <c r="I3399" t="str">
        <f>IF(AND(B3399&gt;=2018, B3399&lt;=2021), "2018-2021", IF(AND(B3399&gt;=2022, B3399&lt;=2024), "2022-2024", "Other"))</f>
        <v>2018-2021</v>
      </c>
    </row>
    <row r="3400" spans="1:9" x14ac:dyDescent="0.3">
      <c r="A3400" t="s">
        <v>1</v>
      </c>
      <c r="B3400">
        <v>2023</v>
      </c>
      <c r="C3400" t="s">
        <v>14</v>
      </c>
      <c r="D3400">
        <v>40955.589999999997</v>
      </c>
      <c r="E3400">
        <v>44365.919999999998</v>
      </c>
      <c r="F3400">
        <v>69.069999999999993</v>
      </c>
      <c r="G3400">
        <v>46.2</v>
      </c>
      <c r="H3400">
        <f>E3400*1000000/D3400</f>
        <v>1083268.975004389</v>
      </c>
      <c r="I3400" t="str">
        <f>IF(AND(B3400&gt;=2018, B3400&lt;=2021), "2018-2021", IF(AND(B3400&gt;=2022, B3400&lt;=2024), "2022-2024", "Other"))</f>
        <v>2022-2024</v>
      </c>
    </row>
    <row r="3401" spans="1:9" x14ac:dyDescent="0.3">
      <c r="A3401" t="s">
        <v>15</v>
      </c>
      <c r="B3401">
        <v>2020</v>
      </c>
      <c r="C3401" t="s">
        <v>14</v>
      </c>
      <c r="D3401">
        <v>9226.39</v>
      </c>
      <c r="E3401">
        <v>8137.32</v>
      </c>
      <c r="F3401">
        <v>38.68</v>
      </c>
      <c r="G3401">
        <v>1360.41</v>
      </c>
      <c r="H3401">
        <f>E3401*1000000/D3401</f>
        <v>881961.41719567461</v>
      </c>
      <c r="I3401" t="str">
        <f>IF(AND(B3401&gt;=2018, B3401&lt;=2021), "2018-2021", IF(AND(B3401&gt;=2022, B3401&lt;=2024), "2022-2024", "Other"))</f>
        <v>2018-2021</v>
      </c>
    </row>
    <row r="3402" spans="1:9" x14ac:dyDescent="0.3">
      <c r="A3402" t="s">
        <v>17</v>
      </c>
      <c r="B3402">
        <v>2022</v>
      </c>
      <c r="C3402" t="s">
        <v>8</v>
      </c>
      <c r="D3402">
        <v>47623.360000000001</v>
      </c>
      <c r="E3402">
        <v>41440.21</v>
      </c>
      <c r="F3402">
        <v>63.62</v>
      </c>
      <c r="G3402">
        <v>1017.66</v>
      </c>
      <c r="H3402">
        <f>E3402*1000000/D3402</f>
        <v>870165.60780255741</v>
      </c>
      <c r="I3402" t="str">
        <f>IF(AND(B3402&gt;=2018, B3402&lt;=2021), "2018-2021", IF(AND(B3402&gt;=2022, B3402&lt;=2024), "2022-2024", "Other"))</f>
        <v>2022-2024</v>
      </c>
    </row>
    <row r="3403" spans="1:9" x14ac:dyDescent="0.3">
      <c r="A3403" t="s">
        <v>24</v>
      </c>
      <c r="B3403">
        <v>2018</v>
      </c>
      <c r="C3403" t="s">
        <v>6</v>
      </c>
      <c r="D3403">
        <v>30409.26</v>
      </c>
      <c r="E3403">
        <v>34781.39</v>
      </c>
      <c r="F3403">
        <v>137.76</v>
      </c>
      <c r="G3403">
        <v>1270.57</v>
      </c>
      <c r="H3403">
        <f>E3403*1000000/D3403</f>
        <v>1143776.2707806767</v>
      </c>
      <c r="I3403" t="str">
        <f>IF(AND(B3403&gt;=2018, B3403&lt;=2021), "2018-2021", IF(AND(B3403&gt;=2022, B3403&lt;=2024), "2022-2024", "Other"))</f>
        <v>2018-2021</v>
      </c>
    </row>
    <row r="3404" spans="1:9" x14ac:dyDescent="0.3">
      <c r="A3404" t="s">
        <v>23</v>
      </c>
      <c r="B3404">
        <v>2019</v>
      </c>
      <c r="C3404" t="s">
        <v>2</v>
      </c>
      <c r="D3404">
        <v>7833.47</v>
      </c>
      <c r="E3404">
        <v>6547.3</v>
      </c>
      <c r="F3404">
        <v>67.48</v>
      </c>
      <c r="G3404">
        <v>853.29</v>
      </c>
      <c r="H3404">
        <f>E3404*1000000/D3404</f>
        <v>835810.94968130335</v>
      </c>
      <c r="I3404" t="str">
        <f>IF(AND(B3404&gt;=2018, B3404&lt;=2021), "2018-2021", IF(AND(B3404&gt;=2022, B3404&lt;=2024), "2022-2024", "Other"))</f>
        <v>2018-2021</v>
      </c>
    </row>
    <row r="3405" spans="1:9" x14ac:dyDescent="0.3">
      <c r="A3405" t="s">
        <v>27</v>
      </c>
      <c r="B3405">
        <v>2021</v>
      </c>
      <c r="C3405" t="s">
        <v>9</v>
      </c>
      <c r="D3405">
        <v>34254</v>
      </c>
      <c r="E3405">
        <v>29249.07</v>
      </c>
      <c r="F3405">
        <v>191.89</v>
      </c>
      <c r="G3405">
        <v>889.85</v>
      </c>
      <c r="H3405">
        <f>E3405*1000000/D3405</f>
        <v>853887.7211420564</v>
      </c>
      <c r="I3405" t="str">
        <f>IF(AND(B3405&gt;=2018, B3405&lt;=2021), "2018-2021", IF(AND(B3405&gt;=2022, B3405&lt;=2024), "2022-2024", "Other"))</f>
        <v>2018-2021</v>
      </c>
    </row>
    <row r="3406" spans="1:9" x14ac:dyDescent="0.3">
      <c r="A3406" t="s">
        <v>17</v>
      </c>
      <c r="B3406">
        <v>2018</v>
      </c>
      <c r="C3406" t="s">
        <v>12</v>
      </c>
      <c r="D3406">
        <v>27243.29</v>
      </c>
      <c r="E3406">
        <v>27718.98</v>
      </c>
      <c r="F3406">
        <v>160</v>
      </c>
      <c r="G3406">
        <v>595.58000000000004</v>
      </c>
      <c r="H3406">
        <f>E3406*1000000/D3406</f>
        <v>1017460.813286501</v>
      </c>
      <c r="I3406" t="str">
        <f>IF(AND(B3406&gt;=2018, B3406&lt;=2021), "2018-2021", IF(AND(B3406&gt;=2022, B3406&lt;=2024), "2022-2024", "Other"))</f>
        <v>2018-2021</v>
      </c>
    </row>
    <row r="3407" spans="1:9" x14ac:dyDescent="0.3">
      <c r="A3407" t="s">
        <v>5</v>
      </c>
      <c r="B3407">
        <v>2024</v>
      </c>
      <c r="C3407" t="s">
        <v>14</v>
      </c>
      <c r="D3407">
        <v>5317.02</v>
      </c>
      <c r="E3407">
        <v>4775.7700000000004</v>
      </c>
      <c r="F3407">
        <v>112.06</v>
      </c>
      <c r="G3407">
        <v>768.63</v>
      </c>
      <c r="H3407">
        <f>E3407*1000000/D3407</f>
        <v>898204.25727193046</v>
      </c>
      <c r="I3407" t="str">
        <f>IF(AND(B3407&gt;=2018, B3407&lt;=2021), "2018-2021", IF(AND(B3407&gt;=2022, B3407&lt;=2024), "2022-2024", "Other"))</f>
        <v>2022-2024</v>
      </c>
    </row>
    <row r="3408" spans="1:9" x14ac:dyDescent="0.3">
      <c r="A3408" t="s">
        <v>7</v>
      </c>
      <c r="B3408">
        <v>2018</v>
      </c>
      <c r="C3408" t="s">
        <v>14</v>
      </c>
      <c r="D3408">
        <v>42498.75</v>
      </c>
      <c r="E3408">
        <v>39782.71</v>
      </c>
      <c r="F3408">
        <v>125.42</v>
      </c>
      <c r="G3408">
        <v>525.6</v>
      </c>
      <c r="H3408">
        <f>E3408*1000000/D3408</f>
        <v>936091.29680284718</v>
      </c>
      <c r="I3408" t="str">
        <f>IF(AND(B3408&gt;=2018, B3408&lt;=2021), "2018-2021", IF(AND(B3408&gt;=2022, B3408&lt;=2024), "2022-2024", "Other"))</f>
        <v>2018-2021</v>
      </c>
    </row>
    <row r="3409" spans="1:9" x14ac:dyDescent="0.3">
      <c r="A3409" t="s">
        <v>15</v>
      </c>
      <c r="B3409">
        <v>2024</v>
      </c>
      <c r="C3409" t="s">
        <v>4</v>
      </c>
      <c r="D3409">
        <v>14143.32</v>
      </c>
      <c r="E3409">
        <v>13506.93</v>
      </c>
      <c r="F3409">
        <v>171.49</v>
      </c>
      <c r="G3409">
        <v>86.22</v>
      </c>
      <c r="H3409">
        <f>E3409*1000000/D3409</f>
        <v>955004.19986255001</v>
      </c>
      <c r="I3409" t="str">
        <f>IF(AND(B3409&gt;=2018, B3409&lt;=2021), "2018-2021", IF(AND(B3409&gt;=2022, B3409&lt;=2024), "2022-2024", "Other"))</f>
        <v>2022-2024</v>
      </c>
    </row>
    <row r="3410" spans="1:9" x14ac:dyDescent="0.3">
      <c r="A3410" t="s">
        <v>13</v>
      </c>
      <c r="B3410">
        <v>2023</v>
      </c>
      <c r="C3410" t="s">
        <v>0</v>
      </c>
      <c r="D3410">
        <v>9972.7900000000009</v>
      </c>
      <c r="E3410">
        <v>8508.7900000000009</v>
      </c>
      <c r="F3410">
        <v>62.35</v>
      </c>
      <c r="G3410">
        <v>1286.68</v>
      </c>
      <c r="H3410">
        <f>E3410*1000000/D3410</f>
        <v>853200.55872027786</v>
      </c>
      <c r="I3410" t="str">
        <f>IF(AND(B3410&gt;=2018, B3410&lt;=2021), "2018-2021", IF(AND(B3410&gt;=2022, B3410&lt;=2024), "2022-2024", "Other"))</f>
        <v>2022-2024</v>
      </c>
    </row>
    <row r="3411" spans="1:9" x14ac:dyDescent="0.3">
      <c r="A3411" t="s">
        <v>21</v>
      </c>
      <c r="B3411">
        <v>2022</v>
      </c>
      <c r="C3411" t="s">
        <v>6</v>
      </c>
      <c r="D3411">
        <v>14467.99</v>
      </c>
      <c r="E3411">
        <v>16747.79</v>
      </c>
      <c r="F3411">
        <v>52.17</v>
      </c>
      <c r="G3411">
        <v>642.86</v>
      </c>
      <c r="H3411">
        <f>E3411*1000000/D3411</f>
        <v>1157575.4475915453</v>
      </c>
      <c r="I3411" t="str">
        <f>IF(AND(B3411&gt;=2018, B3411&lt;=2021), "2018-2021", IF(AND(B3411&gt;=2022, B3411&lt;=2024), "2022-2024", "Other"))</f>
        <v>2022-2024</v>
      </c>
    </row>
    <row r="3412" spans="1:9" x14ac:dyDescent="0.3">
      <c r="A3412" t="s">
        <v>3</v>
      </c>
      <c r="B3412">
        <v>2021</v>
      </c>
      <c r="C3412" t="s">
        <v>2</v>
      </c>
      <c r="D3412">
        <v>33306.19</v>
      </c>
      <c r="E3412">
        <v>36955.43</v>
      </c>
      <c r="F3412">
        <v>67.290000000000006</v>
      </c>
      <c r="G3412">
        <v>549.4</v>
      </c>
      <c r="H3412">
        <f>E3412*1000000/D3412</f>
        <v>1109566.4199357536</v>
      </c>
      <c r="I3412" t="str">
        <f>IF(AND(B3412&gt;=2018, B3412&lt;=2021), "2018-2021", IF(AND(B3412&gt;=2022, B3412&lt;=2024), "2022-2024", "Other"))</f>
        <v>2018-2021</v>
      </c>
    </row>
    <row r="3413" spans="1:9" x14ac:dyDescent="0.3">
      <c r="A3413" t="s">
        <v>25</v>
      </c>
      <c r="B3413">
        <v>2024</v>
      </c>
      <c r="C3413" t="s">
        <v>6</v>
      </c>
      <c r="D3413">
        <v>32300.63</v>
      </c>
      <c r="E3413">
        <v>31228.77</v>
      </c>
      <c r="F3413">
        <v>46.82</v>
      </c>
      <c r="G3413">
        <v>203.31</v>
      </c>
      <c r="H3413">
        <f>E3413*1000000/D3413</f>
        <v>966816.12711578689</v>
      </c>
      <c r="I3413" t="str">
        <f>IF(AND(B3413&gt;=2018, B3413&lt;=2021), "2018-2021", IF(AND(B3413&gt;=2022, B3413&lt;=2024), "2022-2024", "Other"))</f>
        <v>2022-2024</v>
      </c>
    </row>
    <row r="3414" spans="1:9" x14ac:dyDescent="0.3">
      <c r="A3414" t="s">
        <v>13</v>
      </c>
      <c r="B3414">
        <v>2020</v>
      </c>
      <c r="C3414" t="s">
        <v>6</v>
      </c>
      <c r="D3414">
        <v>36375.370000000003</v>
      </c>
      <c r="E3414">
        <v>34364.639999999999</v>
      </c>
      <c r="F3414">
        <v>49.62</v>
      </c>
      <c r="G3414">
        <v>420.74</v>
      </c>
      <c r="H3414">
        <f>E3414*1000000/D3414</f>
        <v>944722.76158290613</v>
      </c>
      <c r="I3414" t="str">
        <f>IF(AND(B3414&gt;=2018, B3414&lt;=2021), "2018-2021", IF(AND(B3414&gt;=2022, B3414&lt;=2024), "2022-2024", "Other"))</f>
        <v>2018-2021</v>
      </c>
    </row>
    <row r="3415" spans="1:9" x14ac:dyDescent="0.3">
      <c r="A3415" t="s">
        <v>11</v>
      </c>
      <c r="B3415">
        <v>2019</v>
      </c>
      <c r="C3415" t="s">
        <v>4</v>
      </c>
      <c r="D3415">
        <v>42336.15</v>
      </c>
      <c r="E3415">
        <v>42536.36</v>
      </c>
      <c r="F3415">
        <v>68.209999999999994</v>
      </c>
      <c r="G3415">
        <v>1382.38</v>
      </c>
      <c r="H3415">
        <f>E3415*1000000/D3415</f>
        <v>1004729.0554289891</v>
      </c>
      <c r="I3415" t="str">
        <f>IF(AND(B3415&gt;=2018, B3415&lt;=2021), "2018-2021", IF(AND(B3415&gt;=2022, B3415&lt;=2024), "2022-2024", "Other"))</f>
        <v>2018-2021</v>
      </c>
    </row>
    <row r="3416" spans="1:9" x14ac:dyDescent="0.3">
      <c r="A3416" t="s">
        <v>21</v>
      </c>
      <c r="B3416">
        <v>2021</v>
      </c>
      <c r="C3416" t="s">
        <v>4</v>
      </c>
      <c r="D3416">
        <v>25618.78</v>
      </c>
      <c r="E3416">
        <v>20729.63</v>
      </c>
      <c r="F3416">
        <v>124</v>
      </c>
      <c r="G3416">
        <v>519.61</v>
      </c>
      <c r="H3416">
        <f>E3416*1000000/D3416</f>
        <v>809157.57893233013</v>
      </c>
      <c r="I3416" t="str">
        <f>IF(AND(B3416&gt;=2018, B3416&lt;=2021), "2018-2021", IF(AND(B3416&gt;=2022, B3416&lt;=2024), "2022-2024", "Other"))</f>
        <v>2018-2021</v>
      </c>
    </row>
    <row r="3417" spans="1:9" x14ac:dyDescent="0.3">
      <c r="A3417" t="s">
        <v>1</v>
      </c>
      <c r="B3417">
        <v>2024</v>
      </c>
      <c r="C3417" t="s">
        <v>2</v>
      </c>
      <c r="D3417">
        <v>33050.660000000003</v>
      </c>
      <c r="E3417">
        <v>35584.18</v>
      </c>
      <c r="F3417">
        <v>80.09</v>
      </c>
      <c r="G3417">
        <v>12.82</v>
      </c>
      <c r="H3417">
        <f>E3417*1000000/D3417</f>
        <v>1076655.6552879729</v>
      </c>
      <c r="I3417" t="str">
        <f>IF(AND(B3417&gt;=2018, B3417&lt;=2021), "2018-2021", IF(AND(B3417&gt;=2022, B3417&lt;=2024), "2022-2024", "Other"))</f>
        <v>2022-2024</v>
      </c>
    </row>
    <row r="3418" spans="1:9" x14ac:dyDescent="0.3">
      <c r="A3418" t="s">
        <v>18</v>
      </c>
      <c r="B3418">
        <v>2020</v>
      </c>
      <c r="C3418" t="s">
        <v>6</v>
      </c>
      <c r="D3418">
        <v>12803.24</v>
      </c>
      <c r="E3418">
        <v>12143.22</v>
      </c>
      <c r="F3418">
        <v>27.39</v>
      </c>
      <c r="G3418">
        <v>1374.28</v>
      </c>
      <c r="H3418">
        <f>E3418*1000000/D3418</f>
        <v>948448.98635033006</v>
      </c>
      <c r="I3418" t="str">
        <f>IF(AND(B3418&gt;=2018, B3418&lt;=2021), "2018-2021", IF(AND(B3418&gt;=2022, B3418&lt;=2024), "2022-2024", "Other"))</f>
        <v>2018-2021</v>
      </c>
    </row>
    <row r="3419" spans="1:9" x14ac:dyDescent="0.3">
      <c r="A3419" t="s">
        <v>17</v>
      </c>
      <c r="B3419">
        <v>2018</v>
      </c>
      <c r="C3419" t="s">
        <v>14</v>
      </c>
      <c r="D3419">
        <v>33862.46</v>
      </c>
      <c r="E3419">
        <v>39973.68</v>
      </c>
      <c r="F3419">
        <v>92.9</v>
      </c>
      <c r="G3419">
        <v>1241.24</v>
      </c>
      <c r="H3419">
        <f>E3419*1000000/D3419</f>
        <v>1180471.826323309</v>
      </c>
      <c r="I3419" t="str">
        <f>IF(AND(B3419&gt;=2018, B3419&lt;=2021), "2018-2021", IF(AND(B3419&gt;=2022, B3419&lt;=2024), "2022-2024", "Other"))</f>
        <v>2018-2021</v>
      </c>
    </row>
    <row r="3420" spans="1:9" x14ac:dyDescent="0.3">
      <c r="A3420" t="s">
        <v>13</v>
      </c>
      <c r="B3420">
        <v>2020</v>
      </c>
      <c r="C3420" t="s">
        <v>6</v>
      </c>
      <c r="D3420">
        <v>41156.07</v>
      </c>
      <c r="E3420">
        <v>45644.2</v>
      </c>
      <c r="F3420">
        <v>126</v>
      </c>
      <c r="G3420">
        <v>1094.76</v>
      </c>
      <c r="H3420">
        <f>E3420*1000000/D3420</f>
        <v>1109051.4716298229</v>
      </c>
      <c r="I3420" t="str">
        <f>IF(AND(B3420&gt;=2018, B3420&lt;=2021), "2018-2021", IF(AND(B3420&gt;=2022, B3420&lt;=2024), "2022-2024", "Other"))</f>
        <v>2018-2021</v>
      </c>
    </row>
    <row r="3421" spans="1:9" x14ac:dyDescent="0.3">
      <c r="A3421" t="s">
        <v>18</v>
      </c>
      <c r="B3421">
        <v>2022</v>
      </c>
      <c r="C3421" t="s">
        <v>12</v>
      </c>
      <c r="D3421">
        <v>16101.93</v>
      </c>
      <c r="E3421">
        <v>13941.75</v>
      </c>
      <c r="F3421">
        <v>59.26</v>
      </c>
      <c r="G3421">
        <v>849.77</v>
      </c>
      <c r="H3421">
        <f>E3421*1000000/D3421</f>
        <v>865843.41131777375</v>
      </c>
      <c r="I3421" t="str">
        <f>IF(AND(B3421&gt;=2018, B3421&lt;=2021), "2018-2021", IF(AND(B3421&gt;=2022, B3421&lt;=2024), "2022-2024", "Other"))</f>
        <v>2022-2024</v>
      </c>
    </row>
    <row r="3422" spans="1:9" x14ac:dyDescent="0.3">
      <c r="A3422" t="s">
        <v>3</v>
      </c>
      <c r="B3422">
        <v>2022</v>
      </c>
      <c r="C3422" t="s">
        <v>9</v>
      </c>
      <c r="D3422">
        <v>37582.449999999997</v>
      </c>
      <c r="E3422">
        <v>41611.089999999997</v>
      </c>
      <c r="F3422">
        <v>167.94</v>
      </c>
      <c r="G3422">
        <v>1209.51</v>
      </c>
      <c r="H3422">
        <f>E3422*1000000/D3422</f>
        <v>1107194.7145542668</v>
      </c>
      <c r="I3422" t="str">
        <f>IF(AND(B3422&gt;=2018, B3422&lt;=2021), "2018-2021", IF(AND(B3422&gt;=2022, B3422&lt;=2024), "2022-2024", "Other"))</f>
        <v>2022-2024</v>
      </c>
    </row>
    <row r="3423" spans="1:9" x14ac:dyDescent="0.3">
      <c r="A3423" t="s">
        <v>25</v>
      </c>
      <c r="B3423">
        <v>2019</v>
      </c>
      <c r="C3423" t="s">
        <v>2</v>
      </c>
      <c r="D3423">
        <v>19177.34</v>
      </c>
      <c r="E3423">
        <v>19092.400000000001</v>
      </c>
      <c r="F3423">
        <v>195.24</v>
      </c>
      <c r="G3423">
        <v>1112.5899999999999</v>
      </c>
      <c r="H3423">
        <f>E3423*1000000/D3423</f>
        <v>995570.81430479931</v>
      </c>
      <c r="I3423" t="str">
        <f>IF(AND(B3423&gt;=2018, B3423&lt;=2021), "2018-2021", IF(AND(B3423&gt;=2022, B3423&lt;=2024), "2022-2024", "Other"))</f>
        <v>2018-2021</v>
      </c>
    </row>
    <row r="3424" spans="1:9" x14ac:dyDescent="0.3">
      <c r="A3424" t="s">
        <v>17</v>
      </c>
      <c r="B3424">
        <v>2022</v>
      </c>
      <c r="C3424" t="s">
        <v>4</v>
      </c>
      <c r="D3424">
        <v>4581.1099999999997</v>
      </c>
      <c r="E3424">
        <v>4174.8100000000004</v>
      </c>
      <c r="F3424">
        <v>155.34</v>
      </c>
      <c r="G3424">
        <v>211.45</v>
      </c>
      <c r="H3424">
        <f>E3424*1000000/D3424</f>
        <v>911309.70441661531</v>
      </c>
      <c r="I3424" t="str">
        <f>IF(AND(B3424&gt;=2018, B3424&lt;=2021), "2018-2021", IF(AND(B3424&gt;=2022, B3424&lt;=2024), "2022-2024", "Other"))</f>
        <v>2022-2024</v>
      </c>
    </row>
    <row r="3425" spans="1:9" x14ac:dyDescent="0.3">
      <c r="A3425" t="s">
        <v>23</v>
      </c>
      <c r="B3425">
        <v>2018</v>
      </c>
      <c r="C3425" t="s">
        <v>4</v>
      </c>
      <c r="D3425">
        <v>504.23</v>
      </c>
      <c r="E3425">
        <v>411.04</v>
      </c>
      <c r="F3425">
        <v>21.21</v>
      </c>
      <c r="G3425">
        <v>932.3</v>
      </c>
      <c r="H3425">
        <f>E3425*1000000/D3425</f>
        <v>815183.54719076608</v>
      </c>
      <c r="I3425" t="str">
        <f>IF(AND(B3425&gt;=2018, B3425&lt;=2021), "2018-2021", IF(AND(B3425&gt;=2022, B3425&lt;=2024), "2022-2024", "Other"))</f>
        <v>2018-2021</v>
      </c>
    </row>
    <row r="3426" spans="1:9" x14ac:dyDescent="0.3">
      <c r="A3426" t="s">
        <v>21</v>
      </c>
      <c r="B3426">
        <v>2022</v>
      </c>
      <c r="C3426" t="s">
        <v>12</v>
      </c>
      <c r="D3426">
        <v>16702.75</v>
      </c>
      <c r="E3426">
        <v>19585.759999999998</v>
      </c>
      <c r="F3426">
        <v>58.49</v>
      </c>
      <c r="G3426">
        <v>387.21</v>
      </c>
      <c r="H3426">
        <f>E3426*1000000/D3426</f>
        <v>1172606.9060484052</v>
      </c>
      <c r="I3426" t="str">
        <f>IF(AND(B3426&gt;=2018, B3426&lt;=2021), "2018-2021", IF(AND(B3426&gt;=2022, B3426&lt;=2024), "2022-2024", "Other"))</f>
        <v>2022-2024</v>
      </c>
    </row>
    <row r="3427" spans="1:9" x14ac:dyDescent="0.3">
      <c r="A3427" t="s">
        <v>13</v>
      </c>
      <c r="B3427">
        <v>2019</v>
      </c>
      <c r="C3427" t="s">
        <v>8</v>
      </c>
      <c r="D3427">
        <v>8686.64</v>
      </c>
      <c r="E3427">
        <v>9196.6</v>
      </c>
      <c r="F3427">
        <v>183.13</v>
      </c>
      <c r="G3427">
        <v>1377.33</v>
      </c>
      <c r="H3427">
        <f>E3427*1000000/D3427</f>
        <v>1058706.2431504012</v>
      </c>
      <c r="I3427" t="str">
        <f>IF(AND(B3427&gt;=2018, B3427&lt;=2021), "2018-2021", IF(AND(B3427&gt;=2022, B3427&lt;=2024), "2022-2024", "Other"))</f>
        <v>2018-2021</v>
      </c>
    </row>
    <row r="3428" spans="1:9" x14ac:dyDescent="0.3">
      <c r="A3428" t="s">
        <v>23</v>
      </c>
      <c r="B3428">
        <v>2021</v>
      </c>
      <c r="C3428" t="s">
        <v>14</v>
      </c>
      <c r="D3428">
        <v>3417.34</v>
      </c>
      <c r="E3428">
        <v>2795.2</v>
      </c>
      <c r="F3428">
        <v>32.630000000000003</v>
      </c>
      <c r="G3428">
        <v>809.83</v>
      </c>
      <c r="H3428">
        <f>E3428*1000000/D3428</f>
        <v>817946.12183745252</v>
      </c>
      <c r="I3428" t="str">
        <f>IF(AND(B3428&gt;=2018, B3428&lt;=2021), "2018-2021", IF(AND(B3428&gt;=2022, B3428&lt;=2024), "2022-2024", "Other"))</f>
        <v>2018-2021</v>
      </c>
    </row>
    <row r="3429" spans="1:9" x14ac:dyDescent="0.3">
      <c r="A3429" t="s">
        <v>5</v>
      </c>
      <c r="B3429">
        <v>2021</v>
      </c>
      <c r="C3429" t="s">
        <v>2</v>
      </c>
      <c r="D3429">
        <v>37623.800000000003</v>
      </c>
      <c r="E3429">
        <v>39764.58</v>
      </c>
      <c r="F3429">
        <v>123.82</v>
      </c>
      <c r="G3429">
        <v>924.5</v>
      </c>
      <c r="H3429">
        <f>E3429*1000000/D3429</f>
        <v>1056899.6220477463</v>
      </c>
      <c r="I3429" t="str">
        <f>IF(AND(B3429&gt;=2018, B3429&lt;=2021), "2018-2021", IF(AND(B3429&gt;=2022, B3429&lt;=2024), "2022-2024", "Other"))</f>
        <v>2018-2021</v>
      </c>
    </row>
    <row r="3430" spans="1:9" x14ac:dyDescent="0.3">
      <c r="A3430" t="s">
        <v>3</v>
      </c>
      <c r="B3430">
        <v>2022</v>
      </c>
      <c r="C3430" t="s">
        <v>14</v>
      </c>
      <c r="D3430">
        <v>33923.620000000003</v>
      </c>
      <c r="E3430">
        <v>28921.39</v>
      </c>
      <c r="F3430">
        <v>195.02</v>
      </c>
      <c r="G3430">
        <v>909.28</v>
      </c>
      <c r="H3430">
        <f>E3430*1000000/D3430</f>
        <v>852544.33341724728</v>
      </c>
      <c r="I3430" t="str">
        <f>IF(AND(B3430&gt;=2018, B3430&lt;=2021), "2018-2021", IF(AND(B3430&gt;=2022, B3430&lt;=2024), "2022-2024", "Other"))</f>
        <v>2022-2024</v>
      </c>
    </row>
    <row r="3431" spans="1:9" x14ac:dyDescent="0.3">
      <c r="A3431" t="s">
        <v>15</v>
      </c>
      <c r="B3431">
        <v>2019</v>
      </c>
      <c r="C3431" t="s">
        <v>8</v>
      </c>
      <c r="D3431">
        <v>44186.66</v>
      </c>
      <c r="E3431">
        <v>44229.14</v>
      </c>
      <c r="F3431">
        <v>101.1</v>
      </c>
      <c r="G3431">
        <v>16.66</v>
      </c>
      <c r="H3431">
        <f>E3431*1000000/D3431</f>
        <v>1000961.3761257356</v>
      </c>
      <c r="I3431" t="str">
        <f>IF(AND(B3431&gt;=2018, B3431&lt;=2021), "2018-2021", IF(AND(B3431&gt;=2022, B3431&lt;=2024), "2022-2024", "Other"))</f>
        <v>2018-2021</v>
      </c>
    </row>
    <row r="3432" spans="1:9" x14ac:dyDescent="0.3">
      <c r="A3432" t="s">
        <v>22</v>
      </c>
      <c r="B3432">
        <v>2023</v>
      </c>
      <c r="C3432" t="s">
        <v>0</v>
      </c>
      <c r="D3432">
        <v>42043.11</v>
      </c>
      <c r="E3432">
        <v>40712.879999999997</v>
      </c>
      <c r="F3432">
        <v>54.14</v>
      </c>
      <c r="G3432">
        <v>983.64</v>
      </c>
      <c r="H3432">
        <f>E3432*1000000/D3432</f>
        <v>968360.33300105529</v>
      </c>
      <c r="I3432" t="str">
        <f>IF(AND(B3432&gt;=2018, B3432&lt;=2021), "2018-2021", IF(AND(B3432&gt;=2022, B3432&lt;=2024), "2022-2024", "Other"))</f>
        <v>2022-2024</v>
      </c>
    </row>
    <row r="3433" spans="1:9" x14ac:dyDescent="0.3">
      <c r="A3433" t="s">
        <v>21</v>
      </c>
      <c r="B3433">
        <v>2022</v>
      </c>
      <c r="C3433" t="s">
        <v>0</v>
      </c>
      <c r="D3433">
        <v>40591.279999999999</v>
      </c>
      <c r="E3433">
        <v>45816.800000000003</v>
      </c>
      <c r="F3433">
        <v>28.55</v>
      </c>
      <c r="G3433">
        <v>866.04</v>
      </c>
      <c r="H3433">
        <f>E3433*1000000/D3433</f>
        <v>1128735.0386585493</v>
      </c>
      <c r="I3433" t="str">
        <f>IF(AND(B3433&gt;=2018, B3433&lt;=2021), "2018-2021", IF(AND(B3433&gt;=2022, B3433&lt;=2024), "2022-2024", "Other"))</f>
        <v>2022-2024</v>
      </c>
    </row>
    <row r="3434" spans="1:9" x14ac:dyDescent="0.3">
      <c r="A3434" t="s">
        <v>1</v>
      </c>
      <c r="B3434">
        <v>2024</v>
      </c>
      <c r="C3434" t="s">
        <v>6</v>
      </c>
      <c r="D3434">
        <v>1068.0899999999999</v>
      </c>
      <c r="E3434">
        <v>1071.3599999999999</v>
      </c>
      <c r="F3434">
        <v>172.65</v>
      </c>
      <c r="G3434">
        <v>1130.56</v>
      </c>
      <c r="H3434">
        <f>E3434*1000000/D3434</f>
        <v>1003061.5397578855</v>
      </c>
      <c r="I3434" t="str">
        <f>IF(AND(B3434&gt;=2018, B3434&lt;=2021), "2018-2021", IF(AND(B3434&gt;=2022, B3434&lt;=2024), "2022-2024", "Other"))</f>
        <v>2022-2024</v>
      </c>
    </row>
    <row r="3435" spans="1:9" x14ac:dyDescent="0.3">
      <c r="A3435" t="s">
        <v>11</v>
      </c>
      <c r="B3435">
        <v>2018</v>
      </c>
      <c r="C3435" t="s">
        <v>0</v>
      </c>
      <c r="D3435">
        <v>19247.18</v>
      </c>
      <c r="E3435">
        <v>19077.03</v>
      </c>
      <c r="F3435">
        <v>42.72</v>
      </c>
      <c r="G3435">
        <v>682.76</v>
      </c>
      <c r="H3435">
        <f>E3435*1000000/D3435</f>
        <v>991159.74392092763</v>
      </c>
      <c r="I3435" t="str">
        <f>IF(AND(B3435&gt;=2018, B3435&lt;=2021), "2018-2021", IF(AND(B3435&gt;=2022, B3435&lt;=2024), "2022-2024", "Other"))</f>
        <v>2018-2021</v>
      </c>
    </row>
    <row r="3436" spans="1:9" x14ac:dyDescent="0.3">
      <c r="A3436" t="s">
        <v>26</v>
      </c>
      <c r="B3436">
        <v>2020</v>
      </c>
      <c r="C3436" t="s">
        <v>0</v>
      </c>
      <c r="D3436">
        <v>41810.85</v>
      </c>
      <c r="E3436">
        <v>39389.599999999999</v>
      </c>
      <c r="F3436">
        <v>89.44</v>
      </c>
      <c r="G3436">
        <v>150.69</v>
      </c>
      <c r="H3436">
        <f>E3436*1000000/D3436</f>
        <v>942090.3904130148</v>
      </c>
      <c r="I3436" t="str">
        <f>IF(AND(B3436&gt;=2018, B3436&lt;=2021), "2018-2021", IF(AND(B3436&gt;=2022, B3436&lt;=2024), "2022-2024", "Other"))</f>
        <v>2018-2021</v>
      </c>
    </row>
    <row r="3437" spans="1:9" x14ac:dyDescent="0.3">
      <c r="A3437" t="s">
        <v>23</v>
      </c>
      <c r="B3437">
        <v>2019</v>
      </c>
      <c r="C3437" t="s">
        <v>8</v>
      </c>
      <c r="D3437">
        <v>24795.75</v>
      </c>
      <c r="E3437">
        <v>23650.69</v>
      </c>
      <c r="F3437">
        <v>27.32</v>
      </c>
      <c r="G3437">
        <v>496.57</v>
      </c>
      <c r="H3437">
        <f>E3437*1000000/D3437</f>
        <v>953820.31194862025</v>
      </c>
      <c r="I3437" t="str">
        <f>IF(AND(B3437&gt;=2018, B3437&lt;=2021), "2018-2021", IF(AND(B3437&gt;=2022, B3437&lt;=2024), "2022-2024", "Other"))</f>
        <v>2018-2021</v>
      </c>
    </row>
    <row r="3438" spans="1:9" x14ac:dyDescent="0.3">
      <c r="A3438" t="s">
        <v>23</v>
      </c>
      <c r="B3438">
        <v>2021</v>
      </c>
      <c r="C3438" t="s">
        <v>12</v>
      </c>
      <c r="D3438">
        <v>30570</v>
      </c>
      <c r="E3438">
        <v>29286.54</v>
      </c>
      <c r="F3438">
        <v>134.63</v>
      </c>
      <c r="G3438">
        <v>1396.92</v>
      </c>
      <c r="H3438">
        <f>E3438*1000000/D3438</f>
        <v>958015.7016683023</v>
      </c>
      <c r="I3438" t="str">
        <f>IF(AND(B3438&gt;=2018, B3438&lt;=2021), "2018-2021", IF(AND(B3438&gt;=2022, B3438&lt;=2024), "2022-2024", "Other"))</f>
        <v>2018-2021</v>
      </c>
    </row>
    <row r="3439" spans="1:9" x14ac:dyDescent="0.3">
      <c r="A3439" t="s">
        <v>24</v>
      </c>
      <c r="B3439">
        <v>2019</v>
      </c>
      <c r="C3439" t="s">
        <v>9</v>
      </c>
      <c r="D3439">
        <v>42432.2</v>
      </c>
      <c r="E3439">
        <v>45153.58</v>
      </c>
      <c r="F3439">
        <v>110.04</v>
      </c>
      <c r="G3439">
        <v>226.78</v>
      </c>
      <c r="H3439">
        <f>E3439*1000000/D3439</f>
        <v>1064134.7844325772</v>
      </c>
      <c r="I3439" t="str">
        <f>IF(AND(B3439&gt;=2018, B3439&lt;=2021), "2018-2021", IF(AND(B3439&gt;=2022, B3439&lt;=2024), "2022-2024", "Other"))</f>
        <v>2018-2021</v>
      </c>
    </row>
    <row r="3440" spans="1:9" x14ac:dyDescent="0.3">
      <c r="A3440" t="s">
        <v>23</v>
      </c>
      <c r="B3440">
        <v>2023</v>
      </c>
      <c r="C3440" t="s">
        <v>12</v>
      </c>
      <c r="D3440">
        <v>29527.31</v>
      </c>
      <c r="E3440">
        <v>32708.12</v>
      </c>
      <c r="F3440">
        <v>177.67</v>
      </c>
      <c r="G3440">
        <v>871.21</v>
      </c>
      <c r="H3440">
        <f>E3440*1000000/D3440</f>
        <v>1107724.3406189049</v>
      </c>
      <c r="I3440" t="str">
        <f>IF(AND(B3440&gt;=2018, B3440&lt;=2021), "2018-2021", IF(AND(B3440&gt;=2022, B3440&lt;=2024), "2022-2024", "Other"))</f>
        <v>2022-2024</v>
      </c>
    </row>
    <row r="3441" spans="1:9" x14ac:dyDescent="0.3">
      <c r="A3441" t="s">
        <v>20</v>
      </c>
      <c r="B3441">
        <v>2020</v>
      </c>
      <c r="C3441" t="s">
        <v>0</v>
      </c>
      <c r="D3441">
        <v>5536.51</v>
      </c>
      <c r="E3441">
        <v>5372.64</v>
      </c>
      <c r="F3441">
        <v>199.97</v>
      </c>
      <c r="G3441">
        <v>1266.71</v>
      </c>
      <c r="H3441">
        <f>E3441*1000000/D3441</f>
        <v>970401.9319029497</v>
      </c>
      <c r="I3441" t="str">
        <f>IF(AND(B3441&gt;=2018, B3441&lt;=2021), "2018-2021", IF(AND(B3441&gt;=2022, B3441&lt;=2024), "2022-2024", "Other"))</f>
        <v>2018-2021</v>
      </c>
    </row>
    <row r="3442" spans="1:9" x14ac:dyDescent="0.3">
      <c r="A3442" t="s">
        <v>15</v>
      </c>
      <c r="B3442">
        <v>2022</v>
      </c>
      <c r="C3442" t="s">
        <v>9</v>
      </c>
      <c r="D3442">
        <v>8884.49</v>
      </c>
      <c r="E3442">
        <v>9205.5400000000009</v>
      </c>
      <c r="F3442">
        <v>106.43</v>
      </c>
      <c r="G3442">
        <v>466.41</v>
      </c>
      <c r="H3442">
        <f>E3442*1000000/D3442</f>
        <v>1036136.0078068634</v>
      </c>
      <c r="I3442" t="str">
        <f>IF(AND(B3442&gt;=2018, B3442&lt;=2021), "2018-2021", IF(AND(B3442&gt;=2022, B3442&lt;=2024), "2022-2024", "Other"))</f>
        <v>2022-2024</v>
      </c>
    </row>
    <row r="3443" spans="1:9" x14ac:dyDescent="0.3">
      <c r="A3443" t="s">
        <v>22</v>
      </c>
      <c r="B3443">
        <v>2020</v>
      </c>
      <c r="C3443" t="s">
        <v>9</v>
      </c>
      <c r="D3443">
        <v>36134.86</v>
      </c>
      <c r="E3443">
        <v>30614.93</v>
      </c>
      <c r="F3443">
        <v>62.98</v>
      </c>
      <c r="G3443">
        <v>1104.6199999999999</v>
      </c>
      <c r="H3443">
        <f>E3443*1000000/D3443</f>
        <v>847240.86380852177</v>
      </c>
      <c r="I3443" t="str">
        <f>IF(AND(B3443&gt;=2018, B3443&lt;=2021), "2018-2021", IF(AND(B3443&gt;=2022, B3443&lt;=2024), "2022-2024", "Other"))</f>
        <v>2018-2021</v>
      </c>
    </row>
    <row r="3444" spans="1:9" x14ac:dyDescent="0.3">
      <c r="A3444" t="s">
        <v>18</v>
      </c>
      <c r="B3444">
        <v>2019</v>
      </c>
      <c r="C3444" t="s">
        <v>2</v>
      </c>
      <c r="D3444">
        <v>17989.080000000002</v>
      </c>
      <c r="E3444">
        <v>20317.060000000001</v>
      </c>
      <c r="F3444">
        <v>117.72</v>
      </c>
      <c r="G3444">
        <v>156.61000000000001</v>
      </c>
      <c r="H3444">
        <f>E3444*1000000/D3444</f>
        <v>1129410.7313992709</v>
      </c>
      <c r="I3444" t="str">
        <f>IF(AND(B3444&gt;=2018, B3444&lt;=2021), "2018-2021", IF(AND(B3444&gt;=2022, B3444&lt;=2024), "2022-2024", "Other"))</f>
        <v>2018-2021</v>
      </c>
    </row>
    <row r="3445" spans="1:9" x14ac:dyDescent="0.3">
      <c r="A3445" t="s">
        <v>19</v>
      </c>
      <c r="B3445">
        <v>2019</v>
      </c>
      <c r="C3445" t="s">
        <v>0</v>
      </c>
      <c r="D3445">
        <v>45787</v>
      </c>
      <c r="E3445">
        <v>53784.39</v>
      </c>
      <c r="F3445">
        <v>63.77</v>
      </c>
      <c r="G3445">
        <v>1144.08</v>
      </c>
      <c r="H3445">
        <f>E3445*1000000/D3445</f>
        <v>1174665.0796077489</v>
      </c>
      <c r="I3445" t="str">
        <f>IF(AND(B3445&gt;=2018, B3445&lt;=2021), "2018-2021", IF(AND(B3445&gt;=2022, B3445&lt;=2024), "2022-2024", "Other"))</f>
        <v>2018-2021</v>
      </c>
    </row>
    <row r="3446" spans="1:9" x14ac:dyDescent="0.3">
      <c r="A3446" t="s">
        <v>22</v>
      </c>
      <c r="B3446">
        <v>2019</v>
      </c>
      <c r="C3446" t="s">
        <v>2</v>
      </c>
      <c r="D3446">
        <v>12399.19</v>
      </c>
      <c r="E3446">
        <v>10620.16</v>
      </c>
      <c r="F3446">
        <v>85.68</v>
      </c>
      <c r="G3446">
        <v>28.85</v>
      </c>
      <c r="H3446">
        <f>E3446*1000000/D3446</f>
        <v>856520.46625626343</v>
      </c>
      <c r="I3446" t="str">
        <f>IF(AND(B3446&gt;=2018, B3446&lt;=2021), "2018-2021", IF(AND(B3446&gt;=2022, B3446&lt;=2024), "2022-2024", "Other"))</f>
        <v>2018-2021</v>
      </c>
    </row>
    <row r="3447" spans="1:9" x14ac:dyDescent="0.3">
      <c r="A3447" t="s">
        <v>19</v>
      </c>
      <c r="B3447">
        <v>2020</v>
      </c>
      <c r="C3447" t="s">
        <v>9</v>
      </c>
      <c r="D3447">
        <v>28007.66</v>
      </c>
      <c r="E3447">
        <v>25132.52</v>
      </c>
      <c r="F3447">
        <v>117.41</v>
      </c>
      <c r="G3447">
        <v>604.29</v>
      </c>
      <c r="H3447">
        <f>E3447*1000000/D3447</f>
        <v>897344.51217988227</v>
      </c>
      <c r="I3447" t="str">
        <f>IF(AND(B3447&gt;=2018, B3447&lt;=2021), "2018-2021", IF(AND(B3447&gt;=2022, B3447&lt;=2024), "2022-2024", "Other"))</f>
        <v>2018-2021</v>
      </c>
    </row>
    <row r="3448" spans="1:9" x14ac:dyDescent="0.3">
      <c r="A3448" t="s">
        <v>13</v>
      </c>
      <c r="B3448">
        <v>2024</v>
      </c>
      <c r="C3448" t="s">
        <v>8</v>
      </c>
      <c r="D3448">
        <v>18392.830000000002</v>
      </c>
      <c r="E3448">
        <v>19648.54</v>
      </c>
      <c r="F3448">
        <v>139.80000000000001</v>
      </c>
      <c r="G3448">
        <v>601.79999999999995</v>
      </c>
      <c r="H3448">
        <f>E3448*1000000/D3448</f>
        <v>1068271.7124009735</v>
      </c>
      <c r="I3448" t="str">
        <f>IF(AND(B3448&gt;=2018, B3448&lt;=2021), "2018-2021", IF(AND(B3448&gt;=2022, B3448&lt;=2024), "2022-2024", "Other"))</f>
        <v>2022-2024</v>
      </c>
    </row>
    <row r="3449" spans="1:9" x14ac:dyDescent="0.3">
      <c r="A3449" t="s">
        <v>27</v>
      </c>
      <c r="B3449">
        <v>2023</v>
      </c>
      <c r="C3449" t="s">
        <v>6</v>
      </c>
      <c r="D3449">
        <v>33989.449999999997</v>
      </c>
      <c r="E3449">
        <v>33107.879999999997</v>
      </c>
      <c r="F3449">
        <v>152.72</v>
      </c>
      <c r="G3449">
        <v>125.27</v>
      </c>
      <c r="H3449">
        <f>E3449*1000000/D3449</f>
        <v>974063.42262084258</v>
      </c>
      <c r="I3449" t="str">
        <f>IF(AND(B3449&gt;=2018, B3449&lt;=2021), "2018-2021", IF(AND(B3449&gt;=2022, B3449&lt;=2024), "2022-2024", "Other"))</f>
        <v>2022-2024</v>
      </c>
    </row>
    <row r="3450" spans="1:9" x14ac:dyDescent="0.3">
      <c r="A3450" t="s">
        <v>17</v>
      </c>
      <c r="B3450">
        <v>2021</v>
      </c>
      <c r="C3450" t="s">
        <v>8</v>
      </c>
      <c r="D3450">
        <v>17632.060000000001</v>
      </c>
      <c r="E3450">
        <v>15581.03</v>
      </c>
      <c r="F3450">
        <v>24.63</v>
      </c>
      <c r="G3450">
        <v>967.82</v>
      </c>
      <c r="H3450">
        <f>E3450*1000000/D3450</f>
        <v>883676.09910583333</v>
      </c>
      <c r="I3450" t="str">
        <f>IF(AND(B3450&gt;=2018, B3450&lt;=2021), "2018-2021", IF(AND(B3450&gt;=2022, B3450&lt;=2024), "2022-2024", "Other"))</f>
        <v>2018-2021</v>
      </c>
    </row>
    <row r="3451" spans="1:9" x14ac:dyDescent="0.3">
      <c r="A3451" t="s">
        <v>18</v>
      </c>
      <c r="B3451">
        <v>2018</v>
      </c>
      <c r="C3451" t="s">
        <v>12</v>
      </c>
      <c r="D3451">
        <v>39104.07</v>
      </c>
      <c r="E3451">
        <v>42722.78</v>
      </c>
      <c r="F3451">
        <v>141.22</v>
      </c>
      <c r="G3451">
        <v>248.56</v>
      </c>
      <c r="H3451">
        <f>E3451*1000000/D3451</f>
        <v>1092540.4951453903</v>
      </c>
      <c r="I3451" t="str">
        <f>IF(AND(B3451&gt;=2018, B3451&lt;=2021), "2018-2021", IF(AND(B3451&gt;=2022, B3451&lt;=2024), "2022-2024", "Other"))</f>
        <v>2018-2021</v>
      </c>
    </row>
    <row r="3452" spans="1:9" x14ac:dyDescent="0.3">
      <c r="A3452" t="s">
        <v>23</v>
      </c>
      <c r="B3452">
        <v>2021</v>
      </c>
      <c r="C3452" t="s">
        <v>0</v>
      </c>
      <c r="D3452">
        <v>32740.54</v>
      </c>
      <c r="E3452">
        <v>34423.82</v>
      </c>
      <c r="F3452">
        <v>151.79</v>
      </c>
      <c r="G3452">
        <v>312.26</v>
      </c>
      <c r="H3452">
        <f>E3452*1000000/D3452</f>
        <v>1051412.7134127903</v>
      </c>
      <c r="I3452" t="str">
        <f>IF(AND(B3452&gt;=2018, B3452&lt;=2021), "2018-2021", IF(AND(B3452&gt;=2022, B3452&lt;=2024), "2022-2024", "Other"))</f>
        <v>2018-2021</v>
      </c>
    </row>
    <row r="3453" spans="1:9" x14ac:dyDescent="0.3">
      <c r="A3453" t="s">
        <v>25</v>
      </c>
      <c r="B3453">
        <v>2020</v>
      </c>
      <c r="C3453" t="s">
        <v>4</v>
      </c>
      <c r="D3453">
        <v>35574.94</v>
      </c>
      <c r="E3453">
        <v>40820.81</v>
      </c>
      <c r="F3453">
        <v>64.17</v>
      </c>
      <c r="G3453">
        <v>279.12</v>
      </c>
      <c r="H3453">
        <f>E3453*1000000/D3453</f>
        <v>1147459.7005644983</v>
      </c>
      <c r="I3453" t="str">
        <f>IF(AND(B3453&gt;=2018, B3453&lt;=2021), "2018-2021", IF(AND(B3453&gt;=2022, B3453&lt;=2024), "2022-2024", "Other"))</f>
        <v>2018-2021</v>
      </c>
    </row>
    <row r="3454" spans="1:9" x14ac:dyDescent="0.3">
      <c r="A3454" t="s">
        <v>25</v>
      </c>
      <c r="B3454">
        <v>2020</v>
      </c>
      <c r="C3454" t="s">
        <v>12</v>
      </c>
      <c r="D3454">
        <v>37972.33</v>
      </c>
      <c r="E3454">
        <v>32373.200000000001</v>
      </c>
      <c r="F3454">
        <v>86.65</v>
      </c>
      <c r="G3454">
        <v>711.6</v>
      </c>
      <c r="H3454">
        <f>E3454*1000000/D3454</f>
        <v>852547.10469439195</v>
      </c>
      <c r="I3454" t="str">
        <f>IF(AND(B3454&gt;=2018, B3454&lt;=2021), "2018-2021", IF(AND(B3454&gt;=2022, B3454&lt;=2024), "2022-2024", "Other"))</f>
        <v>2018-2021</v>
      </c>
    </row>
    <row r="3455" spans="1:9" x14ac:dyDescent="0.3">
      <c r="A3455" t="s">
        <v>24</v>
      </c>
      <c r="B3455">
        <v>2019</v>
      </c>
      <c r="C3455" t="s">
        <v>14</v>
      </c>
      <c r="D3455">
        <v>9265.19</v>
      </c>
      <c r="E3455">
        <v>7958.54</v>
      </c>
      <c r="F3455">
        <v>141.83000000000001</v>
      </c>
      <c r="G3455">
        <v>419.36</v>
      </c>
      <c r="H3455">
        <f>E3455*1000000/D3455</f>
        <v>858972.13117054256</v>
      </c>
      <c r="I3455" t="str">
        <f>IF(AND(B3455&gt;=2018, B3455&lt;=2021), "2018-2021", IF(AND(B3455&gt;=2022, B3455&lt;=2024), "2022-2024", "Other"))</f>
        <v>2018-2021</v>
      </c>
    </row>
    <row r="3456" spans="1:9" x14ac:dyDescent="0.3">
      <c r="A3456" t="s">
        <v>22</v>
      </c>
      <c r="B3456">
        <v>2018</v>
      </c>
      <c r="C3456" t="s">
        <v>2</v>
      </c>
      <c r="D3456">
        <v>13524.46</v>
      </c>
      <c r="E3456">
        <v>16111.36</v>
      </c>
      <c r="F3456">
        <v>113.6</v>
      </c>
      <c r="G3456">
        <v>435.05</v>
      </c>
      <c r="H3456">
        <f>E3456*1000000/D3456</f>
        <v>1191275.6590651309</v>
      </c>
      <c r="I3456" t="str">
        <f>IF(AND(B3456&gt;=2018, B3456&lt;=2021), "2018-2021", IF(AND(B3456&gt;=2022, B3456&lt;=2024), "2022-2024", "Other"))</f>
        <v>2018-2021</v>
      </c>
    </row>
    <row r="3457" spans="1:9" x14ac:dyDescent="0.3">
      <c r="A3457" t="s">
        <v>19</v>
      </c>
      <c r="B3457">
        <v>2019</v>
      </c>
      <c r="C3457" t="s">
        <v>0</v>
      </c>
      <c r="D3457">
        <v>38681.78</v>
      </c>
      <c r="E3457">
        <v>39867.050000000003</v>
      </c>
      <c r="F3457">
        <v>185.97</v>
      </c>
      <c r="G3457">
        <v>717.14</v>
      </c>
      <c r="H3457">
        <f>E3457*1000000/D3457</f>
        <v>1030641.5578600571</v>
      </c>
      <c r="I3457" t="str">
        <f>IF(AND(B3457&gt;=2018, B3457&lt;=2021), "2018-2021", IF(AND(B3457&gt;=2022, B3457&lt;=2024), "2022-2024", "Other"))</f>
        <v>2018-2021</v>
      </c>
    </row>
    <row r="3458" spans="1:9" x14ac:dyDescent="0.3">
      <c r="A3458" t="s">
        <v>17</v>
      </c>
      <c r="B3458">
        <v>2019</v>
      </c>
      <c r="C3458" t="s">
        <v>14</v>
      </c>
      <c r="D3458">
        <v>22768.25</v>
      </c>
      <c r="E3458">
        <v>22328.639999999999</v>
      </c>
      <c r="F3458">
        <v>26.31</v>
      </c>
      <c r="G3458">
        <v>95.03</v>
      </c>
      <c r="H3458">
        <f>E3458*1000000/D3458</f>
        <v>980691.97237381001</v>
      </c>
      <c r="I3458" t="str">
        <f>IF(AND(B3458&gt;=2018, B3458&lt;=2021), "2018-2021", IF(AND(B3458&gt;=2022, B3458&lt;=2024), "2022-2024", "Other"))</f>
        <v>2018-2021</v>
      </c>
    </row>
    <row r="3459" spans="1:9" x14ac:dyDescent="0.3">
      <c r="A3459" t="s">
        <v>13</v>
      </c>
      <c r="B3459">
        <v>2019</v>
      </c>
      <c r="C3459" t="s">
        <v>0</v>
      </c>
      <c r="D3459">
        <v>40688.65</v>
      </c>
      <c r="E3459">
        <v>37806.239999999998</v>
      </c>
      <c r="F3459">
        <v>97.58</v>
      </c>
      <c r="G3459">
        <v>1136.44</v>
      </c>
      <c r="H3459">
        <f>E3459*1000000/D3459</f>
        <v>929159.36016554979</v>
      </c>
      <c r="I3459" t="str">
        <f>IF(AND(B3459&gt;=2018, B3459&lt;=2021), "2018-2021", IF(AND(B3459&gt;=2022, B3459&lt;=2024), "2022-2024", "Other"))</f>
        <v>2018-2021</v>
      </c>
    </row>
    <row r="3460" spans="1:9" x14ac:dyDescent="0.3">
      <c r="A3460" t="s">
        <v>26</v>
      </c>
      <c r="B3460">
        <v>2018</v>
      </c>
      <c r="C3460" t="s">
        <v>0</v>
      </c>
      <c r="D3460">
        <v>15802.09</v>
      </c>
      <c r="E3460">
        <v>17956.87</v>
      </c>
      <c r="F3460">
        <v>132.33000000000001</v>
      </c>
      <c r="G3460">
        <v>122.14</v>
      </c>
      <c r="H3460">
        <f>E3460*1000000/D3460</f>
        <v>1136360.4434603271</v>
      </c>
      <c r="I3460" t="str">
        <f>IF(AND(B3460&gt;=2018, B3460&lt;=2021), "2018-2021", IF(AND(B3460&gt;=2022, B3460&lt;=2024), "2022-2024", "Other"))</f>
        <v>2018-2021</v>
      </c>
    </row>
    <row r="3461" spans="1:9" x14ac:dyDescent="0.3">
      <c r="A3461" t="s">
        <v>13</v>
      </c>
      <c r="B3461">
        <v>2022</v>
      </c>
      <c r="C3461" t="s">
        <v>2</v>
      </c>
      <c r="D3461">
        <v>28267.81</v>
      </c>
      <c r="E3461">
        <v>27957.45</v>
      </c>
      <c r="F3461">
        <v>190.88</v>
      </c>
      <c r="G3461">
        <v>509.25</v>
      </c>
      <c r="H3461">
        <f>E3461*1000000/D3461</f>
        <v>989020.72710974072</v>
      </c>
      <c r="I3461" t="str">
        <f>IF(AND(B3461&gt;=2018, B3461&lt;=2021), "2018-2021", IF(AND(B3461&gt;=2022, B3461&lt;=2024), "2022-2024", "Other"))</f>
        <v>2022-2024</v>
      </c>
    </row>
    <row r="3462" spans="1:9" x14ac:dyDescent="0.3">
      <c r="A3462" t="s">
        <v>20</v>
      </c>
      <c r="B3462">
        <v>2020</v>
      </c>
      <c r="C3462" t="s">
        <v>6</v>
      </c>
      <c r="D3462">
        <v>9360.19</v>
      </c>
      <c r="E3462">
        <v>9619.3700000000008</v>
      </c>
      <c r="F3462">
        <v>158.4</v>
      </c>
      <c r="G3462">
        <v>578.55999999999995</v>
      </c>
      <c r="H3462">
        <f>E3462*1000000/D3462</f>
        <v>1027689.6088647773</v>
      </c>
      <c r="I3462" t="str">
        <f>IF(AND(B3462&gt;=2018, B3462&lt;=2021), "2018-2021", IF(AND(B3462&gt;=2022, B3462&lt;=2024), "2022-2024", "Other"))</f>
        <v>2018-2021</v>
      </c>
    </row>
    <row r="3463" spans="1:9" x14ac:dyDescent="0.3">
      <c r="A3463" t="s">
        <v>22</v>
      </c>
      <c r="B3463">
        <v>2024</v>
      </c>
      <c r="C3463" t="s">
        <v>12</v>
      </c>
      <c r="D3463">
        <v>33614.07</v>
      </c>
      <c r="E3463">
        <v>32623.83</v>
      </c>
      <c r="F3463">
        <v>35.020000000000003</v>
      </c>
      <c r="G3463">
        <v>1045.46</v>
      </c>
      <c r="H3463">
        <f>E3463*1000000/D3463</f>
        <v>970540.90742358787</v>
      </c>
      <c r="I3463" t="str">
        <f>IF(AND(B3463&gt;=2018, B3463&lt;=2021), "2018-2021", IF(AND(B3463&gt;=2022, B3463&lt;=2024), "2022-2024", "Other"))</f>
        <v>2022-2024</v>
      </c>
    </row>
    <row r="3464" spans="1:9" x14ac:dyDescent="0.3">
      <c r="A3464" t="s">
        <v>3</v>
      </c>
      <c r="B3464">
        <v>2024</v>
      </c>
      <c r="C3464" t="s">
        <v>0</v>
      </c>
      <c r="D3464">
        <v>45258.75</v>
      </c>
      <c r="E3464">
        <v>42228.86</v>
      </c>
      <c r="F3464">
        <v>114.78</v>
      </c>
      <c r="G3464">
        <v>544.70000000000005</v>
      </c>
      <c r="H3464">
        <f>E3464*1000000/D3464</f>
        <v>933054.05032176094</v>
      </c>
      <c r="I3464" t="str">
        <f>IF(AND(B3464&gt;=2018, B3464&lt;=2021), "2018-2021", IF(AND(B3464&gt;=2022, B3464&lt;=2024), "2022-2024", "Other"))</f>
        <v>2022-2024</v>
      </c>
    </row>
    <row r="3465" spans="1:9" x14ac:dyDescent="0.3">
      <c r="A3465" t="s">
        <v>11</v>
      </c>
      <c r="B3465">
        <v>2023</v>
      </c>
      <c r="C3465" t="s">
        <v>6</v>
      </c>
      <c r="D3465">
        <v>25617.1</v>
      </c>
      <c r="E3465">
        <v>30499.99</v>
      </c>
      <c r="F3465">
        <v>66.38</v>
      </c>
      <c r="G3465">
        <v>1284.0999999999999</v>
      </c>
      <c r="H3465">
        <f>E3465*1000000/D3465</f>
        <v>1190610.5687216741</v>
      </c>
      <c r="I3465" t="str">
        <f>IF(AND(B3465&gt;=2018, B3465&lt;=2021), "2018-2021", IF(AND(B3465&gt;=2022, B3465&lt;=2024), "2022-2024", "Other"))</f>
        <v>2022-2024</v>
      </c>
    </row>
    <row r="3466" spans="1:9" x14ac:dyDescent="0.3">
      <c r="A3466" t="s">
        <v>7</v>
      </c>
      <c r="B3466">
        <v>2020</v>
      </c>
      <c r="C3466" t="s">
        <v>0</v>
      </c>
      <c r="D3466">
        <v>48266.28</v>
      </c>
      <c r="E3466">
        <v>46014.47</v>
      </c>
      <c r="F3466">
        <v>82.99</v>
      </c>
      <c r="G3466">
        <v>185.74</v>
      </c>
      <c r="H3466">
        <f>E3466*1000000/D3466</f>
        <v>953346.10415387305</v>
      </c>
      <c r="I3466" t="str">
        <f>IF(AND(B3466&gt;=2018, B3466&lt;=2021), "2018-2021", IF(AND(B3466&gt;=2022, B3466&lt;=2024), "2022-2024", "Other"))</f>
        <v>2018-2021</v>
      </c>
    </row>
    <row r="3467" spans="1:9" x14ac:dyDescent="0.3">
      <c r="A3467" t="s">
        <v>13</v>
      </c>
      <c r="B3467">
        <v>2020</v>
      </c>
      <c r="C3467" t="s">
        <v>0</v>
      </c>
      <c r="D3467">
        <v>11520.09</v>
      </c>
      <c r="E3467">
        <v>11797.88</v>
      </c>
      <c r="F3467">
        <v>180.68</v>
      </c>
      <c r="G3467">
        <v>913.92</v>
      </c>
      <c r="H3467">
        <f>E3467*1000000/D3467</f>
        <v>1024113.5268908489</v>
      </c>
      <c r="I3467" t="str">
        <f>IF(AND(B3467&gt;=2018, B3467&lt;=2021), "2018-2021", IF(AND(B3467&gt;=2022, B3467&lt;=2024), "2022-2024", "Other"))</f>
        <v>2018-2021</v>
      </c>
    </row>
    <row r="3468" spans="1:9" x14ac:dyDescent="0.3">
      <c r="A3468" t="s">
        <v>11</v>
      </c>
      <c r="B3468">
        <v>2024</v>
      </c>
      <c r="C3468" t="s">
        <v>8</v>
      </c>
      <c r="D3468">
        <v>28886.32</v>
      </c>
      <c r="E3468">
        <v>27282.46</v>
      </c>
      <c r="F3468">
        <v>142.77000000000001</v>
      </c>
      <c r="G3468">
        <v>1363.17</v>
      </c>
      <c r="H3468">
        <f>E3468*1000000/D3468</f>
        <v>944476.83193982486</v>
      </c>
      <c r="I3468" t="str">
        <f>IF(AND(B3468&gt;=2018, B3468&lt;=2021), "2018-2021", IF(AND(B3468&gt;=2022, B3468&lt;=2024), "2022-2024", "Other"))</f>
        <v>2022-2024</v>
      </c>
    </row>
    <row r="3469" spans="1:9" x14ac:dyDescent="0.3">
      <c r="A3469" t="s">
        <v>7</v>
      </c>
      <c r="B3469">
        <v>2018</v>
      </c>
      <c r="C3469" t="s">
        <v>4</v>
      </c>
      <c r="D3469">
        <v>18733.78</v>
      </c>
      <c r="E3469">
        <v>21957.439999999999</v>
      </c>
      <c r="F3469">
        <v>94.23</v>
      </c>
      <c r="G3469">
        <v>892.48</v>
      </c>
      <c r="H3469">
        <f>E3469*1000000/D3469</f>
        <v>1172077.3917490225</v>
      </c>
      <c r="I3469" t="str">
        <f>IF(AND(B3469&gt;=2018, B3469&lt;=2021), "2018-2021", IF(AND(B3469&gt;=2022, B3469&lt;=2024), "2022-2024", "Other"))</f>
        <v>2018-2021</v>
      </c>
    </row>
    <row r="3470" spans="1:9" x14ac:dyDescent="0.3">
      <c r="A3470" t="s">
        <v>20</v>
      </c>
      <c r="B3470">
        <v>2020</v>
      </c>
      <c r="C3470" t="s">
        <v>6</v>
      </c>
      <c r="D3470">
        <v>40006.1</v>
      </c>
      <c r="E3470">
        <v>46604.49</v>
      </c>
      <c r="F3470">
        <v>76.33</v>
      </c>
      <c r="G3470">
        <v>1301.97</v>
      </c>
      <c r="H3470">
        <f>E3470*1000000/D3470</f>
        <v>1164934.5974738852</v>
      </c>
      <c r="I3470" t="str">
        <f>IF(AND(B3470&gt;=2018, B3470&lt;=2021), "2018-2021", IF(AND(B3470&gt;=2022, B3470&lt;=2024), "2022-2024", "Other"))</f>
        <v>2018-2021</v>
      </c>
    </row>
    <row r="3471" spans="1:9" x14ac:dyDescent="0.3">
      <c r="A3471" t="s">
        <v>16</v>
      </c>
      <c r="B3471">
        <v>2023</v>
      </c>
      <c r="C3471" t="s">
        <v>6</v>
      </c>
      <c r="D3471">
        <v>28982.57</v>
      </c>
      <c r="E3471">
        <v>28253.05</v>
      </c>
      <c r="F3471">
        <v>47.06</v>
      </c>
      <c r="G3471">
        <v>191.98</v>
      </c>
      <c r="H3471">
        <f>E3471*1000000/D3471</f>
        <v>974829.00929765718</v>
      </c>
      <c r="I3471" t="str">
        <f>IF(AND(B3471&gt;=2018, B3471&lt;=2021), "2018-2021", IF(AND(B3471&gt;=2022, B3471&lt;=2024), "2022-2024", "Other"))</f>
        <v>2022-2024</v>
      </c>
    </row>
    <row r="3472" spans="1:9" x14ac:dyDescent="0.3">
      <c r="A3472" t="s">
        <v>1</v>
      </c>
      <c r="B3472">
        <v>2020</v>
      </c>
      <c r="C3472" t="s">
        <v>8</v>
      </c>
      <c r="D3472">
        <v>1761.46</v>
      </c>
      <c r="E3472">
        <v>1495.48</v>
      </c>
      <c r="F3472">
        <v>162.34</v>
      </c>
      <c r="G3472">
        <v>991.45</v>
      </c>
      <c r="H3472">
        <f>E3472*1000000/D3472</f>
        <v>849000.26114700304</v>
      </c>
      <c r="I3472" t="str">
        <f>IF(AND(B3472&gt;=2018, B3472&lt;=2021), "2018-2021", IF(AND(B3472&gt;=2022, B3472&lt;=2024), "2022-2024", "Other"))</f>
        <v>2018-2021</v>
      </c>
    </row>
    <row r="3473" spans="1:9" x14ac:dyDescent="0.3">
      <c r="A3473" t="s">
        <v>24</v>
      </c>
      <c r="B3473">
        <v>2022</v>
      </c>
      <c r="C3473" t="s">
        <v>12</v>
      </c>
      <c r="D3473">
        <v>28403.53</v>
      </c>
      <c r="E3473">
        <v>31672.29</v>
      </c>
      <c r="F3473">
        <v>99.03</v>
      </c>
      <c r="G3473">
        <v>11.58</v>
      </c>
      <c r="H3473">
        <f>E3473*1000000/D3473</f>
        <v>1115082.8787830246</v>
      </c>
      <c r="I3473" t="str">
        <f>IF(AND(B3473&gt;=2018, B3473&lt;=2021), "2018-2021", IF(AND(B3473&gt;=2022, B3473&lt;=2024), "2022-2024", "Other"))</f>
        <v>2022-2024</v>
      </c>
    </row>
    <row r="3474" spans="1:9" x14ac:dyDescent="0.3">
      <c r="A3474" t="s">
        <v>15</v>
      </c>
      <c r="B3474">
        <v>2022</v>
      </c>
      <c r="C3474" t="s">
        <v>6</v>
      </c>
      <c r="D3474">
        <v>37743.879999999997</v>
      </c>
      <c r="E3474">
        <v>38738.980000000003</v>
      </c>
      <c r="F3474">
        <v>46.66</v>
      </c>
      <c r="G3474">
        <v>119.76</v>
      </c>
      <c r="H3474">
        <f>E3474*1000000/D3474</f>
        <v>1026364.5390987891</v>
      </c>
      <c r="I3474" t="str">
        <f>IF(AND(B3474&gt;=2018, B3474&lt;=2021), "2018-2021", IF(AND(B3474&gt;=2022, B3474&lt;=2024), "2022-2024", "Other"))</f>
        <v>2022-2024</v>
      </c>
    </row>
    <row r="3475" spans="1:9" x14ac:dyDescent="0.3">
      <c r="A3475" t="s">
        <v>10</v>
      </c>
      <c r="B3475">
        <v>2019</v>
      </c>
      <c r="C3475" t="s">
        <v>9</v>
      </c>
      <c r="D3475">
        <v>46493.84</v>
      </c>
      <c r="E3475">
        <v>53600.3</v>
      </c>
      <c r="F3475">
        <v>176.13</v>
      </c>
      <c r="G3475">
        <v>1399.97</v>
      </c>
      <c r="H3475">
        <f>E3475*1000000/D3475</f>
        <v>1152847.3449385983</v>
      </c>
      <c r="I3475" t="str">
        <f>IF(AND(B3475&gt;=2018, B3475&lt;=2021), "2018-2021", IF(AND(B3475&gt;=2022, B3475&lt;=2024), "2022-2024", "Other"))</f>
        <v>2018-2021</v>
      </c>
    </row>
    <row r="3476" spans="1:9" x14ac:dyDescent="0.3">
      <c r="A3476" t="s">
        <v>7</v>
      </c>
      <c r="B3476">
        <v>2020</v>
      </c>
      <c r="C3476" t="s">
        <v>2</v>
      </c>
      <c r="D3476">
        <v>35244.32</v>
      </c>
      <c r="E3476">
        <v>39067.47</v>
      </c>
      <c r="F3476">
        <v>30.67</v>
      </c>
      <c r="G3476">
        <v>1330.07</v>
      </c>
      <c r="H3476">
        <f>E3476*1000000/D3476</f>
        <v>1108475.6352229239</v>
      </c>
      <c r="I3476" t="str">
        <f>IF(AND(B3476&gt;=2018, B3476&lt;=2021), "2018-2021", IF(AND(B3476&gt;=2022, B3476&lt;=2024), "2022-2024", "Other"))</f>
        <v>2018-2021</v>
      </c>
    </row>
    <row r="3477" spans="1:9" x14ac:dyDescent="0.3">
      <c r="A3477" t="s">
        <v>22</v>
      </c>
      <c r="B3477">
        <v>2020</v>
      </c>
      <c r="C3477" t="s">
        <v>8</v>
      </c>
      <c r="D3477">
        <v>29258.29</v>
      </c>
      <c r="E3477">
        <v>26546.09</v>
      </c>
      <c r="F3477">
        <v>158.11000000000001</v>
      </c>
      <c r="G3477">
        <v>609.53</v>
      </c>
      <c r="H3477">
        <f>E3477*1000000/D3477</f>
        <v>907301.48617708008</v>
      </c>
      <c r="I3477" t="str">
        <f>IF(AND(B3477&gt;=2018, B3477&lt;=2021), "2018-2021", IF(AND(B3477&gt;=2022, B3477&lt;=2024), "2022-2024", "Other"))</f>
        <v>2018-2021</v>
      </c>
    </row>
    <row r="3478" spans="1:9" x14ac:dyDescent="0.3">
      <c r="A3478" t="s">
        <v>11</v>
      </c>
      <c r="B3478">
        <v>2023</v>
      </c>
      <c r="C3478" t="s">
        <v>6</v>
      </c>
      <c r="D3478">
        <v>24001.75</v>
      </c>
      <c r="E3478">
        <v>24944.99</v>
      </c>
      <c r="F3478">
        <v>73.739999999999995</v>
      </c>
      <c r="G3478">
        <v>857.66</v>
      </c>
      <c r="H3478">
        <f>E3478*1000000/D3478</f>
        <v>1039298.8011290843</v>
      </c>
      <c r="I3478" t="str">
        <f>IF(AND(B3478&gt;=2018, B3478&lt;=2021), "2018-2021", IF(AND(B3478&gt;=2022, B3478&lt;=2024), "2022-2024", "Other"))</f>
        <v>2022-2024</v>
      </c>
    </row>
    <row r="3479" spans="1:9" x14ac:dyDescent="0.3">
      <c r="A3479" t="s">
        <v>20</v>
      </c>
      <c r="B3479">
        <v>2019</v>
      </c>
      <c r="C3479" t="s">
        <v>0</v>
      </c>
      <c r="D3479">
        <v>18087.87</v>
      </c>
      <c r="E3479">
        <v>19442.240000000002</v>
      </c>
      <c r="F3479">
        <v>34.880000000000003</v>
      </c>
      <c r="G3479">
        <v>671.27</v>
      </c>
      <c r="H3479">
        <f>E3479*1000000/D3479</f>
        <v>1074877.2519926338</v>
      </c>
      <c r="I3479" t="str">
        <f>IF(AND(B3479&gt;=2018, B3479&lt;=2021), "2018-2021", IF(AND(B3479&gt;=2022, B3479&lt;=2024), "2022-2024", "Other"))</f>
        <v>2018-2021</v>
      </c>
    </row>
    <row r="3480" spans="1:9" x14ac:dyDescent="0.3">
      <c r="A3480" t="s">
        <v>1</v>
      </c>
      <c r="B3480">
        <v>2023</v>
      </c>
      <c r="C3480" t="s">
        <v>9</v>
      </c>
      <c r="D3480">
        <v>42441.31</v>
      </c>
      <c r="E3480">
        <v>45200.44</v>
      </c>
      <c r="F3480">
        <v>77.05</v>
      </c>
      <c r="G3480">
        <v>201.51</v>
      </c>
      <c r="H3480">
        <f>E3480*1000000/D3480</f>
        <v>1065010.4815332044</v>
      </c>
      <c r="I3480" t="str">
        <f>IF(AND(B3480&gt;=2018, B3480&lt;=2021), "2018-2021", IF(AND(B3480&gt;=2022, B3480&lt;=2024), "2022-2024", "Other"))</f>
        <v>2022-2024</v>
      </c>
    </row>
    <row r="3481" spans="1:9" x14ac:dyDescent="0.3">
      <c r="A3481" t="s">
        <v>7</v>
      </c>
      <c r="B3481">
        <v>2024</v>
      </c>
      <c r="C3481" t="s">
        <v>2</v>
      </c>
      <c r="D3481">
        <v>10968.83</v>
      </c>
      <c r="E3481">
        <v>12751.88</v>
      </c>
      <c r="F3481">
        <v>186.86</v>
      </c>
      <c r="G3481">
        <v>62.95</v>
      </c>
      <c r="H3481">
        <f>E3481*1000000/D3481</f>
        <v>1162556.0793630679</v>
      </c>
      <c r="I3481" t="str">
        <f>IF(AND(B3481&gt;=2018, B3481&lt;=2021), "2018-2021", IF(AND(B3481&gt;=2022, B3481&lt;=2024), "2022-2024", "Other"))</f>
        <v>2022-2024</v>
      </c>
    </row>
    <row r="3482" spans="1:9" x14ac:dyDescent="0.3">
      <c r="A3482" t="s">
        <v>18</v>
      </c>
      <c r="B3482">
        <v>2018</v>
      </c>
      <c r="C3482" t="s">
        <v>9</v>
      </c>
      <c r="D3482">
        <v>15120.72</v>
      </c>
      <c r="E3482">
        <v>17927.240000000002</v>
      </c>
      <c r="F3482">
        <v>144.96</v>
      </c>
      <c r="G3482">
        <v>557.85</v>
      </c>
      <c r="H3482">
        <f>E3482*1000000/D3482</f>
        <v>1185607.5636609897</v>
      </c>
      <c r="I3482" t="str">
        <f>IF(AND(B3482&gt;=2018, B3482&lt;=2021), "2018-2021", IF(AND(B3482&gt;=2022, B3482&lt;=2024), "2022-2024", "Other"))</f>
        <v>2018-2021</v>
      </c>
    </row>
    <row r="3483" spans="1:9" x14ac:dyDescent="0.3">
      <c r="A3483" t="s">
        <v>15</v>
      </c>
      <c r="B3483">
        <v>2023</v>
      </c>
      <c r="C3483" t="s">
        <v>6</v>
      </c>
      <c r="D3483">
        <v>41325.75</v>
      </c>
      <c r="E3483">
        <v>46510.43</v>
      </c>
      <c r="F3483">
        <v>137.47999999999999</v>
      </c>
      <c r="G3483">
        <v>1331.94</v>
      </c>
      <c r="H3483">
        <f>E3483*1000000/D3483</f>
        <v>1125458.8240987761</v>
      </c>
      <c r="I3483" t="str">
        <f>IF(AND(B3483&gt;=2018, B3483&lt;=2021), "2018-2021", IF(AND(B3483&gt;=2022, B3483&lt;=2024), "2022-2024", "Other"))</f>
        <v>2022-2024</v>
      </c>
    </row>
    <row r="3484" spans="1:9" x14ac:dyDescent="0.3">
      <c r="A3484" t="s">
        <v>18</v>
      </c>
      <c r="B3484">
        <v>2024</v>
      </c>
      <c r="C3484" t="s">
        <v>6</v>
      </c>
      <c r="D3484">
        <v>32131.15</v>
      </c>
      <c r="E3484">
        <v>26414.69</v>
      </c>
      <c r="F3484">
        <v>171</v>
      </c>
      <c r="G3484">
        <v>841.62</v>
      </c>
      <c r="H3484">
        <f>E3484*1000000/D3484</f>
        <v>822089.77892170055</v>
      </c>
      <c r="I3484" t="str">
        <f>IF(AND(B3484&gt;=2018, B3484&lt;=2021), "2018-2021", IF(AND(B3484&gt;=2022, B3484&lt;=2024), "2022-2024", "Other"))</f>
        <v>2022-2024</v>
      </c>
    </row>
    <row r="3485" spans="1:9" x14ac:dyDescent="0.3">
      <c r="A3485" t="s">
        <v>15</v>
      </c>
      <c r="B3485">
        <v>2018</v>
      </c>
      <c r="C3485" t="s">
        <v>8</v>
      </c>
      <c r="D3485">
        <v>7027.51</v>
      </c>
      <c r="E3485">
        <v>6827.82</v>
      </c>
      <c r="F3485">
        <v>193.88</v>
      </c>
      <c r="G3485">
        <v>176.04</v>
      </c>
      <c r="H3485">
        <f>E3485*1000000/D3485</f>
        <v>971584.52994019212</v>
      </c>
      <c r="I3485" t="str">
        <f>IF(AND(B3485&gt;=2018, B3485&lt;=2021), "2018-2021", IF(AND(B3485&gt;=2022, B3485&lt;=2024), "2022-2024", "Other"))</f>
        <v>2018-2021</v>
      </c>
    </row>
    <row r="3486" spans="1:9" x14ac:dyDescent="0.3">
      <c r="A3486" t="s">
        <v>23</v>
      </c>
      <c r="B3486">
        <v>2022</v>
      </c>
      <c r="C3486" t="s">
        <v>14</v>
      </c>
      <c r="D3486">
        <v>17552.919999999998</v>
      </c>
      <c r="E3486">
        <v>18078.2</v>
      </c>
      <c r="F3486">
        <v>29.92</v>
      </c>
      <c r="G3486">
        <v>918.87</v>
      </c>
      <c r="H3486">
        <f>E3486*1000000/D3486</f>
        <v>1029925.5052720574</v>
      </c>
      <c r="I3486" t="str">
        <f>IF(AND(B3486&gt;=2018, B3486&lt;=2021), "2018-2021", IF(AND(B3486&gt;=2022, B3486&lt;=2024), "2022-2024", "Other"))</f>
        <v>2022-2024</v>
      </c>
    </row>
    <row r="3487" spans="1:9" x14ac:dyDescent="0.3">
      <c r="A3487" t="s">
        <v>3</v>
      </c>
      <c r="B3487">
        <v>2024</v>
      </c>
      <c r="C3487" t="s">
        <v>6</v>
      </c>
      <c r="D3487">
        <v>40280.78</v>
      </c>
      <c r="E3487">
        <v>44555.83</v>
      </c>
      <c r="F3487">
        <v>91.29</v>
      </c>
      <c r="G3487">
        <v>631.94000000000005</v>
      </c>
      <c r="H3487">
        <f>E3487*1000000/D3487</f>
        <v>1106131.2616091347</v>
      </c>
      <c r="I3487" t="str">
        <f>IF(AND(B3487&gt;=2018, B3487&lt;=2021), "2018-2021", IF(AND(B3487&gt;=2022, B3487&lt;=2024), "2022-2024", "Other"))</f>
        <v>2022-2024</v>
      </c>
    </row>
    <row r="3488" spans="1:9" x14ac:dyDescent="0.3">
      <c r="A3488" t="s">
        <v>16</v>
      </c>
      <c r="B3488">
        <v>2024</v>
      </c>
      <c r="C3488" t="s">
        <v>6</v>
      </c>
      <c r="D3488">
        <v>39430.11</v>
      </c>
      <c r="E3488">
        <v>33967.67</v>
      </c>
      <c r="F3488">
        <v>195.56</v>
      </c>
      <c r="G3488">
        <v>1238.3800000000001</v>
      </c>
      <c r="H3488">
        <f>E3488*1000000/D3488</f>
        <v>861465.26093891193</v>
      </c>
      <c r="I3488" t="str">
        <f>IF(AND(B3488&gt;=2018, B3488&lt;=2021), "2018-2021", IF(AND(B3488&gt;=2022, B3488&lt;=2024), "2022-2024", "Other"))</f>
        <v>2022-2024</v>
      </c>
    </row>
    <row r="3489" spans="1:9" x14ac:dyDescent="0.3">
      <c r="A3489" t="s">
        <v>7</v>
      </c>
      <c r="B3489">
        <v>2022</v>
      </c>
      <c r="C3489" t="s">
        <v>2</v>
      </c>
      <c r="D3489">
        <v>6814.9</v>
      </c>
      <c r="E3489">
        <v>5714.47</v>
      </c>
      <c r="F3489">
        <v>155.41</v>
      </c>
      <c r="G3489">
        <v>175.92</v>
      </c>
      <c r="H3489">
        <f>E3489*1000000/D3489</f>
        <v>838525.87712218822</v>
      </c>
      <c r="I3489" t="str">
        <f>IF(AND(B3489&gt;=2018, B3489&lt;=2021), "2018-2021", IF(AND(B3489&gt;=2022, B3489&lt;=2024), "2022-2024", "Other"))</f>
        <v>2022-2024</v>
      </c>
    </row>
    <row r="3490" spans="1:9" x14ac:dyDescent="0.3">
      <c r="A3490" t="s">
        <v>19</v>
      </c>
      <c r="B3490">
        <v>2022</v>
      </c>
      <c r="C3490" t="s">
        <v>4</v>
      </c>
      <c r="D3490">
        <v>41155.07</v>
      </c>
      <c r="E3490">
        <v>36779.53</v>
      </c>
      <c r="F3490">
        <v>167.03</v>
      </c>
      <c r="G3490">
        <v>218.12</v>
      </c>
      <c r="H3490">
        <f>E3490*1000000/D3490</f>
        <v>893681.62901921931</v>
      </c>
      <c r="I3490" t="str">
        <f>IF(AND(B3490&gt;=2018, B3490&lt;=2021), "2018-2021", IF(AND(B3490&gt;=2022, B3490&lt;=2024), "2022-2024", "Other"))</f>
        <v>2022-2024</v>
      </c>
    </row>
    <row r="3491" spans="1:9" x14ac:dyDescent="0.3">
      <c r="A3491" t="s">
        <v>15</v>
      </c>
      <c r="B3491">
        <v>2021</v>
      </c>
      <c r="C3491" t="s">
        <v>6</v>
      </c>
      <c r="D3491">
        <v>13820.66</v>
      </c>
      <c r="E3491">
        <v>13572.91</v>
      </c>
      <c r="F3491">
        <v>199.93</v>
      </c>
      <c r="G3491">
        <v>959.44</v>
      </c>
      <c r="H3491">
        <f>E3491*1000000/D3491</f>
        <v>982073.9385818044</v>
      </c>
      <c r="I3491" t="str">
        <f>IF(AND(B3491&gt;=2018, B3491&lt;=2021), "2018-2021", IF(AND(B3491&gt;=2022, B3491&lt;=2024), "2022-2024", "Other"))</f>
        <v>2018-2021</v>
      </c>
    </row>
    <row r="3492" spans="1:9" x14ac:dyDescent="0.3">
      <c r="A3492" t="s">
        <v>17</v>
      </c>
      <c r="B3492">
        <v>2022</v>
      </c>
      <c r="C3492" t="s">
        <v>4</v>
      </c>
      <c r="D3492">
        <v>37796.42</v>
      </c>
      <c r="E3492">
        <v>39306.879999999997</v>
      </c>
      <c r="F3492">
        <v>164.53</v>
      </c>
      <c r="G3492">
        <v>1122.28</v>
      </c>
      <c r="H3492">
        <f>E3492*1000000/D3492</f>
        <v>1039963.0441189933</v>
      </c>
      <c r="I3492" t="str">
        <f>IF(AND(B3492&gt;=2018, B3492&lt;=2021), "2018-2021", IF(AND(B3492&gt;=2022, B3492&lt;=2024), "2022-2024", "Other"))</f>
        <v>2022-2024</v>
      </c>
    </row>
    <row r="3493" spans="1:9" x14ac:dyDescent="0.3">
      <c r="A3493" t="s">
        <v>7</v>
      </c>
      <c r="B3493">
        <v>2022</v>
      </c>
      <c r="C3493" t="s">
        <v>2</v>
      </c>
      <c r="D3493">
        <v>9380.4599999999991</v>
      </c>
      <c r="E3493">
        <v>10402.32</v>
      </c>
      <c r="F3493">
        <v>132.16</v>
      </c>
      <c r="G3493">
        <v>891.06</v>
      </c>
      <c r="H3493">
        <f>E3493*1000000/D3493</f>
        <v>1108934.9562814618</v>
      </c>
      <c r="I3493" t="str">
        <f>IF(AND(B3493&gt;=2018, B3493&lt;=2021), "2018-2021", IF(AND(B3493&gt;=2022, B3493&lt;=2024), "2022-2024", "Other"))</f>
        <v>2022-2024</v>
      </c>
    </row>
    <row r="3494" spans="1:9" x14ac:dyDescent="0.3">
      <c r="A3494" t="s">
        <v>19</v>
      </c>
      <c r="B3494">
        <v>2020</v>
      </c>
      <c r="C3494" t="s">
        <v>2</v>
      </c>
      <c r="D3494">
        <v>4305.1099999999997</v>
      </c>
      <c r="E3494">
        <v>3922.57</v>
      </c>
      <c r="F3494">
        <v>80.739999999999995</v>
      </c>
      <c r="G3494">
        <v>1165.92</v>
      </c>
      <c r="H3494">
        <f>E3494*1000000/D3494</f>
        <v>911142.80471346853</v>
      </c>
      <c r="I3494" t="str">
        <f>IF(AND(B3494&gt;=2018, B3494&lt;=2021), "2018-2021", IF(AND(B3494&gt;=2022, B3494&lt;=2024), "2022-2024", "Other"))</f>
        <v>2018-2021</v>
      </c>
    </row>
    <row r="3495" spans="1:9" x14ac:dyDescent="0.3">
      <c r="A3495" t="s">
        <v>24</v>
      </c>
      <c r="B3495">
        <v>2020</v>
      </c>
      <c r="C3495" t="s">
        <v>4</v>
      </c>
      <c r="D3495">
        <v>43358.51</v>
      </c>
      <c r="E3495">
        <v>40559.910000000003</v>
      </c>
      <c r="F3495">
        <v>146.74</v>
      </c>
      <c r="G3495">
        <v>320.44</v>
      </c>
      <c r="H3495">
        <f>E3495*1000000/D3495</f>
        <v>935454.42405654618</v>
      </c>
      <c r="I3495" t="str">
        <f>IF(AND(B3495&gt;=2018, B3495&lt;=2021), "2018-2021", IF(AND(B3495&gt;=2022, B3495&lt;=2024), "2022-2024", "Other"))</f>
        <v>2018-2021</v>
      </c>
    </row>
    <row r="3496" spans="1:9" x14ac:dyDescent="0.3">
      <c r="A3496" t="s">
        <v>3</v>
      </c>
      <c r="B3496">
        <v>2024</v>
      </c>
      <c r="C3496" t="s">
        <v>12</v>
      </c>
      <c r="D3496">
        <v>33383.46</v>
      </c>
      <c r="E3496">
        <v>31641.85</v>
      </c>
      <c r="F3496">
        <v>179.15</v>
      </c>
      <c r="G3496">
        <v>700.52</v>
      </c>
      <c r="H3496">
        <f>E3496*1000000/D3496</f>
        <v>947830.1530158947</v>
      </c>
      <c r="I3496" t="str">
        <f>IF(AND(B3496&gt;=2018, B3496&lt;=2021), "2018-2021", IF(AND(B3496&gt;=2022, B3496&lt;=2024), "2022-2024", "Other"))</f>
        <v>2022-2024</v>
      </c>
    </row>
    <row r="3497" spans="1:9" x14ac:dyDescent="0.3">
      <c r="A3497" t="s">
        <v>16</v>
      </c>
      <c r="B3497">
        <v>2023</v>
      </c>
      <c r="C3497" t="s">
        <v>14</v>
      </c>
      <c r="D3497">
        <v>11076.21</v>
      </c>
      <c r="E3497">
        <v>9468.17</v>
      </c>
      <c r="F3497">
        <v>23.69</v>
      </c>
      <c r="G3497">
        <v>847.22</v>
      </c>
      <c r="H3497">
        <f>E3497*1000000/D3497</f>
        <v>854820.37628394552</v>
      </c>
      <c r="I3497" t="str">
        <f>IF(AND(B3497&gt;=2018, B3497&lt;=2021), "2018-2021", IF(AND(B3497&gt;=2022, B3497&lt;=2024), "2022-2024", "Other"))</f>
        <v>2022-2024</v>
      </c>
    </row>
    <row r="3498" spans="1:9" x14ac:dyDescent="0.3">
      <c r="A3498" t="s">
        <v>24</v>
      </c>
      <c r="B3498">
        <v>2022</v>
      </c>
      <c r="C3498" t="s">
        <v>6</v>
      </c>
      <c r="D3498">
        <v>35453.199999999997</v>
      </c>
      <c r="E3498">
        <v>29871.31</v>
      </c>
      <c r="F3498">
        <v>120.72</v>
      </c>
      <c r="G3498">
        <v>162.58000000000001</v>
      </c>
      <c r="H3498">
        <f>E3498*1000000/D3498</f>
        <v>842556.10212900396</v>
      </c>
      <c r="I3498" t="str">
        <f>IF(AND(B3498&gt;=2018, B3498&lt;=2021), "2018-2021", IF(AND(B3498&gt;=2022, B3498&lt;=2024), "2022-2024", "Other"))</f>
        <v>2022-2024</v>
      </c>
    </row>
    <row r="3499" spans="1:9" x14ac:dyDescent="0.3">
      <c r="A3499" t="s">
        <v>25</v>
      </c>
      <c r="B3499">
        <v>2021</v>
      </c>
      <c r="C3499" t="s">
        <v>9</v>
      </c>
      <c r="D3499">
        <v>13457.47</v>
      </c>
      <c r="E3499">
        <v>13475.25</v>
      </c>
      <c r="F3499">
        <v>90.53</v>
      </c>
      <c r="G3499">
        <v>633.97</v>
      </c>
      <c r="H3499">
        <f>E3499*1000000/D3499</f>
        <v>1001321.1993041784</v>
      </c>
      <c r="I3499" t="str">
        <f>IF(AND(B3499&gt;=2018, B3499&lt;=2021), "2018-2021", IF(AND(B3499&gt;=2022, B3499&lt;=2024), "2022-2024", "Other"))</f>
        <v>2018-2021</v>
      </c>
    </row>
    <row r="3500" spans="1:9" x14ac:dyDescent="0.3">
      <c r="A3500" t="s">
        <v>19</v>
      </c>
      <c r="B3500">
        <v>2020</v>
      </c>
      <c r="C3500" t="s">
        <v>4</v>
      </c>
      <c r="D3500">
        <v>19988.52</v>
      </c>
      <c r="E3500">
        <v>22368.34</v>
      </c>
      <c r="F3500">
        <v>95.72</v>
      </c>
      <c r="G3500">
        <v>111.11</v>
      </c>
      <c r="H3500">
        <f>E3500*1000000/D3500</f>
        <v>1119059.3400611952</v>
      </c>
      <c r="I3500" t="str">
        <f>IF(AND(B3500&gt;=2018, B3500&lt;=2021), "2018-2021", IF(AND(B3500&gt;=2022, B3500&lt;=2024), "2022-2024", "Other"))</f>
        <v>2018-2021</v>
      </c>
    </row>
    <row r="3501" spans="1:9" x14ac:dyDescent="0.3">
      <c r="A3501" t="s">
        <v>22</v>
      </c>
      <c r="B3501">
        <v>2020</v>
      </c>
      <c r="C3501" t="s">
        <v>0</v>
      </c>
      <c r="D3501">
        <v>44207.99</v>
      </c>
      <c r="E3501">
        <v>36016.43</v>
      </c>
      <c r="F3501">
        <v>101.07</v>
      </c>
      <c r="G3501">
        <v>1388.28</v>
      </c>
      <c r="H3501">
        <f>E3501*1000000/D3501</f>
        <v>814704.08403548773</v>
      </c>
      <c r="I3501" t="str">
        <f>IF(AND(B3501&gt;=2018, B3501&lt;=2021), "2018-2021", IF(AND(B3501&gt;=2022, B3501&lt;=2024), "2022-2024", "Other"))</f>
        <v>2018-2021</v>
      </c>
    </row>
    <row r="3502" spans="1:9" x14ac:dyDescent="0.3">
      <c r="A3502" t="s">
        <v>19</v>
      </c>
      <c r="B3502">
        <v>2022</v>
      </c>
      <c r="C3502" t="s">
        <v>0</v>
      </c>
      <c r="D3502">
        <v>41808.81</v>
      </c>
      <c r="E3502">
        <v>42236.58</v>
      </c>
      <c r="F3502">
        <v>67.75</v>
      </c>
      <c r="G3502">
        <v>655.29</v>
      </c>
      <c r="H3502">
        <f>E3502*1000000/D3502</f>
        <v>1010231.5755937565</v>
      </c>
      <c r="I3502" t="str">
        <f>IF(AND(B3502&gt;=2018, B3502&lt;=2021), "2018-2021", IF(AND(B3502&gt;=2022, B3502&lt;=2024), "2022-2024", "Other"))</f>
        <v>2022-2024</v>
      </c>
    </row>
    <row r="3503" spans="1:9" x14ac:dyDescent="0.3">
      <c r="A3503" t="s">
        <v>27</v>
      </c>
      <c r="B3503">
        <v>2023</v>
      </c>
      <c r="C3503" t="s">
        <v>0</v>
      </c>
      <c r="D3503">
        <v>23698.47</v>
      </c>
      <c r="E3503">
        <v>26035.42</v>
      </c>
      <c r="F3503">
        <v>135.44999999999999</v>
      </c>
      <c r="G3503">
        <v>424.67</v>
      </c>
      <c r="H3503">
        <f>E3503*1000000/D3503</f>
        <v>1098611.851313608</v>
      </c>
      <c r="I3503" t="str">
        <f>IF(AND(B3503&gt;=2018, B3503&lt;=2021), "2018-2021", IF(AND(B3503&gt;=2022, B3503&lt;=2024), "2022-2024", "Other"))</f>
        <v>2022-2024</v>
      </c>
    </row>
    <row r="3504" spans="1:9" x14ac:dyDescent="0.3">
      <c r="A3504" t="s">
        <v>21</v>
      </c>
      <c r="B3504">
        <v>2024</v>
      </c>
      <c r="C3504" t="s">
        <v>8</v>
      </c>
      <c r="D3504">
        <v>13083.38</v>
      </c>
      <c r="E3504">
        <v>13486.47</v>
      </c>
      <c r="F3504">
        <v>83.71</v>
      </c>
      <c r="G3504">
        <v>96.73</v>
      </c>
      <c r="H3504">
        <f>E3504*1000000/D3504</f>
        <v>1030809.3168584877</v>
      </c>
      <c r="I3504" t="str">
        <f>IF(AND(B3504&gt;=2018, B3504&lt;=2021), "2018-2021", IF(AND(B3504&gt;=2022, B3504&lt;=2024), "2022-2024", "Other"))</f>
        <v>2022-2024</v>
      </c>
    </row>
    <row r="3505" spans="1:9" x14ac:dyDescent="0.3">
      <c r="A3505" t="s">
        <v>15</v>
      </c>
      <c r="B3505">
        <v>2021</v>
      </c>
      <c r="C3505" t="s">
        <v>2</v>
      </c>
      <c r="D3505">
        <v>28760.63</v>
      </c>
      <c r="E3505">
        <v>23062.880000000001</v>
      </c>
      <c r="F3505">
        <v>158.32</v>
      </c>
      <c r="G3505">
        <v>427.03</v>
      </c>
      <c r="H3505">
        <f>E3505*1000000/D3505</f>
        <v>801890.64008681313</v>
      </c>
      <c r="I3505" t="str">
        <f>IF(AND(B3505&gt;=2018, B3505&lt;=2021), "2018-2021", IF(AND(B3505&gt;=2022, B3505&lt;=2024), "2022-2024", "Other"))</f>
        <v>2018-2021</v>
      </c>
    </row>
    <row r="3506" spans="1:9" x14ac:dyDescent="0.3">
      <c r="A3506" t="s">
        <v>20</v>
      </c>
      <c r="B3506">
        <v>2022</v>
      </c>
      <c r="C3506" t="s">
        <v>8</v>
      </c>
      <c r="D3506">
        <v>6212.78</v>
      </c>
      <c r="E3506">
        <v>6174.84</v>
      </c>
      <c r="F3506">
        <v>178.86</v>
      </c>
      <c r="G3506">
        <v>1001.38</v>
      </c>
      <c r="H3506">
        <f>E3506*1000000/D3506</f>
        <v>993893.23298104876</v>
      </c>
      <c r="I3506" t="str">
        <f>IF(AND(B3506&gt;=2018, B3506&lt;=2021), "2018-2021", IF(AND(B3506&gt;=2022, B3506&lt;=2024), "2022-2024", "Other"))</f>
        <v>2022-2024</v>
      </c>
    </row>
    <row r="3507" spans="1:9" x14ac:dyDescent="0.3">
      <c r="A3507" t="s">
        <v>26</v>
      </c>
      <c r="B3507">
        <v>2020</v>
      </c>
      <c r="C3507" t="s">
        <v>8</v>
      </c>
      <c r="D3507">
        <v>39039.85</v>
      </c>
      <c r="E3507">
        <v>33362.620000000003</v>
      </c>
      <c r="F3507">
        <v>123.73</v>
      </c>
      <c r="G3507">
        <v>1044.3499999999999</v>
      </c>
      <c r="H3507">
        <f>E3507*1000000/D3507</f>
        <v>854578.59085011866</v>
      </c>
      <c r="I3507" t="str">
        <f>IF(AND(B3507&gt;=2018, B3507&lt;=2021), "2018-2021", IF(AND(B3507&gt;=2022, B3507&lt;=2024), "2022-2024", "Other"))</f>
        <v>2018-2021</v>
      </c>
    </row>
    <row r="3508" spans="1:9" x14ac:dyDescent="0.3">
      <c r="A3508" t="s">
        <v>24</v>
      </c>
      <c r="B3508">
        <v>2018</v>
      </c>
      <c r="C3508" t="s">
        <v>12</v>
      </c>
      <c r="D3508">
        <v>18969.11</v>
      </c>
      <c r="E3508">
        <v>15680.79</v>
      </c>
      <c r="F3508">
        <v>53.34</v>
      </c>
      <c r="G3508">
        <v>1132.33</v>
      </c>
      <c r="H3508">
        <f>E3508*1000000/D3508</f>
        <v>826648.69358657312</v>
      </c>
      <c r="I3508" t="str">
        <f>IF(AND(B3508&gt;=2018, B3508&lt;=2021), "2018-2021", IF(AND(B3508&gt;=2022, B3508&lt;=2024), "2022-2024", "Other"))</f>
        <v>2018-2021</v>
      </c>
    </row>
    <row r="3509" spans="1:9" x14ac:dyDescent="0.3">
      <c r="A3509" t="s">
        <v>1</v>
      </c>
      <c r="B3509">
        <v>2020</v>
      </c>
      <c r="C3509" t="s">
        <v>2</v>
      </c>
      <c r="D3509">
        <v>38395.449999999997</v>
      </c>
      <c r="E3509">
        <v>33656.74</v>
      </c>
      <c r="F3509">
        <v>73.040000000000006</v>
      </c>
      <c r="G3509">
        <v>541.42999999999995</v>
      </c>
      <c r="H3509">
        <f>E3509*1000000/D3509</f>
        <v>876581.46993979753</v>
      </c>
      <c r="I3509" t="str">
        <f>IF(AND(B3509&gt;=2018, B3509&lt;=2021), "2018-2021", IF(AND(B3509&gt;=2022, B3509&lt;=2024), "2022-2024", "Other"))</f>
        <v>2018-2021</v>
      </c>
    </row>
    <row r="3510" spans="1:9" x14ac:dyDescent="0.3">
      <c r="A3510" t="s">
        <v>3</v>
      </c>
      <c r="B3510">
        <v>2023</v>
      </c>
      <c r="C3510" t="s">
        <v>9</v>
      </c>
      <c r="D3510">
        <v>34163.29</v>
      </c>
      <c r="E3510">
        <v>40069.69</v>
      </c>
      <c r="F3510">
        <v>91.17</v>
      </c>
      <c r="G3510">
        <v>635.01</v>
      </c>
      <c r="H3510">
        <f>E3510*1000000/D3510</f>
        <v>1172887.3302307827</v>
      </c>
      <c r="I3510" t="str">
        <f>IF(AND(B3510&gt;=2018, B3510&lt;=2021), "2018-2021", IF(AND(B3510&gt;=2022, B3510&lt;=2024), "2022-2024", "Other"))</f>
        <v>2022-2024</v>
      </c>
    </row>
    <row r="3511" spans="1:9" x14ac:dyDescent="0.3">
      <c r="A3511" t="s">
        <v>17</v>
      </c>
      <c r="B3511">
        <v>2024</v>
      </c>
      <c r="C3511" t="s">
        <v>12</v>
      </c>
      <c r="D3511">
        <v>10616.72</v>
      </c>
      <c r="E3511">
        <v>12150.96</v>
      </c>
      <c r="F3511">
        <v>149.33000000000001</v>
      </c>
      <c r="G3511">
        <v>1263.27</v>
      </c>
      <c r="H3511">
        <f>E3511*1000000/D3511</f>
        <v>1144511.6759225072</v>
      </c>
      <c r="I3511" t="str">
        <f>IF(AND(B3511&gt;=2018, B3511&lt;=2021), "2018-2021", IF(AND(B3511&gt;=2022, B3511&lt;=2024), "2022-2024", "Other"))</f>
        <v>2022-2024</v>
      </c>
    </row>
    <row r="3512" spans="1:9" x14ac:dyDescent="0.3">
      <c r="A3512" t="s">
        <v>10</v>
      </c>
      <c r="B3512">
        <v>2018</v>
      </c>
      <c r="C3512" t="s">
        <v>14</v>
      </c>
      <c r="D3512">
        <v>16670.87</v>
      </c>
      <c r="E3512">
        <v>15213.54</v>
      </c>
      <c r="F3512">
        <v>41.88</v>
      </c>
      <c r="G3512">
        <v>293.10000000000002</v>
      </c>
      <c r="H3512">
        <f>E3512*1000000/D3512</f>
        <v>912582.24675736786</v>
      </c>
      <c r="I3512" t="str">
        <f>IF(AND(B3512&gt;=2018, B3512&lt;=2021), "2018-2021", IF(AND(B3512&gt;=2022, B3512&lt;=2024), "2022-2024", "Other"))</f>
        <v>2018-2021</v>
      </c>
    </row>
    <row r="3513" spans="1:9" x14ac:dyDescent="0.3">
      <c r="A3513" t="s">
        <v>23</v>
      </c>
      <c r="B3513">
        <v>2020</v>
      </c>
      <c r="C3513" t="s">
        <v>8</v>
      </c>
      <c r="D3513">
        <v>37779.06</v>
      </c>
      <c r="E3513">
        <v>38537.1</v>
      </c>
      <c r="F3513">
        <v>115.99</v>
      </c>
      <c r="G3513">
        <v>713.79</v>
      </c>
      <c r="H3513">
        <f>E3513*1000000/D3513</f>
        <v>1020065.0836733365</v>
      </c>
      <c r="I3513" t="str">
        <f>IF(AND(B3513&gt;=2018, B3513&lt;=2021), "2018-2021", IF(AND(B3513&gt;=2022, B3513&lt;=2024), "2022-2024", "Other"))</f>
        <v>2018-2021</v>
      </c>
    </row>
    <row r="3514" spans="1:9" x14ac:dyDescent="0.3">
      <c r="A3514" t="s">
        <v>23</v>
      </c>
      <c r="B3514">
        <v>2023</v>
      </c>
      <c r="C3514" t="s">
        <v>9</v>
      </c>
      <c r="D3514">
        <v>43452.84</v>
      </c>
      <c r="E3514">
        <v>46978.35</v>
      </c>
      <c r="F3514">
        <v>169.27</v>
      </c>
      <c r="G3514">
        <v>1297.9100000000001</v>
      </c>
      <c r="H3514">
        <f>E3514*1000000/D3514</f>
        <v>1081134.1675250686</v>
      </c>
      <c r="I3514" t="str">
        <f>IF(AND(B3514&gt;=2018, B3514&lt;=2021), "2018-2021", IF(AND(B3514&gt;=2022, B3514&lt;=2024), "2022-2024", "Other"))</f>
        <v>2022-2024</v>
      </c>
    </row>
    <row r="3515" spans="1:9" x14ac:dyDescent="0.3">
      <c r="A3515" t="s">
        <v>10</v>
      </c>
      <c r="B3515">
        <v>2019</v>
      </c>
      <c r="C3515" t="s">
        <v>14</v>
      </c>
      <c r="D3515">
        <v>11818.08</v>
      </c>
      <c r="E3515">
        <v>12573.23</v>
      </c>
      <c r="F3515">
        <v>53.13</v>
      </c>
      <c r="G3515">
        <v>1346.06</v>
      </c>
      <c r="H3515">
        <f>E3515*1000000/D3515</f>
        <v>1063897.8581969321</v>
      </c>
      <c r="I3515" t="str">
        <f>IF(AND(B3515&gt;=2018, B3515&lt;=2021), "2018-2021", IF(AND(B3515&gt;=2022, B3515&lt;=2024), "2022-2024", "Other"))</f>
        <v>2018-2021</v>
      </c>
    </row>
    <row r="3516" spans="1:9" x14ac:dyDescent="0.3">
      <c r="A3516" t="s">
        <v>26</v>
      </c>
      <c r="B3516">
        <v>2021</v>
      </c>
      <c r="C3516" t="s">
        <v>8</v>
      </c>
      <c r="D3516">
        <v>37858.620000000003</v>
      </c>
      <c r="E3516">
        <v>42367.34</v>
      </c>
      <c r="F3516">
        <v>78.400000000000006</v>
      </c>
      <c r="G3516">
        <v>873.33</v>
      </c>
      <c r="H3516">
        <f>E3516*1000000/D3516</f>
        <v>1119093.6172528211</v>
      </c>
      <c r="I3516" t="str">
        <f>IF(AND(B3516&gt;=2018, B3516&lt;=2021), "2018-2021", IF(AND(B3516&gt;=2022, B3516&lt;=2024), "2022-2024", "Other"))</f>
        <v>2018-2021</v>
      </c>
    </row>
    <row r="3517" spans="1:9" x14ac:dyDescent="0.3">
      <c r="A3517" t="s">
        <v>18</v>
      </c>
      <c r="B3517">
        <v>2019</v>
      </c>
      <c r="C3517" t="s">
        <v>0</v>
      </c>
      <c r="D3517">
        <v>24684.76</v>
      </c>
      <c r="E3517">
        <v>29436.85</v>
      </c>
      <c r="F3517">
        <v>96.73</v>
      </c>
      <c r="G3517">
        <v>275.13</v>
      </c>
      <c r="H3517">
        <f>E3517*1000000/D3517</f>
        <v>1192511.0878128854</v>
      </c>
      <c r="I3517" t="str">
        <f>IF(AND(B3517&gt;=2018, B3517&lt;=2021), "2018-2021", IF(AND(B3517&gt;=2022, B3517&lt;=2024), "2022-2024", "Other"))</f>
        <v>2018-2021</v>
      </c>
    </row>
    <row r="3518" spans="1:9" x14ac:dyDescent="0.3">
      <c r="A3518" t="s">
        <v>1</v>
      </c>
      <c r="B3518">
        <v>2023</v>
      </c>
      <c r="C3518" t="s">
        <v>8</v>
      </c>
      <c r="D3518">
        <v>18789.68</v>
      </c>
      <c r="E3518">
        <v>19530.43</v>
      </c>
      <c r="F3518">
        <v>86.12</v>
      </c>
      <c r="G3518">
        <v>53.04</v>
      </c>
      <c r="H3518">
        <f>E3518*1000000/D3518</f>
        <v>1039423.2365851894</v>
      </c>
      <c r="I3518" t="str">
        <f>IF(AND(B3518&gt;=2018, B3518&lt;=2021), "2018-2021", IF(AND(B3518&gt;=2022, B3518&lt;=2024), "2022-2024", "Other"))</f>
        <v>2022-2024</v>
      </c>
    </row>
    <row r="3519" spans="1:9" x14ac:dyDescent="0.3">
      <c r="A3519" t="s">
        <v>1</v>
      </c>
      <c r="B3519">
        <v>2021</v>
      </c>
      <c r="C3519" t="s">
        <v>9</v>
      </c>
      <c r="D3519">
        <v>36882.589999999997</v>
      </c>
      <c r="E3519">
        <v>38144.019999999997</v>
      </c>
      <c r="F3519">
        <v>153.66999999999999</v>
      </c>
      <c r="G3519">
        <v>1006.64</v>
      </c>
      <c r="H3519">
        <f>E3519*1000000/D3519</f>
        <v>1034201.2315295646</v>
      </c>
      <c r="I3519" t="str">
        <f>IF(AND(B3519&gt;=2018, B3519&lt;=2021), "2018-2021", IF(AND(B3519&gt;=2022, B3519&lt;=2024), "2022-2024", "Other"))</f>
        <v>2018-2021</v>
      </c>
    </row>
    <row r="3520" spans="1:9" x14ac:dyDescent="0.3">
      <c r="A3520" t="s">
        <v>7</v>
      </c>
      <c r="B3520">
        <v>2020</v>
      </c>
      <c r="C3520" t="s">
        <v>4</v>
      </c>
      <c r="D3520">
        <v>6085.28</v>
      </c>
      <c r="E3520">
        <v>5685.71</v>
      </c>
      <c r="F3520">
        <v>95.93</v>
      </c>
      <c r="G3520">
        <v>219.51</v>
      </c>
      <c r="H3520">
        <f>E3520*1000000/D3520</f>
        <v>934338.27202692407</v>
      </c>
      <c r="I3520" t="str">
        <f>IF(AND(B3520&gt;=2018, B3520&lt;=2021), "2018-2021", IF(AND(B3520&gt;=2022, B3520&lt;=2024), "2022-2024", "Other"))</f>
        <v>2018-2021</v>
      </c>
    </row>
    <row r="3521" spans="1:9" x14ac:dyDescent="0.3">
      <c r="A3521" t="s">
        <v>10</v>
      </c>
      <c r="B3521">
        <v>2021</v>
      </c>
      <c r="C3521" t="s">
        <v>8</v>
      </c>
      <c r="D3521">
        <v>29603.919999999998</v>
      </c>
      <c r="E3521">
        <v>30482.84</v>
      </c>
      <c r="F3521">
        <v>146.65</v>
      </c>
      <c r="G3521">
        <v>684.44</v>
      </c>
      <c r="H3521">
        <f>E3521*1000000/D3521</f>
        <v>1029689.3114155153</v>
      </c>
      <c r="I3521" t="str">
        <f>IF(AND(B3521&gt;=2018, B3521&lt;=2021), "2018-2021", IF(AND(B3521&gt;=2022, B3521&lt;=2024), "2022-2024", "Other"))</f>
        <v>2018-2021</v>
      </c>
    </row>
    <row r="3522" spans="1:9" x14ac:dyDescent="0.3">
      <c r="A3522" t="s">
        <v>3</v>
      </c>
      <c r="B3522">
        <v>2023</v>
      </c>
      <c r="C3522" t="s">
        <v>4</v>
      </c>
      <c r="D3522">
        <v>27759.88</v>
      </c>
      <c r="E3522">
        <v>31262.21</v>
      </c>
      <c r="F3522">
        <v>36.5</v>
      </c>
      <c r="G3522">
        <v>86.32</v>
      </c>
      <c r="H3522">
        <f>E3522*1000000/D3522</f>
        <v>1126165.170742813</v>
      </c>
      <c r="I3522" t="str">
        <f>IF(AND(B3522&gt;=2018, B3522&lt;=2021), "2018-2021", IF(AND(B3522&gt;=2022, B3522&lt;=2024), "2022-2024", "Other"))</f>
        <v>2022-2024</v>
      </c>
    </row>
    <row r="3523" spans="1:9" x14ac:dyDescent="0.3">
      <c r="A3523" t="s">
        <v>17</v>
      </c>
      <c r="B3523">
        <v>2022</v>
      </c>
      <c r="C3523" t="s">
        <v>4</v>
      </c>
      <c r="D3523">
        <v>27413.78</v>
      </c>
      <c r="E3523">
        <v>31419.33</v>
      </c>
      <c r="F3523">
        <v>195.72</v>
      </c>
      <c r="G3523">
        <v>211.42</v>
      </c>
      <c r="H3523">
        <f>E3523*1000000/D3523</f>
        <v>1146114.4723566032</v>
      </c>
      <c r="I3523" t="str">
        <f>IF(AND(B3523&gt;=2018, B3523&lt;=2021), "2018-2021", IF(AND(B3523&gt;=2022, B3523&lt;=2024), "2022-2024", "Other"))</f>
        <v>2022-2024</v>
      </c>
    </row>
    <row r="3524" spans="1:9" x14ac:dyDescent="0.3">
      <c r="A3524" t="s">
        <v>19</v>
      </c>
      <c r="B3524">
        <v>2018</v>
      </c>
      <c r="C3524" t="s">
        <v>6</v>
      </c>
      <c r="D3524">
        <v>7051.79</v>
      </c>
      <c r="E3524">
        <v>8068.39</v>
      </c>
      <c r="F3524">
        <v>172.93</v>
      </c>
      <c r="G3524">
        <v>810.83</v>
      </c>
      <c r="H3524">
        <f>E3524*1000000/D3524</f>
        <v>1144161.9787316411</v>
      </c>
      <c r="I3524" t="str">
        <f>IF(AND(B3524&gt;=2018, B3524&lt;=2021), "2018-2021", IF(AND(B3524&gt;=2022, B3524&lt;=2024), "2022-2024", "Other"))</f>
        <v>2018-2021</v>
      </c>
    </row>
    <row r="3525" spans="1:9" x14ac:dyDescent="0.3">
      <c r="A3525" t="s">
        <v>24</v>
      </c>
      <c r="B3525">
        <v>2020</v>
      </c>
      <c r="C3525" t="s">
        <v>14</v>
      </c>
      <c r="D3525">
        <v>10435.280000000001</v>
      </c>
      <c r="E3525">
        <v>11697.07</v>
      </c>
      <c r="F3525">
        <v>184</v>
      </c>
      <c r="G3525">
        <v>1253.49</v>
      </c>
      <c r="H3525">
        <f>E3525*1000000/D3525</f>
        <v>1120915.7780145812</v>
      </c>
      <c r="I3525" t="str">
        <f>IF(AND(B3525&gt;=2018, B3525&lt;=2021), "2018-2021", IF(AND(B3525&gt;=2022, B3525&lt;=2024), "2022-2024", "Other"))</f>
        <v>2018-2021</v>
      </c>
    </row>
    <row r="3526" spans="1:9" x14ac:dyDescent="0.3">
      <c r="A3526" t="s">
        <v>10</v>
      </c>
      <c r="B3526">
        <v>2023</v>
      </c>
      <c r="C3526" t="s">
        <v>6</v>
      </c>
      <c r="D3526">
        <v>41999.88</v>
      </c>
      <c r="E3526">
        <v>35491.64</v>
      </c>
      <c r="F3526">
        <v>21.29</v>
      </c>
      <c r="G3526">
        <v>625.16</v>
      </c>
      <c r="H3526">
        <f>E3526*1000000/D3526</f>
        <v>845041.46202322491</v>
      </c>
      <c r="I3526" t="str">
        <f>IF(AND(B3526&gt;=2018, B3526&lt;=2021), "2018-2021", IF(AND(B3526&gt;=2022, B3526&lt;=2024), "2022-2024", "Other"))</f>
        <v>2022-2024</v>
      </c>
    </row>
    <row r="3527" spans="1:9" x14ac:dyDescent="0.3">
      <c r="A3527" t="s">
        <v>3</v>
      </c>
      <c r="B3527">
        <v>2024</v>
      </c>
      <c r="C3527" t="s">
        <v>8</v>
      </c>
      <c r="D3527">
        <v>49903.519999999997</v>
      </c>
      <c r="E3527">
        <v>44884.59</v>
      </c>
      <c r="F3527">
        <v>129.94999999999999</v>
      </c>
      <c r="G3527">
        <v>64.36</v>
      </c>
      <c r="H3527">
        <f>E3527*1000000/D3527</f>
        <v>899427.33498558821</v>
      </c>
      <c r="I3527" t="str">
        <f>IF(AND(B3527&gt;=2018, B3527&lt;=2021), "2018-2021", IF(AND(B3527&gt;=2022, B3527&lt;=2024), "2022-2024", "Other"))</f>
        <v>2022-2024</v>
      </c>
    </row>
    <row r="3528" spans="1:9" x14ac:dyDescent="0.3">
      <c r="A3528" t="s">
        <v>1</v>
      </c>
      <c r="B3528">
        <v>2024</v>
      </c>
      <c r="C3528" t="s">
        <v>2</v>
      </c>
      <c r="D3528">
        <v>15469.35</v>
      </c>
      <c r="E3528">
        <v>17461.830000000002</v>
      </c>
      <c r="F3528">
        <v>179.3</v>
      </c>
      <c r="G3528">
        <v>1024.33</v>
      </c>
      <c r="H3528">
        <f>E3528*1000000/D3528</f>
        <v>1128801.7919304948</v>
      </c>
      <c r="I3528" t="str">
        <f>IF(AND(B3528&gt;=2018, B3528&lt;=2021), "2018-2021", IF(AND(B3528&gt;=2022, B3528&lt;=2024), "2022-2024", "Other"))</f>
        <v>2022-2024</v>
      </c>
    </row>
    <row r="3529" spans="1:9" x14ac:dyDescent="0.3">
      <c r="A3529" t="s">
        <v>1</v>
      </c>
      <c r="B3529">
        <v>2018</v>
      </c>
      <c r="C3529" t="s">
        <v>9</v>
      </c>
      <c r="D3529">
        <v>23873.09</v>
      </c>
      <c r="E3529">
        <v>27038.639999999999</v>
      </c>
      <c r="F3529">
        <v>152.80000000000001</v>
      </c>
      <c r="G3529">
        <v>93.06</v>
      </c>
      <c r="H3529">
        <f>E3529*1000000/D3529</f>
        <v>1132599.089602561</v>
      </c>
      <c r="I3529" t="str">
        <f>IF(AND(B3529&gt;=2018, B3529&lt;=2021), "2018-2021", IF(AND(B3529&gt;=2022, B3529&lt;=2024), "2022-2024", "Other"))</f>
        <v>2018-2021</v>
      </c>
    </row>
    <row r="3530" spans="1:9" x14ac:dyDescent="0.3">
      <c r="A3530" t="s">
        <v>21</v>
      </c>
      <c r="B3530">
        <v>2024</v>
      </c>
      <c r="C3530" t="s">
        <v>0</v>
      </c>
      <c r="D3530">
        <v>8418.73</v>
      </c>
      <c r="E3530">
        <v>7673.55</v>
      </c>
      <c r="F3530">
        <v>120.96</v>
      </c>
      <c r="G3530">
        <v>340.94</v>
      </c>
      <c r="H3530">
        <f>E3530*1000000/D3530</f>
        <v>911485.46158387314</v>
      </c>
      <c r="I3530" t="str">
        <f>IF(AND(B3530&gt;=2018, B3530&lt;=2021), "2018-2021", IF(AND(B3530&gt;=2022, B3530&lt;=2024), "2022-2024", "Other"))</f>
        <v>2022-2024</v>
      </c>
    </row>
    <row r="3531" spans="1:9" x14ac:dyDescent="0.3">
      <c r="A3531" t="s">
        <v>23</v>
      </c>
      <c r="B3531">
        <v>2021</v>
      </c>
      <c r="C3531" t="s">
        <v>6</v>
      </c>
      <c r="D3531">
        <v>44857.26</v>
      </c>
      <c r="E3531">
        <v>37550.959999999999</v>
      </c>
      <c r="F3531">
        <v>85.57</v>
      </c>
      <c r="G3531">
        <v>973.35</v>
      </c>
      <c r="H3531">
        <f>E3531*1000000/D3531</f>
        <v>837121.12598941615</v>
      </c>
      <c r="I3531" t="str">
        <f>IF(AND(B3531&gt;=2018, B3531&lt;=2021), "2018-2021", IF(AND(B3531&gt;=2022, B3531&lt;=2024), "2022-2024", "Other"))</f>
        <v>2018-2021</v>
      </c>
    </row>
    <row r="3532" spans="1:9" x14ac:dyDescent="0.3">
      <c r="A3532" t="s">
        <v>18</v>
      </c>
      <c r="B3532">
        <v>2018</v>
      </c>
      <c r="C3532" t="s">
        <v>2</v>
      </c>
      <c r="D3532">
        <v>30422.62</v>
      </c>
      <c r="E3532">
        <v>28442.080000000002</v>
      </c>
      <c r="F3532">
        <v>186.42</v>
      </c>
      <c r="G3532">
        <v>169.12</v>
      </c>
      <c r="H3532">
        <f>E3532*1000000/D3532</f>
        <v>934899.09810529137</v>
      </c>
      <c r="I3532" t="str">
        <f>IF(AND(B3532&gt;=2018, B3532&lt;=2021), "2018-2021", IF(AND(B3532&gt;=2022, B3532&lt;=2024), "2022-2024", "Other"))</f>
        <v>2018-2021</v>
      </c>
    </row>
    <row r="3533" spans="1:9" x14ac:dyDescent="0.3">
      <c r="A3533" t="s">
        <v>11</v>
      </c>
      <c r="B3533">
        <v>2023</v>
      </c>
      <c r="C3533" t="s">
        <v>6</v>
      </c>
      <c r="D3533">
        <v>1765.31</v>
      </c>
      <c r="E3533">
        <v>1563.86</v>
      </c>
      <c r="F3533">
        <v>141.68</v>
      </c>
      <c r="G3533">
        <v>788.06</v>
      </c>
      <c r="H3533">
        <f>E3533*1000000/D3533</f>
        <v>885884.06568817946</v>
      </c>
      <c r="I3533" t="str">
        <f>IF(AND(B3533&gt;=2018, B3533&lt;=2021), "2018-2021", IF(AND(B3533&gt;=2022, B3533&lt;=2024), "2022-2024", "Other"))</f>
        <v>2022-2024</v>
      </c>
    </row>
    <row r="3534" spans="1:9" x14ac:dyDescent="0.3">
      <c r="A3534" t="s">
        <v>24</v>
      </c>
      <c r="B3534">
        <v>2020</v>
      </c>
      <c r="C3534" t="s">
        <v>6</v>
      </c>
      <c r="D3534">
        <v>45203.74</v>
      </c>
      <c r="E3534">
        <v>39651.230000000003</v>
      </c>
      <c r="F3534">
        <v>149.69</v>
      </c>
      <c r="G3534">
        <v>422.11</v>
      </c>
      <c r="H3534">
        <f>E3534*1000000/D3534</f>
        <v>877167.02202074439</v>
      </c>
      <c r="I3534" t="str">
        <f>IF(AND(B3534&gt;=2018, B3534&lt;=2021), "2018-2021", IF(AND(B3534&gt;=2022, B3534&lt;=2024), "2022-2024", "Other"))</f>
        <v>2018-2021</v>
      </c>
    </row>
    <row r="3535" spans="1:9" x14ac:dyDescent="0.3">
      <c r="A3535" t="s">
        <v>16</v>
      </c>
      <c r="B3535">
        <v>2019</v>
      </c>
      <c r="C3535" t="s">
        <v>12</v>
      </c>
      <c r="D3535">
        <v>20798.810000000001</v>
      </c>
      <c r="E3535">
        <v>17180.169999999998</v>
      </c>
      <c r="F3535">
        <v>113.03</v>
      </c>
      <c r="G3535">
        <v>609.22</v>
      </c>
      <c r="H3535">
        <f>E3535*1000000/D3535</f>
        <v>826016.96924006706</v>
      </c>
      <c r="I3535" t="str">
        <f>IF(AND(B3535&gt;=2018, B3535&lt;=2021), "2018-2021", IF(AND(B3535&gt;=2022, B3535&lt;=2024), "2022-2024", "Other"))</f>
        <v>2018-2021</v>
      </c>
    </row>
    <row r="3536" spans="1:9" x14ac:dyDescent="0.3">
      <c r="A3536" t="s">
        <v>17</v>
      </c>
      <c r="B3536">
        <v>2021</v>
      </c>
      <c r="C3536" t="s">
        <v>0</v>
      </c>
      <c r="D3536">
        <v>39791.06</v>
      </c>
      <c r="E3536">
        <v>37067.589999999997</v>
      </c>
      <c r="F3536">
        <v>91.58</v>
      </c>
      <c r="G3536">
        <v>853.22</v>
      </c>
      <c r="H3536">
        <f>E3536*1000000/D3536</f>
        <v>931555.73136277345</v>
      </c>
      <c r="I3536" t="str">
        <f>IF(AND(B3536&gt;=2018, B3536&lt;=2021), "2018-2021", IF(AND(B3536&gt;=2022, B3536&lt;=2024), "2022-2024", "Other"))</f>
        <v>2018-2021</v>
      </c>
    </row>
    <row r="3537" spans="1:9" x14ac:dyDescent="0.3">
      <c r="A3537" t="s">
        <v>3</v>
      </c>
      <c r="B3537">
        <v>2020</v>
      </c>
      <c r="C3537" t="s">
        <v>6</v>
      </c>
      <c r="D3537">
        <v>11978.28</v>
      </c>
      <c r="E3537">
        <v>11382.9</v>
      </c>
      <c r="F3537">
        <v>29.06</v>
      </c>
      <c r="G3537">
        <v>445.96</v>
      </c>
      <c r="H3537">
        <f>E3537*1000000/D3537</f>
        <v>950295.03401156084</v>
      </c>
      <c r="I3537" t="str">
        <f>IF(AND(B3537&gt;=2018, B3537&lt;=2021), "2018-2021", IF(AND(B3537&gt;=2022, B3537&lt;=2024), "2022-2024", "Other"))</f>
        <v>2018-2021</v>
      </c>
    </row>
    <row r="3538" spans="1:9" x14ac:dyDescent="0.3">
      <c r="A3538" t="s">
        <v>26</v>
      </c>
      <c r="B3538">
        <v>2020</v>
      </c>
      <c r="C3538" t="s">
        <v>12</v>
      </c>
      <c r="D3538">
        <v>44674.27</v>
      </c>
      <c r="E3538">
        <v>46816.54</v>
      </c>
      <c r="F3538">
        <v>127.61</v>
      </c>
      <c r="G3538">
        <v>604.13</v>
      </c>
      <c r="H3538">
        <f>E3538*1000000/D3538</f>
        <v>1047953.1058929447</v>
      </c>
      <c r="I3538" t="str">
        <f>IF(AND(B3538&gt;=2018, B3538&lt;=2021), "2018-2021", IF(AND(B3538&gt;=2022, B3538&lt;=2024), "2022-2024", "Other"))</f>
        <v>2018-2021</v>
      </c>
    </row>
    <row r="3539" spans="1:9" x14ac:dyDescent="0.3">
      <c r="A3539" t="s">
        <v>22</v>
      </c>
      <c r="B3539">
        <v>2019</v>
      </c>
      <c r="C3539" t="s">
        <v>0</v>
      </c>
      <c r="D3539">
        <v>36208.68</v>
      </c>
      <c r="E3539">
        <v>36936.81</v>
      </c>
      <c r="F3539">
        <v>55.58</v>
      </c>
      <c r="G3539">
        <v>1091.48</v>
      </c>
      <c r="H3539">
        <f>E3539*1000000/D3539</f>
        <v>1020109.2666178386</v>
      </c>
      <c r="I3539" t="str">
        <f>IF(AND(B3539&gt;=2018, B3539&lt;=2021), "2018-2021", IF(AND(B3539&gt;=2022, B3539&lt;=2024), "2022-2024", "Other"))</f>
        <v>2018-2021</v>
      </c>
    </row>
    <row r="3540" spans="1:9" x14ac:dyDescent="0.3">
      <c r="A3540" t="s">
        <v>7</v>
      </c>
      <c r="B3540">
        <v>2022</v>
      </c>
      <c r="C3540" t="s">
        <v>0</v>
      </c>
      <c r="D3540">
        <v>47546.87</v>
      </c>
      <c r="E3540">
        <v>48143.040000000001</v>
      </c>
      <c r="F3540">
        <v>146.6</v>
      </c>
      <c r="G3540">
        <v>796.35</v>
      </c>
      <c r="H3540">
        <f>E3540*1000000/D3540</f>
        <v>1012538.5750944278</v>
      </c>
      <c r="I3540" t="str">
        <f>IF(AND(B3540&gt;=2018, B3540&lt;=2021), "2018-2021", IF(AND(B3540&gt;=2022, B3540&lt;=2024), "2022-2024", "Other"))</f>
        <v>2022-2024</v>
      </c>
    </row>
    <row r="3541" spans="1:9" x14ac:dyDescent="0.3">
      <c r="A3541" t="s">
        <v>20</v>
      </c>
      <c r="B3541">
        <v>2019</v>
      </c>
      <c r="C3541" t="s">
        <v>12</v>
      </c>
      <c r="D3541">
        <v>45557.57</v>
      </c>
      <c r="E3541">
        <v>50029.919999999998</v>
      </c>
      <c r="F3541">
        <v>155.41</v>
      </c>
      <c r="G3541">
        <v>11.71</v>
      </c>
      <c r="H3541">
        <f>E3541*1000000/D3541</f>
        <v>1098169.1955914241</v>
      </c>
      <c r="I3541" t="str">
        <f>IF(AND(B3541&gt;=2018, B3541&lt;=2021), "2018-2021", IF(AND(B3541&gt;=2022, B3541&lt;=2024), "2022-2024", "Other"))</f>
        <v>2018-2021</v>
      </c>
    </row>
    <row r="3542" spans="1:9" x14ac:dyDescent="0.3">
      <c r="A3542" t="s">
        <v>24</v>
      </c>
      <c r="B3542">
        <v>2023</v>
      </c>
      <c r="C3542" t="s">
        <v>2</v>
      </c>
      <c r="D3542">
        <v>8699.67</v>
      </c>
      <c r="E3542">
        <v>8805.2900000000009</v>
      </c>
      <c r="F3542">
        <v>189.81</v>
      </c>
      <c r="G3542">
        <v>345.31</v>
      </c>
      <c r="H3542">
        <f>E3542*1000000/D3542</f>
        <v>1012140.6903940034</v>
      </c>
      <c r="I3542" t="str">
        <f>IF(AND(B3542&gt;=2018, B3542&lt;=2021), "2018-2021", IF(AND(B3542&gt;=2022, B3542&lt;=2024), "2022-2024", "Other"))</f>
        <v>2022-2024</v>
      </c>
    </row>
    <row r="3543" spans="1:9" x14ac:dyDescent="0.3">
      <c r="A3543" t="s">
        <v>5</v>
      </c>
      <c r="B3543">
        <v>2024</v>
      </c>
      <c r="C3543" t="s">
        <v>9</v>
      </c>
      <c r="D3543">
        <v>13669.91</v>
      </c>
      <c r="E3543">
        <v>12235.48</v>
      </c>
      <c r="F3543">
        <v>46.99</v>
      </c>
      <c r="G3543">
        <v>478.99</v>
      </c>
      <c r="H3543">
        <f>E3543*1000000/D3543</f>
        <v>895066.6098021128</v>
      </c>
      <c r="I3543" t="str">
        <f>IF(AND(B3543&gt;=2018, B3543&lt;=2021), "2018-2021", IF(AND(B3543&gt;=2022, B3543&lt;=2024), "2022-2024", "Other"))</f>
        <v>2022-2024</v>
      </c>
    </row>
    <row r="3544" spans="1:9" x14ac:dyDescent="0.3">
      <c r="A3544" t="s">
        <v>23</v>
      </c>
      <c r="B3544">
        <v>2020</v>
      </c>
      <c r="C3544" t="s">
        <v>8</v>
      </c>
      <c r="D3544">
        <v>23369.68</v>
      </c>
      <c r="E3544">
        <v>26085.119999999999</v>
      </c>
      <c r="F3544">
        <v>153.69</v>
      </c>
      <c r="G3544">
        <v>1380.39</v>
      </c>
      <c r="H3544">
        <f>E3544*1000000/D3544</f>
        <v>1116195.0013864117</v>
      </c>
      <c r="I3544" t="str">
        <f>IF(AND(B3544&gt;=2018, B3544&lt;=2021), "2018-2021", IF(AND(B3544&gt;=2022, B3544&lt;=2024), "2022-2024", "Other"))</f>
        <v>2018-2021</v>
      </c>
    </row>
    <row r="3545" spans="1:9" x14ac:dyDescent="0.3">
      <c r="A3545" t="s">
        <v>5</v>
      </c>
      <c r="B3545">
        <v>2024</v>
      </c>
      <c r="C3545" t="s">
        <v>6</v>
      </c>
      <c r="D3545">
        <v>47273.82</v>
      </c>
      <c r="E3545">
        <v>56132.73</v>
      </c>
      <c r="F3545">
        <v>158.63</v>
      </c>
      <c r="G3545">
        <v>692.1</v>
      </c>
      <c r="H3545">
        <f>E3545*1000000/D3545</f>
        <v>1187395.6875073772</v>
      </c>
      <c r="I3545" t="str">
        <f>IF(AND(B3545&gt;=2018, B3545&lt;=2021), "2018-2021", IF(AND(B3545&gt;=2022, B3545&lt;=2024), "2022-2024", "Other"))</f>
        <v>2022-2024</v>
      </c>
    </row>
    <row r="3546" spans="1:9" x14ac:dyDescent="0.3">
      <c r="A3546" t="s">
        <v>3</v>
      </c>
      <c r="B3546">
        <v>2021</v>
      </c>
      <c r="C3546" t="s">
        <v>8</v>
      </c>
      <c r="D3546">
        <v>37989.839999999997</v>
      </c>
      <c r="E3546">
        <v>36900.47</v>
      </c>
      <c r="F3546">
        <v>39.380000000000003</v>
      </c>
      <c r="G3546">
        <v>537.12</v>
      </c>
      <c r="H3546">
        <f>E3546*1000000/D3546</f>
        <v>971324.70155178336</v>
      </c>
      <c r="I3546" t="str">
        <f>IF(AND(B3546&gt;=2018, B3546&lt;=2021), "2018-2021", IF(AND(B3546&gt;=2022, B3546&lt;=2024), "2022-2024", "Other"))</f>
        <v>2018-2021</v>
      </c>
    </row>
    <row r="3547" spans="1:9" x14ac:dyDescent="0.3">
      <c r="A3547" t="s">
        <v>16</v>
      </c>
      <c r="B3547">
        <v>2018</v>
      </c>
      <c r="C3547" t="s">
        <v>0</v>
      </c>
      <c r="D3547">
        <v>16713.349999999999</v>
      </c>
      <c r="E3547">
        <v>15621.78</v>
      </c>
      <c r="F3547">
        <v>115.81</v>
      </c>
      <c r="G3547">
        <v>330.05</v>
      </c>
      <c r="H3547">
        <f>E3547*1000000/D3547</f>
        <v>934688.73684808856</v>
      </c>
      <c r="I3547" t="str">
        <f>IF(AND(B3547&gt;=2018, B3547&lt;=2021), "2018-2021", IF(AND(B3547&gt;=2022, B3547&lt;=2024), "2022-2024", "Other"))</f>
        <v>2018-2021</v>
      </c>
    </row>
    <row r="3548" spans="1:9" x14ac:dyDescent="0.3">
      <c r="A3548" t="s">
        <v>15</v>
      </c>
      <c r="B3548">
        <v>2018</v>
      </c>
      <c r="C3548" t="s">
        <v>12</v>
      </c>
      <c r="D3548">
        <v>45877.26</v>
      </c>
      <c r="E3548">
        <v>42522.57</v>
      </c>
      <c r="F3548">
        <v>171.74</v>
      </c>
      <c r="G3548">
        <v>798.79</v>
      </c>
      <c r="H3548">
        <f>E3548*1000000/D3548</f>
        <v>926876.84486824193</v>
      </c>
      <c r="I3548" t="str">
        <f>IF(AND(B3548&gt;=2018, B3548&lt;=2021), "2018-2021", IF(AND(B3548&gt;=2022, B3548&lt;=2024), "2022-2024", "Other"))</f>
        <v>2018-2021</v>
      </c>
    </row>
    <row r="3549" spans="1:9" x14ac:dyDescent="0.3">
      <c r="A3549" t="s">
        <v>18</v>
      </c>
      <c r="B3549">
        <v>2022</v>
      </c>
      <c r="C3549" t="s">
        <v>2</v>
      </c>
      <c r="D3549">
        <v>27497.52</v>
      </c>
      <c r="E3549">
        <v>22111.98</v>
      </c>
      <c r="F3549">
        <v>63.61</v>
      </c>
      <c r="G3549">
        <v>648.04</v>
      </c>
      <c r="H3549">
        <f>E3549*1000000/D3549</f>
        <v>804144.51921482373</v>
      </c>
      <c r="I3549" t="str">
        <f>IF(AND(B3549&gt;=2018, B3549&lt;=2021), "2018-2021", IF(AND(B3549&gt;=2022, B3549&lt;=2024), "2022-2024", "Other"))</f>
        <v>2022-2024</v>
      </c>
    </row>
    <row r="3550" spans="1:9" x14ac:dyDescent="0.3">
      <c r="A3550" t="s">
        <v>22</v>
      </c>
      <c r="B3550">
        <v>2022</v>
      </c>
      <c r="C3550" t="s">
        <v>12</v>
      </c>
      <c r="D3550">
        <v>14405.3</v>
      </c>
      <c r="E3550">
        <v>17091.03</v>
      </c>
      <c r="F3550">
        <v>29.48</v>
      </c>
      <c r="G3550">
        <v>437.01</v>
      </c>
      <c r="H3550">
        <f>E3550*1000000/D3550</f>
        <v>1186440.4073500724</v>
      </c>
      <c r="I3550" t="str">
        <f>IF(AND(B3550&gt;=2018, B3550&lt;=2021), "2018-2021", IF(AND(B3550&gt;=2022, B3550&lt;=2024), "2022-2024", "Other"))</f>
        <v>2022-2024</v>
      </c>
    </row>
    <row r="3551" spans="1:9" x14ac:dyDescent="0.3">
      <c r="A3551" t="s">
        <v>5</v>
      </c>
      <c r="B3551">
        <v>2021</v>
      </c>
      <c r="C3551" t="s">
        <v>2</v>
      </c>
      <c r="D3551">
        <v>49351.89</v>
      </c>
      <c r="E3551">
        <v>57509.15</v>
      </c>
      <c r="F3551">
        <v>63.47</v>
      </c>
      <c r="G3551">
        <v>853.9</v>
      </c>
      <c r="H3551">
        <f>E3551*1000000/D3551</f>
        <v>1165287.6921228347</v>
      </c>
      <c r="I3551" t="str">
        <f>IF(AND(B3551&gt;=2018, B3551&lt;=2021), "2018-2021", IF(AND(B3551&gt;=2022, B3551&lt;=2024), "2022-2024", "Other"))</f>
        <v>2018-2021</v>
      </c>
    </row>
    <row r="3552" spans="1:9" x14ac:dyDescent="0.3">
      <c r="A3552" t="s">
        <v>18</v>
      </c>
      <c r="B3552">
        <v>2023</v>
      </c>
      <c r="C3552" t="s">
        <v>14</v>
      </c>
      <c r="D3552">
        <v>3612.24</v>
      </c>
      <c r="E3552">
        <v>3485.04</v>
      </c>
      <c r="F3552">
        <v>63.42</v>
      </c>
      <c r="G3552">
        <v>12.57</v>
      </c>
      <c r="H3552">
        <f>E3552*1000000/D3552</f>
        <v>964786.39293070231</v>
      </c>
      <c r="I3552" t="str">
        <f>IF(AND(B3552&gt;=2018, B3552&lt;=2021), "2018-2021", IF(AND(B3552&gt;=2022, B3552&lt;=2024), "2022-2024", "Other"))</f>
        <v>2022-2024</v>
      </c>
    </row>
    <row r="3553" spans="1:9" x14ac:dyDescent="0.3">
      <c r="A3553" t="s">
        <v>17</v>
      </c>
      <c r="B3553">
        <v>2018</v>
      </c>
      <c r="C3553" t="s">
        <v>4</v>
      </c>
      <c r="D3553">
        <v>49174.2</v>
      </c>
      <c r="E3553">
        <v>52321.66</v>
      </c>
      <c r="F3553">
        <v>38.89</v>
      </c>
      <c r="G3553">
        <v>1293.22</v>
      </c>
      <c r="H3553">
        <f>E3553*1000000/D3553</f>
        <v>1064006.3285218673</v>
      </c>
      <c r="I3553" t="str">
        <f>IF(AND(B3553&gt;=2018, B3553&lt;=2021), "2018-2021", IF(AND(B3553&gt;=2022, B3553&lt;=2024), "2022-2024", "Other"))</f>
        <v>2018-2021</v>
      </c>
    </row>
    <row r="3554" spans="1:9" x14ac:dyDescent="0.3">
      <c r="A3554" t="s">
        <v>21</v>
      </c>
      <c r="B3554">
        <v>2021</v>
      </c>
      <c r="C3554" t="s">
        <v>4</v>
      </c>
      <c r="D3554">
        <v>2792.96</v>
      </c>
      <c r="E3554">
        <v>3104.14</v>
      </c>
      <c r="F3554">
        <v>127.42</v>
      </c>
      <c r="G3554">
        <v>253.61</v>
      </c>
      <c r="H3554">
        <f>E3554*1000000/D3554</f>
        <v>1111415.8455545371</v>
      </c>
      <c r="I3554" t="str">
        <f>IF(AND(B3554&gt;=2018, B3554&lt;=2021), "2018-2021", IF(AND(B3554&gt;=2022, B3554&lt;=2024), "2022-2024", "Other"))</f>
        <v>2018-2021</v>
      </c>
    </row>
    <row r="3555" spans="1:9" x14ac:dyDescent="0.3">
      <c r="A3555" t="s">
        <v>21</v>
      </c>
      <c r="B3555">
        <v>2023</v>
      </c>
      <c r="C3555" t="s">
        <v>14</v>
      </c>
      <c r="D3555">
        <v>48008.92</v>
      </c>
      <c r="E3555">
        <v>41651.089999999997</v>
      </c>
      <c r="F3555">
        <v>115.44</v>
      </c>
      <c r="G3555">
        <v>1140.21</v>
      </c>
      <c r="H3555">
        <f>E3555*1000000/D3555</f>
        <v>867569.81827543722</v>
      </c>
      <c r="I3555" t="str">
        <f>IF(AND(B3555&gt;=2018, B3555&lt;=2021), "2018-2021", IF(AND(B3555&gt;=2022, B3555&lt;=2024), "2022-2024", "Other"))</f>
        <v>2022-2024</v>
      </c>
    </row>
    <row r="3556" spans="1:9" x14ac:dyDescent="0.3">
      <c r="A3556" t="s">
        <v>22</v>
      </c>
      <c r="B3556">
        <v>2021</v>
      </c>
      <c r="C3556" t="s">
        <v>0</v>
      </c>
      <c r="D3556">
        <v>25684.63</v>
      </c>
      <c r="E3556">
        <v>21722.21</v>
      </c>
      <c r="F3556">
        <v>118.91</v>
      </c>
      <c r="G3556">
        <v>1312.59</v>
      </c>
      <c r="H3556">
        <f>E3556*1000000/D3556</f>
        <v>845727.97038540163</v>
      </c>
      <c r="I3556" t="str">
        <f>IF(AND(B3556&gt;=2018, B3556&lt;=2021), "2018-2021", IF(AND(B3556&gt;=2022, B3556&lt;=2024), "2022-2024", "Other"))</f>
        <v>2018-2021</v>
      </c>
    </row>
    <row r="3557" spans="1:9" x14ac:dyDescent="0.3">
      <c r="A3557" t="s">
        <v>11</v>
      </c>
      <c r="B3557">
        <v>2018</v>
      </c>
      <c r="C3557" t="s">
        <v>4</v>
      </c>
      <c r="D3557">
        <v>21905.22</v>
      </c>
      <c r="E3557">
        <v>23385.17</v>
      </c>
      <c r="F3557">
        <v>49.72</v>
      </c>
      <c r="G3557">
        <v>329.25</v>
      </c>
      <c r="H3557">
        <f>E3557*1000000/D3557</f>
        <v>1067561.5218655644</v>
      </c>
      <c r="I3557" t="str">
        <f>IF(AND(B3557&gt;=2018, B3557&lt;=2021), "2018-2021", IF(AND(B3557&gt;=2022, B3557&lt;=2024), "2022-2024", "Other"))</f>
        <v>2018-2021</v>
      </c>
    </row>
    <row r="3558" spans="1:9" x14ac:dyDescent="0.3">
      <c r="A3558" t="s">
        <v>22</v>
      </c>
      <c r="B3558">
        <v>2019</v>
      </c>
      <c r="C3558" t="s">
        <v>8</v>
      </c>
      <c r="D3558">
        <v>11341.32</v>
      </c>
      <c r="E3558">
        <v>13072.23</v>
      </c>
      <c r="F3558">
        <v>152.59</v>
      </c>
      <c r="G3558">
        <v>283.68</v>
      </c>
      <c r="H3558">
        <f>E3558*1000000/D3558</f>
        <v>1152619.8008697401</v>
      </c>
      <c r="I3558" t="str">
        <f>IF(AND(B3558&gt;=2018, B3558&lt;=2021), "2018-2021", IF(AND(B3558&gt;=2022, B3558&lt;=2024), "2022-2024", "Other"))</f>
        <v>2018-2021</v>
      </c>
    </row>
    <row r="3559" spans="1:9" x14ac:dyDescent="0.3">
      <c r="A3559" t="s">
        <v>17</v>
      </c>
      <c r="B3559">
        <v>2023</v>
      </c>
      <c r="C3559" t="s">
        <v>12</v>
      </c>
      <c r="D3559">
        <v>48670.400000000001</v>
      </c>
      <c r="E3559">
        <v>56412.39</v>
      </c>
      <c r="F3559">
        <v>69.19</v>
      </c>
      <c r="G3559">
        <v>733.21</v>
      </c>
      <c r="H3559">
        <f>E3559*1000000/D3559</f>
        <v>1159069.7836878267</v>
      </c>
      <c r="I3559" t="str">
        <f>IF(AND(B3559&gt;=2018, B3559&lt;=2021), "2018-2021", IF(AND(B3559&gt;=2022, B3559&lt;=2024), "2022-2024", "Other"))</f>
        <v>2022-2024</v>
      </c>
    </row>
    <row r="3560" spans="1:9" x14ac:dyDescent="0.3">
      <c r="A3560" t="s">
        <v>13</v>
      </c>
      <c r="B3560">
        <v>2020</v>
      </c>
      <c r="C3560" t="s">
        <v>6</v>
      </c>
      <c r="D3560">
        <v>14279.49</v>
      </c>
      <c r="E3560">
        <v>12545.82</v>
      </c>
      <c r="F3560">
        <v>183.48</v>
      </c>
      <c r="G3560">
        <v>587.6</v>
      </c>
      <c r="H3560">
        <f>E3560*1000000/D3560</f>
        <v>878590.20175090292</v>
      </c>
      <c r="I3560" t="str">
        <f>IF(AND(B3560&gt;=2018, B3560&lt;=2021), "2018-2021", IF(AND(B3560&gt;=2022, B3560&lt;=2024), "2022-2024", "Other"))</f>
        <v>2018-2021</v>
      </c>
    </row>
    <row r="3561" spans="1:9" x14ac:dyDescent="0.3">
      <c r="A3561" t="s">
        <v>10</v>
      </c>
      <c r="B3561">
        <v>2022</v>
      </c>
      <c r="C3561" t="s">
        <v>0</v>
      </c>
      <c r="D3561">
        <v>3179.96</v>
      </c>
      <c r="E3561">
        <v>2720.75</v>
      </c>
      <c r="F3561">
        <v>73.39</v>
      </c>
      <c r="G3561">
        <v>1042.55</v>
      </c>
      <c r="H3561">
        <f>E3561*1000000/D3561</f>
        <v>855592.52317639219</v>
      </c>
      <c r="I3561" t="str">
        <f>IF(AND(B3561&gt;=2018, B3561&lt;=2021), "2018-2021", IF(AND(B3561&gt;=2022, B3561&lt;=2024), "2022-2024", "Other"))</f>
        <v>2022-2024</v>
      </c>
    </row>
    <row r="3562" spans="1:9" x14ac:dyDescent="0.3">
      <c r="A3562" t="s">
        <v>19</v>
      </c>
      <c r="B3562">
        <v>2019</v>
      </c>
      <c r="C3562" t="s">
        <v>6</v>
      </c>
      <c r="D3562">
        <v>34887.550000000003</v>
      </c>
      <c r="E3562">
        <v>37955.699999999997</v>
      </c>
      <c r="F3562">
        <v>21.27</v>
      </c>
      <c r="G3562">
        <v>322.29000000000002</v>
      </c>
      <c r="H3562">
        <f>E3562*1000000/D3562</f>
        <v>1087943.9800157936</v>
      </c>
      <c r="I3562" t="str">
        <f>IF(AND(B3562&gt;=2018, B3562&lt;=2021), "2018-2021", IF(AND(B3562&gt;=2022, B3562&lt;=2024), "2022-2024", "Other"))</f>
        <v>2018-2021</v>
      </c>
    </row>
    <row r="3563" spans="1:9" x14ac:dyDescent="0.3">
      <c r="A3563" t="s">
        <v>13</v>
      </c>
      <c r="B3563">
        <v>2018</v>
      </c>
      <c r="C3563" t="s">
        <v>9</v>
      </c>
      <c r="D3563">
        <v>37822.53</v>
      </c>
      <c r="E3563">
        <v>36525.980000000003</v>
      </c>
      <c r="F3563">
        <v>103.41</v>
      </c>
      <c r="G3563">
        <v>943.74</v>
      </c>
      <c r="H3563">
        <f>E3563*1000000/D3563</f>
        <v>965720.16731826251</v>
      </c>
      <c r="I3563" t="str">
        <f>IF(AND(B3563&gt;=2018, B3563&lt;=2021), "2018-2021", IF(AND(B3563&gt;=2022, B3563&lt;=2024), "2022-2024", "Other"))</f>
        <v>2018-2021</v>
      </c>
    </row>
    <row r="3564" spans="1:9" x14ac:dyDescent="0.3">
      <c r="A3564" t="s">
        <v>1</v>
      </c>
      <c r="B3564">
        <v>2020</v>
      </c>
      <c r="C3564" t="s">
        <v>2</v>
      </c>
      <c r="D3564">
        <v>46277.17</v>
      </c>
      <c r="E3564">
        <v>39995.42</v>
      </c>
      <c r="F3564">
        <v>95.2</v>
      </c>
      <c r="G3564">
        <v>1047.46</v>
      </c>
      <c r="H3564">
        <f>E3564*1000000/D3564</f>
        <v>864258.12122910714</v>
      </c>
      <c r="I3564" t="str">
        <f>IF(AND(B3564&gt;=2018, B3564&lt;=2021), "2018-2021", IF(AND(B3564&gt;=2022, B3564&lt;=2024), "2022-2024", "Other"))</f>
        <v>2018-2021</v>
      </c>
    </row>
    <row r="3565" spans="1:9" x14ac:dyDescent="0.3">
      <c r="A3565" t="s">
        <v>13</v>
      </c>
      <c r="B3565">
        <v>2023</v>
      </c>
      <c r="C3565" t="s">
        <v>12</v>
      </c>
      <c r="D3565">
        <v>12533.98</v>
      </c>
      <c r="E3565">
        <v>13274.87</v>
      </c>
      <c r="F3565">
        <v>34.549999999999997</v>
      </c>
      <c r="G3565">
        <v>684.75</v>
      </c>
      <c r="H3565">
        <f>E3565*1000000/D3565</f>
        <v>1059110.5139788</v>
      </c>
      <c r="I3565" t="str">
        <f>IF(AND(B3565&gt;=2018, B3565&lt;=2021), "2018-2021", IF(AND(B3565&gt;=2022, B3565&lt;=2024), "2022-2024", "Other"))</f>
        <v>2022-2024</v>
      </c>
    </row>
    <row r="3566" spans="1:9" x14ac:dyDescent="0.3">
      <c r="A3566" t="s">
        <v>7</v>
      </c>
      <c r="B3566">
        <v>2018</v>
      </c>
      <c r="C3566" t="s">
        <v>2</v>
      </c>
      <c r="D3566">
        <v>47791.45</v>
      </c>
      <c r="E3566">
        <v>52847.32</v>
      </c>
      <c r="F3566">
        <v>121.85</v>
      </c>
      <c r="G3566">
        <v>1192.52</v>
      </c>
      <c r="H3566">
        <f>E3566*1000000/D3566</f>
        <v>1105790.2616472193</v>
      </c>
      <c r="I3566" t="str">
        <f>IF(AND(B3566&gt;=2018, B3566&lt;=2021), "2018-2021", IF(AND(B3566&gt;=2022, B3566&lt;=2024), "2022-2024", "Other"))</f>
        <v>2018-2021</v>
      </c>
    </row>
    <row r="3567" spans="1:9" x14ac:dyDescent="0.3">
      <c r="A3567" t="s">
        <v>20</v>
      </c>
      <c r="B3567">
        <v>2019</v>
      </c>
      <c r="C3567" t="s">
        <v>6</v>
      </c>
      <c r="D3567">
        <v>15269.61</v>
      </c>
      <c r="E3567">
        <v>12308.08</v>
      </c>
      <c r="F3567">
        <v>179.27</v>
      </c>
      <c r="G3567">
        <v>289.07</v>
      </c>
      <c r="H3567">
        <f>E3567*1000000/D3567</f>
        <v>806050.71118384809</v>
      </c>
      <c r="I3567" t="str">
        <f>IF(AND(B3567&gt;=2018, B3567&lt;=2021), "2018-2021", IF(AND(B3567&gt;=2022, B3567&lt;=2024), "2022-2024", "Other"))</f>
        <v>2018-2021</v>
      </c>
    </row>
    <row r="3568" spans="1:9" x14ac:dyDescent="0.3">
      <c r="A3568" t="s">
        <v>13</v>
      </c>
      <c r="B3568">
        <v>2022</v>
      </c>
      <c r="C3568" t="s">
        <v>2</v>
      </c>
      <c r="D3568">
        <v>34130.79</v>
      </c>
      <c r="E3568">
        <v>35657.33</v>
      </c>
      <c r="F3568">
        <v>170.5</v>
      </c>
      <c r="G3568">
        <v>577.34</v>
      </c>
      <c r="H3568">
        <f>E3568*1000000/D3568</f>
        <v>1044726.1841873568</v>
      </c>
      <c r="I3568" t="str">
        <f>IF(AND(B3568&gt;=2018, B3568&lt;=2021), "2018-2021", IF(AND(B3568&gt;=2022, B3568&lt;=2024), "2022-2024", "Other"))</f>
        <v>2022-2024</v>
      </c>
    </row>
    <row r="3569" spans="1:9" x14ac:dyDescent="0.3">
      <c r="A3569" t="s">
        <v>1</v>
      </c>
      <c r="B3569">
        <v>2022</v>
      </c>
      <c r="C3569" t="s">
        <v>6</v>
      </c>
      <c r="D3569">
        <v>37384.57</v>
      </c>
      <c r="E3569">
        <v>32795.85</v>
      </c>
      <c r="F3569">
        <v>198.77</v>
      </c>
      <c r="G3569">
        <v>1125.95</v>
      </c>
      <c r="H3569">
        <f>E3569*1000000/D3569</f>
        <v>877256.31189552264</v>
      </c>
      <c r="I3569" t="str">
        <f>IF(AND(B3569&gt;=2018, B3569&lt;=2021), "2018-2021", IF(AND(B3569&gt;=2022, B3569&lt;=2024), "2022-2024", "Other"))</f>
        <v>2022-2024</v>
      </c>
    </row>
    <row r="3570" spans="1:9" x14ac:dyDescent="0.3">
      <c r="A3570" t="s">
        <v>15</v>
      </c>
      <c r="B3570">
        <v>2020</v>
      </c>
      <c r="C3570" t="s">
        <v>6</v>
      </c>
      <c r="D3570">
        <v>28571.59</v>
      </c>
      <c r="E3570">
        <v>31015.87</v>
      </c>
      <c r="F3570">
        <v>149.38999999999999</v>
      </c>
      <c r="G3570">
        <v>1294.5899999999999</v>
      </c>
      <c r="H3570">
        <f>E3570*1000000/D3570</f>
        <v>1085549.316646361</v>
      </c>
      <c r="I3570" t="str">
        <f>IF(AND(B3570&gt;=2018, B3570&lt;=2021), "2018-2021", IF(AND(B3570&gt;=2022, B3570&lt;=2024), "2022-2024", "Other"))</f>
        <v>2018-2021</v>
      </c>
    </row>
    <row r="3571" spans="1:9" x14ac:dyDescent="0.3">
      <c r="A3571" t="s">
        <v>19</v>
      </c>
      <c r="B3571">
        <v>2019</v>
      </c>
      <c r="C3571" t="s">
        <v>0</v>
      </c>
      <c r="D3571">
        <v>36345.449999999997</v>
      </c>
      <c r="E3571">
        <v>36499.01</v>
      </c>
      <c r="F3571">
        <v>91.99</v>
      </c>
      <c r="G3571">
        <v>832.24</v>
      </c>
      <c r="H3571">
        <f>E3571*1000000/D3571</f>
        <v>1004225.0130346441</v>
      </c>
      <c r="I3571" t="str">
        <f>IF(AND(B3571&gt;=2018, B3571&lt;=2021), "2018-2021", IF(AND(B3571&gt;=2022, B3571&lt;=2024), "2022-2024", "Other"))</f>
        <v>2018-2021</v>
      </c>
    </row>
    <row r="3572" spans="1:9" x14ac:dyDescent="0.3">
      <c r="A3572" t="s">
        <v>23</v>
      </c>
      <c r="B3572">
        <v>2018</v>
      </c>
      <c r="C3572" t="s">
        <v>0</v>
      </c>
      <c r="D3572">
        <v>29372.42</v>
      </c>
      <c r="E3572">
        <v>32419.01</v>
      </c>
      <c r="F3572">
        <v>153.35</v>
      </c>
      <c r="G3572">
        <v>512.17999999999995</v>
      </c>
      <c r="H3572">
        <f>E3572*1000000/D3572</f>
        <v>1103722.8120801758</v>
      </c>
      <c r="I3572" t="str">
        <f>IF(AND(B3572&gt;=2018, B3572&lt;=2021), "2018-2021", IF(AND(B3572&gt;=2022, B3572&lt;=2024), "2022-2024", "Other"))</f>
        <v>2018-2021</v>
      </c>
    </row>
    <row r="3573" spans="1:9" x14ac:dyDescent="0.3">
      <c r="A3573" t="s">
        <v>15</v>
      </c>
      <c r="B3573">
        <v>2021</v>
      </c>
      <c r="C3573" t="s">
        <v>8</v>
      </c>
      <c r="D3573">
        <v>32994.230000000003</v>
      </c>
      <c r="E3573">
        <v>29316.65</v>
      </c>
      <c r="F3573">
        <v>55.85</v>
      </c>
      <c r="G3573">
        <v>1237.8399999999999</v>
      </c>
      <c r="H3573">
        <f>E3573*1000000/D3573</f>
        <v>888538.6929775296</v>
      </c>
      <c r="I3573" t="str">
        <f>IF(AND(B3573&gt;=2018, B3573&lt;=2021), "2018-2021", IF(AND(B3573&gt;=2022, B3573&lt;=2024), "2022-2024", "Other"))</f>
        <v>2018-2021</v>
      </c>
    </row>
    <row r="3574" spans="1:9" x14ac:dyDescent="0.3">
      <c r="A3574" t="s">
        <v>13</v>
      </c>
      <c r="B3574">
        <v>2019</v>
      </c>
      <c r="C3574" t="s">
        <v>12</v>
      </c>
      <c r="D3574">
        <v>31690</v>
      </c>
      <c r="E3574">
        <v>31853.08</v>
      </c>
      <c r="F3574">
        <v>54.92</v>
      </c>
      <c r="G3574">
        <v>956.13</v>
      </c>
      <c r="H3574">
        <f>E3574*1000000/D3574</f>
        <v>1005146.1028715683</v>
      </c>
      <c r="I3574" t="str">
        <f>IF(AND(B3574&gt;=2018, B3574&lt;=2021), "2018-2021", IF(AND(B3574&gt;=2022, B3574&lt;=2024), "2022-2024", "Other"))</f>
        <v>2018-2021</v>
      </c>
    </row>
    <row r="3575" spans="1:9" x14ac:dyDescent="0.3">
      <c r="A3575" t="s">
        <v>22</v>
      </c>
      <c r="B3575">
        <v>2018</v>
      </c>
      <c r="C3575" t="s">
        <v>8</v>
      </c>
      <c r="D3575">
        <v>41542.82</v>
      </c>
      <c r="E3575">
        <v>33637.17</v>
      </c>
      <c r="F3575">
        <v>53.74</v>
      </c>
      <c r="G3575">
        <v>1311.01</v>
      </c>
      <c r="H3575">
        <f>E3575*1000000/D3575</f>
        <v>809698.76382970635</v>
      </c>
      <c r="I3575" t="str">
        <f>IF(AND(B3575&gt;=2018, B3575&lt;=2021), "2018-2021", IF(AND(B3575&gt;=2022, B3575&lt;=2024), "2022-2024", "Other"))</f>
        <v>2018-2021</v>
      </c>
    </row>
    <row r="3576" spans="1:9" x14ac:dyDescent="0.3">
      <c r="A3576" t="s">
        <v>27</v>
      </c>
      <c r="B3576">
        <v>2023</v>
      </c>
      <c r="C3576" t="s">
        <v>0</v>
      </c>
      <c r="D3576">
        <v>6255.34</v>
      </c>
      <c r="E3576">
        <v>5710.01</v>
      </c>
      <c r="F3576">
        <v>185.16</v>
      </c>
      <c r="G3576">
        <v>1355.39</v>
      </c>
      <c r="H3576">
        <f>E3576*1000000/D3576</f>
        <v>912821.68515220599</v>
      </c>
      <c r="I3576" t="str">
        <f>IF(AND(B3576&gt;=2018, B3576&lt;=2021), "2018-2021", IF(AND(B3576&gt;=2022, B3576&lt;=2024), "2022-2024", "Other"))</f>
        <v>2022-2024</v>
      </c>
    </row>
    <row r="3577" spans="1:9" x14ac:dyDescent="0.3">
      <c r="A3577" t="s">
        <v>10</v>
      </c>
      <c r="B3577">
        <v>2022</v>
      </c>
      <c r="C3577" t="s">
        <v>9</v>
      </c>
      <c r="D3577">
        <v>41708.449999999997</v>
      </c>
      <c r="E3577">
        <v>43196.51</v>
      </c>
      <c r="F3577">
        <v>141.07</v>
      </c>
      <c r="G3577">
        <v>143.91999999999999</v>
      </c>
      <c r="H3577">
        <f>E3577*1000000/D3577</f>
        <v>1035677.6624401051</v>
      </c>
      <c r="I3577" t="str">
        <f>IF(AND(B3577&gt;=2018, B3577&lt;=2021), "2018-2021", IF(AND(B3577&gt;=2022, B3577&lt;=2024), "2022-2024", "Other"))</f>
        <v>2022-2024</v>
      </c>
    </row>
    <row r="3578" spans="1:9" x14ac:dyDescent="0.3">
      <c r="A3578" t="s">
        <v>7</v>
      </c>
      <c r="B3578">
        <v>2024</v>
      </c>
      <c r="C3578" t="s">
        <v>2</v>
      </c>
      <c r="D3578">
        <v>42685.71</v>
      </c>
      <c r="E3578">
        <v>34688.01</v>
      </c>
      <c r="F3578">
        <v>54.69</v>
      </c>
      <c r="G3578">
        <v>517.67999999999995</v>
      </c>
      <c r="H3578">
        <f>E3578*1000000/D3578</f>
        <v>812637.53138931037</v>
      </c>
      <c r="I3578" t="str">
        <f>IF(AND(B3578&gt;=2018, B3578&lt;=2021), "2018-2021", IF(AND(B3578&gt;=2022, B3578&lt;=2024), "2022-2024", "Other"))</f>
        <v>2022-2024</v>
      </c>
    </row>
    <row r="3579" spans="1:9" x14ac:dyDescent="0.3">
      <c r="A3579" t="s">
        <v>18</v>
      </c>
      <c r="B3579">
        <v>2023</v>
      </c>
      <c r="C3579" t="s">
        <v>8</v>
      </c>
      <c r="D3579">
        <v>30858.1</v>
      </c>
      <c r="E3579">
        <v>28632.37</v>
      </c>
      <c r="F3579">
        <v>171.82</v>
      </c>
      <c r="G3579">
        <v>648.37</v>
      </c>
      <c r="H3579">
        <f>E3579*1000000/D3579</f>
        <v>927872.09841176227</v>
      </c>
      <c r="I3579" t="str">
        <f>IF(AND(B3579&gt;=2018, B3579&lt;=2021), "2018-2021", IF(AND(B3579&gt;=2022, B3579&lt;=2024), "2022-2024", "Other"))</f>
        <v>2022-2024</v>
      </c>
    </row>
    <row r="3580" spans="1:9" x14ac:dyDescent="0.3">
      <c r="A3580" t="s">
        <v>18</v>
      </c>
      <c r="B3580">
        <v>2019</v>
      </c>
      <c r="C3580" t="s">
        <v>0</v>
      </c>
      <c r="D3580">
        <v>5154.83</v>
      </c>
      <c r="E3580">
        <v>4460.6000000000004</v>
      </c>
      <c r="F3580">
        <v>24.11</v>
      </c>
      <c r="G3580">
        <v>704.92</v>
      </c>
      <c r="H3580">
        <f>E3580*1000000/D3580</f>
        <v>865324.36569198209</v>
      </c>
      <c r="I3580" t="str">
        <f>IF(AND(B3580&gt;=2018, B3580&lt;=2021), "2018-2021", IF(AND(B3580&gt;=2022, B3580&lt;=2024), "2022-2024", "Other"))</f>
        <v>2018-2021</v>
      </c>
    </row>
    <row r="3581" spans="1:9" x14ac:dyDescent="0.3">
      <c r="A3581" t="s">
        <v>22</v>
      </c>
      <c r="B3581">
        <v>2024</v>
      </c>
      <c r="C3581" t="s">
        <v>0</v>
      </c>
      <c r="D3581">
        <v>4237.6000000000004</v>
      </c>
      <c r="E3581">
        <v>4359.67</v>
      </c>
      <c r="F3581">
        <v>49.5</v>
      </c>
      <c r="G3581">
        <v>408.05</v>
      </c>
      <c r="H3581">
        <f>E3581*1000000/D3581</f>
        <v>1028806.3998489711</v>
      </c>
      <c r="I3581" t="str">
        <f>IF(AND(B3581&gt;=2018, B3581&lt;=2021), "2018-2021", IF(AND(B3581&gt;=2022, B3581&lt;=2024), "2022-2024", "Other"))</f>
        <v>2022-2024</v>
      </c>
    </row>
    <row r="3582" spans="1:9" x14ac:dyDescent="0.3">
      <c r="A3582" t="s">
        <v>18</v>
      </c>
      <c r="B3582">
        <v>2019</v>
      </c>
      <c r="C3582" t="s">
        <v>8</v>
      </c>
      <c r="D3582">
        <v>4567.74</v>
      </c>
      <c r="E3582">
        <v>5391.11</v>
      </c>
      <c r="F3582">
        <v>160.62</v>
      </c>
      <c r="G3582">
        <v>397.54</v>
      </c>
      <c r="H3582">
        <f>E3582*1000000/D3582</f>
        <v>1180257.6328775282</v>
      </c>
      <c r="I3582" t="str">
        <f>IF(AND(B3582&gt;=2018, B3582&lt;=2021), "2018-2021", IF(AND(B3582&gt;=2022, B3582&lt;=2024), "2022-2024", "Other"))</f>
        <v>2018-2021</v>
      </c>
    </row>
    <row r="3583" spans="1:9" x14ac:dyDescent="0.3">
      <c r="A3583" t="s">
        <v>24</v>
      </c>
      <c r="B3583">
        <v>2024</v>
      </c>
      <c r="C3583" t="s">
        <v>6</v>
      </c>
      <c r="D3583">
        <v>45968.75</v>
      </c>
      <c r="E3583">
        <v>45861.88</v>
      </c>
      <c r="F3583">
        <v>164.12</v>
      </c>
      <c r="G3583">
        <v>81.58</v>
      </c>
      <c r="H3583">
        <f>E3583*1000000/D3583</f>
        <v>997675.15975526848</v>
      </c>
      <c r="I3583" t="str">
        <f>IF(AND(B3583&gt;=2018, B3583&lt;=2021), "2018-2021", IF(AND(B3583&gt;=2022, B3583&lt;=2024), "2022-2024", "Other"))</f>
        <v>2022-2024</v>
      </c>
    </row>
    <row r="3584" spans="1:9" x14ac:dyDescent="0.3">
      <c r="A3584" t="s">
        <v>25</v>
      </c>
      <c r="B3584">
        <v>2020</v>
      </c>
      <c r="C3584" t="s">
        <v>2</v>
      </c>
      <c r="D3584">
        <v>44356.53</v>
      </c>
      <c r="E3584">
        <v>50160.6</v>
      </c>
      <c r="F3584">
        <v>143.58000000000001</v>
      </c>
      <c r="G3584">
        <v>1294.54</v>
      </c>
      <c r="H3584">
        <f>E3584*1000000/D3584</f>
        <v>1130850.4069186656</v>
      </c>
      <c r="I3584" t="str">
        <f>IF(AND(B3584&gt;=2018, B3584&lt;=2021), "2018-2021", IF(AND(B3584&gt;=2022, B3584&lt;=2024), "2022-2024", "Other"))</f>
        <v>2018-2021</v>
      </c>
    </row>
    <row r="3585" spans="1:9" x14ac:dyDescent="0.3">
      <c r="A3585" t="s">
        <v>13</v>
      </c>
      <c r="B3585">
        <v>2021</v>
      </c>
      <c r="C3585" t="s">
        <v>9</v>
      </c>
      <c r="D3585">
        <v>17866.3</v>
      </c>
      <c r="E3585">
        <v>16240.51</v>
      </c>
      <c r="F3585">
        <v>183.03</v>
      </c>
      <c r="G3585">
        <v>522.78</v>
      </c>
      <c r="H3585">
        <f>E3585*1000000/D3585</f>
        <v>909002.42355719989</v>
      </c>
      <c r="I3585" t="str">
        <f>IF(AND(B3585&gt;=2018, B3585&lt;=2021), "2018-2021", IF(AND(B3585&gt;=2022, B3585&lt;=2024), "2022-2024", "Other"))</f>
        <v>2018-2021</v>
      </c>
    </row>
    <row r="3586" spans="1:9" x14ac:dyDescent="0.3">
      <c r="A3586" t="s">
        <v>10</v>
      </c>
      <c r="B3586">
        <v>2023</v>
      </c>
      <c r="C3586" t="s">
        <v>14</v>
      </c>
      <c r="D3586">
        <v>25519.74</v>
      </c>
      <c r="E3586">
        <v>27912.81</v>
      </c>
      <c r="F3586">
        <v>120.41</v>
      </c>
      <c r="G3586">
        <v>607.70000000000005</v>
      </c>
      <c r="H3586">
        <f>E3586*1000000/D3586</f>
        <v>1093773.2907937148</v>
      </c>
      <c r="I3586" t="str">
        <f>IF(AND(B3586&gt;=2018, B3586&lt;=2021), "2018-2021", IF(AND(B3586&gt;=2022, B3586&lt;=2024), "2022-2024", "Other"))</f>
        <v>2022-2024</v>
      </c>
    </row>
    <row r="3587" spans="1:9" x14ac:dyDescent="0.3">
      <c r="A3587" t="s">
        <v>1</v>
      </c>
      <c r="B3587">
        <v>2021</v>
      </c>
      <c r="C3587" t="s">
        <v>6</v>
      </c>
      <c r="D3587">
        <v>18754.310000000001</v>
      </c>
      <c r="E3587">
        <v>16020.53</v>
      </c>
      <c r="F3587">
        <v>60.53</v>
      </c>
      <c r="G3587">
        <v>1374.6</v>
      </c>
      <c r="H3587">
        <f>E3587*1000000/D3587</f>
        <v>854231.90722559229</v>
      </c>
      <c r="I3587" t="str">
        <f>IF(AND(B3587&gt;=2018, B3587&lt;=2021), "2018-2021", IF(AND(B3587&gt;=2022, B3587&lt;=2024), "2022-2024", "Other"))</f>
        <v>2018-2021</v>
      </c>
    </row>
    <row r="3588" spans="1:9" x14ac:dyDescent="0.3">
      <c r="A3588" t="s">
        <v>25</v>
      </c>
      <c r="B3588">
        <v>2020</v>
      </c>
      <c r="C3588" t="s">
        <v>2</v>
      </c>
      <c r="D3588">
        <v>11104.84</v>
      </c>
      <c r="E3588">
        <v>12815.43</v>
      </c>
      <c r="F3588">
        <v>108.63</v>
      </c>
      <c r="G3588">
        <v>1255.47</v>
      </c>
      <c r="H3588">
        <f>E3588*1000000/D3588</f>
        <v>1154040.0401986882</v>
      </c>
      <c r="I3588" t="str">
        <f>IF(AND(B3588&gt;=2018, B3588&lt;=2021), "2018-2021", IF(AND(B3588&gt;=2022, B3588&lt;=2024), "2022-2024", "Other"))</f>
        <v>2018-2021</v>
      </c>
    </row>
    <row r="3589" spans="1:9" x14ac:dyDescent="0.3">
      <c r="A3589" t="s">
        <v>16</v>
      </c>
      <c r="B3589">
        <v>2020</v>
      </c>
      <c r="C3589" t="s">
        <v>14</v>
      </c>
      <c r="D3589">
        <v>17500.759999999998</v>
      </c>
      <c r="E3589">
        <v>17532.96</v>
      </c>
      <c r="F3589">
        <v>43.3</v>
      </c>
      <c r="G3589">
        <v>823.03</v>
      </c>
      <c r="H3589">
        <f>E3589*1000000/D3589</f>
        <v>1001839.9200948988</v>
      </c>
      <c r="I3589" t="str">
        <f>IF(AND(B3589&gt;=2018, B3589&lt;=2021), "2018-2021", IF(AND(B3589&gt;=2022, B3589&lt;=2024), "2022-2024", "Other"))</f>
        <v>2018-2021</v>
      </c>
    </row>
    <row r="3590" spans="1:9" x14ac:dyDescent="0.3">
      <c r="A3590" t="s">
        <v>26</v>
      </c>
      <c r="B3590">
        <v>2022</v>
      </c>
      <c r="C3590" t="s">
        <v>12</v>
      </c>
      <c r="D3590">
        <v>19157.12</v>
      </c>
      <c r="E3590">
        <v>20112.12</v>
      </c>
      <c r="F3590">
        <v>55.94</v>
      </c>
      <c r="G3590">
        <v>763.12</v>
      </c>
      <c r="H3590">
        <f>E3590*1000000/D3590</f>
        <v>1049850.9170480741</v>
      </c>
      <c r="I3590" t="str">
        <f>IF(AND(B3590&gt;=2018, B3590&lt;=2021), "2018-2021", IF(AND(B3590&gt;=2022, B3590&lt;=2024), "2022-2024", "Other"))</f>
        <v>2022-2024</v>
      </c>
    </row>
    <row r="3591" spans="1:9" x14ac:dyDescent="0.3">
      <c r="A3591" t="s">
        <v>26</v>
      </c>
      <c r="B3591">
        <v>2022</v>
      </c>
      <c r="C3591" t="s">
        <v>4</v>
      </c>
      <c r="D3591">
        <v>32917.54</v>
      </c>
      <c r="E3591">
        <v>38422.03</v>
      </c>
      <c r="F3591">
        <v>58.78</v>
      </c>
      <c r="G3591">
        <v>1232.8</v>
      </c>
      <c r="H3591">
        <f>E3591*1000000/D3591</f>
        <v>1167220.5760211728</v>
      </c>
      <c r="I3591" t="str">
        <f>IF(AND(B3591&gt;=2018, B3591&lt;=2021), "2018-2021", IF(AND(B3591&gt;=2022, B3591&lt;=2024), "2022-2024", "Other"))</f>
        <v>2022-2024</v>
      </c>
    </row>
    <row r="3592" spans="1:9" x14ac:dyDescent="0.3">
      <c r="A3592" t="s">
        <v>20</v>
      </c>
      <c r="B3592">
        <v>2023</v>
      </c>
      <c r="C3592" t="s">
        <v>12</v>
      </c>
      <c r="D3592">
        <v>32184.1</v>
      </c>
      <c r="E3592">
        <v>35437.17</v>
      </c>
      <c r="F3592">
        <v>164.27</v>
      </c>
      <c r="G3592">
        <v>1316.74</v>
      </c>
      <c r="H3592">
        <f>E3592*1000000/D3592</f>
        <v>1101076.9292911717</v>
      </c>
      <c r="I3592" t="str">
        <f>IF(AND(B3592&gt;=2018, B3592&lt;=2021), "2018-2021", IF(AND(B3592&gt;=2022, B3592&lt;=2024), "2022-2024", "Other"))</f>
        <v>2022-2024</v>
      </c>
    </row>
    <row r="3593" spans="1:9" x14ac:dyDescent="0.3">
      <c r="A3593" t="s">
        <v>15</v>
      </c>
      <c r="B3593">
        <v>2022</v>
      </c>
      <c r="C3593" t="s">
        <v>9</v>
      </c>
      <c r="D3593">
        <v>49311.94</v>
      </c>
      <c r="E3593">
        <v>52127.51</v>
      </c>
      <c r="F3593">
        <v>176.29</v>
      </c>
      <c r="G3593">
        <v>818.32</v>
      </c>
      <c r="H3593">
        <f>E3593*1000000/D3593</f>
        <v>1057097.1249559438</v>
      </c>
      <c r="I3593" t="str">
        <f>IF(AND(B3593&gt;=2018, B3593&lt;=2021), "2018-2021", IF(AND(B3593&gt;=2022, B3593&lt;=2024), "2022-2024", "Other"))</f>
        <v>2022-2024</v>
      </c>
    </row>
    <row r="3594" spans="1:9" x14ac:dyDescent="0.3">
      <c r="A3594" t="s">
        <v>13</v>
      </c>
      <c r="B3594">
        <v>2024</v>
      </c>
      <c r="C3594" t="s">
        <v>12</v>
      </c>
      <c r="D3594">
        <v>36201.480000000003</v>
      </c>
      <c r="E3594">
        <v>37772.46</v>
      </c>
      <c r="F3594">
        <v>168.93</v>
      </c>
      <c r="G3594">
        <v>508.2</v>
      </c>
      <c r="H3594">
        <f>E3594*1000000/D3594</f>
        <v>1043395.4633898945</v>
      </c>
      <c r="I3594" t="str">
        <f>IF(AND(B3594&gt;=2018, B3594&lt;=2021), "2018-2021", IF(AND(B3594&gt;=2022, B3594&lt;=2024), "2022-2024", "Other"))</f>
        <v>2022-2024</v>
      </c>
    </row>
    <row r="3595" spans="1:9" x14ac:dyDescent="0.3">
      <c r="A3595" t="s">
        <v>25</v>
      </c>
      <c r="B3595">
        <v>2019</v>
      </c>
      <c r="C3595" t="s">
        <v>2</v>
      </c>
      <c r="D3595">
        <v>12911.61</v>
      </c>
      <c r="E3595">
        <v>11781.38</v>
      </c>
      <c r="F3595">
        <v>118.41</v>
      </c>
      <c r="G3595">
        <v>775.6</v>
      </c>
      <c r="H3595">
        <f>E3595*1000000/D3595</f>
        <v>912464.05366952682</v>
      </c>
      <c r="I3595" t="str">
        <f>IF(AND(B3595&gt;=2018, B3595&lt;=2021), "2018-2021", IF(AND(B3595&gt;=2022, B3595&lt;=2024), "2022-2024", "Other"))</f>
        <v>2018-2021</v>
      </c>
    </row>
    <row r="3596" spans="1:9" x14ac:dyDescent="0.3">
      <c r="A3596" t="s">
        <v>15</v>
      </c>
      <c r="B3596">
        <v>2019</v>
      </c>
      <c r="C3596" t="s">
        <v>0</v>
      </c>
      <c r="D3596">
        <v>28650.78</v>
      </c>
      <c r="E3596">
        <v>33910.870000000003</v>
      </c>
      <c r="F3596">
        <v>187.5</v>
      </c>
      <c r="G3596">
        <v>758.19</v>
      </c>
      <c r="H3596">
        <f>E3596*1000000/D3596</f>
        <v>1183593.2564488647</v>
      </c>
      <c r="I3596" t="str">
        <f>IF(AND(B3596&gt;=2018, B3596&lt;=2021), "2018-2021", IF(AND(B3596&gt;=2022, B3596&lt;=2024), "2022-2024", "Other"))</f>
        <v>2018-2021</v>
      </c>
    </row>
    <row r="3597" spans="1:9" x14ac:dyDescent="0.3">
      <c r="A3597" t="s">
        <v>17</v>
      </c>
      <c r="B3597">
        <v>2018</v>
      </c>
      <c r="C3597" t="s">
        <v>14</v>
      </c>
      <c r="D3597">
        <v>38553.79</v>
      </c>
      <c r="E3597">
        <v>36039</v>
      </c>
      <c r="F3597">
        <v>196.7</v>
      </c>
      <c r="G3597">
        <v>131.35</v>
      </c>
      <c r="H3597">
        <f>E3597*1000000/D3597</f>
        <v>934771.91217776516</v>
      </c>
      <c r="I3597" t="str">
        <f>IF(AND(B3597&gt;=2018, B3597&lt;=2021), "2018-2021", IF(AND(B3597&gt;=2022, B3597&lt;=2024), "2022-2024", "Other"))</f>
        <v>2018-2021</v>
      </c>
    </row>
    <row r="3598" spans="1:9" x14ac:dyDescent="0.3">
      <c r="A3598" t="s">
        <v>17</v>
      </c>
      <c r="B3598">
        <v>2021</v>
      </c>
      <c r="C3598" t="s">
        <v>14</v>
      </c>
      <c r="D3598">
        <v>32700.17</v>
      </c>
      <c r="E3598">
        <v>34668.65</v>
      </c>
      <c r="F3598">
        <v>38.200000000000003</v>
      </c>
      <c r="G3598">
        <v>343.47</v>
      </c>
      <c r="H3598">
        <f>E3598*1000000/D3598</f>
        <v>1060197.85218242</v>
      </c>
      <c r="I3598" t="str">
        <f>IF(AND(B3598&gt;=2018, B3598&lt;=2021), "2018-2021", IF(AND(B3598&gt;=2022, B3598&lt;=2024), "2022-2024", "Other"))</f>
        <v>2018-2021</v>
      </c>
    </row>
    <row r="3599" spans="1:9" x14ac:dyDescent="0.3">
      <c r="A3599" t="s">
        <v>19</v>
      </c>
      <c r="B3599">
        <v>2020</v>
      </c>
      <c r="C3599" t="s">
        <v>2</v>
      </c>
      <c r="D3599">
        <v>14694.72</v>
      </c>
      <c r="E3599">
        <v>16680.060000000001</v>
      </c>
      <c r="F3599">
        <v>90.68</v>
      </c>
      <c r="G3599">
        <v>1185.57</v>
      </c>
      <c r="H3599">
        <f>E3599*1000000/D3599</f>
        <v>1135105.6706082185</v>
      </c>
      <c r="I3599" t="str">
        <f>IF(AND(B3599&gt;=2018, B3599&lt;=2021), "2018-2021", IF(AND(B3599&gt;=2022, B3599&lt;=2024), "2022-2024", "Other"))</f>
        <v>2018-2021</v>
      </c>
    </row>
    <row r="3600" spans="1:9" x14ac:dyDescent="0.3">
      <c r="A3600" t="s">
        <v>10</v>
      </c>
      <c r="B3600">
        <v>2023</v>
      </c>
      <c r="C3600" t="s">
        <v>0</v>
      </c>
      <c r="D3600">
        <v>41956.05</v>
      </c>
      <c r="E3600">
        <v>49083.9</v>
      </c>
      <c r="F3600">
        <v>101.4</v>
      </c>
      <c r="G3600">
        <v>161.99</v>
      </c>
      <c r="H3600">
        <f>E3600*1000000/D3600</f>
        <v>1169888.4904560843</v>
      </c>
      <c r="I3600" t="str">
        <f>IF(AND(B3600&gt;=2018, B3600&lt;=2021), "2018-2021", IF(AND(B3600&gt;=2022, B3600&lt;=2024), "2022-2024", "Other"))</f>
        <v>2022-2024</v>
      </c>
    </row>
    <row r="3601" spans="1:9" x14ac:dyDescent="0.3">
      <c r="A3601" t="s">
        <v>13</v>
      </c>
      <c r="B3601">
        <v>2020</v>
      </c>
      <c r="C3601" t="s">
        <v>4</v>
      </c>
      <c r="D3601">
        <v>7569.05</v>
      </c>
      <c r="E3601">
        <v>8700.01</v>
      </c>
      <c r="F3601">
        <v>171.67</v>
      </c>
      <c r="G3601">
        <v>1018.16</v>
      </c>
      <c r="H3601">
        <f>E3601*1000000/D3601</f>
        <v>1149419.0155964091</v>
      </c>
      <c r="I3601" t="str">
        <f>IF(AND(B3601&gt;=2018, B3601&lt;=2021), "2018-2021", IF(AND(B3601&gt;=2022, B3601&lt;=2024), "2022-2024", "Other"))</f>
        <v>2018-2021</v>
      </c>
    </row>
    <row r="3602" spans="1:9" x14ac:dyDescent="0.3">
      <c r="A3602" t="s">
        <v>18</v>
      </c>
      <c r="B3602">
        <v>2022</v>
      </c>
      <c r="C3602" t="s">
        <v>4</v>
      </c>
      <c r="D3602">
        <v>650.11</v>
      </c>
      <c r="E3602">
        <v>603.04999999999995</v>
      </c>
      <c r="F3602">
        <v>33.369999999999997</v>
      </c>
      <c r="G3602">
        <v>350</v>
      </c>
      <c r="H3602">
        <f>E3602*1000000/D3602</f>
        <v>927612.25023457571</v>
      </c>
      <c r="I3602" t="str">
        <f>IF(AND(B3602&gt;=2018, B3602&lt;=2021), "2018-2021", IF(AND(B3602&gt;=2022, B3602&lt;=2024), "2022-2024", "Other"))</f>
        <v>2022-2024</v>
      </c>
    </row>
    <row r="3603" spans="1:9" x14ac:dyDescent="0.3">
      <c r="A3603" t="s">
        <v>17</v>
      </c>
      <c r="B3603">
        <v>2023</v>
      </c>
      <c r="C3603" t="s">
        <v>0</v>
      </c>
      <c r="D3603">
        <v>18793.14</v>
      </c>
      <c r="E3603">
        <v>22519.58</v>
      </c>
      <c r="F3603">
        <v>75.349999999999994</v>
      </c>
      <c r="G3603">
        <v>676.81</v>
      </c>
      <c r="H3603">
        <f>E3603*1000000/D3603</f>
        <v>1198287.2473679227</v>
      </c>
      <c r="I3603" t="str">
        <f>IF(AND(B3603&gt;=2018, B3603&lt;=2021), "2018-2021", IF(AND(B3603&gt;=2022, B3603&lt;=2024), "2022-2024", "Other"))</f>
        <v>2022-2024</v>
      </c>
    </row>
    <row r="3604" spans="1:9" x14ac:dyDescent="0.3">
      <c r="A3604" t="s">
        <v>15</v>
      </c>
      <c r="B3604">
        <v>2019</v>
      </c>
      <c r="C3604" t="s">
        <v>0</v>
      </c>
      <c r="D3604">
        <v>19294.52</v>
      </c>
      <c r="E3604">
        <v>18193.080000000002</v>
      </c>
      <c r="F3604">
        <v>130.43</v>
      </c>
      <c r="G3604">
        <v>60.43</v>
      </c>
      <c r="H3604">
        <f>E3604*1000000/D3604</f>
        <v>942914.36117612664</v>
      </c>
      <c r="I3604" t="str">
        <f>IF(AND(B3604&gt;=2018, B3604&lt;=2021), "2018-2021", IF(AND(B3604&gt;=2022, B3604&lt;=2024), "2022-2024", "Other"))</f>
        <v>2018-2021</v>
      </c>
    </row>
    <row r="3605" spans="1:9" x14ac:dyDescent="0.3">
      <c r="A3605" t="s">
        <v>10</v>
      </c>
      <c r="B3605">
        <v>2019</v>
      </c>
      <c r="C3605" t="s">
        <v>12</v>
      </c>
      <c r="D3605">
        <v>16715.11</v>
      </c>
      <c r="E3605">
        <v>15023.87</v>
      </c>
      <c r="F3605">
        <v>129.83000000000001</v>
      </c>
      <c r="G3605">
        <v>421.79</v>
      </c>
      <c r="H3605">
        <f>E3605*1000000/D3605</f>
        <v>898819.69068704895</v>
      </c>
      <c r="I3605" t="str">
        <f>IF(AND(B3605&gt;=2018, B3605&lt;=2021), "2018-2021", IF(AND(B3605&gt;=2022, B3605&lt;=2024), "2022-2024", "Other"))</f>
        <v>2018-2021</v>
      </c>
    </row>
    <row r="3606" spans="1:9" x14ac:dyDescent="0.3">
      <c r="A3606" t="s">
        <v>22</v>
      </c>
      <c r="B3606">
        <v>2021</v>
      </c>
      <c r="C3606" t="s">
        <v>4</v>
      </c>
      <c r="D3606">
        <v>10172.69</v>
      </c>
      <c r="E3606">
        <v>11235.47</v>
      </c>
      <c r="F3606">
        <v>124.52</v>
      </c>
      <c r="G3606">
        <v>891.94</v>
      </c>
      <c r="H3606">
        <f>E3606*1000000/D3606</f>
        <v>1104473.8412357005</v>
      </c>
      <c r="I3606" t="str">
        <f>IF(AND(B3606&gt;=2018, B3606&lt;=2021), "2018-2021", IF(AND(B3606&gt;=2022, B3606&lt;=2024), "2022-2024", "Other"))</f>
        <v>2018-2021</v>
      </c>
    </row>
    <row r="3607" spans="1:9" x14ac:dyDescent="0.3">
      <c r="A3607" t="s">
        <v>24</v>
      </c>
      <c r="B3607">
        <v>2018</v>
      </c>
      <c r="C3607" t="s">
        <v>9</v>
      </c>
      <c r="D3607">
        <v>40478.81</v>
      </c>
      <c r="E3607">
        <v>34071.96</v>
      </c>
      <c r="F3607">
        <v>151.91999999999999</v>
      </c>
      <c r="G3607">
        <v>836.06</v>
      </c>
      <c r="H3607">
        <f>E3607*1000000/D3607</f>
        <v>841723.36093872332</v>
      </c>
      <c r="I3607" t="str">
        <f>IF(AND(B3607&gt;=2018, B3607&lt;=2021), "2018-2021", IF(AND(B3607&gt;=2022, B3607&lt;=2024), "2022-2024", "Other"))</f>
        <v>2018-2021</v>
      </c>
    </row>
    <row r="3608" spans="1:9" x14ac:dyDescent="0.3">
      <c r="A3608" t="s">
        <v>17</v>
      </c>
      <c r="B3608">
        <v>2023</v>
      </c>
      <c r="C3608" t="s">
        <v>6</v>
      </c>
      <c r="D3608">
        <v>11778.4</v>
      </c>
      <c r="E3608">
        <v>13323.99</v>
      </c>
      <c r="F3608">
        <v>34.1</v>
      </c>
      <c r="G3608">
        <v>269.01</v>
      </c>
      <c r="H3608">
        <f>E3608*1000000/D3608</f>
        <v>1131222.4071181146</v>
      </c>
      <c r="I3608" t="str">
        <f>IF(AND(B3608&gt;=2018, B3608&lt;=2021), "2018-2021", IF(AND(B3608&gt;=2022, B3608&lt;=2024), "2022-2024", "Other"))</f>
        <v>2022-2024</v>
      </c>
    </row>
    <row r="3609" spans="1:9" x14ac:dyDescent="0.3">
      <c r="A3609" t="s">
        <v>7</v>
      </c>
      <c r="B3609">
        <v>2021</v>
      </c>
      <c r="C3609" t="s">
        <v>0</v>
      </c>
      <c r="D3609">
        <v>49420.3</v>
      </c>
      <c r="E3609">
        <v>41747.410000000003</v>
      </c>
      <c r="F3609">
        <v>34.729999999999997</v>
      </c>
      <c r="G3609">
        <v>54.36</v>
      </c>
      <c r="H3609">
        <f>E3609*1000000/D3609</f>
        <v>844742.1403755137</v>
      </c>
      <c r="I3609" t="str">
        <f>IF(AND(B3609&gt;=2018, B3609&lt;=2021), "2018-2021", IF(AND(B3609&gt;=2022, B3609&lt;=2024), "2022-2024", "Other"))</f>
        <v>2018-2021</v>
      </c>
    </row>
    <row r="3610" spans="1:9" x14ac:dyDescent="0.3">
      <c r="A3610" t="s">
        <v>18</v>
      </c>
      <c r="B3610">
        <v>2018</v>
      </c>
      <c r="C3610" t="s">
        <v>9</v>
      </c>
      <c r="D3610">
        <v>48408.63</v>
      </c>
      <c r="E3610">
        <v>45144.05</v>
      </c>
      <c r="F3610">
        <v>171.01</v>
      </c>
      <c r="G3610">
        <v>1076.68</v>
      </c>
      <c r="H3610">
        <f>E3610*1000000/D3610</f>
        <v>932562.02458115423</v>
      </c>
      <c r="I3610" t="str">
        <f>IF(AND(B3610&gt;=2018, B3610&lt;=2021), "2018-2021", IF(AND(B3610&gt;=2022, B3610&lt;=2024), "2022-2024", "Other"))</f>
        <v>2018-2021</v>
      </c>
    </row>
    <row r="3611" spans="1:9" x14ac:dyDescent="0.3">
      <c r="A3611" t="s">
        <v>27</v>
      </c>
      <c r="B3611">
        <v>2019</v>
      </c>
      <c r="C3611" t="s">
        <v>14</v>
      </c>
      <c r="D3611">
        <v>38124.79</v>
      </c>
      <c r="E3611">
        <v>40163.08</v>
      </c>
      <c r="F3611">
        <v>168.32</v>
      </c>
      <c r="G3611">
        <v>604.82000000000005</v>
      </c>
      <c r="H3611">
        <f>E3611*1000000/D3611</f>
        <v>1053463.6387505347</v>
      </c>
      <c r="I3611" t="str">
        <f>IF(AND(B3611&gt;=2018, B3611&lt;=2021), "2018-2021", IF(AND(B3611&gt;=2022, B3611&lt;=2024), "2022-2024", "Other"))</f>
        <v>2018-2021</v>
      </c>
    </row>
    <row r="3612" spans="1:9" x14ac:dyDescent="0.3">
      <c r="A3612" t="s">
        <v>18</v>
      </c>
      <c r="B3612">
        <v>2023</v>
      </c>
      <c r="C3612" t="s">
        <v>12</v>
      </c>
      <c r="D3612">
        <v>30851.35</v>
      </c>
      <c r="E3612">
        <v>28023.51</v>
      </c>
      <c r="F3612">
        <v>145.25</v>
      </c>
      <c r="G3612">
        <v>1160.69</v>
      </c>
      <c r="H3612">
        <f>E3612*1000000/D3612</f>
        <v>908339.82953744335</v>
      </c>
      <c r="I3612" t="str">
        <f>IF(AND(B3612&gt;=2018, B3612&lt;=2021), "2018-2021", IF(AND(B3612&gt;=2022, B3612&lt;=2024), "2022-2024", "Other"))</f>
        <v>2022-2024</v>
      </c>
    </row>
    <row r="3613" spans="1:9" x14ac:dyDescent="0.3">
      <c r="A3613" t="s">
        <v>19</v>
      </c>
      <c r="B3613">
        <v>2019</v>
      </c>
      <c r="C3613" t="s">
        <v>14</v>
      </c>
      <c r="D3613">
        <v>44703.97</v>
      </c>
      <c r="E3613">
        <v>37975.51</v>
      </c>
      <c r="F3613">
        <v>67.930000000000007</v>
      </c>
      <c r="G3613">
        <v>373.74</v>
      </c>
      <c r="H3613">
        <f>E3613*1000000/D3613</f>
        <v>849488.535358269</v>
      </c>
      <c r="I3613" t="str">
        <f>IF(AND(B3613&gt;=2018, B3613&lt;=2021), "2018-2021", IF(AND(B3613&gt;=2022, B3613&lt;=2024), "2022-2024", "Other"))</f>
        <v>2018-2021</v>
      </c>
    </row>
    <row r="3614" spans="1:9" x14ac:dyDescent="0.3">
      <c r="A3614" t="s">
        <v>3</v>
      </c>
      <c r="B3614">
        <v>2023</v>
      </c>
      <c r="C3614" t="s">
        <v>4</v>
      </c>
      <c r="D3614">
        <v>43985.69</v>
      </c>
      <c r="E3614">
        <v>36166.53</v>
      </c>
      <c r="F3614">
        <v>152.61000000000001</v>
      </c>
      <c r="G3614">
        <v>554.79</v>
      </c>
      <c r="H3614">
        <f>E3614*1000000/D3614</f>
        <v>822234.00383170065</v>
      </c>
      <c r="I3614" t="str">
        <f>IF(AND(B3614&gt;=2018, B3614&lt;=2021), "2018-2021", IF(AND(B3614&gt;=2022, B3614&lt;=2024), "2022-2024", "Other"))</f>
        <v>2022-2024</v>
      </c>
    </row>
    <row r="3615" spans="1:9" x14ac:dyDescent="0.3">
      <c r="A3615" t="s">
        <v>15</v>
      </c>
      <c r="B3615">
        <v>2024</v>
      </c>
      <c r="C3615" t="s">
        <v>6</v>
      </c>
      <c r="D3615">
        <v>34851.72</v>
      </c>
      <c r="E3615">
        <v>29922.81</v>
      </c>
      <c r="F3615">
        <v>137.1</v>
      </c>
      <c r="G3615">
        <v>178.34</v>
      </c>
      <c r="H3615">
        <f>E3615*1000000/D3615</f>
        <v>858574.84221725643</v>
      </c>
      <c r="I3615" t="str">
        <f>IF(AND(B3615&gt;=2018, B3615&lt;=2021), "2018-2021", IF(AND(B3615&gt;=2022, B3615&lt;=2024), "2022-2024", "Other"))</f>
        <v>2022-2024</v>
      </c>
    </row>
    <row r="3616" spans="1:9" x14ac:dyDescent="0.3">
      <c r="A3616" t="s">
        <v>1</v>
      </c>
      <c r="B3616">
        <v>2021</v>
      </c>
      <c r="C3616" t="s">
        <v>14</v>
      </c>
      <c r="D3616">
        <v>24049.82</v>
      </c>
      <c r="E3616">
        <v>21338.74</v>
      </c>
      <c r="F3616">
        <v>190.25</v>
      </c>
      <c r="G3616">
        <v>1014.36</v>
      </c>
      <c r="H3616">
        <f>E3616*1000000/D3616</f>
        <v>887272.33717341756</v>
      </c>
      <c r="I3616" t="str">
        <f>IF(AND(B3616&gt;=2018, B3616&lt;=2021), "2018-2021", IF(AND(B3616&gt;=2022, B3616&lt;=2024), "2022-2024", "Other"))</f>
        <v>2018-2021</v>
      </c>
    </row>
    <row r="3617" spans="1:9" x14ac:dyDescent="0.3">
      <c r="A3617" t="s">
        <v>24</v>
      </c>
      <c r="B3617">
        <v>2024</v>
      </c>
      <c r="C3617" t="s">
        <v>12</v>
      </c>
      <c r="D3617">
        <v>7233.02</v>
      </c>
      <c r="E3617">
        <v>8039.87</v>
      </c>
      <c r="F3617">
        <v>55.81</v>
      </c>
      <c r="G3617">
        <v>751.03</v>
      </c>
      <c r="H3617">
        <f>E3617*1000000/D3617</f>
        <v>1111550.915108765</v>
      </c>
      <c r="I3617" t="str">
        <f>IF(AND(B3617&gt;=2018, B3617&lt;=2021), "2018-2021", IF(AND(B3617&gt;=2022, B3617&lt;=2024), "2022-2024", "Other"))</f>
        <v>2022-2024</v>
      </c>
    </row>
    <row r="3618" spans="1:9" x14ac:dyDescent="0.3">
      <c r="A3618" t="s">
        <v>18</v>
      </c>
      <c r="B3618">
        <v>2023</v>
      </c>
      <c r="C3618" t="s">
        <v>12</v>
      </c>
      <c r="D3618">
        <v>29196.12</v>
      </c>
      <c r="E3618">
        <v>24627.33</v>
      </c>
      <c r="F3618">
        <v>186.14</v>
      </c>
      <c r="G3618">
        <v>889.4</v>
      </c>
      <c r="H3618">
        <f>E3618*1000000/D3618</f>
        <v>843513.79566873959</v>
      </c>
      <c r="I3618" t="str">
        <f>IF(AND(B3618&gt;=2018, B3618&lt;=2021), "2018-2021", IF(AND(B3618&gt;=2022, B3618&lt;=2024), "2022-2024", "Other"))</f>
        <v>2022-2024</v>
      </c>
    </row>
    <row r="3619" spans="1:9" x14ac:dyDescent="0.3">
      <c r="A3619" t="s">
        <v>7</v>
      </c>
      <c r="B3619">
        <v>2022</v>
      </c>
      <c r="C3619" t="s">
        <v>0</v>
      </c>
      <c r="D3619">
        <v>8737.74</v>
      </c>
      <c r="E3619">
        <v>9012.64</v>
      </c>
      <c r="F3619">
        <v>72.03</v>
      </c>
      <c r="G3619">
        <v>476.62</v>
      </c>
      <c r="H3619">
        <f>E3619*1000000/D3619</f>
        <v>1031461.2245271661</v>
      </c>
      <c r="I3619" t="str">
        <f>IF(AND(B3619&gt;=2018, B3619&lt;=2021), "2018-2021", IF(AND(B3619&gt;=2022, B3619&lt;=2024), "2022-2024", "Other"))</f>
        <v>2022-2024</v>
      </c>
    </row>
    <row r="3620" spans="1:9" x14ac:dyDescent="0.3">
      <c r="A3620" t="s">
        <v>19</v>
      </c>
      <c r="B3620">
        <v>2018</v>
      </c>
      <c r="C3620" t="s">
        <v>9</v>
      </c>
      <c r="D3620">
        <v>19604.830000000002</v>
      </c>
      <c r="E3620">
        <v>21265.77</v>
      </c>
      <c r="F3620">
        <v>70.27</v>
      </c>
      <c r="G3620">
        <v>484.05</v>
      </c>
      <c r="H3620">
        <f>E3620*1000000/D3620</f>
        <v>1084720.9590697801</v>
      </c>
      <c r="I3620" t="str">
        <f>IF(AND(B3620&gt;=2018, B3620&lt;=2021), "2018-2021", IF(AND(B3620&gt;=2022, B3620&lt;=2024), "2022-2024", "Other"))</f>
        <v>2018-2021</v>
      </c>
    </row>
    <row r="3621" spans="1:9" x14ac:dyDescent="0.3">
      <c r="A3621" t="s">
        <v>24</v>
      </c>
      <c r="B3621">
        <v>2019</v>
      </c>
      <c r="C3621" t="s">
        <v>4</v>
      </c>
      <c r="D3621">
        <v>26504.560000000001</v>
      </c>
      <c r="E3621">
        <v>24413.89</v>
      </c>
      <c r="F3621">
        <v>76.83</v>
      </c>
      <c r="G3621">
        <v>785.48</v>
      </c>
      <c r="H3621">
        <f>E3621*1000000/D3621</f>
        <v>921120.36570310919</v>
      </c>
      <c r="I3621" t="str">
        <f>IF(AND(B3621&gt;=2018, B3621&lt;=2021), "2018-2021", IF(AND(B3621&gt;=2022, B3621&lt;=2024), "2022-2024", "Other"))</f>
        <v>2018-2021</v>
      </c>
    </row>
    <row r="3622" spans="1:9" x14ac:dyDescent="0.3">
      <c r="A3622" t="s">
        <v>26</v>
      </c>
      <c r="B3622">
        <v>2018</v>
      </c>
      <c r="C3622" t="s">
        <v>14</v>
      </c>
      <c r="D3622">
        <v>6904.66</v>
      </c>
      <c r="E3622">
        <v>7082.67</v>
      </c>
      <c r="F3622">
        <v>67.87</v>
      </c>
      <c r="G3622">
        <v>535.6</v>
      </c>
      <c r="H3622">
        <f>E3622*1000000/D3622</f>
        <v>1025781.1391147429</v>
      </c>
      <c r="I3622" t="str">
        <f>IF(AND(B3622&gt;=2018, B3622&lt;=2021), "2018-2021", IF(AND(B3622&gt;=2022, B3622&lt;=2024), "2022-2024", "Other"))</f>
        <v>2018-2021</v>
      </c>
    </row>
    <row r="3623" spans="1:9" x14ac:dyDescent="0.3">
      <c r="A3623" t="s">
        <v>24</v>
      </c>
      <c r="B3623">
        <v>2020</v>
      </c>
      <c r="C3623" t="s">
        <v>0</v>
      </c>
      <c r="D3623">
        <v>18279.47</v>
      </c>
      <c r="E3623">
        <v>18369.55</v>
      </c>
      <c r="F3623">
        <v>59.73</v>
      </c>
      <c r="G3623">
        <v>290.52999999999997</v>
      </c>
      <c r="H3623">
        <f>E3623*1000000/D3623</f>
        <v>1004927.9328120563</v>
      </c>
      <c r="I3623" t="str">
        <f>IF(AND(B3623&gt;=2018, B3623&lt;=2021), "2018-2021", IF(AND(B3623&gt;=2022, B3623&lt;=2024), "2022-2024", "Other"))</f>
        <v>2018-2021</v>
      </c>
    </row>
    <row r="3624" spans="1:9" x14ac:dyDescent="0.3">
      <c r="A3624" t="s">
        <v>23</v>
      </c>
      <c r="B3624">
        <v>2024</v>
      </c>
      <c r="C3624" t="s">
        <v>12</v>
      </c>
      <c r="D3624">
        <v>1128.02</v>
      </c>
      <c r="E3624">
        <v>1033.7</v>
      </c>
      <c r="F3624">
        <v>43.5</v>
      </c>
      <c r="G3624">
        <v>94.81</v>
      </c>
      <c r="H3624">
        <f>E3624*1000000/D3624</f>
        <v>916384.46126841719</v>
      </c>
      <c r="I3624" t="str">
        <f>IF(AND(B3624&gt;=2018, B3624&lt;=2021), "2018-2021", IF(AND(B3624&gt;=2022, B3624&lt;=2024), "2022-2024", "Other"))</f>
        <v>2022-2024</v>
      </c>
    </row>
    <row r="3625" spans="1:9" x14ac:dyDescent="0.3">
      <c r="A3625" t="s">
        <v>1</v>
      </c>
      <c r="B3625">
        <v>2024</v>
      </c>
      <c r="C3625" t="s">
        <v>4</v>
      </c>
      <c r="D3625">
        <v>10040.719999999999</v>
      </c>
      <c r="E3625">
        <v>8441.74</v>
      </c>
      <c r="F3625">
        <v>153.21</v>
      </c>
      <c r="G3625">
        <v>1034.6400000000001</v>
      </c>
      <c r="H3625">
        <f>E3625*1000000/D3625</f>
        <v>840750.4641101436</v>
      </c>
      <c r="I3625" t="str">
        <f>IF(AND(B3625&gt;=2018, B3625&lt;=2021), "2018-2021", IF(AND(B3625&gt;=2022, B3625&lt;=2024), "2022-2024", "Other"))</f>
        <v>2022-2024</v>
      </c>
    </row>
    <row r="3626" spans="1:9" x14ac:dyDescent="0.3">
      <c r="A3626" t="s">
        <v>19</v>
      </c>
      <c r="B3626">
        <v>2024</v>
      </c>
      <c r="C3626" t="s">
        <v>8</v>
      </c>
      <c r="D3626">
        <v>45521.599999999999</v>
      </c>
      <c r="E3626">
        <v>50145.26</v>
      </c>
      <c r="F3626">
        <v>71.92</v>
      </c>
      <c r="G3626">
        <v>1262.21</v>
      </c>
      <c r="H3626">
        <f>E3626*1000000/D3626</f>
        <v>1101570.6829285438</v>
      </c>
      <c r="I3626" t="str">
        <f>IF(AND(B3626&gt;=2018, B3626&lt;=2021), "2018-2021", IF(AND(B3626&gt;=2022, B3626&lt;=2024), "2022-2024", "Other"))</f>
        <v>2022-2024</v>
      </c>
    </row>
    <row r="3627" spans="1:9" x14ac:dyDescent="0.3">
      <c r="A3627" t="s">
        <v>25</v>
      </c>
      <c r="B3627">
        <v>2019</v>
      </c>
      <c r="C3627" t="s">
        <v>0</v>
      </c>
      <c r="D3627">
        <v>36484.75</v>
      </c>
      <c r="E3627">
        <v>42175.62</v>
      </c>
      <c r="F3627">
        <v>146.08000000000001</v>
      </c>
      <c r="G3627">
        <v>82.67</v>
      </c>
      <c r="H3627">
        <f>E3627*1000000/D3627</f>
        <v>1155979.4160573939</v>
      </c>
      <c r="I3627" t="str">
        <f>IF(AND(B3627&gt;=2018, B3627&lt;=2021), "2018-2021", IF(AND(B3627&gt;=2022, B3627&lt;=2024), "2022-2024", "Other"))</f>
        <v>2018-2021</v>
      </c>
    </row>
    <row r="3628" spans="1:9" x14ac:dyDescent="0.3">
      <c r="A3628" t="s">
        <v>21</v>
      </c>
      <c r="B3628">
        <v>2020</v>
      </c>
      <c r="C3628" t="s">
        <v>0</v>
      </c>
      <c r="D3628">
        <v>38727.949999999997</v>
      </c>
      <c r="E3628">
        <v>43289.34</v>
      </c>
      <c r="F3628">
        <v>195.51</v>
      </c>
      <c r="G3628">
        <v>998.84</v>
      </c>
      <c r="H3628">
        <f>E3628*1000000/D3628</f>
        <v>1117780.3111189723</v>
      </c>
      <c r="I3628" t="str">
        <f>IF(AND(B3628&gt;=2018, B3628&lt;=2021), "2018-2021", IF(AND(B3628&gt;=2022, B3628&lt;=2024), "2022-2024", "Other"))</f>
        <v>2018-2021</v>
      </c>
    </row>
    <row r="3629" spans="1:9" x14ac:dyDescent="0.3">
      <c r="A3629" t="s">
        <v>11</v>
      </c>
      <c r="B3629">
        <v>2022</v>
      </c>
      <c r="C3629" t="s">
        <v>8</v>
      </c>
      <c r="D3629">
        <v>8740.2800000000007</v>
      </c>
      <c r="E3629">
        <v>8843.52</v>
      </c>
      <c r="F3629">
        <v>142.61000000000001</v>
      </c>
      <c r="G3629">
        <v>1133.6300000000001</v>
      </c>
      <c r="H3629">
        <f>E3629*1000000/D3629</f>
        <v>1011811.9785636157</v>
      </c>
      <c r="I3629" t="str">
        <f>IF(AND(B3629&gt;=2018, B3629&lt;=2021), "2018-2021", IF(AND(B3629&gt;=2022, B3629&lt;=2024), "2022-2024", "Other"))</f>
        <v>2022-2024</v>
      </c>
    </row>
    <row r="3630" spans="1:9" x14ac:dyDescent="0.3">
      <c r="A3630" t="s">
        <v>16</v>
      </c>
      <c r="B3630">
        <v>2021</v>
      </c>
      <c r="C3630" t="s">
        <v>2</v>
      </c>
      <c r="D3630">
        <v>29608.83</v>
      </c>
      <c r="E3630">
        <v>26173.33</v>
      </c>
      <c r="F3630">
        <v>180.74</v>
      </c>
      <c r="G3630">
        <v>894.39</v>
      </c>
      <c r="H3630">
        <f>E3630*1000000/D3630</f>
        <v>883970.42368779844</v>
      </c>
      <c r="I3630" t="str">
        <f>IF(AND(B3630&gt;=2018, B3630&lt;=2021), "2018-2021", IF(AND(B3630&gt;=2022, B3630&lt;=2024), "2022-2024", "Other"))</f>
        <v>2018-2021</v>
      </c>
    </row>
    <row r="3631" spans="1:9" x14ac:dyDescent="0.3">
      <c r="A3631" t="s">
        <v>24</v>
      </c>
      <c r="B3631">
        <v>2021</v>
      </c>
      <c r="C3631" t="s">
        <v>8</v>
      </c>
      <c r="D3631">
        <v>31081.07</v>
      </c>
      <c r="E3631">
        <v>31302.92</v>
      </c>
      <c r="F3631">
        <v>99.62</v>
      </c>
      <c r="G3631">
        <v>46.31</v>
      </c>
      <c r="H3631">
        <f>E3631*1000000/D3631</f>
        <v>1007137.7851534713</v>
      </c>
      <c r="I3631" t="str">
        <f>IF(AND(B3631&gt;=2018, B3631&lt;=2021), "2018-2021", IF(AND(B3631&gt;=2022, B3631&lt;=2024), "2022-2024", "Other"))</f>
        <v>2018-2021</v>
      </c>
    </row>
    <row r="3632" spans="1:9" x14ac:dyDescent="0.3">
      <c r="A3632" t="s">
        <v>22</v>
      </c>
      <c r="B3632">
        <v>2018</v>
      </c>
      <c r="C3632" t="s">
        <v>6</v>
      </c>
      <c r="D3632">
        <v>32966.239999999998</v>
      </c>
      <c r="E3632">
        <v>37189.49</v>
      </c>
      <c r="F3632">
        <v>156.30000000000001</v>
      </c>
      <c r="G3632">
        <v>1153.04</v>
      </c>
      <c r="H3632">
        <f>E3632*1000000/D3632</f>
        <v>1128108.3314323989</v>
      </c>
      <c r="I3632" t="str">
        <f>IF(AND(B3632&gt;=2018, B3632&lt;=2021), "2018-2021", IF(AND(B3632&gt;=2022, B3632&lt;=2024), "2022-2024", "Other"))</f>
        <v>2018-2021</v>
      </c>
    </row>
    <row r="3633" spans="1:9" x14ac:dyDescent="0.3">
      <c r="A3633" t="s">
        <v>22</v>
      </c>
      <c r="B3633">
        <v>2024</v>
      </c>
      <c r="C3633" t="s">
        <v>8</v>
      </c>
      <c r="D3633">
        <v>31340.38</v>
      </c>
      <c r="E3633">
        <v>26943.89</v>
      </c>
      <c r="F3633">
        <v>26.84</v>
      </c>
      <c r="G3633">
        <v>963.26</v>
      </c>
      <c r="H3633">
        <f>E3633*1000000/D3633</f>
        <v>859718.0378795662</v>
      </c>
      <c r="I3633" t="str">
        <f>IF(AND(B3633&gt;=2018, B3633&lt;=2021), "2018-2021", IF(AND(B3633&gt;=2022, B3633&lt;=2024), "2022-2024", "Other"))</f>
        <v>2022-2024</v>
      </c>
    </row>
    <row r="3634" spans="1:9" x14ac:dyDescent="0.3">
      <c r="A3634" t="s">
        <v>19</v>
      </c>
      <c r="B3634">
        <v>2019</v>
      </c>
      <c r="C3634" t="s">
        <v>4</v>
      </c>
      <c r="D3634">
        <v>5728.28</v>
      </c>
      <c r="E3634">
        <v>6170.95</v>
      </c>
      <c r="F3634">
        <v>177.63</v>
      </c>
      <c r="G3634">
        <v>124.46</v>
      </c>
      <c r="H3634">
        <f>E3634*1000000/D3634</f>
        <v>1077277.9961873372</v>
      </c>
      <c r="I3634" t="str">
        <f>IF(AND(B3634&gt;=2018, B3634&lt;=2021), "2018-2021", IF(AND(B3634&gt;=2022, B3634&lt;=2024), "2022-2024", "Other"))</f>
        <v>2018-2021</v>
      </c>
    </row>
    <row r="3635" spans="1:9" x14ac:dyDescent="0.3">
      <c r="A3635" t="s">
        <v>5</v>
      </c>
      <c r="B3635">
        <v>2018</v>
      </c>
      <c r="C3635" t="s">
        <v>0</v>
      </c>
      <c r="D3635">
        <v>33137.51</v>
      </c>
      <c r="E3635">
        <v>34312.6</v>
      </c>
      <c r="F3635">
        <v>153.28</v>
      </c>
      <c r="G3635">
        <v>15.25</v>
      </c>
      <c r="H3635">
        <f>E3635*1000000/D3635</f>
        <v>1035461.0228710605</v>
      </c>
      <c r="I3635" t="str">
        <f>IF(AND(B3635&gt;=2018, B3635&lt;=2021), "2018-2021", IF(AND(B3635&gt;=2022, B3635&lt;=2024), "2022-2024", "Other"))</f>
        <v>2018-2021</v>
      </c>
    </row>
    <row r="3636" spans="1:9" x14ac:dyDescent="0.3">
      <c r="A3636" t="s">
        <v>17</v>
      </c>
      <c r="B3636">
        <v>2020</v>
      </c>
      <c r="C3636" t="s">
        <v>12</v>
      </c>
      <c r="D3636">
        <v>25471.29</v>
      </c>
      <c r="E3636">
        <v>20761.5</v>
      </c>
      <c r="F3636">
        <v>177.68</v>
      </c>
      <c r="G3636">
        <v>63.29</v>
      </c>
      <c r="H3636">
        <f>E3636*1000000/D3636</f>
        <v>815094.17073104659</v>
      </c>
      <c r="I3636" t="str">
        <f>IF(AND(B3636&gt;=2018, B3636&lt;=2021), "2018-2021", IF(AND(B3636&gt;=2022, B3636&lt;=2024), "2022-2024", "Other"))</f>
        <v>2018-2021</v>
      </c>
    </row>
    <row r="3637" spans="1:9" x14ac:dyDescent="0.3">
      <c r="A3637" t="s">
        <v>26</v>
      </c>
      <c r="B3637">
        <v>2022</v>
      </c>
      <c r="C3637" t="s">
        <v>0</v>
      </c>
      <c r="D3637">
        <v>7681.12</v>
      </c>
      <c r="E3637">
        <v>8210.6</v>
      </c>
      <c r="F3637">
        <v>126.49</v>
      </c>
      <c r="G3637">
        <v>957.91</v>
      </c>
      <c r="H3637">
        <f>E3637*1000000/D3637</f>
        <v>1068932.6556543838</v>
      </c>
      <c r="I3637" t="str">
        <f>IF(AND(B3637&gt;=2018, B3637&lt;=2021), "2018-2021", IF(AND(B3637&gt;=2022, B3637&lt;=2024), "2022-2024", "Other"))</f>
        <v>2022-2024</v>
      </c>
    </row>
    <row r="3638" spans="1:9" x14ac:dyDescent="0.3">
      <c r="A3638" t="s">
        <v>15</v>
      </c>
      <c r="B3638">
        <v>2024</v>
      </c>
      <c r="C3638" t="s">
        <v>4</v>
      </c>
      <c r="D3638">
        <v>803.87</v>
      </c>
      <c r="E3638">
        <v>772.65</v>
      </c>
      <c r="F3638">
        <v>49.71</v>
      </c>
      <c r="G3638">
        <v>682.1</v>
      </c>
      <c r="H3638">
        <f>E3638*1000000/D3638</f>
        <v>961162.87459415081</v>
      </c>
      <c r="I3638" t="str">
        <f>IF(AND(B3638&gt;=2018, B3638&lt;=2021), "2018-2021", IF(AND(B3638&gt;=2022, B3638&lt;=2024), "2022-2024", "Other"))</f>
        <v>2022-2024</v>
      </c>
    </row>
    <row r="3639" spans="1:9" x14ac:dyDescent="0.3">
      <c r="A3639" t="s">
        <v>5</v>
      </c>
      <c r="B3639">
        <v>2024</v>
      </c>
      <c r="C3639" t="s">
        <v>9</v>
      </c>
      <c r="D3639">
        <v>33680.269999999997</v>
      </c>
      <c r="E3639">
        <v>31829.4</v>
      </c>
      <c r="F3639">
        <v>74.819999999999993</v>
      </c>
      <c r="G3639">
        <v>801.48</v>
      </c>
      <c r="H3639">
        <f>E3639*1000000/D3639</f>
        <v>945045.86810022616</v>
      </c>
      <c r="I3639" t="str">
        <f>IF(AND(B3639&gt;=2018, B3639&lt;=2021), "2018-2021", IF(AND(B3639&gt;=2022, B3639&lt;=2024), "2022-2024", "Other"))</f>
        <v>2022-2024</v>
      </c>
    </row>
    <row r="3640" spans="1:9" x14ac:dyDescent="0.3">
      <c r="A3640" t="s">
        <v>19</v>
      </c>
      <c r="B3640">
        <v>2023</v>
      </c>
      <c r="C3640" t="s">
        <v>9</v>
      </c>
      <c r="D3640">
        <v>5297.17</v>
      </c>
      <c r="E3640">
        <v>5731.9</v>
      </c>
      <c r="F3640">
        <v>129.41</v>
      </c>
      <c r="G3640">
        <v>358.81</v>
      </c>
      <c r="H3640">
        <f>E3640*1000000/D3640</f>
        <v>1082068.3497037096</v>
      </c>
      <c r="I3640" t="str">
        <f>IF(AND(B3640&gt;=2018, B3640&lt;=2021), "2018-2021", IF(AND(B3640&gt;=2022, B3640&lt;=2024), "2022-2024", "Other"))</f>
        <v>2022-2024</v>
      </c>
    </row>
    <row r="3641" spans="1:9" x14ac:dyDescent="0.3">
      <c r="A3641" t="s">
        <v>1</v>
      </c>
      <c r="B3641">
        <v>2024</v>
      </c>
      <c r="C3641" t="s">
        <v>14</v>
      </c>
      <c r="D3641">
        <v>8921.51</v>
      </c>
      <c r="E3641">
        <v>7409.04</v>
      </c>
      <c r="F3641">
        <v>61.46</v>
      </c>
      <c r="G3641">
        <v>1161.4100000000001</v>
      </c>
      <c r="H3641">
        <f>E3641*1000000/D3641</f>
        <v>830469.28154538863</v>
      </c>
      <c r="I3641" t="str">
        <f>IF(AND(B3641&gt;=2018, B3641&lt;=2021), "2018-2021", IF(AND(B3641&gt;=2022, B3641&lt;=2024), "2022-2024", "Other"))</f>
        <v>2022-2024</v>
      </c>
    </row>
    <row r="3642" spans="1:9" x14ac:dyDescent="0.3">
      <c r="A3642" t="s">
        <v>26</v>
      </c>
      <c r="B3642">
        <v>2021</v>
      </c>
      <c r="C3642" t="s">
        <v>4</v>
      </c>
      <c r="D3642">
        <v>30114.03</v>
      </c>
      <c r="E3642">
        <v>31277.9</v>
      </c>
      <c r="F3642">
        <v>184.25</v>
      </c>
      <c r="G3642">
        <v>332.02</v>
      </c>
      <c r="H3642">
        <f>E3642*1000000/D3642</f>
        <v>1038648.7627195696</v>
      </c>
      <c r="I3642" t="str">
        <f>IF(AND(B3642&gt;=2018, B3642&lt;=2021), "2018-2021", IF(AND(B3642&gt;=2022, B3642&lt;=2024), "2022-2024", "Other"))</f>
        <v>2018-2021</v>
      </c>
    </row>
    <row r="3643" spans="1:9" x14ac:dyDescent="0.3">
      <c r="A3643" t="s">
        <v>15</v>
      </c>
      <c r="B3643">
        <v>2022</v>
      </c>
      <c r="C3643" t="s">
        <v>9</v>
      </c>
      <c r="D3643">
        <v>21432.99</v>
      </c>
      <c r="E3643">
        <v>25269.32</v>
      </c>
      <c r="F3643">
        <v>76.489999999999995</v>
      </c>
      <c r="G3643">
        <v>804.72</v>
      </c>
      <c r="H3643">
        <f>E3643*1000000/D3643</f>
        <v>1178991.825218973</v>
      </c>
      <c r="I3643" t="str">
        <f>IF(AND(B3643&gt;=2018, B3643&lt;=2021), "2018-2021", IF(AND(B3643&gt;=2022, B3643&lt;=2024), "2022-2024", "Other"))</f>
        <v>2022-2024</v>
      </c>
    </row>
    <row r="3644" spans="1:9" x14ac:dyDescent="0.3">
      <c r="A3644" t="s">
        <v>16</v>
      </c>
      <c r="B3644">
        <v>2024</v>
      </c>
      <c r="C3644" t="s">
        <v>2</v>
      </c>
      <c r="D3644">
        <v>42071.87</v>
      </c>
      <c r="E3644">
        <v>43296.13</v>
      </c>
      <c r="F3644">
        <v>77.349999999999994</v>
      </c>
      <c r="G3644">
        <v>609.47</v>
      </c>
      <c r="H3644">
        <f>E3644*1000000/D3644</f>
        <v>1029099.253254015</v>
      </c>
      <c r="I3644" t="str">
        <f>IF(AND(B3644&gt;=2018, B3644&lt;=2021), "2018-2021", IF(AND(B3644&gt;=2022, B3644&lt;=2024), "2022-2024", "Other"))</f>
        <v>2022-2024</v>
      </c>
    </row>
    <row r="3645" spans="1:9" x14ac:dyDescent="0.3">
      <c r="A3645" t="s">
        <v>10</v>
      </c>
      <c r="B3645">
        <v>2022</v>
      </c>
      <c r="C3645" t="s">
        <v>12</v>
      </c>
      <c r="D3645">
        <v>42313.38</v>
      </c>
      <c r="E3645">
        <v>50532.46</v>
      </c>
      <c r="F3645">
        <v>108.37</v>
      </c>
      <c r="G3645">
        <v>1176.6400000000001</v>
      </c>
      <c r="H3645">
        <f>E3645*1000000/D3645</f>
        <v>1194243.0503070189</v>
      </c>
      <c r="I3645" t="str">
        <f>IF(AND(B3645&gt;=2018, B3645&lt;=2021), "2018-2021", IF(AND(B3645&gt;=2022, B3645&lt;=2024), "2022-2024", "Other"))</f>
        <v>2022-2024</v>
      </c>
    </row>
    <row r="3646" spans="1:9" x14ac:dyDescent="0.3">
      <c r="A3646" t="s">
        <v>19</v>
      </c>
      <c r="B3646">
        <v>2019</v>
      </c>
      <c r="C3646" t="s">
        <v>9</v>
      </c>
      <c r="D3646">
        <v>48867.07</v>
      </c>
      <c r="E3646">
        <v>54380.4</v>
      </c>
      <c r="F3646">
        <v>181.03</v>
      </c>
      <c r="G3646">
        <v>1058.23</v>
      </c>
      <c r="H3646">
        <f>E3646*1000000/D3646</f>
        <v>1112823.0114881045</v>
      </c>
      <c r="I3646" t="str">
        <f>IF(AND(B3646&gt;=2018, B3646&lt;=2021), "2018-2021", IF(AND(B3646&gt;=2022, B3646&lt;=2024), "2022-2024", "Other"))</f>
        <v>2018-2021</v>
      </c>
    </row>
    <row r="3647" spans="1:9" x14ac:dyDescent="0.3">
      <c r="A3647" t="s">
        <v>22</v>
      </c>
      <c r="B3647">
        <v>2022</v>
      </c>
      <c r="C3647" t="s">
        <v>0</v>
      </c>
      <c r="D3647">
        <v>4888.8599999999997</v>
      </c>
      <c r="E3647">
        <v>4334.8900000000003</v>
      </c>
      <c r="F3647">
        <v>108.03</v>
      </c>
      <c r="G3647">
        <v>1106.8</v>
      </c>
      <c r="H3647">
        <f>E3647*1000000/D3647</f>
        <v>886687.2849703203</v>
      </c>
      <c r="I3647" t="str">
        <f>IF(AND(B3647&gt;=2018, B3647&lt;=2021), "2018-2021", IF(AND(B3647&gt;=2022, B3647&lt;=2024), "2022-2024", "Other"))</f>
        <v>2022-2024</v>
      </c>
    </row>
    <row r="3648" spans="1:9" x14ac:dyDescent="0.3">
      <c r="A3648" t="s">
        <v>7</v>
      </c>
      <c r="B3648">
        <v>2020</v>
      </c>
      <c r="C3648" t="s">
        <v>14</v>
      </c>
      <c r="D3648">
        <v>47527.95</v>
      </c>
      <c r="E3648">
        <v>53841.19</v>
      </c>
      <c r="F3648">
        <v>82.62</v>
      </c>
      <c r="G3648">
        <v>162.27000000000001</v>
      </c>
      <c r="H3648">
        <f>E3648*1000000/D3648</f>
        <v>1132832.1545532681</v>
      </c>
      <c r="I3648" t="str">
        <f>IF(AND(B3648&gt;=2018, B3648&lt;=2021), "2018-2021", IF(AND(B3648&gt;=2022, B3648&lt;=2024), "2022-2024", "Other"))</f>
        <v>2018-2021</v>
      </c>
    </row>
    <row r="3649" spans="1:9" x14ac:dyDescent="0.3">
      <c r="A3649" t="s">
        <v>24</v>
      </c>
      <c r="B3649">
        <v>2023</v>
      </c>
      <c r="C3649" t="s">
        <v>4</v>
      </c>
      <c r="D3649">
        <v>21051.75</v>
      </c>
      <c r="E3649">
        <v>19053.439999999999</v>
      </c>
      <c r="F3649">
        <v>87.34</v>
      </c>
      <c r="G3649">
        <v>173.01</v>
      </c>
      <c r="H3649">
        <f>E3649*1000000/D3649</f>
        <v>905076.30007006542</v>
      </c>
      <c r="I3649" t="str">
        <f>IF(AND(B3649&gt;=2018, B3649&lt;=2021), "2018-2021", IF(AND(B3649&gt;=2022, B3649&lt;=2024), "2022-2024", "Other"))</f>
        <v>2022-2024</v>
      </c>
    </row>
    <row r="3650" spans="1:9" x14ac:dyDescent="0.3">
      <c r="A3650" t="s">
        <v>11</v>
      </c>
      <c r="B3650">
        <v>2023</v>
      </c>
      <c r="C3650" t="s">
        <v>8</v>
      </c>
      <c r="D3650">
        <v>4936.8999999999996</v>
      </c>
      <c r="E3650">
        <v>4139.34</v>
      </c>
      <c r="F3650">
        <v>189.81</v>
      </c>
      <c r="G3650">
        <v>18.95</v>
      </c>
      <c r="H3650">
        <f>E3650*1000000/D3650</f>
        <v>838449.22927343077</v>
      </c>
      <c r="I3650" t="str">
        <f>IF(AND(B3650&gt;=2018, B3650&lt;=2021), "2018-2021", IF(AND(B3650&gt;=2022, B3650&lt;=2024), "2022-2024", "Other"))</f>
        <v>2022-2024</v>
      </c>
    </row>
    <row r="3651" spans="1:9" x14ac:dyDescent="0.3">
      <c r="A3651" t="s">
        <v>15</v>
      </c>
      <c r="B3651">
        <v>2019</v>
      </c>
      <c r="C3651" t="s">
        <v>6</v>
      </c>
      <c r="D3651">
        <v>39411.72</v>
      </c>
      <c r="E3651">
        <v>36078.17</v>
      </c>
      <c r="F3651">
        <v>115.81</v>
      </c>
      <c r="G3651">
        <v>1050.78</v>
      </c>
      <c r="H3651">
        <f>E3651*1000000/D3651</f>
        <v>915417.29211513733</v>
      </c>
      <c r="I3651" t="str">
        <f>IF(AND(B3651&gt;=2018, B3651&lt;=2021), "2018-2021", IF(AND(B3651&gt;=2022, B3651&lt;=2024), "2022-2024", "Other"))</f>
        <v>2018-2021</v>
      </c>
    </row>
    <row r="3652" spans="1:9" x14ac:dyDescent="0.3">
      <c r="A3652" t="s">
        <v>13</v>
      </c>
      <c r="B3652">
        <v>2024</v>
      </c>
      <c r="C3652" t="s">
        <v>0</v>
      </c>
      <c r="D3652">
        <v>22479.3</v>
      </c>
      <c r="E3652">
        <v>19768.330000000002</v>
      </c>
      <c r="F3652">
        <v>174</v>
      </c>
      <c r="G3652">
        <v>670.27</v>
      </c>
      <c r="H3652">
        <f>E3652*1000000/D3652</f>
        <v>879401.49381875771</v>
      </c>
      <c r="I3652" t="str">
        <f>IF(AND(B3652&gt;=2018, B3652&lt;=2021), "2018-2021", IF(AND(B3652&gt;=2022, B3652&lt;=2024), "2022-2024", "Other"))</f>
        <v>2022-2024</v>
      </c>
    </row>
    <row r="3653" spans="1:9" x14ac:dyDescent="0.3">
      <c r="A3653" t="s">
        <v>5</v>
      </c>
      <c r="B3653">
        <v>2020</v>
      </c>
      <c r="C3653" t="s">
        <v>12</v>
      </c>
      <c r="D3653">
        <v>5548.98</v>
      </c>
      <c r="E3653">
        <v>6078.55</v>
      </c>
      <c r="F3653">
        <v>176.26</v>
      </c>
      <c r="G3653">
        <v>261.14999999999998</v>
      </c>
      <c r="H3653">
        <f>E3653*1000000/D3653</f>
        <v>1095435.5575258876</v>
      </c>
      <c r="I3653" t="str">
        <f>IF(AND(B3653&gt;=2018, B3653&lt;=2021), "2018-2021", IF(AND(B3653&gt;=2022, B3653&lt;=2024), "2022-2024", "Other"))</f>
        <v>2018-2021</v>
      </c>
    </row>
    <row r="3654" spans="1:9" x14ac:dyDescent="0.3">
      <c r="A3654" t="s">
        <v>15</v>
      </c>
      <c r="B3654">
        <v>2023</v>
      </c>
      <c r="C3654" t="s">
        <v>0</v>
      </c>
      <c r="D3654">
        <v>11091.2</v>
      </c>
      <c r="E3654">
        <v>10718.69</v>
      </c>
      <c r="F3654">
        <v>183.99</v>
      </c>
      <c r="G3654">
        <v>649.54999999999995</v>
      </c>
      <c r="H3654">
        <f>E3654*1000000/D3654</f>
        <v>966413.91373341018</v>
      </c>
      <c r="I3654" t="str">
        <f>IF(AND(B3654&gt;=2018, B3654&lt;=2021), "2018-2021", IF(AND(B3654&gt;=2022, B3654&lt;=2024), "2022-2024", "Other"))</f>
        <v>2022-2024</v>
      </c>
    </row>
    <row r="3655" spans="1:9" x14ac:dyDescent="0.3">
      <c r="A3655" t="s">
        <v>19</v>
      </c>
      <c r="B3655">
        <v>2020</v>
      </c>
      <c r="C3655" t="s">
        <v>8</v>
      </c>
      <c r="D3655">
        <v>36223.4</v>
      </c>
      <c r="E3655">
        <v>41779.800000000003</v>
      </c>
      <c r="F3655">
        <v>162.61000000000001</v>
      </c>
      <c r="G3655">
        <v>949.76</v>
      </c>
      <c r="H3655">
        <f>E3655*1000000/D3655</f>
        <v>1153392.5584014752</v>
      </c>
      <c r="I3655" t="str">
        <f>IF(AND(B3655&gt;=2018, B3655&lt;=2021), "2018-2021", IF(AND(B3655&gt;=2022, B3655&lt;=2024), "2022-2024", "Other"))</f>
        <v>2018-2021</v>
      </c>
    </row>
    <row r="3656" spans="1:9" x14ac:dyDescent="0.3">
      <c r="A3656" t="s">
        <v>20</v>
      </c>
      <c r="B3656">
        <v>2020</v>
      </c>
      <c r="C3656" t="s">
        <v>6</v>
      </c>
      <c r="D3656">
        <v>6412.01</v>
      </c>
      <c r="E3656">
        <v>7430.78</v>
      </c>
      <c r="F3656">
        <v>80.84</v>
      </c>
      <c r="G3656">
        <v>560.01</v>
      </c>
      <c r="H3656">
        <f>E3656*1000000/D3656</f>
        <v>1158884.6555136377</v>
      </c>
      <c r="I3656" t="str">
        <f>IF(AND(B3656&gt;=2018, B3656&lt;=2021), "2018-2021", IF(AND(B3656&gt;=2022, B3656&lt;=2024), "2022-2024", "Other"))</f>
        <v>2018-2021</v>
      </c>
    </row>
    <row r="3657" spans="1:9" x14ac:dyDescent="0.3">
      <c r="A3657" t="s">
        <v>25</v>
      </c>
      <c r="B3657">
        <v>2020</v>
      </c>
      <c r="C3657" t="s">
        <v>14</v>
      </c>
      <c r="D3657">
        <v>5892.7</v>
      </c>
      <c r="E3657">
        <v>6152.46</v>
      </c>
      <c r="F3657">
        <v>153.22</v>
      </c>
      <c r="G3657">
        <v>1390.16</v>
      </c>
      <c r="H3657">
        <f>E3657*1000000/D3657</f>
        <v>1044081.6603594278</v>
      </c>
      <c r="I3657" t="str">
        <f>IF(AND(B3657&gt;=2018, B3657&lt;=2021), "2018-2021", IF(AND(B3657&gt;=2022, B3657&lt;=2024), "2022-2024", "Other"))</f>
        <v>2018-2021</v>
      </c>
    </row>
    <row r="3658" spans="1:9" x14ac:dyDescent="0.3">
      <c r="A3658" t="s">
        <v>3</v>
      </c>
      <c r="B3658">
        <v>2019</v>
      </c>
      <c r="C3658" t="s">
        <v>12</v>
      </c>
      <c r="D3658">
        <v>22811.63</v>
      </c>
      <c r="E3658">
        <v>21689.89</v>
      </c>
      <c r="F3658">
        <v>115.44</v>
      </c>
      <c r="G3658">
        <v>1383.96</v>
      </c>
      <c r="H3658">
        <f>E3658*1000000/D3658</f>
        <v>950825.96026675857</v>
      </c>
      <c r="I3658" t="str">
        <f>IF(AND(B3658&gt;=2018, B3658&lt;=2021), "2018-2021", IF(AND(B3658&gt;=2022, B3658&lt;=2024), "2022-2024", "Other"))</f>
        <v>2018-2021</v>
      </c>
    </row>
    <row r="3659" spans="1:9" x14ac:dyDescent="0.3">
      <c r="A3659" t="s">
        <v>21</v>
      </c>
      <c r="B3659">
        <v>2020</v>
      </c>
      <c r="C3659" t="s">
        <v>2</v>
      </c>
      <c r="D3659">
        <v>10282.780000000001</v>
      </c>
      <c r="E3659">
        <v>11947.45</v>
      </c>
      <c r="F3659">
        <v>95.65</v>
      </c>
      <c r="G3659">
        <v>1368.88</v>
      </c>
      <c r="H3659">
        <f>E3659*1000000/D3659</f>
        <v>1161889.1000293694</v>
      </c>
      <c r="I3659" t="str">
        <f>IF(AND(B3659&gt;=2018, B3659&lt;=2021), "2018-2021", IF(AND(B3659&gt;=2022, B3659&lt;=2024), "2022-2024", "Other"))</f>
        <v>2018-2021</v>
      </c>
    </row>
    <row r="3660" spans="1:9" x14ac:dyDescent="0.3">
      <c r="A3660" t="s">
        <v>18</v>
      </c>
      <c r="B3660">
        <v>2024</v>
      </c>
      <c r="C3660" t="s">
        <v>0</v>
      </c>
      <c r="D3660">
        <v>42784.14</v>
      </c>
      <c r="E3660">
        <v>36700.239999999998</v>
      </c>
      <c r="F3660">
        <v>98.32</v>
      </c>
      <c r="G3660">
        <v>395.53</v>
      </c>
      <c r="H3660">
        <f>E3660*1000000/D3660</f>
        <v>857800.11004077678</v>
      </c>
      <c r="I3660" t="str">
        <f>IF(AND(B3660&gt;=2018, B3660&lt;=2021), "2018-2021", IF(AND(B3660&gt;=2022, B3660&lt;=2024), "2022-2024", "Other"))</f>
        <v>2022-2024</v>
      </c>
    </row>
    <row r="3661" spans="1:9" x14ac:dyDescent="0.3">
      <c r="A3661" t="s">
        <v>25</v>
      </c>
      <c r="B3661">
        <v>2023</v>
      </c>
      <c r="C3661" t="s">
        <v>2</v>
      </c>
      <c r="D3661">
        <v>17289.990000000002</v>
      </c>
      <c r="E3661">
        <v>17628.25</v>
      </c>
      <c r="F3661">
        <v>70.06</v>
      </c>
      <c r="G3661">
        <v>404.93</v>
      </c>
      <c r="H3661">
        <f>E3661*1000000/D3661</f>
        <v>1019563.9210896015</v>
      </c>
      <c r="I3661" t="str">
        <f>IF(AND(B3661&gt;=2018, B3661&lt;=2021), "2018-2021", IF(AND(B3661&gt;=2022, B3661&lt;=2024), "2022-2024", "Other"))</f>
        <v>2022-2024</v>
      </c>
    </row>
    <row r="3662" spans="1:9" x14ac:dyDescent="0.3">
      <c r="A3662" t="s">
        <v>3</v>
      </c>
      <c r="B3662">
        <v>2022</v>
      </c>
      <c r="C3662" t="s">
        <v>9</v>
      </c>
      <c r="D3662">
        <v>10942.22</v>
      </c>
      <c r="E3662">
        <v>10530.58</v>
      </c>
      <c r="F3662">
        <v>50.42</v>
      </c>
      <c r="G3662">
        <v>690.47</v>
      </c>
      <c r="H3662">
        <f>E3662*1000000/D3662</f>
        <v>962380.57725032035</v>
      </c>
      <c r="I3662" t="str">
        <f>IF(AND(B3662&gt;=2018, B3662&lt;=2021), "2018-2021", IF(AND(B3662&gt;=2022, B3662&lt;=2024), "2022-2024", "Other"))</f>
        <v>2022-2024</v>
      </c>
    </row>
    <row r="3663" spans="1:9" x14ac:dyDescent="0.3">
      <c r="A3663" t="s">
        <v>16</v>
      </c>
      <c r="B3663">
        <v>2021</v>
      </c>
      <c r="C3663" t="s">
        <v>4</v>
      </c>
      <c r="D3663">
        <v>23784.31</v>
      </c>
      <c r="E3663">
        <v>25865.98</v>
      </c>
      <c r="F3663">
        <v>147.52000000000001</v>
      </c>
      <c r="G3663">
        <v>1142.1600000000001</v>
      </c>
      <c r="H3663">
        <f>E3663*1000000/D3663</f>
        <v>1087522.8249211349</v>
      </c>
      <c r="I3663" t="str">
        <f>IF(AND(B3663&gt;=2018, B3663&lt;=2021), "2018-2021", IF(AND(B3663&gt;=2022, B3663&lt;=2024), "2022-2024", "Other"))</f>
        <v>2018-2021</v>
      </c>
    </row>
    <row r="3664" spans="1:9" x14ac:dyDescent="0.3">
      <c r="A3664" t="s">
        <v>20</v>
      </c>
      <c r="B3664">
        <v>2019</v>
      </c>
      <c r="C3664" t="s">
        <v>12</v>
      </c>
      <c r="D3664">
        <v>5845.91</v>
      </c>
      <c r="E3664">
        <v>4830.88</v>
      </c>
      <c r="F3664">
        <v>82.31</v>
      </c>
      <c r="G3664">
        <v>1188.9000000000001</v>
      </c>
      <c r="H3664">
        <f>E3664*1000000/D3664</f>
        <v>826369.20513658272</v>
      </c>
      <c r="I3664" t="str">
        <f>IF(AND(B3664&gt;=2018, B3664&lt;=2021), "2018-2021", IF(AND(B3664&gt;=2022, B3664&lt;=2024), "2022-2024", "Other"))</f>
        <v>2018-2021</v>
      </c>
    </row>
    <row r="3665" spans="1:9" x14ac:dyDescent="0.3">
      <c r="A3665" t="s">
        <v>10</v>
      </c>
      <c r="B3665">
        <v>2020</v>
      </c>
      <c r="C3665" t="s">
        <v>0</v>
      </c>
      <c r="D3665">
        <v>25811.46</v>
      </c>
      <c r="E3665">
        <v>28084.080000000002</v>
      </c>
      <c r="F3665">
        <v>99.53</v>
      </c>
      <c r="G3665">
        <v>887.96</v>
      </c>
      <c r="H3665">
        <f>E3665*1000000/D3665</f>
        <v>1088046.9372906454</v>
      </c>
      <c r="I3665" t="str">
        <f>IF(AND(B3665&gt;=2018, B3665&lt;=2021), "2018-2021", IF(AND(B3665&gt;=2022, B3665&lt;=2024), "2022-2024", "Other"))</f>
        <v>2018-2021</v>
      </c>
    </row>
    <row r="3666" spans="1:9" x14ac:dyDescent="0.3">
      <c r="A3666" t="s">
        <v>17</v>
      </c>
      <c r="B3666">
        <v>2019</v>
      </c>
      <c r="C3666" t="s">
        <v>14</v>
      </c>
      <c r="D3666">
        <v>20294.32</v>
      </c>
      <c r="E3666">
        <v>21533.41</v>
      </c>
      <c r="F3666">
        <v>147.69</v>
      </c>
      <c r="G3666">
        <v>138.19999999999999</v>
      </c>
      <c r="H3666">
        <f>E3666*1000000/D3666</f>
        <v>1061055.9999053923</v>
      </c>
      <c r="I3666" t="str">
        <f>IF(AND(B3666&gt;=2018, B3666&lt;=2021), "2018-2021", IF(AND(B3666&gt;=2022, B3666&lt;=2024), "2022-2024", "Other"))</f>
        <v>2018-2021</v>
      </c>
    </row>
    <row r="3667" spans="1:9" x14ac:dyDescent="0.3">
      <c r="A3667" t="s">
        <v>18</v>
      </c>
      <c r="B3667">
        <v>2021</v>
      </c>
      <c r="C3667" t="s">
        <v>2</v>
      </c>
      <c r="D3667">
        <v>22361.18</v>
      </c>
      <c r="E3667">
        <v>19748.07</v>
      </c>
      <c r="F3667">
        <v>112.8</v>
      </c>
      <c r="G3667">
        <v>1109.45</v>
      </c>
      <c r="H3667">
        <f>E3667*1000000/D3667</f>
        <v>883140.78237373871</v>
      </c>
      <c r="I3667" t="str">
        <f>IF(AND(B3667&gt;=2018, B3667&lt;=2021), "2018-2021", IF(AND(B3667&gt;=2022, B3667&lt;=2024), "2022-2024", "Other"))</f>
        <v>2018-2021</v>
      </c>
    </row>
    <row r="3668" spans="1:9" x14ac:dyDescent="0.3">
      <c r="A3668" t="s">
        <v>7</v>
      </c>
      <c r="B3668">
        <v>2022</v>
      </c>
      <c r="C3668" t="s">
        <v>0</v>
      </c>
      <c r="D3668">
        <v>43005.41</v>
      </c>
      <c r="E3668">
        <v>44585.89</v>
      </c>
      <c r="F3668">
        <v>170.28</v>
      </c>
      <c r="G3668">
        <v>88.76</v>
      </c>
      <c r="H3668">
        <f>E3668*1000000/D3668</f>
        <v>1036750.7250831929</v>
      </c>
      <c r="I3668" t="str">
        <f>IF(AND(B3668&gt;=2018, B3668&lt;=2021), "2018-2021", IF(AND(B3668&gt;=2022, B3668&lt;=2024), "2022-2024", "Other"))</f>
        <v>2022-2024</v>
      </c>
    </row>
    <row r="3669" spans="1:9" x14ac:dyDescent="0.3">
      <c r="A3669" t="s">
        <v>25</v>
      </c>
      <c r="B3669">
        <v>2019</v>
      </c>
      <c r="C3669" t="s">
        <v>2</v>
      </c>
      <c r="D3669">
        <v>26150.78</v>
      </c>
      <c r="E3669">
        <v>24859.81</v>
      </c>
      <c r="F3669">
        <v>90.47</v>
      </c>
      <c r="G3669">
        <v>1312.81</v>
      </c>
      <c r="H3669">
        <f>E3669*1000000/D3669</f>
        <v>950633.59486791608</v>
      </c>
      <c r="I3669" t="str">
        <f>IF(AND(B3669&gt;=2018, B3669&lt;=2021), "2018-2021", IF(AND(B3669&gt;=2022, B3669&lt;=2024), "2022-2024", "Other"))</f>
        <v>2018-2021</v>
      </c>
    </row>
    <row r="3670" spans="1:9" x14ac:dyDescent="0.3">
      <c r="A3670" t="s">
        <v>26</v>
      </c>
      <c r="B3670">
        <v>2023</v>
      </c>
      <c r="C3670" t="s">
        <v>4</v>
      </c>
      <c r="D3670">
        <v>29278.85</v>
      </c>
      <c r="E3670">
        <v>33984.53</v>
      </c>
      <c r="F3670">
        <v>125.56</v>
      </c>
      <c r="G3670">
        <v>1382.06</v>
      </c>
      <c r="H3670">
        <f>E3670*1000000/D3670</f>
        <v>1160719.4271632936</v>
      </c>
      <c r="I3670" t="str">
        <f>IF(AND(B3670&gt;=2018, B3670&lt;=2021), "2018-2021", IF(AND(B3670&gt;=2022, B3670&lt;=2024), "2022-2024", "Other"))</f>
        <v>2022-2024</v>
      </c>
    </row>
    <row r="3671" spans="1:9" x14ac:dyDescent="0.3">
      <c r="A3671" t="s">
        <v>13</v>
      </c>
      <c r="B3671">
        <v>2018</v>
      </c>
      <c r="C3671" t="s">
        <v>4</v>
      </c>
      <c r="D3671">
        <v>14921.82</v>
      </c>
      <c r="E3671">
        <v>13296.06</v>
      </c>
      <c r="F3671">
        <v>135.68</v>
      </c>
      <c r="G3671">
        <v>136.38</v>
      </c>
      <c r="H3671">
        <f>E3671*1000000/D3671</f>
        <v>891048.14292090375</v>
      </c>
      <c r="I3671" t="str">
        <f>IF(AND(B3671&gt;=2018, B3671&lt;=2021), "2018-2021", IF(AND(B3671&gt;=2022, B3671&lt;=2024), "2022-2024", "Other"))</f>
        <v>2018-2021</v>
      </c>
    </row>
    <row r="3672" spans="1:9" x14ac:dyDescent="0.3">
      <c r="A3672" t="s">
        <v>25</v>
      </c>
      <c r="B3672">
        <v>2022</v>
      </c>
      <c r="C3672" t="s">
        <v>0</v>
      </c>
      <c r="D3672">
        <v>21169.63</v>
      </c>
      <c r="E3672">
        <v>18682.5</v>
      </c>
      <c r="F3672">
        <v>146.80000000000001</v>
      </c>
      <c r="G3672">
        <v>596.54999999999995</v>
      </c>
      <c r="H3672">
        <f>E3672*1000000/D3672</f>
        <v>882514.24328153115</v>
      </c>
      <c r="I3672" t="str">
        <f>IF(AND(B3672&gt;=2018, B3672&lt;=2021), "2018-2021", IF(AND(B3672&gt;=2022, B3672&lt;=2024), "2022-2024", "Other"))</f>
        <v>2022-2024</v>
      </c>
    </row>
    <row r="3673" spans="1:9" x14ac:dyDescent="0.3">
      <c r="A3673" t="s">
        <v>10</v>
      </c>
      <c r="B3673">
        <v>2018</v>
      </c>
      <c r="C3673" t="s">
        <v>8</v>
      </c>
      <c r="D3673">
        <v>18963.25</v>
      </c>
      <c r="E3673">
        <v>21817.13</v>
      </c>
      <c r="F3673">
        <v>88.46</v>
      </c>
      <c r="G3673">
        <v>97.73</v>
      </c>
      <c r="H3673">
        <f>E3673*1000000/D3673</f>
        <v>1150495.3001199688</v>
      </c>
      <c r="I3673" t="str">
        <f>IF(AND(B3673&gt;=2018, B3673&lt;=2021), "2018-2021", IF(AND(B3673&gt;=2022, B3673&lt;=2024), "2022-2024", "Other"))</f>
        <v>2018-2021</v>
      </c>
    </row>
    <row r="3674" spans="1:9" x14ac:dyDescent="0.3">
      <c r="A3674" t="s">
        <v>20</v>
      </c>
      <c r="B3674">
        <v>2018</v>
      </c>
      <c r="C3674" t="s">
        <v>9</v>
      </c>
      <c r="D3674">
        <v>39459.93</v>
      </c>
      <c r="E3674">
        <v>34121.18</v>
      </c>
      <c r="F3674">
        <v>97.62</v>
      </c>
      <c r="G3674">
        <v>851.69</v>
      </c>
      <c r="H3674">
        <f>E3674*1000000/D3674</f>
        <v>864704.5243111176</v>
      </c>
      <c r="I3674" t="str">
        <f>IF(AND(B3674&gt;=2018, B3674&lt;=2021), "2018-2021", IF(AND(B3674&gt;=2022, B3674&lt;=2024), "2022-2024", "Other"))</f>
        <v>2018-2021</v>
      </c>
    </row>
    <row r="3675" spans="1:9" x14ac:dyDescent="0.3">
      <c r="A3675" t="s">
        <v>26</v>
      </c>
      <c r="B3675">
        <v>2019</v>
      </c>
      <c r="C3675" t="s">
        <v>0</v>
      </c>
      <c r="D3675">
        <v>11440.73</v>
      </c>
      <c r="E3675">
        <v>9169.07</v>
      </c>
      <c r="F3675">
        <v>97.32</v>
      </c>
      <c r="G3675">
        <v>665.69</v>
      </c>
      <c r="H3675">
        <f>E3675*1000000/D3675</f>
        <v>801440.99196467362</v>
      </c>
      <c r="I3675" t="str">
        <f>IF(AND(B3675&gt;=2018, B3675&lt;=2021), "2018-2021", IF(AND(B3675&gt;=2022, B3675&lt;=2024), "2022-2024", "Other"))</f>
        <v>2018-2021</v>
      </c>
    </row>
    <row r="3676" spans="1:9" x14ac:dyDescent="0.3">
      <c r="A3676" t="s">
        <v>23</v>
      </c>
      <c r="B3676">
        <v>2023</v>
      </c>
      <c r="C3676" t="s">
        <v>8</v>
      </c>
      <c r="D3676">
        <v>14495.05</v>
      </c>
      <c r="E3676">
        <v>11697.29</v>
      </c>
      <c r="F3676">
        <v>94.35</v>
      </c>
      <c r="G3676">
        <v>792.01</v>
      </c>
      <c r="H3676">
        <f>E3676*1000000/D3676</f>
        <v>806985.14320405934</v>
      </c>
      <c r="I3676" t="str">
        <f>IF(AND(B3676&gt;=2018, B3676&lt;=2021), "2018-2021", IF(AND(B3676&gt;=2022, B3676&lt;=2024), "2022-2024", "Other"))</f>
        <v>2022-2024</v>
      </c>
    </row>
    <row r="3677" spans="1:9" x14ac:dyDescent="0.3">
      <c r="A3677" t="s">
        <v>7</v>
      </c>
      <c r="B3677">
        <v>2022</v>
      </c>
      <c r="C3677" t="s">
        <v>0</v>
      </c>
      <c r="D3677">
        <v>25307.75</v>
      </c>
      <c r="E3677">
        <v>24920.78</v>
      </c>
      <c r="F3677">
        <v>154.38999999999999</v>
      </c>
      <c r="G3677">
        <v>215.25</v>
      </c>
      <c r="H3677">
        <f>E3677*1000000/D3677</f>
        <v>984709.42695419386</v>
      </c>
      <c r="I3677" t="str">
        <f>IF(AND(B3677&gt;=2018, B3677&lt;=2021), "2018-2021", IF(AND(B3677&gt;=2022, B3677&lt;=2024), "2022-2024", "Other"))</f>
        <v>2022-2024</v>
      </c>
    </row>
    <row r="3678" spans="1:9" x14ac:dyDescent="0.3">
      <c r="A3678" t="s">
        <v>7</v>
      </c>
      <c r="B3678">
        <v>2021</v>
      </c>
      <c r="C3678" t="s">
        <v>6</v>
      </c>
      <c r="D3678">
        <v>11064.34</v>
      </c>
      <c r="E3678">
        <v>10189.89</v>
      </c>
      <c r="F3678">
        <v>173.95</v>
      </c>
      <c r="G3678">
        <v>348.95</v>
      </c>
      <c r="H3678">
        <f>E3678*1000000/D3678</f>
        <v>920966.81772252114</v>
      </c>
      <c r="I3678" t="str">
        <f>IF(AND(B3678&gt;=2018, B3678&lt;=2021), "2018-2021", IF(AND(B3678&gt;=2022, B3678&lt;=2024), "2022-2024", "Other"))</f>
        <v>2018-2021</v>
      </c>
    </row>
    <row r="3679" spans="1:9" x14ac:dyDescent="0.3">
      <c r="A3679" t="s">
        <v>3</v>
      </c>
      <c r="B3679">
        <v>2020</v>
      </c>
      <c r="C3679" t="s">
        <v>4</v>
      </c>
      <c r="D3679">
        <v>36883.78</v>
      </c>
      <c r="E3679">
        <v>39028.339999999997</v>
      </c>
      <c r="F3679">
        <v>110.3</v>
      </c>
      <c r="G3679">
        <v>1088.3599999999999</v>
      </c>
      <c r="H3679">
        <f>E3679*1000000/D3679</f>
        <v>1058143.715204895</v>
      </c>
      <c r="I3679" t="str">
        <f>IF(AND(B3679&gt;=2018, B3679&lt;=2021), "2018-2021", IF(AND(B3679&gt;=2022, B3679&lt;=2024), "2022-2024", "Other"))</f>
        <v>2018-2021</v>
      </c>
    </row>
    <row r="3680" spans="1:9" x14ac:dyDescent="0.3">
      <c r="A3680" t="s">
        <v>21</v>
      </c>
      <c r="B3680">
        <v>2020</v>
      </c>
      <c r="C3680" t="s">
        <v>12</v>
      </c>
      <c r="D3680">
        <v>25553.23</v>
      </c>
      <c r="E3680">
        <v>27719.99</v>
      </c>
      <c r="F3680">
        <v>40.369999999999997</v>
      </c>
      <c r="G3680">
        <v>572.71</v>
      </c>
      <c r="H3680">
        <f>E3680*1000000/D3680</f>
        <v>1084793.9771214833</v>
      </c>
      <c r="I3680" t="str">
        <f>IF(AND(B3680&gt;=2018, B3680&lt;=2021), "2018-2021", IF(AND(B3680&gt;=2022, B3680&lt;=2024), "2022-2024", "Other"))</f>
        <v>2018-2021</v>
      </c>
    </row>
    <row r="3681" spans="1:9" x14ac:dyDescent="0.3">
      <c r="A3681" t="s">
        <v>15</v>
      </c>
      <c r="B3681">
        <v>2019</v>
      </c>
      <c r="C3681" t="s">
        <v>2</v>
      </c>
      <c r="D3681">
        <v>26673.200000000001</v>
      </c>
      <c r="E3681">
        <v>29875.24</v>
      </c>
      <c r="F3681">
        <v>179.56</v>
      </c>
      <c r="G3681">
        <v>237.14</v>
      </c>
      <c r="H3681">
        <f>E3681*1000000/D3681</f>
        <v>1120047.0884633265</v>
      </c>
      <c r="I3681" t="str">
        <f>IF(AND(B3681&gt;=2018, B3681&lt;=2021), "2018-2021", IF(AND(B3681&gt;=2022, B3681&lt;=2024), "2022-2024", "Other"))</f>
        <v>2018-2021</v>
      </c>
    </row>
    <row r="3682" spans="1:9" x14ac:dyDescent="0.3">
      <c r="A3682" t="s">
        <v>3</v>
      </c>
      <c r="B3682">
        <v>2022</v>
      </c>
      <c r="C3682" t="s">
        <v>12</v>
      </c>
      <c r="D3682">
        <v>27386.44</v>
      </c>
      <c r="E3682">
        <v>31621.42</v>
      </c>
      <c r="F3682">
        <v>97.9</v>
      </c>
      <c r="G3682">
        <v>1293.4000000000001</v>
      </c>
      <c r="H3682">
        <f>E3682*1000000/D3682</f>
        <v>1154637.8426695841</v>
      </c>
      <c r="I3682" t="str">
        <f>IF(AND(B3682&gt;=2018, B3682&lt;=2021), "2018-2021", IF(AND(B3682&gt;=2022, B3682&lt;=2024), "2022-2024", "Other"))</f>
        <v>2022-2024</v>
      </c>
    </row>
    <row r="3683" spans="1:9" x14ac:dyDescent="0.3">
      <c r="A3683" t="s">
        <v>20</v>
      </c>
      <c r="B3683">
        <v>2020</v>
      </c>
      <c r="C3683" t="s">
        <v>6</v>
      </c>
      <c r="D3683">
        <v>48176.42</v>
      </c>
      <c r="E3683">
        <v>44820</v>
      </c>
      <c r="F3683">
        <v>87.6</v>
      </c>
      <c r="G3683">
        <v>1080.19</v>
      </c>
      <c r="H3683">
        <f>E3683*1000000/D3683</f>
        <v>930330.64723364671</v>
      </c>
      <c r="I3683" t="str">
        <f>IF(AND(B3683&gt;=2018, B3683&lt;=2021), "2018-2021", IF(AND(B3683&gt;=2022, B3683&lt;=2024), "2022-2024", "Other"))</f>
        <v>2018-2021</v>
      </c>
    </row>
    <row r="3684" spans="1:9" x14ac:dyDescent="0.3">
      <c r="A3684" t="s">
        <v>5</v>
      </c>
      <c r="B3684">
        <v>2020</v>
      </c>
      <c r="C3684" t="s">
        <v>14</v>
      </c>
      <c r="D3684">
        <v>30600.98</v>
      </c>
      <c r="E3684">
        <v>30507.17</v>
      </c>
      <c r="F3684">
        <v>144.54</v>
      </c>
      <c r="G3684">
        <v>1235.79</v>
      </c>
      <c r="H3684">
        <f>E3684*1000000/D3684</f>
        <v>996934.4119044554</v>
      </c>
      <c r="I3684" t="str">
        <f>IF(AND(B3684&gt;=2018, B3684&lt;=2021), "2018-2021", IF(AND(B3684&gt;=2022, B3684&lt;=2024), "2022-2024", "Other"))</f>
        <v>2018-2021</v>
      </c>
    </row>
    <row r="3685" spans="1:9" x14ac:dyDescent="0.3">
      <c r="A3685" t="s">
        <v>1</v>
      </c>
      <c r="B3685">
        <v>2023</v>
      </c>
      <c r="C3685" t="s">
        <v>12</v>
      </c>
      <c r="D3685">
        <v>5349.94</v>
      </c>
      <c r="E3685">
        <v>5829.07</v>
      </c>
      <c r="F3685">
        <v>46.26</v>
      </c>
      <c r="G3685">
        <v>1251.0999999999999</v>
      </c>
      <c r="H3685">
        <f>E3685*1000000/D3685</f>
        <v>1089558.0137347335</v>
      </c>
      <c r="I3685" t="str">
        <f>IF(AND(B3685&gt;=2018, B3685&lt;=2021), "2018-2021", IF(AND(B3685&gt;=2022, B3685&lt;=2024), "2022-2024", "Other"))</f>
        <v>2022-2024</v>
      </c>
    </row>
    <row r="3686" spans="1:9" x14ac:dyDescent="0.3">
      <c r="A3686" t="s">
        <v>7</v>
      </c>
      <c r="B3686">
        <v>2018</v>
      </c>
      <c r="C3686" t="s">
        <v>0</v>
      </c>
      <c r="D3686">
        <v>39228.46</v>
      </c>
      <c r="E3686">
        <v>43603.88</v>
      </c>
      <c r="F3686">
        <v>116.41</v>
      </c>
      <c r="G3686">
        <v>1242.27</v>
      </c>
      <c r="H3686">
        <f>E3686*1000000/D3686</f>
        <v>1111536.8790923732</v>
      </c>
      <c r="I3686" t="str">
        <f>IF(AND(B3686&gt;=2018, B3686&lt;=2021), "2018-2021", IF(AND(B3686&gt;=2022, B3686&lt;=2024), "2022-2024", "Other"))</f>
        <v>2018-2021</v>
      </c>
    </row>
    <row r="3687" spans="1:9" x14ac:dyDescent="0.3">
      <c r="A3687" t="s">
        <v>21</v>
      </c>
      <c r="B3687">
        <v>2024</v>
      </c>
      <c r="C3687" t="s">
        <v>14</v>
      </c>
      <c r="D3687">
        <v>16859.400000000001</v>
      </c>
      <c r="E3687">
        <v>15936.64</v>
      </c>
      <c r="F3687">
        <v>136.15</v>
      </c>
      <c r="G3687">
        <v>748.17</v>
      </c>
      <c r="H3687">
        <f>E3687*1000000/D3687</f>
        <v>945267.32861193153</v>
      </c>
      <c r="I3687" t="str">
        <f>IF(AND(B3687&gt;=2018, B3687&lt;=2021), "2018-2021", IF(AND(B3687&gt;=2022, B3687&lt;=2024), "2022-2024", "Other"))</f>
        <v>2022-2024</v>
      </c>
    </row>
    <row r="3688" spans="1:9" x14ac:dyDescent="0.3">
      <c r="A3688" t="s">
        <v>19</v>
      </c>
      <c r="B3688">
        <v>2023</v>
      </c>
      <c r="C3688" t="s">
        <v>12</v>
      </c>
      <c r="D3688">
        <v>17628.330000000002</v>
      </c>
      <c r="E3688">
        <v>20816.599999999999</v>
      </c>
      <c r="F3688">
        <v>58.42</v>
      </c>
      <c r="G3688">
        <v>475.26</v>
      </c>
      <c r="H3688">
        <f>E3688*1000000/D3688</f>
        <v>1180860.5806675958</v>
      </c>
      <c r="I3688" t="str">
        <f>IF(AND(B3688&gt;=2018, B3688&lt;=2021), "2018-2021", IF(AND(B3688&gt;=2022, B3688&lt;=2024), "2022-2024", "Other"))</f>
        <v>2022-2024</v>
      </c>
    </row>
    <row r="3689" spans="1:9" x14ac:dyDescent="0.3">
      <c r="A3689" t="s">
        <v>22</v>
      </c>
      <c r="B3689">
        <v>2021</v>
      </c>
      <c r="C3689" t="s">
        <v>9</v>
      </c>
      <c r="D3689">
        <v>2660.69</v>
      </c>
      <c r="E3689">
        <v>3025.08</v>
      </c>
      <c r="F3689">
        <v>50.85</v>
      </c>
      <c r="G3689">
        <v>981.94</v>
      </c>
      <c r="H3689">
        <f>E3689*1000000/D3689</f>
        <v>1136953.1963513223</v>
      </c>
      <c r="I3689" t="str">
        <f>IF(AND(B3689&gt;=2018, B3689&lt;=2021), "2018-2021", IF(AND(B3689&gt;=2022, B3689&lt;=2024), "2022-2024", "Other"))</f>
        <v>2018-2021</v>
      </c>
    </row>
    <row r="3690" spans="1:9" x14ac:dyDescent="0.3">
      <c r="A3690" t="s">
        <v>24</v>
      </c>
      <c r="B3690">
        <v>2022</v>
      </c>
      <c r="C3690" t="s">
        <v>8</v>
      </c>
      <c r="D3690">
        <v>30839.37</v>
      </c>
      <c r="E3690">
        <v>35023.199999999997</v>
      </c>
      <c r="F3690">
        <v>117.33</v>
      </c>
      <c r="G3690">
        <v>1244.8699999999999</v>
      </c>
      <c r="H3690">
        <f>E3690*1000000/D3690</f>
        <v>1135665.2227331493</v>
      </c>
      <c r="I3690" t="str">
        <f>IF(AND(B3690&gt;=2018, B3690&lt;=2021), "2018-2021", IF(AND(B3690&gt;=2022, B3690&lt;=2024), "2022-2024", "Other"))</f>
        <v>2022-2024</v>
      </c>
    </row>
    <row r="3691" spans="1:9" x14ac:dyDescent="0.3">
      <c r="A3691" t="s">
        <v>25</v>
      </c>
      <c r="B3691">
        <v>2020</v>
      </c>
      <c r="C3691" t="s">
        <v>2</v>
      </c>
      <c r="D3691">
        <v>10893.28</v>
      </c>
      <c r="E3691">
        <v>9819.52</v>
      </c>
      <c r="F3691">
        <v>41.42</v>
      </c>
      <c r="G3691">
        <v>1017.62</v>
      </c>
      <c r="H3691">
        <f>E3691*1000000/D3691</f>
        <v>901429.13796395576</v>
      </c>
      <c r="I3691" t="str">
        <f>IF(AND(B3691&gt;=2018, B3691&lt;=2021), "2018-2021", IF(AND(B3691&gt;=2022, B3691&lt;=2024), "2022-2024", "Other"))</f>
        <v>2018-2021</v>
      </c>
    </row>
    <row r="3692" spans="1:9" x14ac:dyDescent="0.3">
      <c r="A3692" t="s">
        <v>24</v>
      </c>
      <c r="B3692">
        <v>2019</v>
      </c>
      <c r="C3692" t="s">
        <v>8</v>
      </c>
      <c r="D3692">
        <v>47103.94</v>
      </c>
      <c r="E3692">
        <v>38307.519999999997</v>
      </c>
      <c r="F3692">
        <v>62.85</v>
      </c>
      <c r="G3692">
        <v>1267.53</v>
      </c>
      <c r="H3692">
        <f>E3692*1000000/D3692</f>
        <v>813255.11199275474</v>
      </c>
      <c r="I3692" t="str">
        <f>IF(AND(B3692&gt;=2018, B3692&lt;=2021), "2018-2021", IF(AND(B3692&gt;=2022, B3692&lt;=2024), "2022-2024", "Other"))</f>
        <v>2018-2021</v>
      </c>
    </row>
    <row r="3693" spans="1:9" x14ac:dyDescent="0.3">
      <c r="A3693" t="s">
        <v>19</v>
      </c>
      <c r="B3693">
        <v>2024</v>
      </c>
      <c r="C3693" t="s">
        <v>8</v>
      </c>
      <c r="D3693">
        <v>12997.52</v>
      </c>
      <c r="E3693">
        <v>14324.93</v>
      </c>
      <c r="F3693">
        <v>22.11</v>
      </c>
      <c r="G3693">
        <v>138.41</v>
      </c>
      <c r="H3693">
        <f>E3693*1000000/D3693</f>
        <v>1102127.9444078563</v>
      </c>
      <c r="I3693" t="str">
        <f>IF(AND(B3693&gt;=2018, B3693&lt;=2021), "2018-2021", IF(AND(B3693&gt;=2022, B3693&lt;=2024), "2022-2024", "Other"))</f>
        <v>2022-2024</v>
      </c>
    </row>
    <row r="3694" spans="1:9" x14ac:dyDescent="0.3">
      <c r="A3694" t="s">
        <v>22</v>
      </c>
      <c r="B3694">
        <v>2020</v>
      </c>
      <c r="C3694" t="s">
        <v>9</v>
      </c>
      <c r="D3694">
        <v>35653.5</v>
      </c>
      <c r="E3694">
        <v>40954.480000000003</v>
      </c>
      <c r="F3694">
        <v>138.4</v>
      </c>
      <c r="G3694">
        <v>314.58999999999997</v>
      </c>
      <c r="H3694">
        <f>E3694*1000000/D3694</f>
        <v>1148680.4942011302</v>
      </c>
      <c r="I3694" t="str">
        <f>IF(AND(B3694&gt;=2018, B3694&lt;=2021), "2018-2021", IF(AND(B3694&gt;=2022, B3694&lt;=2024), "2022-2024", "Other"))</f>
        <v>2018-2021</v>
      </c>
    </row>
    <row r="3695" spans="1:9" x14ac:dyDescent="0.3">
      <c r="A3695" t="s">
        <v>19</v>
      </c>
      <c r="B3695">
        <v>2021</v>
      </c>
      <c r="C3695" t="s">
        <v>6</v>
      </c>
      <c r="D3695">
        <v>28938.05</v>
      </c>
      <c r="E3695">
        <v>30887.24</v>
      </c>
      <c r="F3695">
        <v>42.06</v>
      </c>
      <c r="G3695">
        <v>492.24</v>
      </c>
      <c r="H3695">
        <f>E3695*1000000/D3695</f>
        <v>1067357.3374847304</v>
      </c>
      <c r="I3695" t="str">
        <f>IF(AND(B3695&gt;=2018, B3695&lt;=2021), "2018-2021", IF(AND(B3695&gt;=2022, B3695&lt;=2024), "2022-2024", "Other"))</f>
        <v>2018-2021</v>
      </c>
    </row>
    <row r="3696" spans="1:9" x14ac:dyDescent="0.3">
      <c r="A3696" t="s">
        <v>23</v>
      </c>
      <c r="B3696">
        <v>2018</v>
      </c>
      <c r="C3696" t="s">
        <v>4</v>
      </c>
      <c r="D3696">
        <v>25093.21</v>
      </c>
      <c r="E3696">
        <v>21035.93</v>
      </c>
      <c r="F3696">
        <v>114.61</v>
      </c>
      <c r="G3696">
        <v>605.37</v>
      </c>
      <c r="H3696">
        <f>E3696*1000000/D3696</f>
        <v>838311.63888557907</v>
      </c>
      <c r="I3696" t="str">
        <f>IF(AND(B3696&gt;=2018, B3696&lt;=2021), "2018-2021", IF(AND(B3696&gt;=2022, B3696&lt;=2024), "2022-2024", "Other"))</f>
        <v>2018-2021</v>
      </c>
    </row>
    <row r="3697" spans="1:9" x14ac:dyDescent="0.3">
      <c r="A3697" t="s">
        <v>24</v>
      </c>
      <c r="B3697">
        <v>2024</v>
      </c>
      <c r="C3697" t="s">
        <v>14</v>
      </c>
      <c r="D3697">
        <v>22909.3</v>
      </c>
      <c r="E3697">
        <v>26242.35</v>
      </c>
      <c r="F3697">
        <v>194.53</v>
      </c>
      <c r="G3697">
        <v>960.24</v>
      </c>
      <c r="H3697">
        <f>E3697*1000000/D3697</f>
        <v>1145488.9499024414</v>
      </c>
      <c r="I3697" t="str">
        <f>IF(AND(B3697&gt;=2018, B3697&lt;=2021), "2018-2021", IF(AND(B3697&gt;=2022, B3697&lt;=2024), "2022-2024", "Other"))</f>
        <v>2022-2024</v>
      </c>
    </row>
    <row r="3698" spans="1:9" x14ac:dyDescent="0.3">
      <c r="A3698" t="s">
        <v>18</v>
      </c>
      <c r="B3698">
        <v>2024</v>
      </c>
      <c r="C3698" t="s">
        <v>14</v>
      </c>
      <c r="D3698">
        <v>41263.11</v>
      </c>
      <c r="E3698">
        <v>48331.29</v>
      </c>
      <c r="F3698">
        <v>163.97</v>
      </c>
      <c r="G3698">
        <v>1255.23</v>
      </c>
      <c r="H3698">
        <f>E3698*1000000/D3698</f>
        <v>1171295.3773964201</v>
      </c>
      <c r="I3698" t="str">
        <f>IF(AND(B3698&gt;=2018, B3698&lt;=2021), "2018-2021", IF(AND(B3698&gt;=2022, B3698&lt;=2024), "2022-2024", "Other"))</f>
        <v>2022-2024</v>
      </c>
    </row>
    <row r="3699" spans="1:9" x14ac:dyDescent="0.3">
      <c r="A3699" t="s">
        <v>16</v>
      </c>
      <c r="B3699">
        <v>2023</v>
      </c>
      <c r="C3699" t="s">
        <v>14</v>
      </c>
      <c r="D3699">
        <v>42229.35</v>
      </c>
      <c r="E3699">
        <v>39681.24</v>
      </c>
      <c r="F3699">
        <v>191.28</v>
      </c>
      <c r="G3699">
        <v>626.17999999999995</v>
      </c>
      <c r="H3699">
        <f>E3699*1000000/D3699</f>
        <v>939660.21262463194</v>
      </c>
      <c r="I3699" t="str">
        <f>IF(AND(B3699&gt;=2018, B3699&lt;=2021), "2018-2021", IF(AND(B3699&gt;=2022, B3699&lt;=2024), "2022-2024", "Other"))</f>
        <v>2022-2024</v>
      </c>
    </row>
    <row r="3700" spans="1:9" x14ac:dyDescent="0.3">
      <c r="A3700" t="s">
        <v>15</v>
      </c>
      <c r="B3700">
        <v>2020</v>
      </c>
      <c r="C3700" t="s">
        <v>2</v>
      </c>
      <c r="D3700">
        <v>4292.72</v>
      </c>
      <c r="E3700">
        <v>3863.42</v>
      </c>
      <c r="F3700">
        <v>181.17</v>
      </c>
      <c r="G3700">
        <v>1200.1500000000001</v>
      </c>
      <c r="H3700">
        <f>E3700*1000000/D3700</f>
        <v>899993.47732905939</v>
      </c>
      <c r="I3700" t="str">
        <f>IF(AND(B3700&gt;=2018, B3700&lt;=2021), "2018-2021", IF(AND(B3700&gt;=2022, B3700&lt;=2024), "2022-2024", "Other"))</f>
        <v>2018-2021</v>
      </c>
    </row>
    <row r="3701" spans="1:9" x14ac:dyDescent="0.3">
      <c r="A3701" t="s">
        <v>7</v>
      </c>
      <c r="B3701">
        <v>2021</v>
      </c>
      <c r="C3701" t="s">
        <v>6</v>
      </c>
      <c r="D3701">
        <v>32557.58</v>
      </c>
      <c r="E3701">
        <v>36985.06</v>
      </c>
      <c r="F3701">
        <v>140.24</v>
      </c>
      <c r="G3701">
        <v>410.71</v>
      </c>
      <c r="H3701">
        <f>E3701*1000000/D3701</f>
        <v>1135989.2227862144</v>
      </c>
      <c r="I3701" t="str">
        <f>IF(AND(B3701&gt;=2018, B3701&lt;=2021), "2018-2021", IF(AND(B3701&gt;=2022, B3701&lt;=2024), "2022-2024", "Other"))</f>
        <v>2018-2021</v>
      </c>
    </row>
    <row r="3702" spans="1:9" x14ac:dyDescent="0.3">
      <c r="A3702" t="s">
        <v>15</v>
      </c>
      <c r="B3702">
        <v>2020</v>
      </c>
      <c r="C3702" t="s">
        <v>9</v>
      </c>
      <c r="D3702">
        <v>47577.88</v>
      </c>
      <c r="E3702">
        <v>43032.74</v>
      </c>
      <c r="F3702">
        <v>174.07</v>
      </c>
      <c r="G3702">
        <v>713.54</v>
      </c>
      <c r="H3702">
        <f>E3702*1000000/D3702</f>
        <v>904469.47194788849</v>
      </c>
      <c r="I3702" t="str">
        <f>IF(AND(B3702&gt;=2018, B3702&lt;=2021), "2018-2021", IF(AND(B3702&gt;=2022, B3702&lt;=2024), "2022-2024", "Other"))</f>
        <v>2018-2021</v>
      </c>
    </row>
    <row r="3703" spans="1:9" x14ac:dyDescent="0.3">
      <c r="A3703" t="s">
        <v>23</v>
      </c>
      <c r="B3703">
        <v>2023</v>
      </c>
      <c r="C3703" t="s">
        <v>0</v>
      </c>
      <c r="D3703">
        <v>17014.53</v>
      </c>
      <c r="E3703">
        <v>19897.45</v>
      </c>
      <c r="F3703">
        <v>132.66</v>
      </c>
      <c r="G3703">
        <v>1040.56</v>
      </c>
      <c r="H3703">
        <f>E3703*1000000/D3703</f>
        <v>1169438.7091503558</v>
      </c>
      <c r="I3703" t="str">
        <f>IF(AND(B3703&gt;=2018, B3703&lt;=2021), "2018-2021", IF(AND(B3703&gt;=2022, B3703&lt;=2024), "2022-2024", "Other"))</f>
        <v>2022-2024</v>
      </c>
    </row>
    <row r="3704" spans="1:9" x14ac:dyDescent="0.3">
      <c r="A3704" t="s">
        <v>11</v>
      </c>
      <c r="B3704">
        <v>2020</v>
      </c>
      <c r="C3704" t="s">
        <v>2</v>
      </c>
      <c r="D3704">
        <v>34621.35</v>
      </c>
      <c r="E3704">
        <v>34571.129999999997</v>
      </c>
      <c r="F3704">
        <v>109.1</v>
      </c>
      <c r="G3704">
        <v>1320.03</v>
      </c>
      <c r="H3704">
        <f>E3704*1000000/D3704</f>
        <v>998549.44997812051</v>
      </c>
      <c r="I3704" t="str">
        <f>IF(AND(B3704&gt;=2018, B3704&lt;=2021), "2018-2021", IF(AND(B3704&gt;=2022, B3704&lt;=2024), "2022-2024", "Other"))</f>
        <v>2018-2021</v>
      </c>
    </row>
    <row r="3705" spans="1:9" x14ac:dyDescent="0.3">
      <c r="A3705" t="s">
        <v>5</v>
      </c>
      <c r="B3705">
        <v>2024</v>
      </c>
      <c r="C3705" t="s">
        <v>14</v>
      </c>
      <c r="D3705">
        <v>36317.93</v>
      </c>
      <c r="E3705">
        <v>30656.91</v>
      </c>
      <c r="F3705">
        <v>104.43</v>
      </c>
      <c r="G3705">
        <v>1131.98</v>
      </c>
      <c r="H3705">
        <f>E3705*1000000/D3705</f>
        <v>844126.02810787945</v>
      </c>
      <c r="I3705" t="str">
        <f>IF(AND(B3705&gt;=2018, B3705&lt;=2021), "2018-2021", IF(AND(B3705&gt;=2022, B3705&lt;=2024), "2022-2024", "Other"))</f>
        <v>2022-2024</v>
      </c>
    </row>
    <row r="3706" spans="1:9" x14ac:dyDescent="0.3">
      <c r="A3706" t="s">
        <v>17</v>
      </c>
      <c r="B3706">
        <v>2024</v>
      </c>
      <c r="C3706" t="s">
        <v>4</v>
      </c>
      <c r="D3706">
        <v>19352.439999999999</v>
      </c>
      <c r="E3706">
        <v>19488.919999999998</v>
      </c>
      <c r="F3706">
        <v>77.03</v>
      </c>
      <c r="G3706">
        <v>1127.53</v>
      </c>
      <c r="H3706">
        <f>E3706*1000000/D3706</f>
        <v>1007052.3406867558</v>
      </c>
      <c r="I3706" t="str">
        <f>IF(AND(B3706&gt;=2018, B3706&lt;=2021), "2018-2021", IF(AND(B3706&gt;=2022, B3706&lt;=2024), "2022-2024", "Other"))</f>
        <v>2022-2024</v>
      </c>
    </row>
    <row r="3707" spans="1:9" x14ac:dyDescent="0.3">
      <c r="A3707" t="s">
        <v>18</v>
      </c>
      <c r="B3707">
        <v>2020</v>
      </c>
      <c r="C3707" t="s">
        <v>2</v>
      </c>
      <c r="D3707">
        <v>19749.18</v>
      </c>
      <c r="E3707">
        <v>23429.4</v>
      </c>
      <c r="F3707">
        <v>66.22</v>
      </c>
      <c r="G3707">
        <v>832.95</v>
      </c>
      <c r="H3707">
        <f>E3707*1000000/D3707</f>
        <v>1186347.9901444009</v>
      </c>
      <c r="I3707" t="str">
        <f>IF(AND(B3707&gt;=2018, B3707&lt;=2021), "2018-2021", IF(AND(B3707&gt;=2022, B3707&lt;=2024), "2022-2024", "Other"))</f>
        <v>2018-2021</v>
      </c>
    </row>
    <row r="3708" spans="1:9" x14ac:dyDescent="0.3">
      <c r="A3708" t="s">
        <v>18</v>
      </c>
      <c r="B3708">
        <v>2021</v>
      </c>
      <c r="C3708" t="s">
        <v>14</v>
      </c>
      <c r="D3708">
        <v>16095.67</v>
      </c>
      <c r="E3708">
        <v>17266.939999999999</v>
      </c>
      <c r="F3708">
        <v>22.78</v>
      </c>
      <c r="G3708">
        <v>974.26</v>
      </c>
      <c r="H3708">
        <f>E3708*1000000/D3708</f>
        <v>1072769.2603041688</v>
      </c>
      <c r="I3708" t="str">
        <f>IF(AND(B3708&gt;=2018, B3708&lt;=2021), "2018-2021", IF(AND(B3708&gt;=2022, B3708&lt;=2024), "2022-2024", "Other"))</f>
        <v>2018-2021</v>
      </c>
    </row>
    <row r="3709" spans="1:9" x14ac:dyDescent="0.3">
      <c r="A3709" t="s">
        <v>22</v>
      </c>
      <c r="B3709">
        <v>2020</v>
      </c>
      <c r="C3709" t="s">
        <v>14</v>
      </c>
      <c r="D3709">
        <v>48757.88</v>
      </c>
      <c r="E3709">
        <v>40130.22</v>
      </c>
      <c r="F3709">
        <v>186.65</v>
      </c>
      <c r="G3709">
        <v>1041.76</v>
      </c>
      <c r="H3709">
        <f>E3709*1000000/D3709</f>
        <v>823050.96119847707</v>
      </c>
      <c r="I3709" t="str">
        <f>IF(AND(B3709&gt;=2018, B3709&lt;=2021), "2018-2021", IF(AND(B3709&gt;=2022, B3709&lt;=2024), "2022-2024", "Other"))</f>
        <v>2018-2021</v>
      </c>
    </row>
    <row r="3710" spans="1:9" x14ac:dyDescent="0.3">
      <c r="A3710" t="s">
        <v>18</v>
      </c>
      <c r="B3710">
        <v>2020</v>
      </c>
      <c r="C3710" t="s">
        <v>14</v>
      </c>
      <c r="D3710">
        <v>11959.25</v>
      </c>
      <c r="E3710">
        <v>13995.3</v>
      </c>
      <c r="F3710">
        <v>47.98</v>
      </c>
      <c r="G3710">
        <v>924.6</v>
      </c>
      <c r="H3710">
        <f>E3710*1000000/D3710</f>
        <v>1170248.9704621946</v>
      </c>
      <c r="I3710" t="str">
        <f>IF(AND(B3710&gt;=2018, B3710&lt;=2021), "2018-2021", IF(AND(B3710&gt;=2022, B3710&lt;=2024), "2022-2024", "Other"))</f>
        <v>2018-2021</v>
      </c>
    </row>
    <row r="3711" spans="1:9" x14ac:dyDescent="0.3">
      <c r="A3711" t="s">
        <v>13</v>
      </c>
      <c r="B3711">
        <v>2020</v>
      </c>
      <c r="C3711" t="s">
        <v>0</v>
      </c>
      <c r="D3711">
        <v>9207.5400000000009</v>
      </c>
      <c r="E3711">
        <v>9555.15</v>
      </c>
      <c r="F3711">
        <v>135.32</v>
      </c>
      <c r="G3711">
        <v>1070.32</v>
      </c>
      <c r="H3711">
        <f>E3711*1000000/D3711</f>
        <v>1037752.7548074729</v>
      </c>
      <c r="I3711" t="str">
        <f>IF(AND(B3711&gt;=2018, B3711&lt;=2021), "2018-2021", IF(AND(B3711&gt;=2022, B3711&lt;=2024), "2022-2024", "Other"))</f>
        <v>2018-2021</v>
      </c>
    </row>
    <row r="3712" spans="1:9" x14ac:dyDescent="0.3">
      <c r="A3712" t="s">
        <v>1</v>
      </c>
      <c r="B3712">
        <v>2021</v>
      </c>
      <c r="C3712" t="s">
        <v>6</v>
      </c>
      <c r="D3712">
        <v>24451.1</v>
      </c>
      <c r="E3712">
        <v>26741.599999999999</v>
      </c>
      <c r="F3712">
        <v>101.72</v>
      </c>
      <c r="G3712">
        <v>469.1</v>
      </c>
      <c r="H3712">
        <f>E3712*1000000/D3712</f>
        <v>1093676.7670984128</v>
      </c>
      <c r="I3712" t="str">
        <f>IF(AND(B3712&gt;=2018, B3712&lt;=2021), "2018-2021", IF(AND(B3712&gt;=2022, B3712&lt;=2024), "2022-2024", "Other"))</f>
        <v>2018-2021</v>
      </c>
    </row>
    <row r="3713" spans="1:9" x14ac:dyDescent="0.3">
      <c r="A3713" t="s">
        <v>16</v>
      </c>
      <c r="B3713">
        <v>2020</v>
      </c>
      <c r="C3713" t="s">
        <v>14</v>
      </c>
      <c r="D3713">
        <v>26530.69</v>
      </c>
      <c r="E3713">
        <v>26224.12</v>
      </c>
      <c r="F3713">
        <v>154.54</v>
      </c>
      <c r="G3713">
        <v>1385.15</v>
      </c>
      <c r="H3713">
        <f>E3713*1000000/D3713</f>
        <v>988444.7030966779</v>
      </c>
      <c r="I3713" t="str">
        <f>IF(AND(B3713&gt;=2018, B3713&lt;=2021), "2018-2021", IF(AND(B3713&gt;=2022, B3713&lt;=2024), "2022-2024", "Other"))</f>
        <v>2018-2021</v>
      </c>
    </row>
    <row r="3714" spans="1:9" x14ac:dyDescent="0.3">
      <c r="A3714" t="s">
        <v>16</v>
      </c>
      <c r="B3714">
        <v>2024</v>
      </c>
      <c r="C3714" t="s">
        <v>2</v>
      </c>
      <c r="D3714">
        <v>39257.040000000001</v>
      </c>
      <c r="E3714">
        <v>43549.74</v>
      </c>
      <c r="F3714">
        <v>110.57</v>
      </c>
      <c r="G3714">
        <v>720.43</v>
      </c>
      <c r="H3714">
        <f>E3714*1000000/D3714</f>
        <v>1109348.5397778335</v>
      </c>
      <c r="I3714" t="str">
        <f>IF(AND(B3714&gt;=2018, B3714&lt;=2021), "2018-2021", IF(AND(B3714&gt;=2022, B3714&lt;=2024), "2022-2024", "Other"))</f>
        <v>2022-2024</v>
      </c>
    </row>
    <row r="3715" spans="1:9" x14ac:dyDescent="0.3">
      <c r="A3715" t="s">
        <v>1</v>
      </c>
      <c r="B3715">
        <v>2022</v>
      </c>
      <c r="C3715" t="s">
        <v>6</v>
      </c>
      <c r="D3715">
        <v>45022.32</v>
      </c>
      <c r="E3715">
        <v>52601.32</v>
      </c>
      <c r="F3715">
        <v>193.47</v>
      </c>
      <c r="G3715">
        <v>414.18</v>
      </c>
      <c r="H3715">
        <f>E3715*1000000/D3715</f>
        <v>1168338.72621402</v>
      </c>
      <c r="I3715" t="str">
        <f>IF(AND(B3715&gt;=2018, B3715&lt;=2021), "2018-2021", IF(AND(B3715&gt;=2022, B3715&lt;=2024), "2022-2024", "Other"))</f>
        <v>2022-2024</v>
      </c>
    </row>
    <row r="3716" spans="1:9" x14ac:dyDescent="0.3">
      <c r="A3716" t="s">
        <v>17</v>
      </c>
      <c r="B3716">
        <v>2022</v>
      </c>
      <c r="C3716" t="s">
        <v>6</v>
      </c>
      <c r="D3716">
        <v>39022.449999999997</v>
      </c>
      <c r="E3716">
        <v>36291.980000000003</v>
      </c>
      <c r="F3716">
        <v>168.07</v>
      </c>
      <c r="G3716">
        <v>794.76</v>
      </c>
      <c r="H3716">
        <f>E3716*1000000/D3716</f>
        <v>930028.22734092816</v>
      </c>
      <c r="I3716" t="str">
        <f>IF(AND(B3716&gt;=2018, B3716&lt;=2021), "2018-2021", IF(AND(B3716&gt;=2022, B3716&lt;=2024), "2022-2024", "Other"))</f>
        <v>2022-2024</v>
      </c>
    </row>
    <row r="3717" spans="1:9" x14ac:dyDescent="0.3">
      <c r="A3717" t="s">
        <v>18</v>
      </c>
      <c r="B3717">
        <v>2022</v>
      </c>
      <c r="C3717" t="s">
        <v>0</v>
      </c>
      <c r="D3717">
        <v>45076.43</v>
      </c>
      <c r="E3717">
        <v>49600.71</v>
      </c>
      <c r="F3717">
        <v>59.27</v>
      </c>
      <c r="G3717">
        <v>1060.6600000000001</v>
      </c>
      <c r="H3717">
        <f>E3717*1000000/D3717</f>
        <v>1100369.0842420307</v>
      </c>
      <c r="I3717" t="str">
        <f>IF(AND(B3717&gt;=2018, B3717&lt;=2021), "2018-2021", IF(AND(B3717&gt;=2022, B3717&lt;=2024), "2022-2024", "Other"))</f>
        <v>2022-2024</v>
      </c>
    </row>
    <row r="3718" spans="1:9" x14ac:dyDescent="0.3">
      <c r="A3718" t="s">
        <v>3</v>
      </c>
      <c r="B3718">
        <v>2019</v>
      </c>
      <c r="C3718" t="s">
        <v>6</v>
      </c>
      <c r="D3718">
        <v>46585.74</v>
      </c>
      <c r="E3718">
        <v>48326.86</v>
      </c>
      <c r="F3718">
        <v>130.56</v>
      </c>
      <c r="G3718">
        <v>727.6</v>
      </c>
      <c r="H3718">
        <f>E3718*1000000/D3718</f>
        <v>1037374.5270548456</v>
      </c>
      <c r="I3718" t="str">
        <f>IF(AND(B3718&gt;=2018, B3718&lt;=2021), "2018-2021", IF(AND(B3718&gt;=2022, B3718&lt;=2024), "2022-2024", "Other"))</f>
        <v>2018-2021</v>
      </c>
    </row>
    <row r="3719" spans="1:9" x14ac:dyDescent="0.3">
      <c r="A3719" t="s">
        <v>26</v>
      </c>
      <c r="B3719">
        <v>2020</v>
      </c>
      <c r="C3719" t="s">
        <v>6</v>
      </c>
      <c r="D3719">
        <v>7291.55</v>
      </c>
      <c r="E3719">
        <v>7888.77</v>
      </c>
      <c r="F3719">
        <v>55.41</v>
      </c>
      <c r="G3719">
        <v>794.28</v>
      </c>
      <c r="H3719">
        <f>E3719*1000000/D3719</f>
        <v>1081905.7676351392</v>
      </c>
      <c r="I3719" t="str">
        <f>IF(AND(B3719&gt;=2018, B3719&lt;=2021), "2018-2021", IF(AND(B3719&gt;=2022, B3719&lt;=2024), "2022-2024", "Other"))</f>
        <v>2018-2021</v>
      </c>
    </row>
    <row r="3720" spans="1:9" x14ac:dyDescent="0.3">
      <c r="A3720" t="s">
        <v>1</v>
      </c>
      <c r="B3720">
        <v>2018</v>
      </c>
      <c r="C3720" t="s">
        <v>9</v>
      </c>
      <c r="D3720">
        <v>49713.01</v>
      </c>
      <c r="E3720">
        <v>49879.839999999997</v>
      </c>
      <c r="F3720">
        <v>137.47</v>
      </c>
      <c r="G3720">
        <v>1202.49</v>
      </c>
      <c r="H3720">
        <f>E3720*1000000/D3720</f>
        <v>1003355.8619765731</v>
      </c>
      <c r="I3720" t="str">
        <f>IF(AND(B3720&gt;=2018, B3720&lt;=2021), "2018-2021", IF(AND(B3720&gt;=2022, B3720&lt;=2024), "2022-2024", "Other"))</f>
        <v>2018-2021</v>
      </c>
    </row>
    <row r="3721" spans="1:9" x14ac:dyDescent="0.3">
      <c r="A3721" t="s">
        <v>22</v>
      </c>
      <c r="B3721">
        <v>2018</v>
      </c>
      <c r="C3721" t="s">
        <v>4</v>
      </c>
      <c r="D3721">
        <v>45363.79</v>
      </c>
      <c r="E3721">
        <v>43666.1</v>
      </c>
      <c r="F3721">
        <v>119.47</v>
      </c>
      <c r="G3721">
        <v>1115.53</v>
      </c>
      <c r="H3721">
        <f>E3721*1000000/D3721</f>
        <v>962576.09869016672</v>
      </c>
      <c r="I3721" t="str">
        <f>IF(AND(B3721&gt;=2018, B3721&lt;=2021), "2018-2021", IF(AND(B3721&gt;=2022, B3721&lt;=2024), "2022-2024", "Other"))</f>
        <v>2018-2021</v>
      </c>
    </row>
    <row r="3722" spans="1:9" x14ac:dyDescent="0.3">
      <c r="A3722" t="s">
        <v>22</v>
      </c>
      <c r="B3722">
        <v>2022</v>
      </c>
      <c r="C3722" t="s">
        <v>8</v>
      </c>
      <c r="D3722">
        <v>16025.83</v>
      </c>
      <c r="E3722">
        <v>14500.02</v>
      </c>
      <c r="F3722">
        <v>94.43</v>
      </c>
      <c r="G3722">
        <v>1042.0999999999999</v>
      </c>
      <c r="H3722">
        <f>E3722*1000000/D3722</f>
        <v>904790.57870949584</v>
      </c>
      <c r="I3722" t="str">
        <f>IF(AND(B3722&gt;=2018, B3722&lt;=2021), "2018-2021", IF(AND(B3722&gt;=2022, B3722&lt;=2024), "2022-2024", "Other"))</f>
        <v>2022-2024</v>
      </c>
    </row>
    <row r="3723" spans="1:9" x14ac:dyDescent="0.3">
      <c r="A3723" t="s">
        <v>11</v>
      </c>
      <c r="B3723">
        <v>2018</v>
      </c>
      <c r="C3723" t="s">
        <v>9</v>
      </c>
      <c r="D3723">
        <v>36822.19</v>
      </c>
      <c r="E3723">
        <v>37779.47</v>
      </c>
      <c r="F3723">
        <v>80.08</v>
      </c>
      <c r="G3723">
        <v>1332.98</v>
      </c>
      <c r="H3723">
        <f>E3723*1000000/D3723</f>
        <v>1025997.3673483299</v>
      </c>
      <c r="I3723" t="str">
        <f>IF(AND(B3723&gt;=2018, B3723&lt;=2021), "2018-2021", IF(AND(B3723&gt;=2022, B3723&lt;=2024), "2022-2024", "Other"))</f>
        <v>2018-2021</v>
      </c>
    </row>
    <row r="3724" spans="1:9" x14ac:dyDescent="0.3">
      <c r="A3724" t="s">
        <v>20</v>
      </c>
      <c r="B3724">
        <v>2024</v>
      </c>
      <c r="C3724" t="s">
        <v>12</v>
      </c>
      <c r="D3724">
        <v>6894.25</v>
      </c>
      <c r="E3724">
        <v>7326</v>
      </c>
      <c r="F3724">
        <v>122.79</v>
      </c>
      <c r="G3724">
        <v>313.45999999999998</v>
      </c>
      <c r="H3724">
        <f>E3724*1000000/D3724</f>
        <v>1062624.6509772637</v>
      </c>
      <c r="I3724" t="str">
        <f>IF(AND(B3724&gt;=2018, B3724&lt;=2021), "2018-2021", IF(AND(B3724&gt;=2022, B3724&lt;=2024), "2022-2024", "Other"))</f>
        <v>2022-2024</v>
      </c>
    </row>
    <row r="3725" spans="1:9" x14ac:dyDescent="0.3">
      <c r="A3725" t="s">
        <v>16</v>
      </c>
      <c r="B3725">
        <v>2023</v>
      </c>
      <c r="C3725" t="s">
        <v>12</v>
      </c>
      <c r="D3725">
        <v>13884.82</v>
      </c>
      <c r="E3725">
        <v>14410.92</v>
      </c>
      <c r="F3725">
        <v>144.27000000000001</v>
      </c>
      <c r="G3725">
        <v>1163.04</v>
      </c>
      <c r="H3725">
        <f>E3725*1000000/D3725</f>
        <v>1037890.3003423883</v>
      </c>
      <c r="I3725" t="str">
        <f>IF(AND(B3725&gt;=2018, B3725&lt;=2021), "2018-2021", IF(AND(B3725&gt;=2022, B3725&lt;=2024), "2022-2024", "Other"))</f>
        <v>2022-2024</v>
      </c>
    </row>
    <row r="3726" spans="1:9" x14ac:dyDescent="0.3">
      <c r="A3726" t="s">
        <v>16</v>
      </c>
      <c r="B3726">
        <v>2022</v>
      </c>
      <c r="C3726" t="s">
        <v>0</v>
      </c>
      <c r="D3726">
        <v>43108.6</v>
      </c>
      <c r="E3726">
        <v>37808.92</v>
      </c>
      <c r="F3726">
        <v>155.19999999999999</v>
      </c>
      <c r="G3726">
        <v>414.48</v>
      </c>
      <c r="H3726">
        <f>E3726*1000000/D3726</f>
        <v>877062.1175357122</v>
      </c>
      <c r="I3726" t="str">
        <f>IF(AND(B3726&gt;=2018, B3726&lt;=2021), "2018-2021", IF(AND(B3726&gt;=2022, B3726&lt;=2024), "2022-2024", "Other"))</f>
        <v>2022-2024</v>
      </c>
    </row>
    <row r="3727" spans="1:9" x14ac:dyDescent="0.3">
      <c r="A3727" t="s">
        <v>22</v>
      </c>
      <c r="B3727">
        <v>2020</v>
      </c>
      <c r="C3727" t="s">
        <v>9</v>
      </c>
      <c r="D3727">
        <v>29280.98</v>
      </c>
      <c r="E3727">
        <v>30273.02</v>
      </c>
      <c r="F3727">
        <v>146.85</v>
      </c>
      <c r="G3727">
        <v>72.760000000000005</v>
      </c>
      <c r="H3727">
        <f>E3727*1000000/D3727</f>
        <v>1033880.0135787805</v>
      </c>
      <c r="I3727" t="str">
        <f>IF(AND(B3727&gt;=2018, B3727&lt;=2021), "2018-2021", IF(AND(B3727&gt;=2022, B3727&lt;=2024), "2022-2024", "Other"))</f>
        <v>2018-2021</v>
      </c>
    </row>
    <row r="3728" spans="1:9" x14ac:dyDescent="0.3">
      <c r="A3728" t="s">
        <v>26</v>
      </c>
      <c r="B3728">
        <v>2023</v>
      </c>
      <c r="C3728" t="s">
        <v>6</v>
      </c>
      <c r="D3728">
        <v>3067.42</v>
      </c>
      <c r="E3728">
        <v>3053.2</v>
      </c>
      <c r="F3728">
        <v>113.42</v>
      </c>
      <c r="G3728">
        <v>445.43</v>
      </c>
      <c r="H3728">
        <f>E3728*1000000/D3728</f>
        <v>995364.18227696232</v>
      </c>
      <c r="I3728" t="str">
        <f>IF(AND(B3728&gt;=2018, B3728&lt;=2021), "2018-2021", IF(AND(B3728&gt;=2022, B3728&lt;=2024), "2022-2024", "Other"))</f>
        <v>2022-2024</v>
      </c>
    </row>
    <row r="3729" spans="1:9" x14ac:dyDescent="0.3">
      <c r="A3729" t="s">
        <v>10</v>
      </c>
      <c r="B3729">
        <v>2019</v>
      </c>
      <c r="C3729" t="s">
        <v>12</v>
      </c>
      <c r="D3729">
        <v>1832.98</v>
      </c>
      <c r="E3729">
        <v>1597.18</v>
      </c>
      <c r="F3729">
        <v>117.42</v>
      </c>
      <c r="G3729">
        <v>1077.67</v>
      </c>
      <c r="H3729">
        <f>E3729*1000000/D3729</f>
        <v>871357.02517212403</v>
      </c>
      <c r="I3729" t="str">
        <f>IF(AND(B3729&gt;=2018, B3729&lt;=2021), "2018-2021", IF(AND(B3729&gt;=2022, B3729&lt;=2024), "2022-2024", "Other"))</f>
        <v>2018-2021</v>
      </c>
    </row>
    <row r="3730" spans="1:9" x14ac:dyDescent="0.3">
      <c r="A3730" t="s">
        <v>10</v>
      </c>
      <c r="B3730">
        <v>2023</v>
      </c>
      <c r="C3730" t="s">
        <v>8</v>
      </c>
      <c r="D3730">
        <v>7256.8</v>
      </c>
      <c r="E3730">
        <v>5877.43</v>
      </c>
      <c r="F3730">
        <v>63.78</v>
      </c>
      <c r="G3730">
        <v>1183.6099999999999</v>
      </c>
      <c r="H3730">
        <f>E3730*1000000/D3730</f>
        <v>809920.3505677433</v>
      </c>
      <c r="I3730" t="str">
        <f>IF(AND(B3730&gt;=2018, B3730&lt;=2021), "2018-2021", IF(AND(B3730&gt;=2022, B3730&lt;=2024), "2022-2024", "Other"))</f>
        <v>2022-2024</v>
      </c>
    </row>
    <row r="3731" spans="1:9" x14ac:dyDescent="0.3">
      <c r="A3731" t="s">
        <v>27</v>
      </c>
      <c r="B3731">
        <v>2024</v>
      </c>
      <c r="C3731" t="s">
        <v>12</v>
      </c>
      <c r="D3731">
        <v>29881.69</v>
      </c>
      <c r="E3731">
        <v>29847.43</v>
      </c>
      <c r="F3731">
        <v>169.12</v>
      </c>
      <c r="G3731">
        <v>359.36</v>
      </c>
      <c r="H3731">
        <f>E3731*1000000/D3731</f>
        <v>998853.47850138333</v>
      </c>
      <c r="I3731" t="str">
        <f>IF(AND(B3731&gt;=2018, B3731&lt;=2021), "2018-2021", IF(AND(B3731&gt;=2022, B3731&lt;=2024), "2022-2024", "Other"))</f>
        <v>2022-2024</v>
      </c>
    </row>
    <row r="3732" spans="1:9" x14ac:dyDescent="0.3">
      <c r="A3732" t="s">
        <v>23</v>
      </c>
      <c r="B3732">
        <v>2024</v>
      </c>
      <c r="C3732" t="s">
        <v>4</v>
      </c>
      <c r="D3732">
        <v>5005.0200000000004</v>
      </c>
      <c r="E3732">
        <v>4506.29</v>
      </c>
      <c r="F3732">
        <v>54.28</v>
      </c>
      <c r="G3732">
        <v>1307.97</v>
      </c>
      <c r="H3732">
        <f>E3732*1000000/D3732</f>
        <v>900354.04453928245</v>
      </c>
      <c r="I3732" t="str">
        <f>IF(AND(B3732&gt;=2018, B3732&lt;=2021), "2018-2021", IF(AND(B3732&gt;=2022, B3732&lt;=2024), "2022-2024", "Other"))</f>
        <v>2022-2024</v>
      </c>
    </row>
    <row r="3733" spans="1:9" x14ac:dyDescent="0.3">
      <c r="A3733" t="s">
        <v>18</v>
      </c>
      <c r="B3733">
        <v>2024</v>
      </c>
      <c r="C3733" t="s">
        <v>6</v>
      </c>
      <c r="D3733">
        <v>15306.6</v>
      </c>
      <c r="E3733">
        <v>15829.19</v>
      </c>
      <c r="F3733">
        <v>162.80000000000001</v>
      </c>
      <c r="G3733">
        <v>69.709999999999994</v>
      </c>
      <c r="H3733">
        <f>E3733*1000000/D3733</f>
        <v>1034141.4814524454</v>
      </c>
      <c r="I3733" t="str">
        <f>IF(AND(B3733&gt;=2018, B3733&lt;=2021), "2018-2021", IF(AND(B3733&gt;=2022, B3733&lt;=2024), "2022-2024", "Other"))</f>
        <v>2022-2024</v>
      </c>
    </row>
    <row r="3734" spans="1:9" x14ac:dyDescent="0.3">
      <c r="A3734" t="s">
        <v>18</v>
      </c>
      <c r="B3734">
        <v>2018</v>
      </c>
      <c r="C3734" t="s">
        <v>6</v>
      </c>
      <c r="D3734">
        <v>27177.119999999999</v>
      </c>
      <c r="E3734">
        <v>32368.17</v>
      </c>
      <c r="F3734">
        <v>36.909999999999997</v>
      </c>
      <c r="G3734">
        <v>756.31</v>
      </c>
      <c r="H3734">
        <f>E3734*1000000/D3734</f>
        <v>1191008.0979883079</v>
      </c>
      <c r="I3734" t="str">
        <f>IF(AND(B3734&gt;=2018, B3734&lt;=2021), "2018-2021", IF(AND(B3734&gt;=2022, B3734&lt;=2024), "2022-2024", "Other"))</f>
        <v>2018-2021</v>
      </c>
    </row>
    <row r="3735" spans="1:9" x14ac:dyDescent="0.3">
      <c r="A3735" t="s">
        <v>25</v>
      </c>
      <c r="B3735">
        <v>2023</v>
      </c>
      <c r="C3735" t="s">
        <v>2</v>
      </c>
      <c r="D3735">
        <v>47204.66</v>
      </c>
      <c r="E3735">
        <v>48115.64</v>
      </c>
      <c r="F3735">
        <v>48.03</v>
      </c>
      <c r="G3735">
        <v>1180.6600000000001</v>
      </c>
      <c r="H3735">
        <f>E3735*1000000/D3735</f>
        <v>1019298.5184089876</v>
      </c>
      <c r="I3735" t="str">
        <f>IF(AND(B3735&gt;=2018, B3735&lt;=2021), "2018-2021", IF(AND(B3735&gt;=2022, B3735&lt;=2024), "2022-2024", "Other"))</f>
        <v>2022-2024</v>
      </c>
    </row>
    <row r="3736" spans="1:9" x14ac:dyDescent="0.3">
      <c r="A3736" t="s">
        <v>22</v>
      </c>
      <c r="B3736">
        <v>2019</v>
      </c>
      <c r="C3736" t="s">
        <v>9</v>
      </c>
      <c r="D3736">
        <v>49616.19</v>
      </c>
      <c r="E3736">
        <v>58171.65</v>
      </c>
      <c r="F3736">
        <v>114.59</v>
      </c>
      <c r="G3736">
        <v>1286.3800000000001</v>
      </c>
      <c r="H3736">
        <f>E3736*1000000/D3736</f>
        <v>1172432.8288810567</v>
      </c>
      <c r="I3736" t="str">
        <f>IF(AND(B3736&gt;=2018, B3736&lt;=2021), "2018-2021", IF(AND(B3736&gt;=2022, B3736&lt;=2024), "2022-2024", "Other"))</f>
        <v>2018-2021</v>
      </c>
    </row>
    <row r="3737" spans="1:9" x14ac:dyDescent="0.3">
      <c r="A3737" t="s">
        <v>3</v>
      </c>
      <c r="B3737">
        <v>2020</v>
      </c>
      <c r="C3737" t="s">
        <v>12</v>
      </c>
      <c r="D3737">
        <v>14631.32</v>
      </c>
      <c r="E3737">
        <v>12814.96</v>
      </c>
      <c r="F3737">
        <v>158.52000000000001</v>
      </c>
      <c r="G3737">
        <v>489.53</v>
      </c>
      <c r="H3737">
        <f>E3737*1000000/D3737</f>
        <v>875858.09072592226</v>
      </c>
      <c r="I3737" t="str">
        <f>IF(AND(B3737&gt;=2018, B3737&lt;=2021), "2018-2021", IF(AND(B3737&gt;=2022, B3737&lt;=2024), "2022-2024", "Other"))</f>
        <v>2018-2021</v>
      </c>
    </row>
    <row r="3738" spans="1:9" x14ac:dyDescent="0.3">
      <c r="A3738" t="s">
        <v>23</v>
      </c>
      <c r="B3738">
        <v>2023</v>
      </c>
      <c r="C3738" t="s">
        <v>4</v>
      </c>
      <c r="D3738">
        <v>25784.26</v>
      </c>
      <c r="E3738">
        <v>23359.31</v>
      </c>
      <c r="F3738">
        <v>52.46</v>
      </c>
      <c r="G3738">
        <v>358.21</v>
      </c>
      <c r="H3738">
        <f>E3738*1000000/D3738</f>
        <v>905952.31354322366</v>
      </c>
      <c r="I3738" t="str">
        <f>IF(AND(B3738&gt;=2018, B3738&lt;=2021), "2018-2021", IF(AND(B3738&gt;=2022, B3738&lt;=2024), "2022-2024", "Other"))</f>
        <v>2022-2024</v>
      </c>
    </row>
    <row r="3739" spans="1:9" x14ac:dyDescent="0.3">
      <c r="A3739" t="s">
        <v>5</v>
      </c>
      <c r="B3739">
        <v>2021</v>
      </c>
      <c r="C3739" t="s">
        <v>6</v>
      </c>
      <c r="D3739">
        <v>19197.91</v>
      </c>
      <c r="E3739">
        <v>22186.53</v>
      </c>
      <c r="F3739">
        <v>20.73</v>
      </c>
      <c r="G3739">
        <v>452.23</v>
      </c>
      <c r="H3739">
        <f>E3739*1000000/D3739</f>
        <v>1155674.2374560565</v>
      </c>
      <c r="I3739" t="str">
        <f>IF(AND(B3739&gt;=2018, B3739&lt;=2021), "2018-2021", IF(AND(B3739&gt;=2022, B3739&lt;=2024), "2022-2024", "Other"))</f>
        <v>2018-2021</v>
      </c>
    </row>
    <row r="3740" spans="1:9" x14ac:dyDescent="0.3">
      <c r="A3740" t="s">
        <v>20</v>
      </c>
      <c r="B3740">
        <v>2019</v>
      </c>
      <c r="C3740" t="s">
        <v>8</v>
      </c>
      <c r="D3740">
        <v>31542.14</v>
      </c>
      <c r="E3740">
        <v>37329.919999999998</v>
      </c>
      <c r="F3740">
        <v>86.58</v>
      </c>
      <c r="G3740">
        <v>1216.97</v>
      </c>
      <c r="H3740">
        <f>E3740*1000000/D3740</f>
        <v>1183493.5739933942</v>
      </c>
      <c r="I3740" t="str">
        <f>IF(AND(B3740&gt;=2018, B3740&lt;=2021), "2018-2021", IF(AND(B3740&gt;=2022, B3740&lt;=2024), "2022-2024", "Other"))</f>
        <v>2018-2021</v>
      </c>
    </row>
    <row r="3741" spans="1:9" x14ac:dyDescent="0.3">
      <c r="A3741" t="s">
        <v>24</v>
      </c>
      <c r="B3741">
        <v>2022</v>
      </c>
      <c r="C3741" t="s">
        <v>8</v>
      </c>
      <c r="D3741">
        <v>45819.44</v>
      </c>
      <c r="E3741">
        <v>47170.79</v>
      </c>
      <c r="F3741">
        <v>129.93</v>
      </c>
      <c r="G3741">
        <v>1258.56</v>
      </c>
      <c r="H3741">
        <f>E3741*1000000/D3741</f>
        <v>1029492.9401145015</v>
      </c>
      <c r="I3741" t="str">
        <f>IF(AND(B3741&gt;=2018, B3741&lt;=2021), "2018-2021", IF(AND(B3741&gt;=2022, B3741&lt;=2024), "2022-2024", "Other"))</f>
        <v>2022-2024</v>
      </c>
    </row>
    <row r="3742" spans="1:9" x14ac:dyDescent="0.3">
      <c r="A3742" t="s">
        <v>16</v>
      </c>
      <c r="B3742">
        <v>2024</v>
      </c>
      <c r="C3742" t="s">
        <v>2</v>
      </c>
      <c r="D3742">
        <v>39379.5</v>
      </c>
      <c r="E3742">
        <v>35484.15</v>
      </c>
      <c r="F3742">
        <v>135.79</v>
      </c>
      <c r="G3742">
        <v>627.49</v>
      </c>
      <c r="H3742">
        <f>E3742*1000000/D3742</f>
        <v>901081.78112977569</v>
      </c>
      <c r="I3742" t="str">
        <f>IF(AND(B3742&gt;=2018, B3742&lt;=2021), "2018-2021", IF(AND(B3742&gt;=2022, B3742&lt;=2024), "2022-2024", "Other"))</f>
        <v>2022-2024</v>
      </c>
    </row>
    <row r="3743" spans="1:9" x14ac:dyDescent="0.3">
      <c r="A3743" t="s">
        <v>18</v>
      </c>
      <c r="B3743">
        <v>2022</v>
      </c>
      <c r="C3743" t="s">
        <v>0</v>
      </c>
      <c r="D3743">
        <v>14575.48</v>
      </c>
      <c r="E3743">
        <v>17266.43</v>
      </c>
      <c r="F3743">
        <v>67.430000000000007</v>
      </c>
      <c r="G3743">
        <v>805.91</v>
      </c>
      <c r="H3743">
        <f>E3743*1000000/D3743</f>
        <v>1184621.7071410341</v>
      </c>
      <c r="I3743" t="str">
        <f>IF(AND(B3743&gt;=2018, B3743&lt;=2021), "2018-2021", IF(AND(B3743&gt;=2022, B3743&lt;=2024), "2022-2024", "Other"))</f>
        <v>2022-2024</v>
      </c>
    </row>
    <row r="3744" spans="1:9" x14ac:dyDescent="0.3">
      <c r="A3744" t="s">
        <v>25</v>
      </c>
      <c r="B3744">
        <v>2018</v>
      </c>
      <c r="C3744" t="s">
        <v>9</v>
      </c>
      <c r="D3744">
        <v>30390.15</v>
      </c>
      <c r="E3744">
        <v>36323.370000000003</v>
      </c>
      <c r="F3744">
        <v>151.30000000000001</v>
      </c>
      <c r="G3744">
        <v>1359.08</v>
      </c>
      <c r="H3744">
        <f>E3744*1000000/D3744</f>
        <v>1195234.969225226</v>
      </c>
      <c r="I3744" t="str">
        <f>IF(AND(B3744&gt;=2018, B3744&lt;=2021), "2018-2021", IF(AND(B3744&gt;=2022, B3744&lt;=2024), "2022-2024", "Other"))</f>
        <v>2018-2021</v>
      </c>
    </row>
    <row r="3745" spans="1:9" x14ac:dyDescent="0.3">
      <c r="A3745" t="s">
        <v>18</v>
      </c>
      <c r="B3745">
        <v>2024</v>
      </c>
      <c r="C3745" t="s">
        <v>12</v>
      </c>
      <c r="D3745">
        <v>24519.45</v>
      </c>
      <c r="E3745">
        <v>27371.31</v>
      </c>
      <c r="F3745">
        <v>103.22</v>
      </c>
      <c r="G3745">
        <v>1044.77</v>
      </c>
      <c r="H3745">
        <f>E3745*1000000/D3745</f>
        <v>1116310.1129919309</v>
      </c>
      <c r="I3745" t="str">
        <f>IF(AND(B3745&gt;=2018, B3745&lt;=2021), "2018-2021", IF(AND(B3745&gt;=2022, B3745&lt;=2024), "2022-2024", "Other"))</f>
        <v>2022-2024</v>
      </c>
    </row>
    <row r="3746" spans="1:9" x14ac:dyDescent="0.3">
      <c r="A3746" t="s">
        <v>19</v>
      </c>
      <c r="B3746">
        <v>2018</v>
      </c>
      <c r="C3746" t="s">
        <v>4</v>
      </c>
      <c r="D3746">
        <v>5132.8100000000004</v>
      </c>
      <c r="E3746">
        <v>6000.76</v>
      </c>
      <c r="F3746">
        <v>166.36</v>
      </c>
      <c r="G3746">
        <v>159.22999999999999</v>
      </c>
      <c r="H3746">
        <f>E3746*1000000/D3746</f>
        <v>1169098.4080844605</v>
      </c>
      <c r="I3746" t="str">
        <f>IF(AND(B3746&gt;=2018, B3746&lt;=2021), "2018-2021", IF(AND(B3746&gt;=2022, B3746&lt;=2024), "2022-2024", "Other"))</f>
        <v>2018-2021</v>
      </c>
    </row>
    <row r="3747" spans="1:9" x14ac:dyDescent="0.3">
      <c r="A3747" t="s">
        <v>27</v>
      </c>
      <c r="B3747">
        <v>2019</v>
      </c>
      <c r="C3747" t="s">
        <v>0</v>
      </c>
      <c r="D3747">
        <v>15580.49</v>
      </c>
      <c r="E3747">
        <v>13179.24</v>
      </c>
      <c r="F3747">
        <v>101.45</v>
      </c>
      <c r="G3747">
        <v>1017.13</v>
      </c>
      <c r="H3747">
        <f>E3747*1000000/D3747</f>
        <v>845880.97036742745</v>
      </c>
      <c r="I3747" t="str">
        <f>IF(AND(B3747&gt;=2018, B3747&lt;=2021), "2018-2021", IF(AND(B3747&gt;=2022, B3747&lt;=2024), "2022-2024", "Other"))</f>
        <v>2018-2021</v>
      </c>
    </row>
    <row r="3748" spans="1:9" x14ac:dyDescent="0.3">
      <c r="A3748" t="s">
        <v>3</v>
      </c>
      <c r="B3748">
        <v>2021</v>
      </c>
      <c r="C3748" t="s">
        <v>9</v>
      </c>
      <c r="D3748">
        <v>44188.4</v>
      </c>
      <c r="E3748">
        <v>52053.01</v>
      </c>
      <c r="F3748">
        <v>89.32</v>
      </c>
      <c r="G3748">
        <v>1004.36</v>
      </c>
      <c r="H3748">
        <f>E3748*1000000/D3748</f>
        <v>1177979.0623783616</v>
      </c>
      <c r="I3748" t="str">
        <f>IF(AND(B3748&gt;=2018, B3748&lt;=2021), "2018-2021", IF(AND(B3748&gt;=2022, B3748&lt;=2024), "2022-2024", "Other"))</f>
        <v>2018-2021</v>
      </c>
    </row>
    <row r="3749" spans="1:9" x14ac:dyDescent="0.3">
      <c r="A3749" t="s">
        <v>15</v>
      </c>
      <c r="B3749">
        <v>2019</v>
      </c>
      <c r="C3749" t="s">
        <v>8</v>
      </c>
      <c r="D3749">
        <v>47257.35</v>
      </c>
      <c r="E3749">
        <v>43506.34</v>
      </c>
      <c r="F3749">
        <v>128.72</v>
      </c>
      <c r="G3749">
        <v>732.43</v>
      </c>
      <c r="H3749">
        <f>E3749*1000000/D3749</f>
        <v>920625.89205700275</v>
      </c>
      <c r="I3749" t="str">
        <f>IF(AND(B3749&gt;=2018, B3749&lt;=2021), "2018-2021", IF(AND(B3749&gt;=2022, B3749&lt;=2024), "2022-2024", "Other"))</f>
        <v>2018-2021</v>
      </c>
    </row>
    <row r="3750" spans="1:9" x14ac:dyDescent="0.3">
      <c r="A3750" t="s">
        <v>17</v>
      </c>
      <c r="B3750">
        <v>2018</v>
      </c>
      <c r="C3750" t="s">
        <v>9</v>
      </c>
      <c r="D3750">
        <v>49595.51</v>
      </c>
      <c r="E3750">
        <v>55463.65</v>
      </c>
      <c r="F3750">
        <v>50.32</v>
      </c>
      <c r="G3750">
        <v>1374.66</v>
      </c>
      <c r="H3750">
        <f>E3750*1000000/D3750</f>
        <v>1118319.9850147725</v>
      </c>
      <c r="I3750" t="str">
        <f>IF(AND(B3750&gt;=2018, B3750&lt;=2021), "2018-2021", IF(AND(B3750&gt;=2022, B3750&lt;=2024), "2022-2024", "Other"))</f>
        <v>2018-2021</v>
      </c>
    </row>
    <row r="3751" spans="1:9" x14ac:dyDescent="0.3">
      <c r="A3751" t="s">
        <v>10</v>
      </c>
      <c r="B3751">
        <v>2018</v>
      </c>
      <c r="C3751" t="s">
        <v>8</v>
      </c>
      <c r="D3751">
        <v>15381.73</v>
      </c>
      <c r="E3751">
        <v>18117.09</v>
      </c>
      <c r="F3751">
        <v>186.38</v>
      </c>
      <c r="G3751">
        <v>567.76</v>
      </c>
      <c r="H3751">
        <f>E3751*1000000/D3751</f>
        <v>1177831.7523451524</v>
      </c>
      <c r="I3751" t="str">
        <f>IF(AND(B3751&gt;=2018, B3751&lt;=2021), "2018-2021", IF(AND(B3751&gt;=2022, B3751&lt;=2024), "2022-2024", "Other"))</f>
        <v>2018-2021</v>
      </c>
    </row>
    <row r="3752" spans="1:9" x14ac:dyDescent="0.3">
      <c r="A3752" t="s">
        <v>11</v>
      </c>
      <c r="B3752">
        <v>2020</v>
      </c>
      <c r="C3752" t="s">
        <v>4</v>
      </c>
      <c r="D3752">
        <v>35677.39</v>
      </c>
      <c r="E3752">
        <v>35522</v>
      </c>
      <c r="F3752">
        <v>114.56</v>
      </c>
      <c r="G3752">
        <v>895.01</v>
      </c>
      <c r="H3752">
        <f>E3752*1000000/D3752</f>
        <v>995644.58050322626</v>
      </c>
      <c r="I3752" t="str">
        <f>IF(AND(B3752&gt;=2018, B3752&lt;=2021), "2018-2021", IF(AND(B3752&gt;=2022, B3752&lt;=2024), "2022-2024", "Other"))</f>
        <v>2018-2021</v>
      </c>
    </row>
    <row r="3753" spans="1:9" x14ac:dyDescent="0.3">
      <c r="A3753" t="s">
        <v>3</v>
      </c>
      <c r="B3753">
        <v>2021</v>
      </c>
      <c r="C3753" t="s">
        <v>0</v>
      </c>
      <c r="D3753">
        <v>12980.36</v>
      </c>
      <c r="E3753">
        <v>14459.78</v>
      </c>
      <c r="F3753">
        <v>68</v>
      </c>
      <c r="G3753">
        <v>170.36</v>
      </c>
      <c r="H3753">
        <f>E3753*1000000/D3753</f>
        <v>1113973.7264605912</v>
      </c>
      <c r="I3753" t="str">
        <f>IF(AND(B3753&gt;=2018, B3753&lt;=2021), "2018-2021", IF(AND(B3753&gt;=2022, B3753&lt;=2024), "2022-2024", "Other"))</f>
        <v>2018-2021</v>
      </c>
    </row>
    <row r="3754" spans="1:9" x14ac:dyDescent="0.3">
      <c r="A3754" t="s">
        <v>17</v>
      </c>
      <c r="B3754">
        <v>2018</v>
      </c>
      <c r="C3754" t="s">
        <v>9</v>
      </c>
      <c r="D3754">
        <v>13137.93</v>
      </c>
      <c r="E3754">
        <v>10954.87</v>
      </c>
      <c r="F3754">
        <v>31.67</v>
      </c>
      <c r="G3754">
        <v>942.49</v>
      </c>
      <c r="H3754">
        <f>E3754*1000000/D3754</f>
        <v>833835.31500015606</v>
      </c>
      <c r="I3754" t="str">
        <f>IF(AND(B3754&gt;=2018, B3754&lt;=2021), "2018-2021", IF(AND(B3754&gt;=2022, B3754&lt;=2024), "2022-2024", "Other"))</f>
        <v>2018-2021</v>
      </c>
    </row>
    <row r="3755" spans="1:9" x14ac:dyDescent="0.3">
      <c r="A3755" t="s">
        <v>23</v>
      </c>
      <c r="B3755">
        <v>2018</v>
      </c>
      <c r="C3755" t="s">
        <v>4</v>
      </c>
      <c r="D3755">
        <v>36000.160000000003</v>
      </c>
      <c r="E3755">
        <v>41755.21</v>
      </c>
      <c r="F3755">
        <v>56.39</v>
      </c>
      <c r="G3755">
        <v>821.01</v>
      </c>
      <c r="H3755">
        <f>E3755*1000000/D3755</f>
        <v>1159861.7895031576</v>
      </c>
      <c r="I3755" t="str">
        <f>IF(AND(B3755&gt;=2018, B3755&lt;=2021), "2018-2021", IF(AND(B3755&gt;=2022, B3755&lt;=2024), "2022-2024", "Other"))</f>
        <v>2018-2021</v>
      </c>
    </row>
    <row r="3756" spans="1:9" x14ac:dyDescent="0.3">
      <c r="A3756" t="s">
        <v>25</v>
      </c>
      <c r="B3756">
        <v>2020</v>
      </c>
      <c r="C3756" t="s">
        <v>12</v>
      </c>
      <c r="D3756">
        <v>43464.27</v>
      </c>
      <c r="E3756">
        <v>36088.400000000001</v>
      </c>
      <c r="F3756">
        <v>172.77</v>
      </c>
      <c r="G3756">
        <v>22.36</v>
      </c>
      <c r="H3756">
        <f>E3756*1000000/D3756</f>
        <v>830300.38236003974</v>
      </c>
      <c r="I3756" t="str">
        <f>IF(AND(B3756&gt;=2018, B3756&lt;=2021), "2018-2021", IF(AND(B3756&gt;=2022, B3756&lt;=2024), "2022-2024", "Other"))</f>
        <v>2018-2021</v>
      </c>
    </row>
    <row r="3757" spans="1:9" x14ac:dyDescent="0.3">
      <c r="A3757" t="s">
        <v>10</v>
      </c>
      <c r="B3757">
        <v>2020</v>
      </c>
      <c r="C3757" t="s">
        <v>0</v>
      </c>
      <c r="D3757">
        <v>30748.43</v>
      </c>
      <c r="E3757">
        <v>28580.86</v>
      </c>
      <c r="F3757">
        <v>178.15</v>
      </c>
      <c r="G3757">
        <v>1327.68</v>
      </c>
      <c r="H3757">
        <f>E3757*1000000/D3757</f>
        <v>929506.31950964651</v>
      </c>
      <c r="I3757" t="str">
        <f>IF(AND(B3757&gt;=2018, B3757&lt;=2021), "2018-2021", IF(AND(B3757&gt;=2022, B3757&lt;=2024), "2022-2024", "Other"))</f>
        <v>2018-2021</v>
      </c>
    </row>
    <row r="3758" spans="1:9" x14ac:dyDescent="0.3">
      <c r="A3758" t="s">
        <v>18</v>
      </c>
      <c r="B3758">
        <v>2021</v>
      </c>
      <c r="C3758" t="s">
        <v>6</v>
      </c>
      <c r="D3758">
        <v>9981.68</v>
      </c>
      <c r="E3758">
        <v>11171.58</v>
      </c>
      <c r="F3758">
        <v>92.11</v>
      </c>
      <c r="G3758">
        <v>856.63</v>
      </c>
      <c r="H3758">
        <f>E3758*1000000/D3758</f>
        <v>1119208.3897700587</v>
      </c>
      <c r="I3758" t="str">
        <f>IF(AND(B3758&gt;=2018, B3758&lt;=2021), "2018-2021", IF(AND(B3758&gt;=2022, B3758&lt;=2024), "2022-2024", "Other"))</f>
        <v>2018-2021</v>
      </c>
    </row>
    <row r="3759" spans="1:9" x14ac:dyDescent="0.3">
      <c r="A3759" t="s">
        <v>23</v>
      </c>
      <c r="B3759">
        <v>2019</v>
      </c>
      <c r="C3759" t="s">
        <v>12</v>
      </c>
      <c r="D3759">
        <v>25335.78</v>
      </c>
      <c r="E3759">
        <v>25052.959999999999</v>
      </c>
      <c r="F3759">
        <v>73.42</v>
      </c>
      <c r="G3759">
        <v>547.91</v>
      </c>
      <c r="H3759">
        <f>E3759*1000000/D3759</f>
        <v>988837.1307297427</v>
      </c>
      <c r="I3759" t="str">
        <f>IF(AND(B3759&gt;=2018, B3759&lt;=2021), "2018-2021", IF(AND(B3759&gt;=2022, B3759&lt;=2024), "2022-2024", "Other"))</f>
        <v>2018-2021</v>
      </c>
    </row>
    <row r="3760" spans="1:9" x14ac:dyDescent="0.3">
      <c r="A3760" t="s">
        <v>24</v>
      </c>
      <c r="B3760">
        <v>2019</v>
      </c>
      <c r="C3760" t="s">
        <v>14</v>
      </c>
      <c r="D3760">
        <v>25837.279999999999</v>
      </c>
      <c r="E3760">
        <v>25784.58</v>
      </c>
      <c r="F3760">
        <v>139.27000000000001</v>
      </c>
      <c r="G3760">
        <v>1154.4000000000001</v>
      </c>
      <c r="H3760">
        <f>E3760*1000000/D3760</f>
        <v>997960.31161174865</v>
      </c>
      <c r="I3760" t="str">
        <f>IF(AND(B3760&gt;=2018, B3760&lt;=2021), "2018-2021", IF(AND(B3760&gt;=2022, B3760&lt;=2024), "2022-2024", "Other"))</f>
        <v>2018-2021</v>
      </c>
    </row>
    <row r="3761" spans="1:9" x14ac:dyDescent="0.3">
      <c r="A3761" t="s">
        <v>22</v>
      </c>
      <c r="B3761">
        <v>2021</v>
      </c>
      <c r="C3761" t="s">
        <v>4</v>
      </c>
      <c r="D3761">
        <v>20154.43</v>
      </c>
      <c r="E3761">
        <v>19736.490000000002</v>
      </c>
      <c r="F3761">
        <v>24.34</v>
      </c>
      <c r="G3761">
        <v>565.46</v>
      </c>
      <c r="H3761">
        <f>E3761*1000000/D3761</f>
        <v>979263.11982030747</v>
      </c>
      <c r="I3761" t="str">
        <f>IF(AND(B3761&gt;=2018, B3761&lt;=2021), "2018-2021", IF(AND(B3761&gt;=2022, B3761&lt;=2024), "2022-2024", "Other"))</f>
        <v>2018-2021</v>
      </c>
    </row>
    <row r="3762" spans="1:9" x14ac:dyDescent="0.3">
      <c r="A3762" t="s">
        <v>15</v>
      </c>
      <c r="B3762">
        <v>2021</v>
      </c>
      <c r="C3762" t="s">
        <v>6</v>
      </c>
      <c r="D3762">
        <v>5614.12</v>
      </c>
      <c r="E3762">
        <v>6293.32</v>
      </c>
      <c r="F3762">
        <v>153.22</v>
      </c>
      <c r="G3762">
        <v>1398.6</v>
      </c>
      <c r="H3762">
        <f>E3762*1000000/D3762</f>
        <v>1120980.6701673637</v>
      </c>
      <c r="I3762" t="str">
        <f>IF(AND(B3762&gt;=2018, B3762&lt;=2021), "2018-2021", IF(AND(B3762&gt;=2022, B3762&lt;=2024), "2022-2024", "Other"))</f>
        <v>2018-2021</v>
      </c>
    </row>
    <row r="3763" spans="1:9" x14ac:dyDescent="0.3">
      <c r="A3763" t="s">
        <v>13</v>
      </c>
      <c r="B3763">
        <v>2019</v>
      </c>
      <c r="C3763" t="s">
        <v>0</v>
      </c>
      <c r="D3763">
        <v>917.28</v>
      </c>
      <c r="E3763">
        <v>992.66</v>
      </c>
      <c r="F3763">
        <v>135.5</v>
      </c>
      <c r="G3763">
        <v>665.9</v>
      </c>
      <c r="H3763">
        <f>E3763*1000000/D3763</f>
        <v>1082177.7428920285</v>
      </c>
      <c r="I3763" t="str">
        <f>IF(AND(B3763&gt;=2018, B3763&lt;=2021), "2018-2021", IF(AND(B3763&gt;=2022, B3763&lt;=2024), "2022-2024", "Other"))</f>
        <v>2018-2021</v>
      </c>
    </row>
    <row r="3764" spans="1:9" x14ac:dyDescent="0.3">
      <c r="A3764" t="s">
        <v>10</v>
      </c>
      <c r="B3764">
        <v>2024</v>
      </c>
      <c r="C3764" t="s">
        <v>9</v>
      </c>
      <c r="D3764">
        <v>44300.46</v>
      </c>
      <c r="E3764">
        <v>43616.35</v>
      </c>
      <c r="F3764">
        <v>123.86</v>
      </c>
      <c r="G3764">
        <v>429.22</v>
      </c>
      <c r="H3764">
        <f>E3764*1000000/D3764</f>
        <v>984557.49669416528</v>
      </c>
      <c r="I3764" t="str">
        <f>IF(AND(B3764&gt;=2018, B3764&lt;=2021), "2018-2021", IF(AND(B3764&gt;=2022, B3764&lt;=2024), "2022-2024", "Other"))</f>
        <v>2022-2024</v>
      </c>
    </row>
    <row r="3765" spans="1:9" x14ac:dyDescent="0.3">
      <c r="A3765" t="s">
        <v>19</v>
      </c>
      <c r="B3765">
        <v>2022</v>
      </c>
      <c r="C3765" t="s">
        <v>12</v>
      </c>
      <c r="D3765">
        <v>38189.07</v>
      </c>
      <c r="E3765">
        <v>40072.300000000003</v>
      </c>
      <c r="F3765">
        <v>49.81</v>
      </c>
      <c r="G3765">
        <v>558.44000000000005</v>
      </c>
      <c r="H3765">
        <f>E3765*1000000/D3765</f>
        <v>1049313.3244669221</v>
      </c>
      <c r="I3765" t="str">
        <f>IF(AND(B3765&gt;=2018, B3765&lt;=2021), "2018-2021", IF(AND(B3765&gt;=2022, B3765&lt;=2024), "2022-2024", "Other"))</f>
        <v>2022-2024</v>
      </c>
    </row>
    <row r="3766" spans="1:9" x14ac:dyDescent="0.3">
      <c r="A3766" t="s">
        <v>20</v>
      </c>
      <c r="B3766">
        <v>2020</v>
      </c>
      <c r="C3766" t="s">
        <v>6</v>
      </c>
      <c r="D3766">
        <v>1175.3800000000001</v>
      </c>
      <c r="E3766">
        <v>1025.0999999999999</v>
      </c>
      <c r="F3766">
        <v>80.09</v>
      </c>
      <c r="G3766">
        <v>765.16</v>
      </c>
      <c r="H3766">
        <f>E3766*1000000/D3766</f>
        <v>872143.47700318182</v>
      </c>
      <c r="I3766" t="str">
        <f>IF(AND(B3766&gt;=2018, B3766&lt;=2021), "2018-2021", IF(AND(B3766&gt;=2022, B3766&lt;=2024), "2022-2024", "Other"))</f>
        <v>2018-2021</v>
      </c>
    </row>
    <row r="3767" spans="1:9" x14ac:dyDescent="0.3">
      <c r="A3767" t="s">
        <v>13</v>
      </c>
      <c r="B3767">
        <v>2020</v>
      </c>
      <c r="C3767" t="s">
        <v>6</v>
      </c>
      <c r="D3767">
        <v>26941.09</v>
      </c>
      <c r="E3767">
        <v>30233.08</v>
      </c>
      <c r="F3767">
        <v>84.62</v>
      </c>
      <c r="G3767">
        <v>744.97</v>
      </c>
      <c r="H3767">
        <f>E3767*1000000/D3767</f>
        <v>1122192.1607477649</v>
      </c>
      <c r="I3767" t="str">
        <f>IF(AND(B3767&gt;=2018, B3767&lt;=2021), "2018-2021", IF(AND(B3767&gt;=2022, B3767&lt;=2024), "2022-2024", "Other"))</f>
        <v>2018-2021</v>
      </c>
    </row>
    <row r="3768" spans="1:9" x14ac:dyDescent="0.3">
      <c r="A3768" t="s">
        <v>10</v>
      </c>
      <c r="B3768">
        <v>2021</v>
      </c>
      <c r="C3768" t="s">
        <v>4</v>
      </c>
      <c r="D3768">
        <v>15318.23</v>
      </c>
      <c r="E3768">
        <v>14014.57</v>
      </c>
      <c r="F3768">
        <v>102.65</v>
      </c>
      <c r="G3768">
        <v>1330.3</v>
      </c>
      <c r="H3768">
        <f>E3768*1000000/D3768</f>
        <v>914894.8670962638</v>
      </c>
      <c r="I3768" t="str">
        <f>IF(AND(B3768&gt;=2018, B3768&lt;=2021), "2018-2021", IF(AND(B3768&gt;=2022, B3768&lt;=2024), "2022-2024", "Other"))</f>
        <v>2018-2021</v>
      </c>
    </row>
    <row r="3769" spans="1:9" x14ac:dyDescent="0.3">
      <c r="A3769" t="s">
        <v>27</v>
      </c>
      <c r="B3769">
        <v>2020</v>
      </c>
      <c r="C3769" t="s">
        <v>9</v>
      </c>
      <c r="D3769">
        <v>35825.85</v>
      </c>
      <c r="E3769">
        <v>37679.360000000001</v>
      </c>
      <c r="F3769">
        <v>188.57</v>
      </c>
      <c r="G3769">
        <v>918.13</v>
      </c>
      <c r="H3769">
        <f>E3769*1000000/D3769</f>
        <v>1051736.6650058548</v>
      </c>
      <c r="I3769" t="str">
        <f>IF(AND(B3769&gt;=2018, B3769&lt;=2021), "2018-2021", IF(AND(B3769&gt;=2022, B3769&lt;=2024), "2022-2024", "Other"))</f>
        <v>2018-2021</v>
      </c>
    </row>
    <row r="3770" spans="1:9" x14ac:dyDescent="0.3">
      <c r="A3770" t="s">
        <v>16</v>
      </c>
      <c r="B3770">
        <v>2023</v>
      </c>
      <c r="C3770" t="s">
        <v>6</v>
      </c>
      <c r="D3770">
        <v>26233.47</v>
      </c>
      <c r="E3770">
        <v>25248.35</v>
      </c>
      <c r="F3770">
        <v>31.35</v>
      </c>
      <c r="G3770">
        <v>315.20999999999998</v>
      </c>
      <c r="H3770">
        <f>E3770*1000000/D3770</f>
        <v>962447.97199912928</v>
      </c>
      <c r="I3770" t="str">
        <f>IF(AND(B3770&gt;=2018, B3770&lt;=2021), "2018-2021", IF(AND(B3770&gt;=2022, B3770&lt;=2024), "2022-2024", "Other"))</f>
        <v>2022-2024</v>
      </c>
    </row>
    <row r="3771" spans="1:9" x14ac:dyDescent="0.3">
      <c r="A3771" t="s">
        <v>13</v>
      </c>
      <c r="B3771">
        <v>2019</v>
      </c>
      <c r="C3771" t="s">
        <v>2</v>
      </c>
      <c r="D3771">
        <v>13488.18</v>
      </c>
      <c r="E3771">
        <v>15473.9</v>
      </c>
      <c r="F3771">
        <v>113.95</v>
      </c>
      <c r="G3771">
        <v>32.15</v>
      </c>
      <c r="H3771">
        <f>E3771*1000000/D3771</f>
        <v>1147219.2690192449</v>
      </c>
      <c r="I3771" t="str">
        <f>IF(AND(B3771&gt;=2018, B3771&lt;=2021), "2018-2021", IF(AND(B3771&gt;=2022, B3771&lt;=2024), "2022-2024", "Other"))</f>
        <v>2018-2021</v>
      </c>
    </row>
    <row r="3772" spans="1:9" x14ac:dyDescent="0.3">
      <c r="A3772" t="s">
        <v>25</v>
      </c>
      <c r="B3772">
        <v>2022</v>
      </c>
      <c r="C3772" t="s">
        <v>8</v>
      </c>
      <c r="D3772">
        <v>24589.27</v>
      </c>
      <c r="E3772">
        <v>20840.73</v>
      </c>
      <c r="F3772">
        <v>143.07</v>
      </c>
      <c r="G3772">
        <v>811.88</v>
      </c>
      <c r="H3772">
        <f>E3772*1000000/D3772</f>
        <v>847553.83140695107</v>
      </c>
      <c r="I3772" t="str">
        <f>IF(AND(B3772&gt;=2018, B3772&lt;=2021), "2018-2021", IF(AND(B3772&gt;=2022, B3772&lt;=2024), "2022-2024", "Other"))</f>
        <v>2022-2024</v>
      </c>
    </row>
    <row r="3773" spans="1:9" x14ac:dyDescent="0.3">
      <c r="A3773" t="s">
        <v>3</v>
      </c>
      <c r="B3773">
        <v>2023</v>
      </c>
      <c r="C3773" t="s">
        <v>2</v>
      </c>
      <c r="D3773">
        <v>12509.03</v>
      </c>
      <c r="E3773">
        <v>12718.88</v>
      </c>
      <c r="F3773">
        <v>26.14</v>
      </c>
      <c r="G3773">
        <v>1072.82</v>
      </c>
      <c r="H3773">
        <f>E3773*1000000/D3773</f>
        <v>1016775.8811034908</v>
      </c>
      <c r="I3773" t="str">
        <f>IF(AND(B3773&gt;=2018, B3773&lt;=2021), "2018-2021", IF(AND(B3773&gt;=2022, B3773&lt;=2024), "2022-2024", "Other"))</f>
        <v>2022-2024</v>
      </c>
    </row>
    <row r="3774" spans="1:9" x14ac:dyDescent="0.3">
      <c r="A3774" t="s">
        <v>22</v>
      </c>
      <c r="B3774">
        <v>2022</v>
      </c>
      <c r="C3774" t="s">
        <v>9</v>
      </c>
      <c r="D3774">
        <v>39737.360000000001</v>
      </c>
      <c r="E3774">
        <v>37233.21</v>
      </c>
      <c r="F3774">
        <v>164.5</v>
      </c>
      <c r="G3774">
        <v>505.75</v>
      </c>
      <c r="H3774">
        <f>E3774*1000000/D3774</f>
        <v>936982.47694361175</v>
      </c>
      <c r="I3774" t="str">
        <f>IF(AND(B3774&gt;=2018, B3774&lt;=2021), "2018-2021", IF(AND(B3774&gt;=2022, B3774&lt;=2024), "2022-2024", "Other"))</f>
        <v>2022-2024</v>
      </c>
    </row>
    <row r="3775" spans="1:9" x14ac:dyDescent="0.3">
      <c r="A3775" t="s">
        <v>1</v>
      </c>
      <c r="B3775">
        <v>2018</v>
      </c>
      <c r="C3775" t="s">
        <v>6</v>
      </c>
      <c r="D3775">
        <v>33292</v>
      </c>
      <c r="E3775">
        <v>35916.14</v>
      </c>
      <c r="F3775">
        <v>161.26</v>
      </c>
      <c r="G3775">
        <v>939.23</v>
      </c>
      <c r="H3775">
        <f>E3775*1000000/D3775</f>
        <v>1078821.9392046137</v>
      </c>
      <c r="I3775" t="str">
        <f>IF(AND(B3775&gt;=2018, B3775&lt;=2021), "2018-2021", IF(AND(B3775&gt;=2022, B3775&lt;=2024), "2022-2024", "Other"))</f>
        <v>2018-2021</v>
      </c>
    </row>
    <row r="3776" spans="1:9" x14ac:dyDescent="0.3">
      <c r="A3776" t="s">
        <v>19</v>
      </c>
      <c r="B3776">
        <v>2021</v>
      </c>
      <c r="C3776" t="s">
        <v>12</v>
      </c>
      <c r="D3776">
        <v>25147.37</v>
      </c>
      <c r="E3776">
        <v>24496.86</v>
      </c>
      <c r="F3776">
        <v>98.8</v>
      </c>
      <c r="G3776">
        <v>1129.8499999999999</v>
      </c>
      <c r="H3776">
        <f>E3776*1000000/D3776</f>
        <v>974132.08617839566</v>
      </c>
      <c r="I3776" t="str">
        <f>IF(AND(B3776&gt;=2018, B3776&lt;=2021), "2018-2021", IF(AND(B3776&gt;=2022, B3776&lt;=2024), "2022-2024", "Other"))</f>
        <v>2018-2021</v>
      </c>
    </row>
    <row r="3777" spans="1:9" x14ac:dyDescent="0.3">
      <c r="A3777" t="s">
        <v>15</v>
      </c>
      <c r="B3777">
        <v>2018</v>
      </c>
      <c r="C3777" t="s">
        <v>2</v>
      </c>
      <c r="D3777">
        <v>29555.99</v>
      </c>
      <c r="E3777">
        <v>31577.93</v>
      </c>
      <c r="F3777">
        <v>56.79</v>
      </c>
      <c r="G3777">
        <v>1148.53</v>
      </c>
      <c r="H3777">
        <f>E3777*1000000/D3777</f>
        <v>1068410.4981765116</v>
      </c>
      <c r="I3777" t="str">
        <f>IF(AND(B3777&gt;=2018, B3777&lt;=2021), "2018-2021", IF(AND(B3777&gt;=2022, B3777&lt;=2024), "2022-2024", "Other"))</f>
        <v>2018-2021</v>
      </c>
    </row>
    <row r="3778" spans="1:9" x14ac:dyDescent="0.3">
      <c r="A3778" t="s">
        <v>17</v>
      </c>
      <c r="B3778">
        <v>2019</v>
      </c>
      <c r="C3778" t="s">
        <v>6</v>
      </c>
      <c r="D3778">
        <v>24893.78</v>
      </c>
      <c r="E3778">
        <v>25786.68</v>
      </c>
      <c r="F3778">
        <v>176.97</v>
      </c>
      <c r="G3778">
        <v>821.45</v>
      </c>
      <c r="H3778">
        <f>E3778*1000000/D3778</f>
        <v>1035868.3976479266</v>
      </c>
      <c r="I3778" t="str">
        <f>IF(AND(B3778&gt;=2018, B3778&lt;=2021), "2018-2021", IF(AND(B3778&gt;=2022, B3778&lt;=2024), "2022-2024", "Other"))</f>
        <v>2018-2021</v>
      </c>
    </row>
    <row r="3779" spans="1:9" x14ac:dyDescent="0.3">
      <c r="A3779" t="s">
        <v>25</v>
      </c>
      <c r="B3779">
        <v>2024</v>
      </c>
      <c r="C3779" t="s">
        <v>8</v>
      </c>
      <c r="D3779">
        <v>21192.16</v>
      </c>
      <c r="E3779">
        <v>18305.169999999998</v>
      </c>
      <c r="F3779">
        <v>176.32</v>
      </c>
      <c r="G3779">
        <v>330.16</v>
      </c>
      <c r="H3779">
        <f>E3779*1000000/D3779</f>
        <v>863770.84733222099</v>
      </c>
      <c r="I3779" t="str">
        <f>IF(AND(B3779&gt;=2018, B3779&lt;=2021), "2018-2021", IF(AND(B3779&gt;=2022, B3779&lt;=2024), "2022-2024", "Other"))</f>
        <v>2022-2024</v>
      </c>
    </row>
    <row r="3780" spans="1:9" x14ac:dyDescent="0.3">
      <c r="A3780" t="s">
        <v>15</v>
      </c>
      <c r="B3780">
        <v>2019</v>
      </c>
      <c r="C3780" t="s">
        <v>0</v>
      </c>
      <c r="D3780">
        <v>10981.16</v>
      </c>
      <c r="E3780">
        <v>10432.19</v>
      </c>
      <c r="F3780">
        <v>31.15</v>
      </c>
      <c r="G3780">
        <v>225.11</v>
      </c>
      <c r="H3780">
        <f>E3780*1000000/D3780</f>
        <v>950008.01372532593</v>
      </c>
      <c r="I3780" t="str">
        <f>IF(AND(B3780&gt;=2018, B3780&lt;=2021), "2018-2021", IF(AND(B3780&gt;=2022, B3780&lt;=2024), "2022-2024", "Other"))</f>
        <v>2018-2021</v>
      </c>
    </row>
    <row r="3781" spans="1:9" x14ac:dyDescent="0.3">
      <c r="A3781" t="s">
        <v>26</v>
      </c>
      <c r="B3781">
        <v>2023</v>
      </c>
      <c r="C3781" t="s">
        <v>14</v>
      </c>
      <c r="D3781">
        <v>16739.669999999998</v>
      </c>
      <c r="E3781">
        <v>18537.919999999998</v>
      </c>
      <c r="F3781">
        <v>121.72</v>
      </c>
      <c r="G3781">
        <v>1032.79</v>
      </c>
      <c r="H3781">
        <f>E3781*1000000/D3781</f>
        <v>1107424.4593830106</v>
      </c>
      <c r="I3781" t="str">
        <f>IF(AND(B3781&gt;=2018, B3781&lt;=2021), "2018-2021", IF(AND(B3781&gt;=2022, B3781&lt;=2024), "2022-2024", "Other"))</f>
        <v>2022-2024</v>
      </c>
    </row>
    <row r="3782" spans="1:9" x14ac:dyDescent="0.3">
      <c r="A3782" t="s">
        <v>7</v>
      </c>
      <c r="B3782">
        <v>2022</v>
      </c>
      <c r="C3782" t="s">
        <v>9</v>
      </c>
      <c r="D3782">
        <v>2307.08</v>
      </c>
      <c r="E3782">
        <v>1887.99</v>
      </c>
      <c r="F3782">
        <v>73.510000000000005</v>
      </c>
      <c r="G3782">
        <v>26.91</v>
      </c>
      <c r="H3782">
        <f>E3782*1000000/D3782</f>
        <v>818346.13450768939</v>
      </c>
      <c r="I3782" t="str">
        <f>IF(AND(B3782&gt;=2018, B3782&lt;=2021), "2018-2021", IF(AND(B3782&gt;=2022, B3782&lt;=2024), "2022-2024", "Other"))</f>
        <v>2022-2024</v>
      </c>
    </row>
    <row r="3783" spans="1:9" x14ac:dyDescent="0.3">
      <c r="A3783" t="s">
        <v>5</v>
      </c>
      <c r="B3783">
        <v>2020</v>
      </c>
      <c r="C3783" t="s">
        <v>9</v>
      </c>
      <c r="D3783">
        <v>23749.46</v>
      </c>
      <c r="E3783">
        <v>23322.880000000001</v>
      </c>
      <c r="F3783">
        <v>109.22</v>
      </c>
      <c r="G3783">
        <v>505.54</v>
      </c>
      <c r="H3783">
        <f>E3783*1000000/D3783</f>
        <v>982038.32845041528</v>
      </c>
      <c r="I3783" t="str">
        <f>IF(AND(B3783&gt;=2018, B3783&lt;=2021), "2018-2021", IF(AND(B3783&gt;=2022, B3783&lt;=2024), "2022-2024", "Other"))</f>
        <v>2018-2021</v>
      </c>
    </row>
    <row r="3784" spans="1:9" x14ac:dyDescent="0.3">
      <c r="A3784" t="s">
        <v>20</v>
      </c>
      <c r="B3784">
        <v>2024</v>
      </c>
      <c r="C3784" t="s">
        <v>9</v>
      </c>
      <c r="D3784">
        <v>43484.37</v>
      </c>
      <c r="E3784">
        <v>40215</v>
      </c>
      <c r="F3784">
        <v>102.46</v>
      </c>
      <c r="G3784">
        <v>1151.3800000000001</v>
      </c>
      <c r="H3784">
        <f>E3784*1000000/D3784</f>
        <v>924815.05423672916</v>
      </c>
      <c r="I3784" t="str">
        <f>IF(AND(B3784&gt;=2018, B3784&lt;=2021), "2018-2021", IF(AND(B3784&gt;=2022, B3784&lt;=2024), "2022-2024", "Other"))</f>
        <v>2022-2024</v>
      </c>
    </row>
    <row r="3785" spans="1:9" x14ac:dyDescent="0.3">
      <c r="A3785" t="s">
        <v>11</v>
      </c>
      <c r="B3785">
        <v>2024</v>
      </c>
      <c r="C3785" t="s">
        <v>4</v>
      </c>
      <c r="D3785">
        <v>22039.34</v>
      </c>
      <c r="E3785">
        <v>21863.99</v>
      </c>
      <c r="F3785">
        <v>181.91</v>
      </c>
      <c r="G3785">
        <v>1310.96</v>
      </c>
      <c r="H3785">
        <f>E3785*1000000/D3785</f>
        <v>992043.77263565967</v>
      </c>
      <c r="I3785" t="str">
        <f>IF(AND(B3785&gt;=2018, B3785&lt;=2021), "2018-2021", IF(AND(B3785&gt;=2022, B3785&lt;=2024), "2022-2024", "Other"))</f>
        <v>2022-2024</v>
      </c>
    </row>
    <row r="3786" spans="1:9" x14ac:dyDescent="0.3">
      <c r="A3786" t="s">
        <v>18</v>
      </c>
      <c r="B3786">
        <v>2020</v>
      </c>
      <c r="C3786" t="s">
        <v>12</v>
      </c>
      <c r="D3786">
        <v>3581.05</v>
      </c>
      <c r="E3786">
        <v>4141.8999999999996</v>
      </c>
      <c r="F3786">
        <v>32.450000000000003</v>
      </c>
      <c r="G3786">
        <v>92.21</v>
      </c>
      <c r="H3786">
        <f>E3786*1000000/D3786</f>
        <v>1156616.0762904733</v>
      </c>
      <c r="I3786" t="str">
        <f>IF(AND(B3786&gt;=2018, B3786&lt;=2021), "2018-2021", IF(AND(B3786&gt;=2022, B3786&lt;=2024), "2022-2024", "Other"))</f>
        <v>2018-2021</v>
      </c>
    </row>
    <row r="3787" spans="1:9" x14ac:dyDescent="0.3">
      <c r="A3787" t="s">
        <v>22</v>
      </c>
      <c r="B3787">
        <v>2024</v>
      </c>
      <c r="C3787" t="s">
        <v>8</v>
      </c>
      <c r="D3787">
        <v>11432.67</v>
      </c>
      <c r="E3787">
        <v>11243.18</v>
      </c>
      <c r="F3787">
        <v>56.74</v>
      </c>
      <c r="G3787">
        <v>1003.13</v>
      </c>
      <c r="H3787">
        <f>E3787*1000000/D3787</f>
        <v>983425.56900531542</v>
      </c>
      <c r="I3787" t="str">
        <f>IF(AND(B3787&gt;=2018, B3787&lt;=2021), "2018-2021", IF(AND(B3787&gt;=2022, B3787&lt;=2024), "2022-2024", "Other"))</f>
        <v>2022-2024</v>
      </c>
    </row>
    <row r="3788" spans="1:9" x14ac:dyDescent="0.3">
      <c r="A3788" t="s">
        <v>1</v>
      </c>
      <c r="B3788">
        <v>2020</v>
      </c>
      <c r="C3788" t="s">
        <v>0</v>
      </c>
      <c r="D3788">
        <v>34051.26</v>
      </c>
      <c r="E3788">
        <v>39517.49</v>
      </c>
      <c r="F3788">
        <v>122.19</v>
      </c>
      <c r="G3788">
        <v>604.67999999999995</v>
      </c>
      <c r="H3788">
        <f>E3788*1000000/D3788</f>
        <v>1160529.4488368419</v>
      </c>
      <c r="I3788" t="str">
        <f>IF(AND(B3788&gt;=2018, B3788&lt;=2021), "2018-2021", IF(AND(B3788&gt;=2022, B3788&lt;=2024), "2022-2024", "Other"))</f>
        <v>2018-2021</v>
      </c>
    </row>
    <row r="3789" spans="1:9" x14ac:dyDescent="0.3">
      <c r="A3789" t="s">
        <v>23</v>
      </c>
      <c r="B3789">
        <v>2023</v>
      </c>
      <c r="C3789" t="s">
        <v>6</v>
      </c>
      <c r="D3789">
        <v>30414.62</v>
      </c>
      <c r="E3789">
        <v>36451.49</v>
      </c>
      <c r="F3789">
        <v>85.7</v>
      </c>
      <c r="G3789">
        <v>20.58</v>
      </c>
      <c r="H3789">
        <f>E3789*1000000/D3789</f>
        <v>1198485.7940030156</v>
      </c>
      <c r="I3789" t="str">
        <f>IF(AND(B3789&gt;=2018, B3789&lt;=2021), "2018-2021", IF(AND(B3789&gt;=2022, B3789&lt;=2024), "2022-2024", "Other"))</f>
        <v>2022-2024</v>
      </c>
    </row>
    <row r="3790" spans="1:9" x14ac:dyDescent="0.3">
      <c r="A3790" t="s">
        <v>27</v>
      </c>
      <c r="B3790">
        <v>2018</v>
      </c>
      <c r="C3790" t="s">
        <v>14</v>
      </c>
      <c r="D3790">
        <v>14904.74</v>
      </c>
      <c r="E3790">
        <v>16441.509999999998</v>
      </c>
      <c r="F3790">
        <v>99.03</v>
      </c>
      <c r="G3790">
        <v>726.38</v>
      </c>
      <c r="H3790">
        <f>E3790*1000000/D3790</f>
        <v>1103106.1259706642</v>
      </c>
      <c r="I3790" t="str">
        <f>IF(AND(B3790&gt;=2018, B3790&lt;=2021), "2018-2021", IF(AND(B3790&gt;=2022, B3790&lt;=2024), "2022-2024", "Other"))</f>
        <v>2018-2021</v>
      </c>
    </row>
    <row r="3791" spans="1:9" x14ac:dyDescent="0.3">
      <c r="A3791" t="s">
        <v>13</v>
      </c>
      <c r="B3791">
        <v>2019</v>
      </c>
      <c r="C3791" t="s">
        <v>2</v>
      </c>
      <c r="D3791">
        <v>44135.63</v>
      </c>
      <c r="E3791">
        <v>39448.589999999997</v>
      </c>
      <c r="F3791">
        <v>149.47999999999999</v>
      </c>
      <c r="G3791">
        <v>230.09</v>
      </c>
      <c r="H3791">
        <f>E3791*1000000/D3791</f>
        <v>893803.71368891757</v>
      </c>
      <c r="I3791" t="str">
        <f>IF(AND(B3791&gt;=2018, B3791&lt;=2021), "2018-2021", IF(AND(B3791&gt;=2022, B3791&lt;=2024), "2022-2024", "Other"))</f>
        <v>2018-2021</v>
      </c>
    </row>
    <row r="3792" spans="1:9" x14ac:dyDescent="0.3">
      <c r="A3792" t="s">
        <v>13</v>
      </c>
      <c r="B3792">
        <v>2021</v>
      </c>
      <c r="C3792" t="s">
        <v>4</v>
      </c>
      <c r="D3792">
        <v>29796.69</v>
      </c>
      <c r="E3792">
        <v>28702.400000000001</v>
      </c>
      <c r="F3792">
        <v>183.59</v>
      </c>
      <c r="G3792">
        <v>372.63</v>
      </c>
      <c r="H3792">
        <f>E3792*1000000/D3792</f>
        <v>963274.7798497082</v>
      </c>
      <c r="I3792" t="str">
        <f>IF(AND(B3792&gt;=2018, B3792&lt;=2021), "2018-2021", IF(AND(B3792&gt;=2022, B3792&lt;=2024), "2022-2024", "Other"))</f>
        <v>2018-2021</v>
      </c>
    </row>
    <row r="3793" spans="1:9" x14ac:dyDescent="0.3">
      <c r="A3793" t="s">
        <v>11</v>
      </c>
      <c r="B3793">
        <v>2020</v>
      </c>
      <c r="C3793" t="s">
        <v>12</v>
      </c>
      <c r="D3793">
        <v>5210.97</v>
      </c>
      <c r="E3793">
        <v>4179.3900000000003</v>
      </c>
      <c r="F3793">
        <v>117.7</v>
      </c>
      <c r="G3793">
        <v>1201.43</v>
      </c>
      <c r="H3793">
        <f>E3793*1000000/D3793</f>
        <v>802036.85686158249</v>
      </c>
      <c r="I3793" t="str">
        <f>IF(AND(B3793&gt;=2018, B3793&lt;=2021), "2018-2021", IF(AND(B3793&gt;=2022, B3793&lt;=2024), "2022-2024", "Other"))</f>
        <v>2018-2021</v>
      </c>
    </row>
    <row r="3794" spans="1:9" x14ac:dyDescent="0.3">
      <c r="A3794" t="s">
        <v>15</v>
      </c>
      <c r="B3794">
        <v>2021</v>
      </c>
      <c r="C3794" t="s">
        <v>9</v>
      </c>
      <c r="D3794">
        <v>5095.01</v>
      </c>
      <c r="E3794">
        <v>4359.58</v>
      </c>
      <c r="F3794">
        <v>184.67</v>
      </c>
      <c r="G3794">
        <v>175.95</v>
      </c>
      <c r="H3794">
        <f>E3794*1000000/D3794</f>
        <v>855656.80930950085</v>
      </c>
      <c r="I3794" t="str">
        <f>IF(AND(B3794&gt;=2018, B3794&lt;=2021), "2018-2021", IF(AND(B3794&gt;=2022, B3794&lt;=2024), "2022-2024", "Other"))</f>
        <v>2018-2021</v>
      </c>
    </row>
    <row r="3795" spans="1:9" x14ac:dyDescent="0.3">
      <c r="A3795" t="s">
        <v>16</v>
      </c>
      <c r="B3795">
        <v>2020</v>
      </c>
      <c r="C3795" t="s">
        <v>8</v>
      </c>
      <c r="D3795">
        <v>15090.33</v>
      </c>
      <c r="E3795">
        <v>17887.810000000001</v>
      </c>
      <c r="F3795">
        <v>199.22</v>
      </c>
      <c r="G3795">
        <v>1017.73</v>
      </c>
      <c r="H3795">
        <f>E3795*1000000/D3795</f>
        <v>1185382.2944892524</v>
      </c>
      <c r="I3795" t="str">
        <f>IF(AND(B3795&gt;=2018, B3795&lt;=2021), "2018-2021", IF(AND(B3795&gt;=2022, B3795&lt;=2024), "2022-2024", "Other"))</f>
        <v>2018-2021</v>
      </c>
    </row>
    <row r="3796" spans="1:9" x14ac:dyDescent="0.3">
      <c r="A3796" t="s">
        <v>7</v>
      </c>
      <c r="B3796">
        <v>2022</v>
      </c>
      <c r="C3796" t="s">
        <v>0</v>
      </c>
      <c r="D3796">
        <v>710.96</v>
      </c>
      <c r="E3796">
        <v>574.69000000000005</v>
      </c>
      <c r="F3796">
        <v>63.36</v>
      </c>
      <c r="G3796">
        <v>897.31</v>
      </c>
      <c r="H3796">
        <f>E3796*1000000/D3796</f>
        <v>808329.58253628889</v>
      </c>
      <c r="I3796" t="str">
        <f>IF(AND(B3796&gt;=2018, B3796&lt;=2021), "2018-2021", IF(AND(B3796&gt;=2022, B3796&lt;=2024), "2022-2024", "Other"))</f>
        <v>2022-2024</v>
      </c>
    </row>
    <row r="3797" spans="1:9" x14ac:dyDescent="0.3">
      <c r="A3797" t="s">
        <v>27</v>
      </c>
      <c r="B3797">
        <v>2018</v>
      </c>
      <c r="C3797" t="s">
        <v>4</v>
      </c>
      <c r="D3797">
        <v>19881.68</v>
      </c>
      <c r="E3797">
        <v>23479.759999999998</v>
      </c>
      <c r="F3797">
        <v>166.97</v>
      </c>
      <c r="G3797">
        <v>311.69</v>
      </c>
      <c r="H3797">
        <f>E3797*1000000/D3797</f>
        <v>1180974.6460057702</v>
      </c>
      <c r="I3797" t="str">
        <f>IF(AND(B3797&gt;=2018, B3797&lt;=2021), "2018-2021", IF(AND(B3797&gt;=2022, B3797&lt;=2024), "2022-2024", "Other"))</f>
        <v>2018-2021</v>
      </c>
    </row>
    <row r="3798" spans="1:9" x14ac:dyDescent="0.3">
      <c r="A3798" t="s">
        <v>23</v>
      </c>
      <c r="B3798">
        <v>2019</v>
      </c>
      <c r="C3798" t="s">
        <v>6</v>
      </c>
      <c r="D3798">
        <v>40225.07</v>
      </c>
      <c r="E3798">
        <v>33391.699999999997</v>
      </c>
      <c r="F3798">
        <v>57.13</v>
      </c>
      <c r="G3798">
        <v>975.92</v>
      </c>
      <c r="H3798">
        <f>E3798*1000000/D3798</f>
        <v>830121.61321285449</v>
      </c>
      <c r="I3798" t="str">
        <f>IF(AND(B3798&gt;=2018, B3798&lt;=2021), "2018-2021", IF(AND(B3798&gt;=2022, B3798&lt;=2024), "2022-2024", "Other"))</f>
        <v>2018-2021</v>
      </c>
    </row>
    <row r="3799" spans="1:9" x14ac:dyDescent="0.3">
      <c r="A3799" t="s">
        <v>26</v>
      </c>
      <c r="B3799">
        <v>2018</v>
      </c>
      <c r="C3799" t="s">
        <v>8</v>
      </c>
      <c r="D3799">
        <v>5514.58</v>
      </c>
      <c r="E3799">
        <v>6147.13</v>
      </c>
      <c r="F3799">
        <v>46.23</v>
      </c>
      <c r="G3799">
        <v>327.19</v>
      </c>
      <c r="H3799">
        <f>E3799*1000000/D3799</f>
        <v>1114705.0183332185</v>
      </c>
      <c r="I3799" t="str">
        <f>IF(AND(B3799&gt;=2018, B3799&lt;=2021), "2018-2021", IF(AND(B3799&gt;=2022, B3799&lt;=2024), "2022-2024", "Other"))</f>
        <v>2018-2021</v>
      </c>
    </row>
    <row r="3800" spans="1:9" x14ac:dyDescent="0.3">
      <c r="A3800" t="s">
        <v>26</v>
      </c>
      <c r="B3800">
        <v>2021</v>
      </c>
      <c r="C3800" t="s">
        <v>6</v>
      </c>
      <c r="D3800">
        <v>14251.76</v>
      </c>
      <c r="E3800">
        <v>15133.6</v>
      </c>
      <c r="F3800">
        <v>130.79</v>
      </c>
      <c r="G3800">
        <v>128.57</v>
      </c>
      <c r="H3800">
        <f>E3800*1000000/D3800</f>
        <v>1061875.8665596389</v>
      </c>
      <c r="I3800" t="str">
        <f>IF(AND(B3800&gt;=2018, B3800&lt;=2021), "2018-2021", IF(AND(B3800&gt;=2022, B3800&lt;=2024), "2022-2024", "Other"))</f>
        <v>2018-2021</v>
      </c>
    </row>
    <row r="3801" spans="1:9" x14ac:dyDescent="0.3">
      <c r="A3801" t="s">
        <v>22</v>
      </c>
      <c r="B3801">
        <v>2018</v>
      </c>
      <c r="C3801" t="s">
        <v>2</v>
      </c>
      <c r="D3801">
        <v>42875.9</v>
      </c>
      <c r="E3801">
        <v>34893.919999999998</v>
      </c>
      <c r="F3801">
        <v>51.49</v>
      </c>
      <c r="G3801">
        <v>434.33</v>
      </c>
      <c r="H3801">
        <f>E3801*1000000/D3801</f>
        <v>813835.27809328784</v>
      </c>
      <c r="I3801" t="str">
        <f>IF(AND(B3801&gt;=2018, B3801&lt;=2021), "2018-2021", IF(AND(B3801&gt;=2022, B3801&lt;=2024), "2022-2024", "Other"))</f>
        <v>2018-2021</v>
      </c>
    </row>
    <row r="3802" spans="1:9" x14ac:dyDescent="0.3">
      <c r="A3802" t="s">
        <v>15</v>
      </c>
      <c r="B3802">
        <v>2021</v>
      </c>
      <c r="C3802" t="s">
        <v>2</v>
      </c>
      <c r="D3802">
        <v>22302.05</v>
      </c>
      <c r="E3802">
        <v>23266.42</v>
      </c>
      <c r="F3802">
        <v>142.66</v>
      </c>
      <c r="G3802">
        <v>1106.58</v>
      </c>
      <c r="H3802">
        <f>E3802*1000000/D3802</f>
        <v>1043241.3163812296</v>
      </c>
      <c r="I3802" t="str">
        <f>IF(AND(B3802&gt;=2018, B3802&lt;=2021), "2018-2021", IF(AND(B3802&gt;=2022, B3802&lt;=2024), "2022-2024", "Other"))</f>
        <v>2018-2021</v>
      </c>
    </row>
    <row r="3803" spans="1:9" x14ac:dyDescent="0.3">
      <c r="A3803" t="s">
        <v>16</v>
      </c>
      <c r="B3803">
        <v>2022</v>
      </c>
      <c r="C3803" t="s">
        <v>0</v>
      </c>
      <c r="D3803">
        <v>45351</v>
      </c>
      <c r="E3803">
        <v>44837.17</v>
      </c>
      <c r="F3803">
        <v>75.8</v>
      </c>
      <c r="G3803">
        <v>139.71</v>
      </c>
      <c r="H3803">
        <f>E3803*1000000/D3803</f>
        <v>988669.9301007695</v>
      </c>
      <c r="I3803" t="str">
        <f>IF(AND(B3803&gt;=2018, B3803&lt;=2021), "2018-2021", IF(AND(B3803&gt;=2022, B3803&lt;=2024), "2022-2024", "Other"))</f>
        <v>2022-2024</v>
      </c>
    </row>
    <row r="3804" spans="1:9" x14ac:dyDescent="0.3">
      <c r="A3804" t="s">
        <v>26</v>
      </c>
      <c r="B3804">
        <v>2022</v>
      </c>
      <c r="C3804" t="s">
        <v>12</v>
      </c>
      <c r="D3804">
        <v>3276.1</v>
      </c>
      <c r="E3804">
        <v>3186.36</v>
      </c>
      <c r="F3804">
        <v>128.06</v>
      </c>
      <c r="G3804">
        <v>141.24</v>
      </c>
      <c r="H3804">
        <f>E3804*1000000/D3804</f>
        <v>972607.67375843227</v>
      </c>
      <c r="I3804" t="str">
        <f>IF(AND(B3804&gt;=2018, B3804&lt;=2021), "2018-2021", IF(AND(B3804&gt;=2022, B3804&lt;=2024), "2022-2024", "Other"))</f>
        <v>2022-2024</v>
      </c>
    </row>
    <row r="3805" spans="1:9" x14ac:dyDescent="0.3">
      <c r="A3805" t="s">
        <v>16</v>
      </c>
      <c r="B3805">
        <v>2024</v>
      </c>
      <c r="C3805" t="s">
        <v>8</v>
      </c>
      <c r="D3805">
        <v>18515.86</v>
      </c>
      <c r="E3805">
        <v>17545.54</v>
      </c>
      <c r="F3805">
        <v>153.31</v>
      </c>
      <c r="G3805">
        <v>55.7</v>
      </c>
      <c r="H3805">
        <f>E3805*1000000/D3805</f>
        <v>947595.19676644774</v>
      </c>
      <c r="I3805" t="str">
        <f>IF(AND(B3805&gt;=2018, B3805&lt;=2021), "2018-2021", IF(AND(B3805&gt;=2022, B3805&lt;=2024), "2022-2024", "Other"))</f>
        <v>2022-2024</v>
      </c>
    </row>
    <row r="3806" spans="1:9" x14ac:dyDescent="0.3">
      <c r="A3806" t="s">
        <v>10</v>
      </c>
      <c r="B3806">
        <v>2022</v>
      </c>
      <c r="C3806" t="s">
        <v>9</v>
      </c>
      <c r="D3806">
        <v>45818.400000000001</v>
      </c>
      <c r="E3806">
        <v>47474.91</v>
      </c>
      <c r="F3806">
        <v>163.87</v>
      </c>
      <c r="G3806">
        <v>423.39</v>
      </c>
      <c r="H3806">
        <f>E3806*1000000/D3806</f>
        <v>1036153.8159342099</v>
      </c>
      <c r="I3806" t="str">
        <f>IF(AND(B3806&gt;=2018, B3806&lt;=2021), "2018-2021", IF(AND(B3806&gt;=2022, B3806&lt;=2024), "2022-2024", "Other"))</f>
        <v>2022-2024</v>
      </c>
    </row>
    <row r="3807" spans="1:9" x14ac:dyDescent="0.3">
      <c r="A3807" t="s">
        <v>20</v>
      </c>
      <c r="B3807">
        <v>2020</v>
      </c>
      <c r="C3807" t="s">
        <v>2</v>
      </c>
      <c r="D3807">
        <v>48179.34</v>
      </c>
      <c r="E3807">
        <v>39123.9</v>
      </c>
      <c r="F3807">
        <v>144.61000000000001</v>
      </c>
      <c r="G3807">
        <v>575.86</v>
      </c>
      <c r="H3807">
        <f>E3807*1000000/D3807</f>
        <v>812047.23850513529</v>
      </c>
      <c r="I3807" t="str">
        <f>IF(AND(B3807&gt;=2018, B3807&lt;=2021), "2018-2021", IF(AND(B3807&gt;=2022, B3807&lt;=2024), "2022-2024", "Other"))</f>
        <v>2018-2021</v>
      </c>
    </row>
    <row r="3808" spans="1:9" x14ac:dyDescent="0.3">
      <c r="A3808" t="s">
        <v>21</v>
      </c>
      <c r="B3808">
        <v>2024</v>
      </c>
      <c r="C3808" t="s">
        <v>12</v>
      </c>
      <c r="D3808">
        <v>11161.41</v>
      </c>
      <c r="E3808">
        <v>12094.6</v>
      </c>
      <c r="F3808">
        <v>72.150000000000006</v>
      </c>
      <c r="G3808">
        <v>1366.98</v>
      </c>
      <c r="H3808">
        <f>E3808*1000000/D3808</f>
        <v>1083608.6121735515</v>
      </c>
      <c r="I3808" t="str">
        <f>IF(AND(B3808&gt;=2018, B3808&lt;=2021), "2018-2021", IF(AND(B3808&gt;=2022, B3808&lt;=2024), "2022-2024", "Other"))</f>
        <v>2022-2024</v>
      </c>
    </row>
    <row r="3809" spans="1:9" x14ac:dyDescent="0.3">
      <c r="A3809" t="s">
        <v>24</v>
      </c>
      <c r="B3809">
        <v>2021</v>
      </c>
      <c r="C3809" t="s">
        <v>0</v>
      </c>
      <c r="D3809">
        <v>23487.759999999998</v>
      </c>
      <c r="E3809">
        <v>23061.51</v>
      </c>
      <c r="F3809">
        <v>103.11</v>
      </c>
      <c r="G3809">
        <v>421.17</v>
      </c>
      <c r="H3809">
        <f>E3809*1000000/D3809</f>
        <v>981852.24985268933</v>
      </c>
      <c r="I3809" t="str">
        <f>IF(AND(B3809&gt;=2018, B3809&lt;=2021), "2018-2021", IF(AND(B3809&gt;=2022, B3809&lt;=2024), "2022-2024", "Other"))</f>
        <v>2018-2021</v>
      </c>
    </row>
    <row r="3810" spans="1:9" x14ac:dyDescent="0.3">
      <c r="A3810" t="s">
        <v>15</v>
      </c>
      <c r="B3810">
        <v>2024</v>
      </c>
      <c r="C3810" t="s">
        <v>12</v>
      </c>
      <c r="D3810">
        <v>37046.949999999997</v>
      </c>
      <c r="E3810">
        <v>40037.620000000003</v>
      </c>
      <c r="F3810">
        <v>94.86</v>
      </c>
      <c r="G3810">
        <v>279.45</v>
      </c>
      <c r="H3810">
        <f>E3810*1000000/D3810</f>
        <v>1080726.4835566762</v>
      </c>
      <c r="I3810" t="str">
        <f>IF(AND(B3810&gt;=2018, B3810&lt;=2021), "2018-2021", IF(AND(B3810&gt;=2022, B3810&lt;=2024), "2022-2024", "Other"))</f>
        <v>2022-2024</v>
      </c>
    </row>
    <row r="3811" spans="1:9" x14ac:dyDescent="0.3">
      <c r="A3811" t="s">
        <v>26</v>
      </c>
      <c r="B3811">
        <v>2024</v>
      </c>
      <c r="C3811" t="s">
        <v>14</v>
      </c>
      <c r="D3811">
        <v>10931.38</v>
      </c>
      <c r="E3811">
        <v>12160.96</v>
      </c>
      <c r="F3811">
        <v>72.73</v>
      </c>
      <c r="G3811">
        <v>924.85</v>
      </c>
      <c r="H3811">
        <f>E3811*1000000/D3811</f>
        <v>1112481.6811784056</v>
      </c>
      <c r="I3811" t="str">
        <f>IF(AND(B3811&gt;=2018, B3811&lt;=2021), "2018-2021", IF(AND(B3811&gt;=2022, B3811&lt;=2024), "2022-2024", "Other"))</f>
        <v>2022-2024</v>
      </c>
    </row>
    <row r="3812" spans="1:9" x14ac:dyDescent="0.3">
      <c r="A3812" t="s">
        <v>13</v>
      </c>
      <c r="B3812">
        <v>2019</v>
      </c>
      <c r="C3812" t="s">
        <v>6</v>
      </c>
      <c r="D3812">
        <v>21265.21</v>
      </c>
      <c r="E3812">
        <v>24178.54</v>
      </c>
      <c r="F3812">
        <v>156.72</v>
      </c>
      <c r="G3812">
        <v>119.71</v>
      </c>
      <c r="H3812">
        <f>E3812*1000000/D3812</f>
        <v>1136999.8227151297</v>
      </c>
      <c r="I3812" t="str">
        <f>IF(AND(B3812&gt;=2018, B3812&lt;=2021), "2018-2021", IF(AND(B3812&gt;=2022, B3812&lt;=2024), "2022-2024", "Other"))</f>
        <v>2018-2021</v>
      </c>
    </row>
    <row r="3813" spans="1:9" x14ac:dyDescent="0.3">
      <c r="A3813" t="s">
        <v>20</v>
      </c>
      <c r="B3813">
        <v>2019</v>
      </c>
      <c r="C3813" t="s">
        <v>8</v>
      </c>
      <c r="D3813">
        <v>32289.84</v>
      </c>
      <c r="E3813">
        <v>27529.79</v>
      </c>
      <c r="F3813">
        <v>92</v>
      </c>
      <c r="G3813">
        <v>92.1</v>
      </c>
      <c r="H3813">
        <f>E3813*1000000/D3813</f>
        <v>852583.66099057789</v>
      </c>
      <c r="I3813" t="str">
        <f>IF(AND(B3813&gt;=2018, B3813&lt;=2021), "2018-2021", IF(AND(B3813&gt;=2022, B3813&lt;=2024), "2022-2024", "Other"))</f>
        <v>2018-2021</v>
      </c>
    </row>
    <row r="3814" spans="1:9" x14ac:dyDescent="0.3">
      <c r="A3814" t="s">
        <v>7</v>
      </c>
      <c r="B3814">
        <v>2018</v>
      </c>
      <c r="C3814" t="s">
        <v>2</v>
      </c>
      <c r="D3814">
        <v>628.70000000000005</v>
      </c>
      <c r="E3814">
        <v>624.14</v>
      </c>
      <c r="F3814">
        <v>72.010000000000005</v>
      </c>
      <c r="G3814">
        <v>797.14</v>
      </c>
      <c r="H3814">
        <f>E3814*1000000/D3814</f>
        <v>992746.93812629231</v>
      </c>
      <c r="I3814" t="str">
        <f>IF(AND(B3814&gt;=2018, B3814&lt;=2021), "2018-2021", IF(AND(B3814&gt;=2022, B3814&lt;=2024), "2022-2024", "Other"))</f>
        <v>2018-2021</v>
      </c>
    </row>
    <row r="3815" spans="1:9" x14ac:dyDescent="0.3">
      <c r="A3815" t="s">
        <v>15</v>
      </c>
      <c r="B3815">
        <v>2021</v>
      </c>
      <c r="C3815" t="s">
        <v>14</v>
      </c>
      <c r="D3815">
        <v>15436.69</v>
      </c>
      <c r="E3815">
        <v>12420.26</v>
      </c>
      <c r="F3815">
        <v>135.63999999999999</v>
      </c>
      <c r="G3815">
        <v>1069.72</v>
      </c>
      <c r="H3815">
        <f>E3815*1000000/D3815</f>
        <v>804593.47178702173</v>
      </c>
      <c r="I3815" t="str">
        <f>IF(AND(B3815&gt;=2018, B3815&lt;=2021), "2018-2021", IF(AND(B3815&gt;=2022, B3815&lt;=2024), "2022-2024", "Other"))</f>
        <v>2018-2021</v>
      </c>
    </row>
    <row r="3816" spans="1:9" x14ac:dyDescent="0.3">
      <c r="A3816" t="s">
        <v>24</v>
      </c>
      <c r="B3816">
        <v>2021</v>
      </c>
      <c r="C3816" t="s">
        <v>6</v>
      </c>
      <c r="D3816">
        <v>3807.79</v>
      </c>
      <c r="E3816">
        <v>4108.09</v>
      </c>
      <c r="F3816">
        <v>86.96</v>
      </c>
      <c r="G3816">
        <v>14.49</v>
      </c>
      <c r="H3816">
        <f>E3816*1000000/D3816</f>
        <v>1078864.6432707687</v>
      </c>
      <c r="I3816" t="str">
        <f>IF(AND(B3816&gt;=2018, B3816&lt;=2021), "2018-2021", IF(AND(B3816&gt;=2022, B3816&lt;=2024), "2022-2024", "Other"))</f>
        <v>2018-2021</v>
      </c>
    </row>
    <row r="3817" spans="1:9" x14ac:dyDescent="0.3">
      <c r="A3817" t="s">
        <v>5</v>
      </c>
      <c r="B3817">
        <v>2020</v>
      </c>
      <c r="C3817" t="s">
        <v>14</v>
      </c>
      <c r="D3817">
        <v>17049.560000000001</v>
      </c>
      <c r="E3817">
        <v>14482.8</v>
      </c>
      <c r="F3817">
        <v>149.30000000000001</v>
      </c>
      <c r="G3817">
        <v>473.11</v>
      </c>
      <c r="H3817">
        <f>E3817*1000000/D3817</f>
        <v>849453.00641189562</v>
      </c>
      <c r="I3817" t="str">
        <f>IF(AND(B3817&gt;=2018, B3817&lt;=2021), "2018-2021", IF(AND(B3817&gt;=2022, B3817&lt;=2024), "2022-2024", "Other"))</f>
        <v>2018-2021</v>
      </c>
    </row>
    <row r="3818" spans="1:9" x14ac:dyDescent="0.3">
      <c r="A3818" t="s">
        <v>7</v>
      </c>
      <c r="B3818">
        <v>2021</v>
      </c>
      <c r="C3818" t="s">
        <v>4</v>
      </c>
      <c r="D3818">
        <v>17465.46</v>
      </c>
      <c r="E3818">
        <v>14797.67</v>
      </c>
      <c r="F3818">
        <v>86.39</v>
      </c>
      <c r="G3818">
        <v>1206.28</v>
      </c>
      <c r="H3818">
        <f>E3818*1000000/D3818</f>
        <v>847253.37895480567</v>
      </c>
      <c r="I3818" t="str">
        <f>IF(AND(B3818&gt;=2018, B3818&lt;=2021), "2018-2021", IF(AND(B3818&gt;=2022, B3818&lt;=2024), "2022-2024", "Other"))</f>
        <v>2018-2021</v>
      </c>
    </row>
    <row r="3819" spans="1:9" x14ac:dyDescent="0.3">
      <c r="A3819" t="s">
        <v>3</v>
      </c>
      <c r="B3819">
        <v>2021</v>
      </c>
      <c r="C3819" t="s">
        <v>8</v>
      </c>
      <c r="D3819">
        <v>8527.1299999999992</v>
      </c>
      <c r="E3819">
        <v>9161.94</v>
      </c>
      <c r="F3819">
        <v>60.78</v>
      </c>
      <c r="G3819">
        <v>370.06</v>
      </c>
      <c r="H3819">
        <f>E3819*1000000/D3819</f>
        <v>1074445.9155659643</v>
      </c>
      <c r="I3819" t="str">
        <f>IF(AND(B3819&gt;=2018, B3819&lt;=2021), "2018-2021", IF(AND(B3819&gt;=2022, B3819&lt;=2024), "2022-2024", "Other"))</f>
        <v>2018-2021</v>
      </c>
    </row>
    <row r="3820" spans="1:9" x14ac:dyDescent="0.3">
      <c r="A3820" t="s">
        <v>25</v>
      </c>
      <c r="B3820">
        <v>2023</v>
      </c>
      <c r="C3820" t="s">
        <v>4</v>
      </c>
      <c r="D3820">
        <v>34194.370000000003</v>
      </c>
      <c r="E3820">
        <v>29599</v>
      </c>
      <c r="F3820">
        <v>100.29</v>
      </c>
      <c r="G3820">
        <v>709.57</v>
      </c>
      <c r="H3820">
        <f>E3820*1000000/D3820</f>
        <v>865610.3329290757</v>
      </c>
      <c r="I3820" t="str">
        <f>IF(AND(B3820&gt;=2018, B3820&lt;=2021), "2018-2021", IF(AND(B3820&gt;=2022, B3820&lt;=2024), "2022-2024", "Other"))</f>
        <v>2022-2024</v>
      </c>
    </row>
    <row r="3821" spans="1:9" x14ac:dyDescent="0.3">
      <c r="A3821" t="s">
        <v>18</v>
      </c>
      <c r="B3821">
        <v>2024</v>
      </c>
      <c r="C3821" t="s">
        <v>6</v>
      </c>
      <c r="D3821">
        <v>48171.35</v>
      </c>
      <c r="E3821">
        <v>54688.41</v>
      </c>
      <c r="F3821">
        <v>62.15</v>
      </c>
      <c r="G3821">
        <v>1050.4100000000001</v>
      </c>
      <c r="H3821">
        <f>E3821*1000000/D3821</f>
        <v>1135289.1293268716</v>
      </c>
      <c r="I3821" t="str">
        <f>IF(AND(B3821&gt;=2018, B3821&lt;=2021), "2018-2021", IF(AND(B3821&gt;=2022, B3821&lt;=2024), "2022-2024", "Other"))</f>
        <v>2022-2024</v>
      </c>
    </row>
    <row r="3822" spans="1:9" x14ac:dyDescent="0.3">
      <c r="A3822" t="s">
        <v>3</v>
      </c>
      <c r="B3822">
        <v>2023</v>
      </c>
      <c r="C3822" t="s">
        <v>0</v>
      </c>
      <c r="D3822">
        <v>1329.28</v>
      </c>
      <c r="E3822">
        <v>1220.1300000000001</v>
      </c>
      <c r="F3822">
        <v>152.26</v>
      </c>
      <c r="G3822">
        <v>515.72</v>
      </c>
      <c r="H3822">
        <f>E3822*1000000/D3822</f>
        <v>917887.87915262405</v>
      </c>
      <c r="I3822" t="str">
        <f>IF(AND(B3822&gt;=2018, B3822&lt;=2021), "2018-2021", IF(AND(B3822&gt;=2022, B3822&lt;=2024), "2022-2024", "Other"))</f>
        <v>2022-2024</v>
      </c>
    </row>
    <row r="3823" spans="1:9" x14ac:dyDescent="0.3">
      <c r="A3823" t="s">
        <v>19</v>
      </c>
      <c r="B3823">
        <v>2020</v>
      </c>
      <c r="C3823" t="s">
        <v>14</v>
      </c>
      <c r="D3823">
        <v>46989.77</v>
      </c>
      <c r="E3823">
        <v>38729.32</v>
      </c>
      <c r="F3823">
        <v>167.7</v>
      </c>
      <c r="G3823">
        <v>827.41</v>
      </c>
      <c r="H3823">
        <f>E3823*1000000/D3823</f>
        <v>824207.48175613547</v>
      </c>
      <c r="I3823" t="str">
        <f>IF(AND(B3823&gt;=2018, B3823&lt;=2021), "2018-2021", IF(AND(B3823&gt;=2022, B3823&lt;=2024), "2022-2024", "Other"))</f>
        <v>2018-2021</v>
      </c>
    </row>
    <row r="3824" spans="1:9" x14ac:dyDescent="0.3">
      <c r="A3824" t="s">
        <v>11</v>
      </c>
      <c r="B3824">
        <v>2019</v>
      </c>
      <c r="C3824" t="s">
        <v>6</v>
      </c>
      <c r="D3824">
        <v>32469.15</v>
      </c>
      <c r="E3824">
        <v>31616.9</v>
      </c>
      <c r="F3824">
        <v>106.77</v>
      </c>
      <c r="G3824">
        <v>1177.17</v>
      </c>
      <c r="H3824">
        <f>E3824*1000000/D3824</f>
        <v>973752.00767497753</v>
      </c>
      <c r="I3824" t="str">
        <f>IF(AND(B3824&gt;=2018, B3824&lt;=2021), "2018-2021", IF(AND(B3824&gt;=2022, B3824&lt;=2024), "2022-2024", "Other"))</f>
        <v>2018-2021</v>
      </c>
    </row>
    <row r="3825" spans="1:9" x14ac:dyDescent="0.3">
      <c r="A3825" t="s">
        <v>16</v>
      </c>
      <c r="B3825">
        <v>2019</v>
      </c>
      <c r="C3825" t="s">
        <v>8</v>
      </c>
      <c r="D3825">
        <v>16597.689999999999</v>
      </c>
      <c r="E3825">
        <v>18109.91</v>
      </c>
      <c r="F3825">
        <v>23.46</v>
      </c>
      <c r="G3825">
        <v>1297.02</v>
      </c>
      <c r="H3825">
        <f>E3825*1000000/D3825</f>
        <v>1091110.2689591143</v>
      </c>
      <c r="I3825" t="str">
        <f>IF(AND(B3825&gt;=2018, B3825&lt;=2021), "2018-2021", IF(AND(B3825&gt;=2022, B3825&lt;=2024), "2022-2024", "Other"))</f>
        <v>2018-2021</v>
      </c>
    </row>
    <row r="3826" spans="1:9" x14ac:dyDescent="0.3">
      <c r="A3826" t="s">
        <v>17</v>
      </c>
      <c r="B3826">
        <v>2021</v>
      </c>
      <c r="C3826" t="s">
        <v>2</v>
      </c>
      <c r="D3826">
        <v>20066.64</v>
      </c>
      <c r="E3826">
        <v>19117.11</v>
      </c>
      <c r="F3826">
        <v>71.58</v>
      </c>
      <c r="G3826">
        <v>1282.83</v>
      </c>
      <c r="H3826">
        <f>E3826*1000000/D3826</f>
        <v>952681.16635370941</v>
      </c>
      <c r="I3826" t="str">
        <f>IF(AND(B3826&gt;=2018, B3826&lt;=2021), "2018-2021", IF(AND(B3826&gt;=2022, B3826&lt;=2024), "2022-2024", "Other"))</f>
        <v>2018-2021</v>
      </c>
    </row>
    <row r="3827" spans="1:9" x14ac:dyDescent="0.3">
      <c r="A3827" t="s">
        <v>17</v>
      </c>
      <c r="B3827">
        <v>2024</v>
      </c>
      <c r="C3827" t="s">
        <v>4</v>
      </c>
      <c r="D3827">
        <v>36406.660000000003</v>
      </c>
      <c r="E3827">
        <v>38257.65</v>
      </c>
      <c r="F3827">
        <v>86.83</v>
      </c>
      <c r="G3827">
        <v>1025.96</v>
      </c>
      <c r="H3827">
        <f>E3827*1000000/D3827</f>
        <v>1050842.0712034556</v>
      </c>
      <c r="I3827" t="str">
        <f>IF(AND(B3827&gt;=2018, B3827&lt;=2021), "2018-2021", IF(AND(B3827&gt;=2022, B3827&lt;=2024), "2022-2024", "Other"))</f>
        <v>2022-2024</v>
      </c>
    </row>
    <row r="3828" spans="1:9" x14ac:dyDescent="0.3">
      <c r="A3828" t="s">
        <v>15</v>
      </c>
      <c r="B3828">
        <v>2020</v>
      </c>
      <c r="C3828" t="s">
        <v>0</v>
      </c>
      <c r="D3828">
        <v>11814.13</v>
      </c>
      <c r="E3828">
        <v>13568.51</v>
      </c>
      <c r="F3828">
        <v>28.11</v>
      </c>
      <c r="G3828">
        <v>424.98</v>
      </c>
      <c r="H3828">
        <f>E3828*1000000/D3828</f>
        <v>1148498.4505841734</v>
      </c>
      <c r="I3828" t="str">
        <f>IF(AND(B3828&gt;=2018, B3828&lt;=2021), "2018-2021", IF(AND(B3828&gt;=2022, B3828&lt;=2024), "2022-2024", "Other"))</f>
        <v>2018-2021</v>
      </c>
    </row>
    <row r="3829" spans="1:9" x14ac:dyDescent="0.3">
      <c r="A3829" t="s">
        <v>15</v>
      </c>
      <c r="B3829">
        <v>2024</v>
      </c>
      <c r="C3829" t="s">
        <v>2</v>
      </c>
      <c r="D3829">
        <v>23530.66</v>
      </c>
      <c r="E3829">
        <v>24956.85</v>
      </c>
      <c r="F3829">
        <v>35.86</v>
      </c>
      <c r="G3829">
        <v>1362.79</v>
      </c>
      <c r="H3829">
        <f>E3829*1000000/D3829</f>
        <v>1060609.8596469457</v>
      </c>
      <c r="I3829" t="str">
        <f>IF(AND(B3829&gt;=2018, B3829&lt;=2021), "2018-2021", IF(AND(B3829&gt;=2022, B3829&lt;=2024), "2022-2024", "Other"))</f>
        <v>2022-2024</v>
      </c>
    </row>
    <row r="3830" spans="1:9" x14ac:dyDescent="0.3">
      <c r="A3830" t="s">
        <v>11</v>
      </c>
      <c r="B3830">
        <v>2021</v>
      </c>
      <c r="C3830" t="s">
        <v>9</v>
      </c>
      <c r="D3830">
        <v>2348.4299999999998</v>
      </c>
      <c r="E3830">
        <v>2478.7199999999998</v>
      </c>
      <c r="F3830">
        <v>23.06</v>
      </c>
      <c r="G3830">
        <v>85.69</v>
      </c>
      <c r="H3830">
        <f>E3830*1000000/D3830</f>
        <v>1055479.6182981823</v>
      </c>
      <c r="I3830" t="str">
        <f>IF(AND(B3830&gt;=2018, B3830&lt;=2021), "2018-2021", IF(AND(B3830&gt;=2022, B3830&lt;=2024), "2022-2024", "Other"))</f>
        <v>2018-2021</v>
      </c>
    </row>
    <row r="3831" spans="1:9" x14ac:dyDescent="0.3">
      <c r="A3831" t="s">
        <v>7</v>
      </c>
      <c r="B3831">
        <v>2019</v>
      </c>
      <c r="C3831" t="s">
        <v>4</v>
      </c>
      <c r="D3831">
        <v>21638.400000000001</v>
      </c>
      <c r="E3831">
        <v>19007.22</v>
      </c>
      <c r="F3831">
        <v>50.32</v>
      </c>
      <c r="G3831">
        <v>1308.74</v>
      </c>
      <c r="H3831">
        <f>E3831*1000000/D3831</f>
        <v>878402.28482697415</v>
      </c>
      <c r="I3831" t="str">
        <f>IF(AND(B3831&gt;=2018, B3831&lt;=2021), "2018-2021", IF(AND(B3831&gt;=2022, B3831&lt;=2024), "2022-2024", "Other"))</f>
        <v>2018-2021</v>
      </c>
    </row>
    <row r="3832" spans="1:9" x14ac:dyDescent="0.3">
      <c r="A3832" t="s">
        <v>3</v>
      </c>
      <c r="B3832">
        <v>2023</v>
      </c>
      <c r="C3832" t="s">
        <v>12</v>
      </c>
      <c r="D3832">
        <v>43827.67</v>
      </c>
      <c r="E3832">
        <v>45552.98</v>
      </c>
      <c r="F3832">
        <v>173.72</v>
      </c>
      <c r="G3832">
        <v>745.41</v>
      </c>
      <c r="H3832">
        <f>E3832*1000000/D3832</f>
        <v>1039365.7705280705</v>
      </c>
      <c r="I3832" t="str">
        <f>IF(AND(B3832&gt;=2018, B3832&lt;=2021), "2018-2021", IF(AND(B3832&gt;=2022, B3832&lt;=2024), "2022-2024", "Other"))</f>
        <v>2022-2024</v>
      </c>
    </row>
    <row r="3833" spans="1:9" x14ac:dyDescent="0.3">
      <c r="A3833" t="s">
        <v>24</v>
      </c>
      <c r="B3833">
        <v>2019</v>
      </c>
      <c r="C3833" t="s">
        <v>4</v>
      </c>
      <c r="D3833">
        <v>32117.43</v>
      </c>
      <c r="E3833">
        <v>26470.76</v>
      </c>
      <c r="F3833">
        <v>129.47</v>
      </c>
      <c r="G3833">
        <v>213.41</v>
      </c>
      <c r="H3833">
        <f>E3833*1000000/D3833</f>
        <v>824186.74221443001</v>
      </c>
      <c r="I3833" t="str">
        <f>IF(AND(B3833&gt;=2018, B3833&lt;=2021), "2018-2021", IF(AND(B3833&gt;=2022, B3833&lt;=2024), "2022-2024", "Other"))</f>
        <v>2018-2021</v>
      </c>
    </row>
    <row r="3834" spans="1:9" x14ac:dyDescent="0.3">
      <c r="A3834" t="s">
        <v>7</v>
      </c>
      <c r="B3834">
        <v>2020</v>
      </c>
      <c r="C3834" t="s">
        <v>4</v>
      </c>
      <c r="D3834">
        <v>32901.64</v>
      </c>
      <c r="E3834">
        <v>28886.13</v>
      </c>
      <c r="F3834">
        <v>191.65</v>
      </c>
      <c r="G3834">
        <v>1056.51</v>
      </c>
      <c r="H3834">
        <f>E3834*1000000/D3834</f>
        <v>877954.10806269839</v>
      </c>
      <c r="I3834" t="str">
        <f>IF(AND(B3834&gt;=2018, B3834&lt;=2021), "2018-2021", IF(AND(B3834&gt;=2022, B3834&lt;=2024), "2022-2024", "Other"))</f>
        <v>2018-2021</v>
      </c>
    </row>
    <row r="3835" spans="1:9" x14ac:dyDescent="0.3">
      <c r="A3835" t="s">
        <v>5</v>
      </c>
      <c r="B3835">
        <v>2020</v>
      </c>
      <c r="C3835" t="s">
        <v>12</v>
      </c>
      <c r="D3835">
        <v>1251.6199999999999</v>
      </c>
      <c r="E3835">
        <v>1204.67</v>
      </c>
      <c r="F3835">
        <v>165.82</v>
      </c>
      <c r="G3835">
        <v>260.52999999999997</v>
      </c>
      <c r="H3835">
        <f>E3835*1000000/D3835</f>
        <v>962488.61475527729</v>
      </c>
      <c r="I3835" t="str">
        <f>IF(AND(B3835&gt;=2018, B3835&lt;=2021), "2018-2021", IF(AND(B3835&gt;=2022, B3835&lt;=2024), "2022-2024", "Other"))</f>
        <v>2018-2021</v>
      </c>
    </row>
    <row r="3836" spans="1:9" x14ac:dyDescent="0.3">
      <c r="A3836" t="s">
        <v>16</v>
      </c>
      <c r="B3836">
        <v>2023</v>
      </c>
      <c r="C3836" t="s">
        <v>14</v>
      </c>
      <c r="D3836">
        <v>804.2</v>
      </c>
      <c r="E3836">
        <v>907.98</v>
      </c>
      <c r="F3836">
        <v>140.12</v>
      </c>
      <c r="G3836">
        <v>494.37</v>
      </c>
      <c r="H3836">
        <f>E3836*1000000/D3836</f>
        <v>1129047.5006217358</v>
      </c>
      <c r="I3836" t="str">
        <f>IF(AND(B3836&gt;=2018, B3836&lt;=2021), "2018-2021", IF(AND(B3836&gt;=2022, B3836&lt;=2024), "2022-2024", "Other"))</f>
        <v>2022-2024</v>
      </c>
    </row>
    <row r="3837" spans="1:9" x14ac:dyDescent="0.3">
      <c r="A3837" t="s">
        <v>7</v>
      </c>
      <c r="B3837">
        <v>2022</v>
      </c>
      <c r="C3837" t="s">
        <v>0</v>
      </c>
      <c r="D3837">
        <v>25218.13</v>
      </c>
      <c r="E3837">
        <v>21911.21</v>
      </c>
      <c r="F3837">
        <v>157.16999999999999</v>
      </c>
      <c r="G3837">
        <v>1151.71</v>
      </c>
      <c r="H3837">
        <f>E3837*1000000/D3837</f>
        <v>868867.35852341144</v>
      </c>
      <c r="I3837" t="str">
        <f>IF(AND(B3837&gt;=2018, B3837&lt;=2021), "2018-2021", IF(AND(B3837&gt;=2022, B3837&lt;=2024), "2022-2024", "Other"))</f>
        <v>2022-2024</v>
      </c>
    </row>
    <row r="3838" spans="1:9" x14ac:dyDescent="0.3">
      <c r="A3838" t="s">
        <v>16</v>
      </c>
      <c r="B3838">
        <v>2024</v>
      </c>
      <c r="C3838" t="s">
        <v>4</v>
      </c>
      <c r="D3838">
        <v>26533.040000000001</v>
      </c>
      <c r="E3838">
        <v>23117.07</v>
      </c>
      <c r="F3838">
        <v>110.72</v>
      </c>
      <c r="G3838">
        <v>189.41</v>
      </c>
      <c r="H3838">
        <f>E3838*1000000/D3838</f>
        <v>871255.98875967471</v>
      </c>
      <c r="I3838" t="str">
        <f>IF(AND(B3838&gt;=2018, B3838&lt;=2021), "2018-2021", IF(AND(B3838&gt;=2022, B3838&lt;=2024), "2022-2024", "Other"))</f>
        <v>2022-2024</v>
      </c>
    </row>
    <row r="3839" spans="1:9" x14ac:dyDescent="0.3">
      <c r="A3839" t="s">
        <v>16</v>
      </c>
      <c r="B3839">
        <v>2018</v>
      </c>
      <c r="C3839" t="s">
        <v>6</v>
      </c>
      <c r="D3839">
        <v>29200.14</v>
      </c>
      <c r="E3839">
        <v>23408.15</v>
      </c>
      <c r="F3839">
        <v>33.21</v>
      </c>
      <c r="G3839">
        <v>152.57</v>
      </c>
      <c r="H3839">
        <f>E3839*1000000/D3839</f>
        <v>801645.12909869617</v>
      </c>
      <c r="I3839" t="str">
        <f>IF(AND(B3839&gt;=2018, B3839&lt;=2021), "2018-2021", IF(AND(B3839&gt;=2022, B3839&lt;=2024), "2022-2024", "Other"))</f>
        <v>2018-2021</v>
      </c>
    </row>
    <row r="3840" spans="1:9" x14ac:dyDescent="0.3">
      <c r="A3840" t="s">
        <v>11</v>
      </c>
      <c r="B3840">
        <v>2022</v>
      </c>
      <c r="C3840" t="s">
        <v>12</v>
      </c>
      <c r="D3840">
        <v>30072.7</v>
      </c>
      <c r="E3840">
        <v>30370.68</v>
      </c>
      <c r="F3840">
        <v>97.55</v>
      </c>
      <c r="G3840">
        <v>64.42</v>
      </c>
      <c r="H3840">
        <f>E3840*1000000/D3840</f>
        <v>1009908.6546934595</v>
      </c>
      <c r="I3840" t="str">
        <f>IF(AND(B3840&gt;=2018, B3840&lt;=2021), "2018-2021", IF(AND(B3840&gt;=2022, B3840&lt;=2024), "2022-2024", "Other"))</f>
        <v>2022-2024</v>
      </c>
    </row>
    <row r="3841" spans="1:9" x14ac:dyDescent="0.3">
      <c r="A3841" t="s">
        <v>26</v>
      </c>
      <c r="B3841">
        <v>2022</v>
      </c>
      <c r="C3841" t="s">
        <v>8</v>
      </c>
      <c r="D3841">
        <v>22926.98</v>
      </c>
      <c r="E3841">
        <v>24139.73</v>
      </c>
      <c r="F3841">
        <v>194.18</v>
      </c>
      <c r="G3841">
        <v>965.7</v>
      </c>
      <c r="H3841">
        <f>E3841*1000000/D3841</f>
        <v>1052896.1947888471</v>
      </c>
      <c r="I3841" t="str">
        <f>IF(AND(B3841&gt;=2018, B3841&lt;=2021), "2018-2021", IF(AND(B3841&gt;=2022, B3841&lt;=2024), "2022-2024", "Other"))</f>
        <v>2022-2024</v>
      </c>
    </row>
    <row r="3842" spans="1:9" x14ac:dyDescent="0.3">
      <c r="A3842" t="s">
        <v>7</v>
      </c>
      <c r="B3842">
        <v>2024</v>
      </c>
      <c r="C3842" t="s">
        <v>4</v>
      </c>
      <c r="D3842">
        <v>16944.66</v>
      </c>
      <c r="E3842">
        <v>18989.34</v>
      </c>
      <c r="F3842">
        <v>174</v>
      </c>
      <c r="G3842">
        <v>1220.97</v>
      </c>
      <c r="H3842">
        <f>E3842*1000000/D3842</f>
        <v>1120668.1042877226</v>
      </c>
      <c r="I3842" t="str">
        <f>IF(AND(B3842&gt;=2018, B3842&lt;=2021), "2018-2021", IF(AND(B3842&gt;=2022, B3842&lt;=2024), "2022-2024", "Other"))</f>
        <v>2022-2024</v>
      </c>
    </row>
    <row r="3843" spans="1:9" x14ac:dyDescent="0.3">
      <c r="A3843" t="s">
        <v>5</v>
      </c>
      <c r="B3843">
        <v>2019</v>
      </c>
      <c r="C3843" t="s">
        <v>14</v>
      </c>
      <c r="D3843">
        <v>12140.59</v>
      </c>
      <c r="E3843">
        <v>12811.14</v>
      </c>
      <c r="F3843">
        <v>147.94</v>
      </c>
      <c r="G3843">
        <v>479.94</v>
      </c>
      <c r="H3843">
        <f>E3843*1000000/D3843</f>
        <v>1055232.0768595266</v>
      </c>
      <c r="I3843" t="str">
        <f>IF(AND(B3843&gt;=2018, B3843&lt;=2021), "2018-2021", IF(AND(B3843&gt;=2022, B3843&lt;=2024), "2022-2024", "Other"))</f>
        <v>2018-2021</v>
      </c>
    </row>
    <row r="3844" spans="1:9" x14ac:dyDescent="0.3">
      <c r="A3844" t="s">
        <v>10</v>
      </c>
      <c r="B3844">
        <v>2021</v>
      </c>
      <c r="C3844" t="s">
        <v>14</v>
      </c>
      <c r="D3844">
        <v>18177.63</v>
      </c>
      <c r="E3844">
        <v>15919.66</v>
      </c>
      <c r="F3844">
        <v>29.59</v>
      </c>
      <c r="G3844">
        <v>1181.4000000000001</v>
      </c>
      <c r="H3844">
        <f>E3844*1000000/D3844</f>
        <v>875783.03662248596</v>
      </c>
      <c r="I3844" t="str">
        <f>IF(AND(B3844&gt;=2018, B3844&lt;=2021), "2018-2021", IF(AND(B3844&gt;=2022, B3844&lt;=2024), "2022-2024", "Other"))</f>
        <v>2018-2021</v>
      </c>
    </row>
    <row r="3845" spans="1:9" x14ac:dyDescent="0.3">
      <c r="A3845" t="s">
        <v>10</v>
      </c>
      <c r="B3845">
        <v>2018</v>
      </c>
      <c r="C3845" t="s">
        <v>14</v>
      </c>
      <c r="D3845">
        <v>48072.99</v>
      </c>
      <c r="E3845">
        <v>39852.6</v>
      </c>
      <c r="F3845">
        <v>41.42</v>
      </c>
      <c r="G3845">
        <v>104.36</v>
      </c>
      <c r="H3845">
        <f>E3845*1000000/D3845</f>
        <v>829001.89898735238</v>
      </c>
      <c r="I3845" t="str">
        <f>IF(AND(B3845&gt;=2018, B3845&lt;=2021), "2018-2021", IF(AND(B3845&gt;=2022, B3845&lt;=2024), "2022-2024", "Other"))</f>
        <v>2018-2021</v>
      </c>
    </row>
    <row r="3846" spans="1:9" x14ac:dyDescent="0.3">
      <c r="A3846" t="s">
        <v>24</v>
      </c>
      <c r="B3846">
        <v>2024</v>
      </c>
      <c r="C3846" t="s">
        <v>0</v>
      </c>
      <c r="D3846">
        <v>45967.48</v>
      </c>
      <c r="E3846">
        <v>46924.800000000003</v>
      </c>
      <c r="F3846">
        <v>181.02</v>
      </c>
      <c r="G3846">
        <v>1025.26</v>
      </c>
      <c r="H3846">
        <f>E3846*1000000/D3846</f>
        <v>1020826.0274437492</v>
      </c>
      <c r="I3846" t="str">
        <f>IF(AND(B3846&gt;=2018, B3846&lt;=2021), "2018-2021", IF(AND(B3846&gt;=2022, B3846&lt;=2024), "2022-2024", "Other"))</f>
        <v>2022-2024</v>
      </c>
    </row>
    <row r="3847" spans="1:9" x14ac:dyDescent="0.3">
      <c r="A3847" t="s">
        <v>25</v>
      </c>
      <c r="B3847">
        <v>2018</v>
      </c>
      <c r="C3847" t="s">
        <v>2</v>
      </c>
      <c r="D3847">
        <v>2810.85</v>
      </c>
      <c r="E3847">
        <v>3118</v>
      </c>
      <c r="F3847">
        <v>153.34</v>
      </c>
      <c r="G3847">
        <v>1060.1300000000001</v>
      </c>
      <c r="H3847">
        <f>E3847*1000000/D3847</f>
        <v>1109272.9957130405</v>
      </c>
      <c r="I3847" t="str">
        <f>IF(AND(B3847&gt;=2018, B3847&lt;=2021), "2018-2021", IF(AND(B3847&gt;=2022, B3847&lt;=2024), "2022-2024", "Other"))</f>
        <v>2018-2021</v>
      </c>
    </row>
    <row r="3848" spans="1:9" x14ac:dyDescent="0.3">
      <c r="A3848" t="s">
        <v>18</v>
      </c>
      <c r="B3848">
        <v>2023</v>
      </c>
      <c r="C3848" t="s">
        <v>12</v>
      </c>
      <c r="D3848">
        <v>11186.25</v>
      </c>
      <c r="E3848">
        <v>11885.8</v>
      </c>
      <c r="F3848">
        <v>146.25</v>
      </c>
      <c r="G3848">
        <v>1353.71</v>
      </c>
      <c r="H3848">
        <f>E3848*1000000/D3848</f>
        <v>1062536.5962677393</v>
      </c>
      <c r="I3848" t="str">
        <f>IF(AND(B3848&gt;=2018, B3848&lt;=2021), "2018-2021", IF(AND(B3848&gt;=2022, B3848&lt;=2024), "2022-2024", "Other"))</f>
        <v>2022-2024</v>
      </c>
    </row>
    <row r="3849" spans="1:9" x14ac:dyDescent="0.3">
      <c r="A3849" t="s">
        <v>17</v>
      </c>
      <c r="B3849">
        <v>2021</v>
      </c>
      <c r="C3849" t="s">
        <v>9</v>
      </c>
      <c r="D3849">
        <v>11460.63</v>
      </c>
      <c r="E3849">
        <v>10850.95</v>
      </c>
      <c r="F3849">
        <v>73.19</v>
      </c>
      <c r="G3849">
        <v>1007.79</v>
      </c>
      <c r="H3849">
        <f>E3849*1000000/D3849</f>
        <v>946802.22640465666</v>
      </c>
      <c r="I3849" t="str">
        <f>IF(AND(B3849&gt;=2018, B3849&lt;=2021), "2018-2021", IF(AND(B3849&gt;=2022, B3849&lt;=2024), "2022-2024", "Other"))</f>
        <v>2018-2021</v>
      </c>
    </row>
    <row r="3850" spans="1:9" x14ac:dyDescent="0.3">
      <c r="A3850" t="s">
        <v>5</v>
      </c>
      <c r="B3850">
        <v>2018</v>
      </c>
      <c r="C3850" t="s">
        <v>2</v>
      </c>
      <c r="D3850">
        <v>4266.6000000000004</v>
      </c>
      <c r="E3850">
        <v>4843.21</v>
      </c>
      <c r="F3850">
        <v>110.29</v>
      </c>
      <c r="G3850">
        <v>1296.0899999999999</v>
      </c>
      <c r="H3850">
        <f>E3850*1000000/D3850</f>
        <v>1135145.0803918811</v>
      </c>
      <c r="I3850" t="str">
        <f>IF(AND(B3850&gt;=2018, B3850&lt;=2021), "2018-2021", IF(AND(B3850&gt;=2022, B3850&lt;=2024), "2022-2024", "Other"))</f>
        <v>2018-2021</v>
      </c>
    </row>
    <row r="3851" spans="1:9" x14ac:dyDescent="0.3">
      <c r="A3851" t="s">
        <v>26</v>
      </c>
      <c r="B3851">
        <v>2020</v>
      </c>
      <c r="C3851" t="s">
        <v>0</v>
      </c>
      <c r="D3851">
        <v>7853.7</v>
      </c>
      <c r="E3851">
        <v>6310.57</v>
      </c>
      <c r="F3851">
        <v>157.05000000000001</v>
      </c>
      <c r="G3851">
        <v>1273.71</v>
      </c>
      <c r="H3851">
        <f>E3851*1000000/D3851</f>
        <v>803515.54044590448</v>
      </c>
      <c r="I3851" t="str">
        <f>IF(AND(B3851&gt;=2018, B3851&lt;=2021), "2018-2021", IF(AND(B3851&gt;=2022, B3851&lt;=2024), "2022-2024", "Other"))</f>
        <v>2018-2021</v>
      </c>
    </row>
    <row r="3852" spans="1:9" x14ac:dyDescent="0.3">
      <c r="A3852" t="s">
        <v>21</v>
      </c>
      <c r="B3852">
        <v>2020</v>
      </c>
      <c r="C3852" t="s">
        <v>2</v>
      </c>
      <c r="D3852">
        <v>16698.38</v>
      </c>
      <c r="E3852">
        <v>19560.349999999999</v>
      </c>
      <c r="F3852">
        <v>27.17</v>
      </c>
      <c r="G3852">
        <v>549.23</v>
      </c>
      <c r="H3852">
        <f>E3852*1000000/D3852</f>
        <v>1171392.0751593867</v>
      </c>
      <c r="I3852" t="str">
        <f>IF(AND(B3852&gt;=2018, B3852&lt;=2021), "2018-2021", IF(AND(B3852&gt;=2022, B3852&lt;=2024), "2022-2024", "Other"))</f>
        <v>2018-2021</v>
      </c>
    </row>
    <row r="3853" spans="1:9" x14ac:dyDescent="0.3">
      <c r="A3853" t="s">
        <v>27</v>
      </c>
      <c r="B3853">
        <v>2023</v>
      </c>
      <c r="C3853" t="s">
        <v>9</v>
      </c>
      <c r="D3853">
        <v>5896.86</v>
      </c>
      <c r="E3853">
        <v>6313.63</v>
      </c>
      <c r="F3853">
        <v>140.24</v>
      </c>
      <c r="G3853">
        <v>933.29</v>
      </c>
      <c r="H3853">
        <f>E3853*1000000/D3853</f>
        <v>1070676.5973755524</v>
      </c>
      <c r="I3853" t="str">
        <f>IF(AND(B3853&gt;=2018, B3853&lt;=2021), "2018-2021", IF(AND(B3853&gt;=2022, B3853&lt;=2024), "2022-2024", "Other"))</f>
        <v>2022-2024</v>
      </c>
    </row>
    <row r="3854" spans="1:9" x14ac:dyDescent="0.3">
      <c r="A3854" t="s">
        <v>10</v>
      </c>
      <c r="B3854">
        <v>2019</v>
      </c>
      <c r="C3854" t="s">
        <v>0</v>
      </c>
      <c r="D3854">
        <v>25562.97</v>
      </c>
      <c r="E3854">
        <v>30519.9</v>
      </c>
      <c r="F3854">
        <v>70.760000000000005</v>
      </c>
      <c r="G3854">
        <v>973.45</v>
      </c>
      <c r="H3854">
        <f>E3854*1000000/D3854</f>
        <v>1193910.5667299221</v>
      </c>
      <c r="I3854" t="str">
        <f>IF(AND(B3854&gt;=2018, B3854&lt;=2021), "2018-2021", IF(AND(B3854&gt;=2022, B3854&lt;=2024), "2022-2024", "Other"))</f>
        <v>2018-2021</v>
      </c>
    </row>
    <row r="3855" spans="1:9" x14ac:dyDescent="0.3">
      <c r="A3855" t="s">
        <v>16</v>
      </c>
      <c r="B3855">
        <v>2018</v>
      </c>
      <c r="C3855" t="s">
        <v>14</v>
      </c>
      <c r="D3855">
        <v>39031.230000000003</v>
      </c>
      <c r="E3855">
        <v>37517.040000000001</v>
      </c>
      <c r="F3855">
        <v>188.61</v>
      </c>
      <c r="G3855">
        <v>1373.75</v>
      </c>
      <c r="H3855">
        <f>E3855*1000000/D3855</f>
        <v>961205.6806818539</v>
      </c>
      <c r="I3855" t="str">
        <f>IF(AND(B3855&gt;=2018, B3855&lt;=2021), "2018-2021", IF(AND(B3855&gt;=2022, B3855&lt;=2024), "2022-2024", "Other"))</f>
        <v>2018-2021</v>
      </c>
    </row>
    <row r="3856" spans="1:9" x14ac:dyDescent="0.3">
      <c r="A3856" t="s">
        <v>13</v>
      </c>
      <c r="B3856">
        <v>2018</v>
      </c>
      <c r="C3856" t="s">
        <v>4</v>
      </c>
      <c r="D3856">
        <v>9206.61</v>
      </c>
      <c r="E3856">
        <v>7509.27</v>
      </c>
      <c r="F3856">
        <v>184.06</v>
      </c>
      <c r="G3856">
        <v>137.38</v>
      </c>
      <c r="H3856">
        <f>E3856*1000000/D3856</f>
        <v>815638.98112334497</v>
      </c>
      <c r="I3856" t="str">
        <f>IF(AND(B3856&gt;=2018, B3856&lt;=2021), "2018-2021", IF(AND(B3856&gt;=2022, B3856&lt;=2024), "2022-2024", "Other"))</f>
        <v>2018-2021</v>
      </c>
    </row>
    <row r="3857" spans="1:9" x14ac:dyDescent="0.3">
      <c r="A3857" t="s">
        <v>20</v>
      </c>
      <c r="B3857">
        <v>2020</v>
      </c>
      <c r="C3857" t="s">
        <v>9</v>
      </c>
      <c r="D3857">
        <v>12800.16</v>
      </c>
      <c r="E3857">
        <v>10998.6</v>
      </c>
      <c r="F3857">
        <v>121.14</v>
      </c>
      <c r="G3857">
        <v>749.72</v>
      </c>
      <c r="H3857">
        <f>E3857*1000000/D3857</f>
        <v>859254.88431394612</v>
      </c>
      <c r="I3857" t="str">
        <f>IF(AND(B3857&gt;=2018, B3857&lt;=2021), "2018-2021", IF(AND(B3857&gt;=2022, B3857&lt;=2024), "2022-2024", "Other"))</f>
        <v>2018-2021</v>
      </c>
    </row>
    <row r="3858" spans="1:9" x14ac:dyDescent="0.3">
      <c r="A3858" t="s">
        <v>17</v>
      </c>
      <c r="B3858">
        <v>2019</v>
      </c>
      <c r="C3858" t="s">
        <v>14</v>
      </c>
      <c r="D3858">
        <v>14661.13</v>
      </c>
      <c r="E3858">
        <v>14940.14</v>
      </c>
      <c r="F3858">
        <v>102.19</v>
      </c>
      <c r="G3858">
        <v>1012.78</v>
      </c>
      <c r="H3858">
        <f>E3858*1000000/D3858</f>
        <v>1019030.5931398195</v>
      </c>
      <c r="I3858" t="str">
        <f>IF(AND(B3858&gt;=2018, B3858&lt;=2021), "2018-2021", IF(AND(B3858&gt;=2022, B3858&lt;=2024), "2022-2024", "Other"))</f>
        <v>2018-2021</v>
      </c>
    </row>
    <row r="3859" spans="1:9" x14ac:dyDescent="0.3">
      <c r="A3859" t="s">
        <v>11</v>
      </c>
      <c r="B3859">
        <v>2020</v>
      </c>
      <c r="C3859" t="s">
        <v>8</v>
      </c>
      <c r="D3859">
        <v>13712.86</v>
      </c>
      <c r="E3859">
        <v>15754.58</v>
      </c>
      <c r="F3859">
        <v>21.8</v>
      </c>
      <c r="G3859">
        <v>427.45</v>
      </c>
      <c r="H3859">
        <f>E3859*1000000/D3859</f>
        <v>1148890.8951159713</v>
      </c>
      <c r="I3859" t="str">
        <f>IF(AND(B3859&gt;=2018, B3859&lt;=2021), "2018-2021", IF(AND(B3859&gt;=2022, B3859&lt;=2024), "2022-2024", "Other"))</f>
        <v>2018-2021</v>
      </c>
    </row>
    <row r="3860" spans="1:9" x14ac:dyDescent="0.3">
      <c r="A3860" t="s">
        <v>3</v>
      </c>
      <c r="B3860">
        <v>2023</v>
      </c>
      <c r="C3860" t="s">
        <v>14</v>
      </c>
      <c r="D3860">
        <v>47757.98</v>
      </c>
      <c r="E3860">
        <v>52330.54</v>
      </c>
      <c r="F3860">
        <v>87.2</v>
      </c>
      <c r="G3860">
        <v>261.3</v>
      </c>
      <c r="H3860">
        <f>E3860*1000000/D3860</f>
        <v>1095744.4180009288</v>
      </c>
      <c r="I3860" t="str">
        <f>IF(AND(B3860&gt;=2018, B3860&lt;=2021), "2018-2021", IF(AND(B3860&gt;=2022, B3860&lt;=2024), "2022-2024", "Other"))</f>
        <v>2022-2024</v>
      </c>
    </row>
    <row r="3861" spans="1:9" x14ac:dyDescent="0.3">
      <c r="A3861" t="s">
        <v>25</v>
      </c>
      <c r="B3861">
        <v>2020</v>
      </c>
      <c r="C3861" t="s">
        <v>4</v>
      </c>
      <c r="D3861">
        <v>7665.95</v>
      </c>
      <c r="E3861">
        <v>8212.39</v>
      </c>
      <c r="F3861">
        <v>82.39</v>
      </c>
      <c r="G3861">
        <v>400.12</v>
      </c>
      <c r="H3861">
        <f>E3861*1000000/D3861</f>
        <v>1071281.4458742882</v>
      </c>
      <c r="I3861" t="str">
        <f>IF(AND(B3861&gt;=2018, B3861&lt;=2021), "2018-2021", IF(AND(B3861&gt;=2022, B3861&lt;=2024), "2022-2024", "Other"))</f>
        <v>2018-2021</v>
      </c>
    </row>
    <row r="3862" spans="1:9" x14ac:dyDescent="0.3">
      <c r="A3862" t="s">
        <v>22</v>
      </c>
      <c r="B3862">
        <v>2022</v>
      </c>
      <c r="C3862" t="s">
        <v>6</v>
      </c>
      <c r="D3862">
        <v>32959.47</v>
      </c>
      <c r="E3862">
        <v>39527.46</v>
      </c>
      <c r="F3862">
        <v>148.19</v>
      </c>
      <c r="G3862">
        <v>876.25</v>
      </c>
      <c r="H3862">
        <f>E3862*1000000/D3862</f>
        <v>1199274.7456193925</v>
      </c>
      <c r="I3862" t="str">
        <f>IF(AND(B3862&gt;=2018, B3862&lt;=2021), "2018-2021", IF(AND(B3862&gt;=2022, B3862&lt;=2024), "2022-2024", "Other"))</f>
        <v>2022-2024</v>
      </c>
    </row>
    <row r="3863" spans="1:9" x14ac:dyDescent="0.3">
      <c r="A3863" t="s">
        <v>18</v>
      </c>
      <c r="B3863">
        <v>2022</v>
      </c>
      <c r="C3863" t="s">
        <v>12</v>
      </c>
      <c r="D3863">
        <v>41810.550000000003</v>
      </c>
      <c r="E3863">
        <v>49687.65</v>
      </c>
      <c r="F3863">
        <v>47.97</v>
      </c>
      <c r="G3863">
        <v>711</v>
      </c>
      <c r="H3863">
        <f>E3863*1000000/D3863</f>
        <v>1188399.8177493478</v>
      </c>
      <c r="I3863" t="str">
        <f>IF(AND(B3863&gt;=2018, B3863&lt;=2021), "2018-2021", IF(AND(B3863&gt;=2022, B3863&lt;=2024), "2022-2024", "Other"))</f>
        <v>2022-2024</v>
      </c>
    </row>
    <row r="3864" spans="1:9" x14ac:dyDescent="0.3">
      <c r="A3864" t="s">
        <v>19</v>
      </c>
      <c r="B3864">
        <v>2020</v>
      </c>
      <c r="C3864" t="s">
        <v>0</v>
      </c>
      <c r="D3864">
        <v>30638.34</v>
      </c>
      <c r="E3864">
        <v>35089.910000000003</v>
      </c>
      <c r="F3864">
        <v>33.630000000000003</v>
      </c>
      <c r="G3864">
        <v>1067.04</v>
      </c>
      <c r="H3864">
        <f>E3864*1000000/D3864</f>
        <v>1145294.0988317253</v>
      </c>
      <c r="I3864" t="str">
        <f>IF(AND(B3864&gt;=2018, B3864&lt;=2021), "2018-2021", IF(AND(B3864&gt;=2022, B3864&lt;=2024), "2022-2024", "Other"))</f>
        <v>2018-2021</v>
      </c>
    </row>
    <row r="3865" spans="1:9" x14ac:dyDescent="0.3">
      <c r="A3865" t="s">
        <v>10</v>
      </c>
      <c r="B3865">
        <v>2022</v>
      </c>
      <c r="C3865" t="s">
        <v>14</v>
      </c>
      <c r="D3865">
        <v>31151.33</v>
      </c>
      <c r="E3865">
        <v>32018.28</v>
      </c>
      <c r="F3865">
        <v>60.68</v>
      </c>
      <c r="G3865">
        <v>907.81</v>
      </c>
      <c r="H3865">
        <f>E3865*1000000/D3865</f>
        <v>1027830.2724153351</v>
      </c>
      <c r="I3865" t="str">
        <f>IF(AND(B3865&gt;=2018, B3865&lt;=2021), "2018-2021", IF(AND(B3865&gt;=2022, B3865&lt;=2024), "2022-2024", "Other"))</f>
        <v>2022-2024</v>
      </c>
    </row>
    <row r="3866" spans="1:9" x14ac:dyDescent="0.3">
      <c r="A3866" t="s">
        <v>3</v>
      </c>
      <c r="B3866">
        <v>2018</v>
      </c>
      <c r="C3866" t="s">
        <v>12</v>
      </c>
      <c r="D3866">
        <v>795.69</v>
      </c>
      <c r="E3866">
        <v>664.48</v>
      </c>
      <c r="F3866">
        <v>102.64</v>
      </c>
      <c r="G3866">
        <v>641.08000000000004</v>
      </c>
      <c r="H3866">
        <f>E3866*1000000/D3866</f>
        <v>835099.09638175671</v>
      </c>
      <c r="I3866" t="str">
        <f>IF(AND(B3866&gt;=2018, B3866&lt;=2021), "2018-2021", IF(AND(B3866&gt;=2022, B3866&lt;=2024), "2022-2024", "Other"))</f>
        <v>2018-2021</v>
      </c>
    </row>
    <row r="3867" spans="1:9" x14ac:dyDescent="0.3">
      <c r="A3867" t="s">
        <v>22</v>
      </c>
      <c r="B3867">
        <v>2019</v>
      </c>
      <c r="C3867" t="s">
        <v>9</v>
      </c>
      <c r="D3867">
        <v>31775.63</v>
      </c>
      <c r="E3867">
        <v>26989.29</v>
      </c>
      <c r="F3867">
        <v>135.5</v>
      </c>
      <c r="G3867">
        <v>946.01</v>
      </c>
      <c r="H3867">
        <f>E3867*1000000/D3867</f>
        <v>849370.72844818491</v>
      </c>
      <c r="I3867" t="str">
        <f>IF(AND(B3867&gt;=2018, B3867&lt;=2021), "2018-2021", IF(AND(B3867&gt;=2022, B3867&lt;=2024), "2022-2024", "Other"))</f>
        <v>2018-2021</v>
      </c>
    </row>
    <row r="3868" spans="1:9" x14ac:dyDescent="0.3">
      <c r="A3868" t="s">
        <v>1</v>
      </c>
      <c r="B3868">
        <v>2018</v>
      </c>
      <c r="C3868" t="s">
        <v>12</v>
      </c>
      <c r="D3868">
        <v>6399.99</v>
      </c>
      <c r="E3868">
        <v>5880.84</v>
      </c>
      <c r="F3868">
        <v>155.86000000000001</v>
      </c>
      <c r="G3868">
        <v>303.67</v>
      </c>
      <c r="H3868">
        <f>E3868*1000000/D3868</f>
        <v>918882.68575419649</v>
      </c>
      <c r="I3868" t="str">
        <f>IF(AND(B3868&gt;=2018, B3868&lt;=2021), "2018-2021", IF(AND(B3868&gt;=2022, B3868&lt;=2024), "2022-2024", "Other"))</f>
        <v>2018-2021</v>
      </c>
    </row>
    <row r="3869" spans="1:9" x14ac:dyDescent="0.3">
      <c r="A3869" t="s">
        <v>23</v>
      </c>
      <c r="B3869">
        <v>2024</v>
      </c>
      <c r="C3869" t="s">
        <v>4</v>
      </c>
      <c r="D3869">
        <v>3335.93</v>
      </c>
      <c r="E3869">
        <v>2697.39</v>
      </c>
      <c r="F3869">
        <v>173.1</v>
      </c>
      <c r="G3869">
        <v>1281.32</v>
      </c>
      <c r="H3869">
        <f>E3869*1000000/D3869</f>
        <v>808587.1106408108</v>
      </c>
      <c r="I3869" t="str">
        <f>IF(AND(B3869&gt;=2018, B3869&lt;=2021), "2018-2021", IF(AND(B3869&gt;=2022, B3869&lt;=2024), "2022-2024", "Other"))</f>
        <v>2022-2024</v>
      </c>
    </row>
    <row r="3870" spans="1:9" x14ac:dyDescent="0.3">
      <c r="A3870" t="s">
        <v>24</v>
      </c>
      <c r="B3870">
        <v>2021</v>
      </c>
      <c r="C3870" t="s">
        <v>4</v>
      </c>
      <c r="D3870">
        <v>32269.61</v>
      </c>
      <c r="E3870">
        <v>32056</v>
      </c>
      <c r="F3870">
        <v>140.15</v>
      </c>
      <c r="G3870">
        <v>713.9</v>
      </c>
      <c r="H3870">
        <f>E3870*1000000/D3870</f>
        <v>993380.45919984777</v>
      </c>
      <c r="I3870" t="str">
        <f>IF(AND(B3870&gt;=2018, B3870&lt;=2021), "2018-2021", IF(AND(B3870&gt;=2022, B3870&lt;=2024), "2022-2024", "Other"))</f>
        <v>2018-2021</v>
      </c>
    </row>
    <row r="3871" spans="1:9" x14ac:dyDescent="0.3">
      <c r="A3871" t="s">
        <v>19</v>
      </c>
      <c r="B3871">
        <v>2023</v>
      </c>
      <c r="C3871" t="s">
        <v>6</v>
      </c>
      <c r="D3871">
        <v>40958.230000000003</v>
      </c>
      <c r="E3871">
        <v>45227.94</v>
      </c>
      <c r="F3871">
        <v>100.92</v>
      </c>
      <c r="G3871">
        <v>1256.74</v>
      </c>
      <c r="H3871">
        <f>E3871*1000000/D3871</f>
        <v>1104245.471545035</v>
      </c>
      <c r="I3871" t="str">
        <f>IF(AND(B3871&gt;=2018, B3871&lt;=2021), "2018-2021", IF(AND(B3871&gt;=2022, B3871&lt;=2024), "2022-2024", "Other"))</f>
        <v>2022-2024</v>
      </c>
    </row>
    <row r="3872" spans="1:9" x14ac:dyDescent="0.3">
      <c r="A3872" t="s">
        <v>3</v>
      </c>
      <c r="B3872">
        <v>2018</v>
      </c>
      <c r="C3872" t="s">
        <v>2</v>
      </c>
      <c r="D3872">
        <v>31405.75</v>
      </c>
      <c r="E3872">
        <v>33856.31</v>
      </c>
      <c r="F3872">
        <v>194.86</v>
      </c>
      <c r="G3872">
        <v>1232.83</v>
      </c>
      <c r="H3872">
        <f>E3872*1000000/D3872</f>
        <v>1078029.0233476353</v>
      </c>
      <c r="I3872" t="str">
        <f>IF(AND(B3872&gt;=2018, B3872&lt;=2021), "2018-2021", IF(AND(B3872&gt;=2022, B3872&lt;=2024), "2022-2024", "Other"))</f>
        <v>2018-2021</v>
      </c>
    </row>
    <row r="3873" spans="1:9" x14ac:dyDescent="0.3">
      <c r="A3873" t="s">
        <v>21</v>
      </c>
      <c r="B3873">
        <v>2018</v>
      </c>
      <c r="C3873" t="s">
        <v>8</v>
      </c>
      <c r="D3873">
        <v>22509.21</v>
      </c>
      <c r="E3873">
        <v>23765.56</v>
      </c>
      <c r="F3873">
        <v>158.37</v>
      </c>
      <c r="G3873">
        <v>751.04</v>
      </c>
      <c r="H3873">
        <f>E3873*1000000/D3873</f>
        <v>1055814.9308660766</v>
      </c>
      <c r="I3873" t="str">
        <f>IF(AND(B3873&gt;=2018, B3873&lt;=2021), "2018-2021", IF(AND(B3873&gt;=2022, B3873&lt;=2024), "2022-2024", "Other"))</f>
        <v>2018-2021</v>
      </c>
    </row>
    <row r="3874" spans="1:9" x14ac:dyDescent="0.3">
      <c r="A3874" t="s">
        <v>19</v>
      </c>
      <c r="B3874">
        <v>2024</v>
      </c>
      <c r="C3874" t="s">
        <v>0</v>
      </c>
      <c r="D3874">
        <v>15633.24</v>
      </c>
      <c r="E3874">
        <v>15697.13</v>
      </c>
      <c r="F3874">
        <v>139.15</v>
      </c>
      <c r="G3874">
        <v>1330.71</v>
      </c>
      <c r="H3874">
        <f>E3874*1000000/D3874</f>
        <v>1004086.8047826298</v>
      </c>
      <c r="I3874" t="str">
        <f>IF(AND(B3874&gt;=2018, B3874&lt;=2021), "2018-2021", IF(AND(B3874&gt;=2022, B3874&lt;=2024), "2022-2024", "Other"))</f>
        <v>2022-2024</v>
      </c>
    </row>
    <row r="3875" spans="1:9" x14ac:dyDescent="0.3">
      <c r="A3875" t="s">
        <v>20</v>
      </c>
      <c r="B3875">
        <v>2021</v>
      </c>
      <c r="C3875" t="s">
        <v>14</v>
      </c>
      <c r="D3875">
        <v>47920.72</v>
      </c>
      <c r="E3875">
        <v>53947.82</v>
      </c>
      <c r="F3875">
        <v>158.76</v>
      </c>
      <c r="G3875">
        <v>50.5</v>
      </c>
      <c r="H3875">
        <f>E3875*1000000/D3875</f>
        <v>1125772.3172773698</v>
      </c>
      <c r="I3875" t="str">
        <f>IF(AND(B3875&gt;=2018, B3875&lt;=2021), "2018-2021", IF(AND(B3875&gt;=2022, B3875&lt;=2024), "2022-2024", "Other"))</f>
        <v>2018-2021</v>
      </c>
    </row>
    <row r="3876" spans="1:9" x14ac:dyDescent="0.3">
      <c r="A3876" t="s">
        <v>3</v>
      </c>
      <c r="B3876">
        <v>2018</v>
      </c>
      <c r="C3876" t="s">
        <v>4</v>
      </c>
      <c r="D3876">
        <v>19895.96</v>
      </c>
      <c r="E3876">
        <v>19570.189999999999</v>
      </c>
      <c r="F3876">
        <v>112.61</v>
      </c>
      <c r="G3876">
        <v>1041.5899999999999</v>
      </c>
      <c r="H3876">
        <f>E3876*1000000/D3876</f>
        <v>983626.32413816673</v>
      </c>
      <c r="I3876" t="str">
        <f>IF(AND(B3876&gt;=2018, B3876&lt;=2021), "2018-2021", IF(AND(B3876&gt;=2022, B3876&lt;=2024), "2022-2024", "Other"))</f>
        <v>2018-2021</v>
      </c>
    </row>
    <row r="3877" spans="1:9" x14ac:dyDescent="0.3">
      <c r="A3877" t="s">
        <v>19</v>
      </c>
      <c r="B3877">
        <v>2019</v>
      </c>
      <c r="C3877" t="s">
        <v>2</v>
      </c>
      <c r="D3877">
        <v>5947.99</v>
      </c>
      <c r="E3877">
        <v>5770.54</v>
      </c>
      <c r="F3877">
        <v>123.6</v>
      </c>
      <c r="G3877">
        <v>360.17</v>
      </c>
      <c r="H3877">
        <f>E3877*1000000/D3877</f>
        <v>970166.39234430459</v>
      </c>
      <c r="I3877" t="str">
        <f>IF(AND(B3877&gt;=2018, B3877&lt;=2021), "2018-2021", IF(AND(B3877&gt;=2022, B3877&lt;=2024), "2022-2024", "Other"))</f>
        <v>2018-2021</v>
      </c>
    </row>
    <row r="3878" spans="1:9" x14ac:dyDescent="0.3">
      <c r="A3878" t="s">
        <v>15</v>
      </c>
      <c r="B3878">
        <v>2024</v>
      </c>
      <c r="C3878" t="s">
        <v>6</v>
      </c>
      <c r="D3878">
        <v>34319.79</v>
      </c>
      <c r="E3878">
        <v>34261.08</v>
      </c>
      <c r="F3878">
        <v>197.79</v>
      </c>
      <c r="G3878">
        <v>732.93</v>
      </c>
      <c r="H3878">
        <f>E3878*1000000/D3878</f>
        <v>998289.32519691985</v>
      </c>
      <c r="I3878" t="str">
        <f>IF(AND(B3878&gt;=2018, B3878&lt;=2021), "2018-2021", IF(AND(B3878&gt;=2022, B3878&lt;=2024), "2022-2024", "Other"))</f>
        <v>2022-2024</v>
      </c>
    </row>
    <row r="3879" spans="1:9" x14ac:dyDescent="0.3">
      <c r="A3879" t="s">
        <v>10</v>
      </c>
      <c r="B3879">
        <v>2022</v>
      </c>
      <c r="C3879" t="s">
        <v>6</v>
      </c>
      <c r="D3879">
        <v>1364.29</v>
      </c>
      <c r="E3879">
        <v>1239.2</v>
      </c>
      <c r="F3879">
        <v>178.83</v>
      </c>
      <c r="G3879">
        <v>1203.27</v>
      </c>
      <c r="H3879">
        <f>E3879*1000000/D3879</f>
        <v>908311.28279178182</v>
      </c>
      <c r="I3879" t="str">
        <f>IF(AND(B3879&gt;=2018, B3879&lt;=2021), "2018-2021", IF(AND(B3879&gt;=2022, B3879&lt;=2024), "2022-2024", "Other"))</f>
        <v>2022-2024</v>
      </c>
    </row>
    <row r="3880" spans="1:9" x14ac:dyDescent="0.3">
      <c r="A3880" t="s">
        <v>16</v>
      </c>
      <c r="B3880">
        <v>2021</v>
      </c>
      <c r="C3880" t="s">
        <v>2</v>
      </c>
      <c r="D3880">
        <v>4771.68</v>
      </c>
      <c r="E3880">
        <v>5399.86</v>
      </c>
      <c r="F3880">
        <v>124.81</v>
      </c>
      <c r="G3880">
        <v>490.67</v>
      </c>
      <c r="H3880">
        <f>E3880*1000000/D3880</f>
        <v>1131647.5539013513</v>
      </c>
      <c r="I3880" t="str">
        <f>IF(AND(B3880&gt;=2018, B3880&lt;=2021), "2018-2021", IF(AND(B3880&gt;=2022, B3880&lt;=2024), "2022-2024", "Other"))</f>
        <v>2018-2021</v>
      </c>
    </row>
    <row r="3881" spans="1:9" x14ac:dyDescent="0.3">
      <c r="A3881" t="s">
        <v>7</v>
      </c>
      <c r="B3881">
        <v>2020</v>
      </c>
      <c r="C3881" t="s">
        <v>2</v>
      </c>
      <c r="D3881">
        <v>11831.38</v>
      </c>
      <c r="E3881">
        <v>9645.14</v>
      </c>
      <c r="F3881">
        <v>171.29</v>
      </c>
      <c r="G3881">
        <v>932.96</v>
      </c>
      <c r="H3881">
        <f>E3881*1000000/D3881</f>
        <v>815216.82170634368</v>
      </c>
      <c r="I3881" t="str">
        <f>IF(AND(B3881&gt;=2018, B3881&lt;=2021), "2018-2021", IF(AND(B3881&gt;=2022, B3881&lt;=2024), "2022-2024", "Other"))</f>
        <v>2018-2021</v>
      </c>
    </row>
    <row r="3882" spans="1:9" x14ac:dyDescent="0.3">
      <c r="A3882" t="s">
        <v>16</v>
      </c>
      <c r="B3882">
        <v>2020</v>
      </c>
      <c r="C3882" t="s">
        <v>0</v>
      </c>
      <c r="D3882">
        <v>20053.87</v>
      </c>
      <c r="E3882">
        <v>20908.91</v>
      </c>
      <c r="F3882">
        <v>146.93</v>
      </c>
      <c r="G3882">
        <v>1028.94</v>
      </c>
      <c r="H3882">
        <f>E3882*1000000/D3882</f>
        <v>1042637.1568181105</v>
      </c>
      <c r="I3882" t="str">
        <f>IF(AND(B3882&gt;=2018, B3882&lt;=2021), "2018-2021", IF(AND(B3882&gt;=2022, B3882&lt;=2024), "2022-2024", "Other"))</f>
        <v>2018-2021</v>
      </c>
    </row>
    <row r="3883" spans="1:9" x14ac:dyDescent="0.3">
      <c r="A3883" t="s">
        <v>3</v>
      </c>
      <c r="B3883">
        <v>2020</v>
      </c>
      <c r="C3883" t="s">
        <v>14</v>
      </c>
      <c r="D3883">
        <v>24922.81</v>
      </c>
      <c r="E3883">
        <v>22753</v>
      </c>
      <c r="F3883">
        <v>24.48</v>
      </c>
      <c r="G3883">
        <v>367.27</v>
      </c>
      <c r="H3883">
        <f>E3883*1000000/D3883</f>
        <v>912938.78980740928</v>
      </c>
      <c r="I3883" t="str">
        <f>IF(AND(B3883&gt;=2018, B3883&lt;=2021), "2018-2021", IF(AND(B3883&gt;=2022, B3883&lt;=2024), "2022-2024", "Other"))</f>
        <v>2018-2021</v>
      </c>
    </row>
    <row r="3884" spans="1:9" x14ac:dyDescent="0.3">
      <c r="A3884" t="s">
        <v>10</v>
      </c>
      <c r="B3884">
        <v>2019</v>
      </c>
      <c r="C3884" t="s">
        <v>6</v>
      </c>
      <c r="D3884">
        <v>24926.49</v>
      </c>
      <c r="E3884">
        <v>23777.4</v>
      </c>
      <c r="F3884">
        <v>75.55</v>
      </c>
      <c r="G3884">
        <v>23.06</v>
      </c>
      <c r="H3884">
        <f>E3884*1000000/D3884</f>
        <v>953900.85005951498</v>
      </c>
      <c r="I3884" t="str">
        <f>IF(AND(B3884&gt;=2018, B3884&lt;=2021), "2018-2021", IF(AND(B3884&gt;=2022, B3884&lt;=2024), "2022-2024", "Other"))</f>
        <v>2018-2021</v>
      </c>
    </row>
    <row r="3885" spans="1:9" x14ac:dyDescent="0.3">
      <c r="A3885" t="s">
        <v>3</v>
      </c>
      <c r="B3885">
        <v>2024</v>
      </c>
      <c r="C3885" t="s">
        <v>12</v>
      </c>
      <c r="D3885">
        <v>48288.75</v>
      </c>
      <c r="E3885">
        <v>47935.55</v>
      </c>
      <c r="F3885">
        <v>125.12</v>
      </c>
      <c r="G3885">
        <v>216.45</v>
      </c>
      <c r="H3885">
        <f>E3885*1000000/D3885</f>
        <v>992685.6669514121</v>
      </c>
      <c r="I3885" t="str">
        <f>IF(AND(B3885&gt;=2018, B3885&lt;=2021), "2018-2021", IF(AND(B3885&gt;=2022, B3885&lt;=2024), "2022-2024", "Other"))</f>
        <v>2022-2024</v>
      </c>
    </row>
    <row r="3886" spans="1:9" x14ac:dyDescent="0.3">
      <c r="A3886" t="s">
        <v>25</v>
      </c>
      <c r="B3886">
        <v>2018</v>
      </c>
      <c r="C3886" t="s">
        <v>14</v>
      </c>
      <c r="D3886">
        <v>49713.02</v>
      </c>
      <c r="E3886">
        <v>49858.42</v>
      </c>
      <c r="F3886">
        <v>188.8</v>
      </c>
      <c r="G3886">
        <v>699.59</v>
      </c>
      <c r="H3886">
        <f>E3886*1000000/D3886</f>
        <v>1002924.7871080856</v>
      </c>
      <c r="I3886" t="str">
        <f>IF(AND(B3886&gt;=2018, B3886&lt;=2021), "2018-2021", IF(AND(B3886&gt;=2022, B3886&lt;=2024), "2022-2024", "Other"))</f>
        <v>2018-2021</v>
      </c>
    </row>
    <row r="3887" spans="1:9" x14ac:dyDescent="0.3">
      <c r="A3887" t="s">
        <v>13</v>
      </c>
      <c r="B3887">
        <v>2023</v>
      </c>
      <c r="C3887" t="s">
        <v>0</v>
      </c>
      <c r="D3887">
        <v>36776.949999999997</v>
      </c>
      <c r="E3887">
        <v>41808.370000000003</v>
      </c>
      <c r="F3887">
        <v>185.28</v>
      </c>
      <c r="G3887">
        <v>1335.68</v>
      </c>
      <c r="H3887">
        <f>E3887*1000000/D3887</f>
        <v>1136809.0611102879</v>
      </c>
      <c r="I3887" t="str">
        <f>IF(AND(B3887&gt;=2018, B3887&lt;=2021), "2018-2021", IF(AND(B3887&gt;=2022, B3887&lt;=2024), "2022-2024", "Other"))</f>
        <v>2022-2024</v>
      </c>
    </row>
    <row r="3888" spans="1:9" x14ac:dyDescent="0.3">
      <c r="A3888" t="s">
        <v>16</v>
      </c>
      <c r="B3888">
        <v>2020</v>
      </c>
      <c r="C3888" t="s">
        <v>14</v>
      </c>
      <c r="D3888">
        <v>10943.72</v>
      </c>
      <c r="E3888">
        <v>8850.35</v>
      </c>
      <c r="F3888">
        <v>151.32</v>
      </c>
      <c r="G3888">
        <v>911.76</v>
      </c>
      <c r="H3888">
        <f>E3888*1000000/D3888</f>
        <v>808714.95250243985</v>
      </c>
      <c r="I3888" t="str">
        <f>IF(AND(B3888&gt;=2018, B3888&lt;=2021), "2018-2021", IF(AND(B3888&gt;=2022, B3888&lt;=2024), "2022-2024", "Other"))</f>
        <v>2018-2021</v>
      </c>
    </row>
    <row r="3889" spans="1:9" x14ac:dyDescent="0.3">
      <c r="A3889" t="s">
        <v>7</v>
      </c>
      <c r="B3889">
        <v>2023</v>
      </c>
      <c r="C3889" t="s">
        <v>9</v>
      </c>
      <c r="D3889">
        <v>13011.74</v>
      </c>
      <c r="E3889">
        <v>14987.95</v>
      </c>
      <c r="F3889">
        <v>45.55</v>
      </c>
      <c r="G3889">
        <v>17.03</v>
      </c>
      <c r="H3889">
        <f>E3889*1000000/D3889</f>
        <v>1151878.9954302807</v>
      </c>
      <c r="I3889" t="str">
        <f>IF(AND(B3889&gt;=2018, B3889&lt;=2021), "2018-2021", IF(AND(B3889&gt;=2022, B3889&lt;=2024), "2022-2024", "Other"))</f>
        <v>2022-2024</v>
      </c>
    </row>
    <row r="3890" spans="1:9" x14ac:dyDescent="0.3">
      <c r="A3890" t="s">
        <v>16</v>
      </c>
      <c r="B3890">
        <v>2018</v>
      </c>
      <c r="C3890" t="s">
        <v>12</v>
      </c>
      <c r="D3890">
        <v>36987.300000000003</v>
      </c>
      <c r="E3890">
        <v>40094.57</v>
      </c>
      <c r="F3890">
        <v>162.66999999999999</v>
      </c>
      <c r="G3890">
        <v>585.44000000000005</v>
      </c>
      <c r="H3890">
        <f>E3890*1000000/D3890</f>
        <v>1084009.1058282165</v>
      </c>
      <c r="I3890" t="str">
        <f>IF(AND(B3890&gt;=2018, B3890&lt;=2021), "2018-2021", IF(AND(B3890&gt;=2022, B3890&lt;=2024), "2022-2024", "Other"))</f>
        <v>2018-2021</v>
      </c>
    </row>
    <row r="3891" spans="1:9" x14ac:dyDescent="0.3">
      <c r="A3891" t="s">
        <v>22</v>
      </c>
      <c r="B3891">
        <v>2018</v>
      </c>
      <c r="C3891" t="s">
        <v>6</v>
      </c>
      <c r="D3891">
        <v>20497.05</v>
      </c>
      <c r="E3891">
        <v>19769.05</v>
      </c>
      <c r="F3891">
        <v>155.32</v>
      </c>
      <c r="G3891">
        <v>52.89</v>
      </c>
      <c r="H3891">
        <f>E3891*1000000/D3891</f>
        <v>964482.6938510664</v>
      </c>
      <c r="I3891" t="str">
        <f>IF(AND(B3891&gt;=2018, B3891&lt;=2021), "2018-2021", IF(AND(B3891&gt;=2022, B3891&lt;=2024), "2022-2024", "Other"))</f>
        <v>2018-2021</v>
      </c>
    </row>
    <row r="3892" spans="1:9" x14ac:dyDescent="0.3">
      <c r="A3892" t="s">
        <v>1</v>
      </c>
      <c r="B3892">
        <v>2021</v>
      </c>
      <c r="C3892" t="s">
        <v>4</v>
      </c>
      <c r="D3892">
        <v>48643.3</v>
      </c>
      <c r="E3892">
        <v>45212.72</v>
      </c>
      <c r="F3892">
        <v>52.73</v>
      </c>
      <c r="G3892">
        <v>705.29</v>
      </c>
      <c r="H3892">
        <f>E3892*1000000/D3892</f>
        <v>929474.76836481073</v>
      </c>
      <c r="I3892" t="str">
        <f>IF(AND(B3892&gt;=2018, B3892&lt;=2021), "2018-2021", IF(AND(B3892&gt;=2022, B3892&lt;=2024), "2022-2024", "Other"))</f>
        <v>2018-2021</v>
      </c>
    </row>
    <row r="3893" spans="1:9" x14ac:dyDescent="0.3">
      <c r="A3893" t="s">
        <v>15</v>
      </c>
      <c r="B3893">
        <v>2020</v>
      </c>
      <c r="C3893" t="s">
        <v>0</v>
      </c>
      <c r="D3893">
        <v>27535.43</v>
      </c>
      <c r="E3893">
        <v>24000.35</v>
      </c>
      <c r="F3893">
        <v>47.86</v>
      </c>
      <c r="G3893">
        <v>1077.77</v>
      </c>
      <c r="H3893">
        <f>E3893*1000000/D3893</f>
        <v>871617.04030044202</v>
      </c>
      <c r="I3893" t="str">
        <f>IF(AND(B3893&gt;=2018, B3893&lt;=2021), "2018-2021", IF(AND(B3893&gt;=2022, B3893&lt;=2024), "2022-2024", "Other"))</f>
        <v>2018-2021</v>
      </c>
    </row>
    <row r="3894" spans="1:9" x14ac:dyDescent="0.3">
      <c r="A3894" t="s">
        <v>11</v>
      </c>
      <c r="B3894">
        <v>2020</v>
      </c>
      <c r="C3894" t="s">
        <v>14</v>
      </c>
      <c r="D3894">
        <v>41431.599999999999</v>
      </c>
      <c r="E3894">
        <v>41127.440000000002</v>
      </c>
      <c r="F3894">
        <v>158.86000000000001</v>
      </c>
      <c r="G3894">
        <v>822.12</v>
      </c>
      <c r="H3894">
        <f>E3894*1000000/D3894</f>
        <v>992658.74356771167</v>
      </c>
      <c r="I3894" t="str">
        <f>IF(AND(B3894&gt;=2018, B3894&lt;=2021), "2018-2021", IF(AND(B3894&gt;=2022, B3894&lt;=2024), "2022-2024", "Other"))</f>
        <v>2018-2021</v>
      </c>
    </row>
    <row r="3895" spans="1:9" x14ac:dyDescent="0.3">
      <c r="A3895" t="s">
        <v>25</v>
      </c>
      <c r="B3895">
        <v>2021</v>
      </c>
      <c r="C3895" t="s">
        <v>2</v>
      </c>
      <c r="D3895">
        <v>20351.560000000001</v>
      </c>
      <c r="E3895">
        <v>17289.669999999998</v>
      </c>
      <c r="F3895">
        <v>55.24</v>
      </c>
      <c r="G3895">
        <v>221.61</v>
      </c>
      <c r="H3895">
        <f>E3895*1000000/D3895</f>
        <v>849550.10819809383</v>
      </c>
      <c r="I3895" t="str">
        <f>IF(AND(B3895&gt;=2018, B3895&lt;=2021), "2018-2021", IF(AND(B3895&gt;=2022, B3895&lt;=2024), "2022-2024", "Other"))</f>
        <v>2018-2021</v>
      </c>
    </row>
    <row r="3896" spans="1:9" x14ac:dyDescent="0.3">
      <c r="A3896" t="s">
        <v>18</v>
      </c>
      <c r="B3896">
        <v>2024</v>
      </c>
      <c r="C3896" t="s">
        <v>0</v>
      </c>
      <c r="D3896">
        <v>10227.92</v>
      </c>
      <c r="E3896">
        <v>9614.77</v>
      </c>
      <c r="F3896">
        <v>52.35</v>
      </c>
      <c r="G3896">
        <v>108.07</v>
      </c>
      <c r="H3896">
        <f>E3896*1000000/D3896</f>
        <v>940051.34963902726</v>
      </c>
      <c r="I3896" t="str">
        <f>IF(AND(B3896&gt;=2018, B3896&lt;=2021), "2018-2021", IF(AND(B3896&gt;=2022, B3896&lt;=2024), "2022-2024", "Other"))</f>
        <v>2022-2024</v>
      </c>
    </row>
    <row r="3897" spans="1:9" x14ac:dyDescent="0.3">
      <c r="A3897" t="s">
        <v>16</v>
      </c>
      <c r="B3897">
        <v>2021</v>
      </c>
      <c r="C3897" t="s">
        <v>12</v>
      </c>
      <c r="D3897">
        <v>30808.240000000002</v>
      </c>
      <c r="E3897">
        <v>33062.57</v>
      </c>
      <c r="F3897">
        <v>196.29</v>
      </c>
      <c r="G3897">
        <v>687.61</v>
      </c>
      <c r="H3897">
        <f>E3897*1000000/D3897</f>
        <v>1073172.9563259699</v>
      </c>
      <c r="I3897" t="str">
        <f>IF(AND(B3897&gt;=2018, B3897&lt;=2021), "2018-2021", IF(AND(B3897&gt;=2022, B3897&lt;=2024), "2022-2024", "Other"))</f>
        <v>2018-2021</v>
      </c>
    </row>
    <row r="3898" spans="1:9" x14ac:dyDescent="0.3">
      <c r="A3898" t="s">
        <v>20</v>
      </c>
      <c r="B3898">
        <v>2019</v>
      </c>
      <c r="C3898" t="s">
        <v>12</v>
      </c>
      <c r="D3898">
        <v>3967.86</v>
      </c>
      <c r="E3898">
        <v>3362.37</v>
      </c>
      <c r="F3898">
        <v>84.92</v>
      </c>
      <c r="G3898">
        <v>725.91</v>
      </c>
      <c r="H3898">
        <f>E3898*1000000/D3898</f>
        <v>847401.37000801438</v>
      </c>
      <c r="I3898" t="str">
        <f>IF(AND(B3898&gt;=2018, B3898&lt;=2021), "2018-2021", IF(AND(B3898&gt;=2022, B3898&lt;=2024), "2022-2024", "Other"))</f>
        <v>2018-2021</v>
      </c>
    </row>
    <row r="3899" spans="1:9" x14ac:dyDescent="0.3">
      <c r="A3899" t="s">
        <v>21</v>
      </c>
      <c r="B3899">
        <v>2019</v>
      </c>
      <c r="C3899" t="s">
        <v>0</v>
      </c>
      <c r="D3899">
        <v>6650.92</v>
      </c>
      <c r="E3899">
        <v>7579.11</v>
      </c>
      <c r="F3899">
        <v>162.65</v>
      </c>
      <c r="G3899">
        <v>1084.1099999999999</v>
      </c>
      <c r="H3899">
        <f>E3899*1000000/D3899</f>
        <v>1139558.136317983</v>
      </c>
      <c r="I3899" t="str">
        <f>IF(AND(B3899&gt;=2018, B3899&lt;=2021), "2018-2021", IF(AND(B3899&gt;=2022, B3899&lt;=2024), "2022-2024", "Other"))</f>
        <v>2018-2021</v>
      </c>
    </row>
    <row r="3900" spans="1:9" x14ac:dyDescent="0.3">
      <c r="A3900" t="s">
        <v>20</v>
      </c>
      <c r="B3900">
        <v>2023</v>
      </c>
      <c r="C3900" t="s">
        <v>0</v>
      </c>
      <c r="D3900">
        <v>28724.78</v>
      </c>
      <c r="E3900">
        <v>29908.47</v>
      </c>
      <c r="F3900">
        <v>135.86000000000001</v>
      </c>
      <c r="G3900">
        <v>1383.32</v>
      </c>
      <c r="H3900">
        <f>E3900*1000000/D3900</f>
        <v>1041207.9744387947</v>
      </c>
      <c r="I3900" t="str">
        <f>IF(AND(B3900&gt;=2018, B3900&lt;=2021), "2018-2021", IF(AND(B3900&gt;=2022, B3900&lt;=2024), "2022-2024", "Other"))</f>
        <v>2022-2024</v>
      </c>
    </row>
    <row r="3901" spans="1:9" x14ac:dyDescent="0.3">
      <c r="A3901" t="s">
        <v>16</v>
      </c>
      <c r="B3901">
        <v>2024</v>
      </c>
      <c r="C3901" t="s">
        <v>12</v>
      </c>
      <c r="D3901">
        <v>39363.879999999997</v>
      </c>
      <c r="E3901">
        <v>38203.949999999997</v>
      </c>
      <c r="F3901">
        <v>55.09</v>
      </c>
      <c r="G3901">
        <v>322.55</v>
      </c>
      <c r="H3901">
        <f>E3901*1000000/D3901</f>
        <v>970533.13850159082</v>
      </c>
      <c r="I3901" t="str">
        <f>IF(AND(B3901&gt;=2018, B3901&lt;=2021), "2018-2021", IF(AND(B3901&gt;=2022, B3901&lt;=2024), "2022-2024", "Other"))</f>
        <v>2022-2024</v>
      </c>
    </row>
    <row r="3902" spans="1:9" x14ac:dyDescent="0.3">
      <c r="A3902" t="s">
        <v>25</v>
      </c>
      <c r="B3902">
        <v>2020</v>
      </c>
      <c r="C3902" t="s">
        <v>14</v>
      </c>
      <c r="D3902">
        <v>19867.48</v>
      </c>
      <c r="E3902">
        <v>20452.849999999999</v>
      </c>
      <c r="F3902">
        <v>33.93</v>
      </c>
      <c r="G3902">
        <v>679.12</v>
      </c>
      <c r="H3902">
        <f>E3902*1000000/D3902</f>
        <v>1029463.7266528015</v>
      </c>
      <c r="I3902" t="str">
        <f>IF(AND(B3902&gt;=2018, B3902&lt;=2021), "2018-2021", IF(AND(B3902&gt;=2022, B3902&lt;=2024), "2022-2024", "Other"))</f>
        <v>2018-2021</v>
      </c>
    </row>
    <row r="3903" spans="1:9" x14ac:dyDescent="0.3">
      <c r="A3903" t="s">
        <v>26</v>
      </c>
      <c r="B3903">
        <v>2024</v>
      </c>
      <c r="C3903" t="s">
        <v>0</v>
      </c>
      <c r="D3903">
        <v>19933.91</v>
      </c>
      <c r="E3903">
        <v>22347.45</v>
      </c>
      <c r="F3903">
        <v>165.12</v>
      </c>
      <c r="G3903">
        <v>1115.19</v>
      </c>
      <c r="H3903">
        <f>E3903*1000000/D3903</f>
        <v>1121077.0992745527</v>
      </c>
      <c r="I3903" t="str">
        <f>IF(AND(B3903&gt;=2018, B3903&lt;=2021), "2018-2021", IF(AND(B3903&gt;=2022, B3903&lt;=2024), "2022-2024", "Other"))</f>
        <v>2022-2024</v>
      </c>
    </row>
    <row r="3904" spans="1:9" x14ac:dyDescent="0.3">
      <c r="A3904" t="s">
        <v>21</v>
      </c>
      <c r="B3904">
        <v>2020</v>
      </c>
      <c r="C3904" t="s">
        <v>4</v>
      </c>
      <c r="D3904">
        <v>43793.47</v>
      </c>
      <c r="E3904">
        <v>47572.31</v>
      </c>
      <c r="F3904">
        <v>116.1</v>
      </c>
      <c r="G3904">
        <v>634.57000000000005</v>
      </c>
      <c r="H3904">
        <f>E3904*1000000/D3904</f>
        <v>1086287.7502056814</v>
      </c>
      <c r="I3904" t="str">
        <f>IF(AND(B3904&gt;=2018, B3904&lt;=2021), "2018-2021", IF(AND(B3904&gt;=2022, B3904&lt;=2024), "2022-2024", "Other"))</f>
        <v>2018-2021</v>
      </c>
    </row>
    <row r="3905" spans="1:9" x14ac:dyDescent="0.3">
      <c r="A3905" t="s">
        <v>26</v>
      </c>
      <c r="B3905">
        <v>2021</v>
      </c>
      <c r="C3905" t="s">
        <v>0</v>
      </c>
      <c r="D3905">
        <v>20784.189999999999</v>
      </c>
      <c r="E3905">
        <v>19901.18</v>
      </c>
      <c r="F3905">
        <v>83.5</v>
      </c>
      <c r="G3905">
        <v>1211.05</v>
      </c>
      <c r="H3905">
        <f>E3905*1000000/D3905</f>
        <v>957515.30369959096</v>
      </c>
      <c r="I3905" t="str">
        <f>IF(AND(B3905&gt;=2018, B3905&lt;=2021), "2018-2021", IF(AND(B3905&gt;=2022, B3905&lt;=2024), "2022-2024", "Other"))</f>
        <v>2018-2021</v>
      </c>
    </row>
    <row r="3906" spans="1:9" x14ac:dyDescent="0.3">
      <c r="A3906" t="s">
        <v>26</v>
      </c>
      <c r="B3906">
        <v>2021</v>
      </c>
      <c r="C3906" t="s">
        <v>0</v>
      </c>
      <c r="D3906">
        <v>20579.73</v>
      </c>
      <c r="E3906">
        <v>19232.59</v>
      </c>
      <c r="F3906">
        <v>60.09</v>
      </c>
      <c r="G3906">
        <v>1229.5</v>
      </c>
      <c r="H3906">
        <f>E3906*1000000/D3906</f>
        <v>934540.44343633275</v>
      </c>
      <c r="I3906" t="str">
        <f>IF(AND(B3906&gt;=2018, B3906&lt;=2021), "2018-2021", IF(AND(B3906&gt;=2022, B3906&lt;=2024), "2022-2024", "Other"))</f>
        <v>2018-2021</v>
      </c>
    </row>
    <row r="3907" spans="1:9" x14ac:dyDescent="0.3">
      <c r="A3907" t="s">
        <v>7</v>
      </c>
      <c r="B3907">
        <v>2020</v>
      </c>
      <c r="C3907" t="s">
        <v>12</v>
      </c>
      <c r="D3907">
        <v>13334.55</v>
      </c>
      <c r="E3907">
        <v>11011.2</v>
      </c>
      <c r="F3907">
        <v>75.05</v>
      </c>
      <c r="G3907">
        <v>1066.31</v>
      </c>
      <c r="H3907">
        <f>E3907*1000000/D3907</f>
        <v>825764.64897578105</v>
      </c>
      <c r="I3907" t="str">
        <f>IF(AND(B3907&gt;=2018, B3907&lt;=2021), "2018-2021", IF(AND(B3907&gt;=2022, B3907&lt;=2024), "2022-2024", "Other"))</f>
        <v>2018-2021</v>
      </c>
    </row>
    <row r="3908" spans="1:9" x14ac:dyDescent="0.3">
      <c r="A3908" t="s">
        <v>17</v>
      </c>
      <c r="B3908">
        <v>2018</v>
      </c>
      <c r="C3908" t="s">
        <v>12</v>
      </c>
      <c r="D3908">
        <v>43788.58</v>
      </c>
      <c r="E3908">
        <v>44877.77</v>
      </c>
      <c r="F3908">
        <v>199.83</v>
      </c>
      <c r="G3908">
        <v>1323.68</v>
      </c>
      <c r="H3908">
        <f>E3908*1000000/D3908</f>
        <v>1024873.8369684515</v>
      </c>
      <c r="I3908" t="str">
        <f>IF(AND(B3908&gt;=2018, B3908&lt;=2021), "2018-2021", IF(AND(B3908&gt;=2022, B3908&lt;=2024), "2022-2024", "Other"))</f>
        <v>2018-2021</v>
      </c>
    </row>
    <row r="3909" spans="1:9" x14ac:dyDescent="0.3">
      <c r="A3909" t="s">
        <v>15</v>
      </c>
      <c r="B3909">
        <v>2023</v>
      </c>
      <c r="C3909" t="s">
        <v>2</v>
      </c>
      <c r="D3909">
        <v>24881.93</v>
      </c>
      <c r="E3909">
        <v>22405.35</v>
      </c>
      <c r="F3909">
        <v>81.53</v>
      </c>
      <c r="G3909">
        <v>452.31</v>
      </c>
      <c r="H3909">
        <f>E3909*1000000/D3909</f>
        <v>900466.72424526548</v>
      </c>
      <c r="I3909" t="str">
        <f>IF(AND(B3909&gt;=2018, B3909&lt;=2021), "2018-2021", IF(AND(B3909&gt;=2022, B3909&lt;=2024), "2022-2024", "Other"))</f>
        <v>2022-2024</v>
      </c>
    </row>
    <row r="3910" spans="1:9" x14ac:dyDescent="0.3">
      <c r="A3910" t="s">
        <v>22</v>
      </c>
      <c r="B3910">
        <v>2020</v>
      </c>
      <c r="C3910" t="s">
        <v>9</v>
      </c>
      <c r="D3910">
        <v>48461.19</v>
      </c>
      <c r="E3910">
        <v>45557.47</v>
      </c>
      <c r="F3910">
        <v>178.87</v>
      </c>
      <c r="G3910">
        <v>1371.75</v>
      </c>
      <c r="H3910">
        <f>E3910*1000000/D3910</f>
        <v>940081.53741168964</v>
      </c>
      <c r="I3910" t="str">
        <f>IF(AND(B3910&gt;=2018, B3910&lt;=2021), "2018-2021", IF(AND(B3910&gt;=2022, B3910&lt;=2024), "2022-2024", "Other"))</f>
        <v>2018-2021</v>
      </c>
    </row>
    <row r="3911" spans="1:9" x14ac:dyDescent="0.3">
      <c r="A3911" t="s">
        <v>15</v>
      </c>
      <c r="B3911">
        <v>2020</v>
      </c>
      <c r="C3911" t="s">
        <v>6</v>
      </c>
      <c r="D3911">
        <v>4543.43</v>
      </c>
      <c r="E3911">
        <v>5199.2299999999996</v>
      </c>
      <c r="F3911">
        <v>155.38</v>
      </c>
      <c r="G3911">
        <v>679.69</v>
      </c>
      <c r="H3911">
        <f>E3911*1000000/D3911</f>
        <v>1144340.2891647939</v>
      </c>
      <c r="I3911" t="str">
        <f>IF(AND(B3911&gt;=2018, B3911&lt;=2021), "2018-2021", IF(AND(B3911&gt;=2022, B3911&lt;=2024), "2022-2024", "Other"))</f>
        <v>2018-2021</v>
      </c>
    </row>
    <row r="3912" spans="1:9" x14ac:dyDescent="0.3">
      <c r="A3912" t="s">
        <v>7</v>
      </c>
      <c r="B3912">
        <v>2019</v>
      </c>
      <c r="C3912" t="s">
        <v>0</v>
      </c>
      <c r="D3912">
        <v>7065.82</v>
      </c>
      <c r="E3912">
        <v>7319.01</v>
      </c>
      <c r="F3912">
        <v>154.68</v>
      </c>
      <c r="G3912">
        <v>23.43</v>
      </c>
      <c r="H3912">
        <f>E3912*1000000/D3912</f>
        <v>1035833.0667919647</v>
      </c>
      <c r="I3912" t="str">
        <f>IF(AND(B3912&gt;=2018, B3912&lt;=2021), "2018-2021", IF(AND(B3912&gt;=2022, B3912&lt;=2024), "2022-2024", "Other"))</f>
        <v>2018-2021</v>
      </c>
    </row>
    <row r="3913" spans="1:9" x14ac:dyDescent="0.3">
      <c r="A3913" t="s">
        <v>10</v>
      </c>
      <c r="B3913">
        <v>2020</v>
      </c>
      <c r="C3913" t="s">
        <v>12</v>
      </c>
      <c r="D3913">
        <v>48896.07</v>
      </c>
      <c r="E3913">
        <v>42855.11</v>
      </c>
      <c r="F3913">
        <v>75.11</v>
      </c>
      <c r="G3913">
        <v>483.41</v>
      </c>
      <c r="H3913">
        <f>E3913*1000000/D3913</f>
        <v>876453.05645218526</v>
      </c>
      <c r="I3913" t="str">
        <f>IF(AND(B3913&gt;=2018, B3913&lt;=2021), "2018-2021", IF(AND(B3913&gt;=2022, B3913&lt;=2024), "2022-2024", "Other"))</f>
        <v>2018-2021</v>
      </c>
    </row>
    <row r="3914" spans="1:9" x14ac:dyDescent="0.3">
      <c r="A3914" t="s">
        <v>15</v>
      </c>
      <c r="B3914">
        <v>2021</v>
      </c>
      <c r="C3914" t="s">
        <v>0</v>
      </c>
      <c r="D3914">
        <v>4246.78</v>
      </c>
      <c r="E3914">
        <v>3554.71</v>
      </c>
      <c r="F3914">
        <v>40.909999999999997</v>
      </c>
      <c r="G3914">
        <v>1117.56</v>
      </c>
      <c r="H3914">
        <f>E3914*1000000/D3914</f>
        <v>837036.53120717348</v>
      </c>
      <c r="I3914" t="str">
        <f>IF(AND(B3914&gt;=2018, B3914&lt;=2021), "2018-2021", IF(AND(B3914&gt;=2022, B3914&lt;=2024), "2022-2024", "Other"))</f>
        <v>2018-2021</v>
      </c>
    </row>
    <row r="3915" spans="1:9" x14ac:dyDescent="0.3">
      <c r="A3915" t="s">
        <v>13</v>
      </c>
      <c r="B3915">
        <v>2024</v>
      </c>
      <c r="C3915" t="s">
        <v>4</v>
      </c>
      <c r="D3915">
        <v>23485.33</v>
      </c>
      <c r="E3915">
        <v>26696.48</v>
      </c>
      <c r="F3915">
        <v>111.9</v>
      </c>
      <c r="G3915">
        <v>627.04</v>
      </c>
      <c r="H3915">
        <f>E3915*1000000/D3915</f>
        <v>1136730.0353028891</v>
      </c>
      <c r="I3915" t="str">
        <f>IF(AND(B3915&gt;=2018, B3915&lt;=2021), "2018-2021", IF(AND(B3915&gt;=2022, B3915&lt;=2024), "2022-2024", "Other"))</f>
        <v>2022-2024</v>
      </c>
    </row>
    <row r="3916" spans="1:9" x14ac:dyDescent="0.3">
      <c r="A3916" t="s">
        <v>5</v>
      </c>
      <c r="B3916">
        <v>2018</v>
      </c>
      <c r="C3916" t="s">
        <v>14</v>
      </c>
      <c r="D3916">
        <v>21886.53</v>
      </c>
      <c r="E3916">
        <v>21929.06</v>
      </c>
      <c r="F3916">
        <v>54.64</v>
      </c>
      <c r="G3916">
        <v>981.93</v>
      </c>
      <c r="H3916">
        <f>E3916*1000000/D3916</f>
        <v>1001943.204336183</v>
      </c>
      <c r="I3916" t="str">
        <f>IF(AND(B3916&gt;=2018, B3916&lt;=2021), "2018-2021", IF(AND(B3916&gt;=2022, B3916&lt;=2024), "2022-2024", "Other"))</f>
        <v>2018-2021</v>
      </c>
    </row>
    <row r="3917" spans="1:9" x14ac:dyDescent="0.3">
      <c r="A3917" t="s">
        <v>23</v>
      </c>
      <c r="B3917">
        <v>2023</v>
      </c>
      <c r="C3917" t="s">
        <v>6</v>
      </c>
      <c r="D3917">
        <v>13772.37</v>
      </c>
      <c r="E3917">
        <v>12965.94</v>
      </c>
      <c r="F3917">
        <v>199.4</v>
      </c>
      <c r="G3917">
        <v>1243.6500000000001</v>
      </c>
      <c r="H3917">
        <f>E3917*1000000/D3917</f>
        <v>941445.80780214292</v>
      </c>
      <c r="I3917" t="str">
        <f>IF(AND(B3917&gt;=2018, B3917&lt;=2021), "2018-2021", IF(AND(B3917&gt;=2022, B3917&lt;=2024), "2022-2024", "Other"))</f>
        <v>2022-2024</v>
      </c>
    </row>
    <row r="3918" spans="1:9" x14ac:dyDescent="0.3">
      <c r="A3918" t="s">
        <v>3</v>
      </c>
      <c r="B3918">
        <v>2022</v>
      </c>
      <c r="C3918" t="s">
        <v>14</v>
      </c>
      <c r="D3918">
        <v>4506.0200000000004</v>
      </c>
      <c r="E3918">
        <v>4669.49</v>
      </c>
      <c r="F3918">
        <v>48.83</v>
      </c>
      <c r="G3918">
        <v>810.54</v>
      </c>
      <c r="H3918">
        <f>E3918*1000000/D3918</f>
        <v>1036278.1345844003</v>
      </c>
      <c r="I3918" t="str">
        <f>IF(AND(B3918&gt;=2018, B3918&lt;=2021), "2018-2021", IF(AND(B3918&gt;=2022, B3918&lt;=2024), "2022-2024", "Other"))</f>
        <v>2022-2024</v>
      </c>
    </row>
    <row r="3919" spans="1:9" x14ac:dyDescent="0.3">
      <c r="A3919" t="s">
        <v>22</v>
      </c>
      <c r="B3919">
        <v>2024</v>
      </c>
      <c r="C3919" t="s">
        <v>8</v>
      </c>
      <c r="D3919">
        <v>26605.16</v>
      </c>
      <c r="E3919">
        <v>28734.29</v>
      </c>
      <c r="F3919">
        <v>194.42</v>
      </c>
      <c r="G3919">
        <v>998.99</v>
      </c>
      <c r="H3919">
        <f>E3919*1000000/D3919</f>
        <v>1080026.9571767282</v>
      </c>
      <c r="I3919" t="str">
        <f>IF(AND(B3919&gt;=2018, B3919&lt;=2021), "2018-2021", IF(AND(B3919&gt;=2022, B3919&lt;=2024), "2022-2024", "Other"))</f>
        <v>2022-2024</v>
      </c>
    </row>
    <row r="3920" spans="1:9" x14ac:dyDescent="0.3">
      <c r="A3920" t="s">
        <v>15</v>
      </c>
      <c r="B3920">
        <v>2019</v>
      </c>
      <c r="C3920" t="s">
        <v>2</v>
      </c>
      <c r="D3920">
        <v>17980.73</v>
      </c>
      <c r="E3920">
        <v>16578.14</v>
      </c>
      <c r="F3920">
        <v>135.54</v>
      </c>
      <c r="G3920">
        <v>172.14</v>
      </c>
      <c r="H3920">
        <f>E3920*1000000/D3920</f>
        <v>921994.82445929619</v>
      </c>
      <c r="I3920" t="str">
        <f>IF(AND(B3920&gt;=2018, B3920&lt;=2021), "2018-2021", IF(AND(B3920&gt;=2022, B3920&lt;=2024), "2022-2024", "Other"))</f>
        <v>2018-2021</v>
      </c>
    </row>
    <row r="3921" spans="1:9" x14ac:dyDescent="0.3">
      <c r="A3921" t="s">
        <v>11</v>
      </c>
      <c r="B3921">
        <v>2019</v>
      </c>
      <c r="C3921" t="s">
        <v>4</v>
      </c>
      <c r="D3921">
        <v>37791.64</v>
      </c>
      <c r="E3921">
        <v>36116.120000000003</v>
      </c>
      <c r="F3921">
        <v>180.14</v>
      </c>
      <c r="G3921">
        <v>847.39</v>
      </c>
      <c r="H3921">
        <f>E3921*1000000/D3921</f>
        <v>955664.2686054376</v>
      </c>
      <c r="I3921" t="str">
        <f>IF(AND(B3921&gt;=2018, B3921&lt;=2021), "2018-2021", IF(AND(B3921&gt;=2022, B3921&lt;=2024), "2022-2024", "Other"))</f>
        <v>2018-2021</v>
      </c>
    </row>
    <row r="3922" spans="1:9" x14ac:dyDescent="0.3">
      <c r="A3922" t="s">
        <v>5</v>
      </c>
      <c r="B3922">
        <v>2021</v>
      </c>
      <c r="C3922" t="s">
        <v>8</v>
      </c>
      <c r="D3922">
        <v>32634.06</v>
      </c>
      <c r="E3922">
        <v>30546.05</v>
      </c>
      <c r="F3922">
        <v>122.05</v>
      </c>
      <c r="G3922">
        <v>1083.2</v>
      </c>
      <c r="H3922">
        <f>E3922*1000000/D3922</f>
        <v>936017.46151107154</v>
      </c>
      <c r="I3922" t="str">
        <f>IF(AND(B3922&gt;=2018, B3922&lt;=2021), "2018-2021", IF(AND(B3922&gt;=2022, B3922&lt;=2024), "2022-2024", "Other"))</f>
        <v>2018-2021</v>
      </c>
    </row>
    <row r="3923" spans="1:9" x14ac:dyDescent="0.3">
      <c r="A3923" t="s">
        <v>21</v>
      </c>
      <c r="B3923">
        <v>2019</v>
      </c>
      <c r="C3923" t="s">
        <v>2</v>
      </c>
      <c r="D3923">
        <v>9291.4</v>
      </c>
      <c r="E3923">
        <v>7800.49</v>
      </c>
      <c r="F3923">
        <v>158.26</v>
      </c>
      <c r="G3923">
        <v>201.86</v>
      </c>
      <c r="H3923">
        <f>E3923*1000000/D3923</f>
        <v>839538.71321867534</v>
      </c>
      <c r="I3923" t="str">
        <f>IF(AND(B3923&gt;=2018, B3923&lt;=2021), "2018-2021", IF(AND(B3923&gt;=2022, B3923&lt;=2024), "2022-2024", "Other"))</f>
        <v>2018-2021</v>
      </c>
    </row>
    <row r="3924" spans="1:9" x14ac:dyDescent="0.3">
      <c r="A3924" t="s">
        <v>16</v>
      </c>
      <c r="B3924">
        <v>2023</v>
      </c>
      <c r="C3924" t="s">
        <v>14</v>
      </c>
      <c r="D3924">
        <v>2591.2800000000002</v>
      </c>
      <c r="E3924">
        <v>2539.4499999999998</v>
      </c>
      <c r="F3924">
        <v>184.37</v>
      </c>
      <c r="G3924">
        <v>894.26</v>
      </c>
      <c r="H3924">
        <f>E3924*1000000/D3924</f>
        <v>979998.30199746834</v>
      </c>
      <c r="I3924" t="str">
        <f>IF(AND(B3924&gt;=2018, B3924&lt;=2021), "2018-2021", IF(AND(B3924&gt;=2022, B3924&lt;=2024), "2022-2024", "Other"))</f>
        <v>2022-2024</v>
      </c>
    </row>
    <row r="3925" spans="1:9" x14ac:dyDescent="0.3">
      <c r="A3925" t="s">
        <v>19</v>
      </c>
      <c r="B3925">
        <v>2019</v>
      </c>
      <c r="C3925" t="s">
        <v>4</v>
      </c>
      <c r="D3925">
        <v>44477.26</v>
      </c>
      <c r="E3925">
        <v>37883.599999999999</v>
      </c>
      <c r="F3925">
        <v>115.17</v>
      </c>
      <c r="G3925">
        <v>481.86</v>
      </c>
      <c r="H3925">
        <f>E3925*1000000/D3925</f>
        <v>851752.10883044498</v>
      </c>
      <c r="I3925" t="str">
        <f>IF(AND(B3925&gt;=2018, B3925&lt;=2021), "2018-2021", IF(AND(B3925&gt;=2022, B3925&lt;=2024), "2022-2024", "Other"))</f>
        <v>2018-2021</v>
      </c>
    </row>
    <row r="3926" spans="1:9" x14ac:dyDescent="0.3">
      <c r="A3926" t="s">
        <v>10</v>
      </c>
      <c r="B3926">
        <v>2020</v>
      </c>
      <c r="C3926" t="s">
        <v>2</v>
      </c>
      <c r="D3926">
        <v>47383.13</v>
      </c>
      <c r="E3926">
        <v>46675.03</v>
      </c>
      <c r="F3926">
        <v>87.78</v>
      </c>
      <c r="G3926">
        <v>292.83</v>
      </c>
      <c r="H3926">
        <f>E3926*1000000/D3926</f>
        <v>985055.86270894308</v>
      </c>
      <c r="I3926" t="str">
        <f>IF(AND(B3926&gt;=2018, B3926&lt;=2021), "2018-2021", IF(AND(B3926&gt;=2022, B3926&lt;=2024), "2022-2024", "Other"))</f>
        <v>2018-2021</v>
      </c>
    </row>
    <row r="3927" spans="1:9" x14ac:dyDescent="0.3">
      <c r="A3927" t="s">
        <v>15</v>
      </c>
      <c r="B3927">
        <v>2024</v>
      </c>
      <c r="C3927" t="s">
        <v>12</v>
      </c>
      <c r="D3927">
        <v>13107.39</v>
      </c>
      <c r="E3927">
        <v>14142.18</v>
      </c>
      <c r="F3927">
        <v>133.78</v>
      </c>
      <c r="G3927">
        <v>488.34</v>
      </c>
      <c r="H3927">
        <f>E3927*1000000/D3927</f>
        <v>1078947.0672651078</v>
      </c>
      <c r="I3927" t="str">
        <f>IF(AND(B3927&gt;=2018, B3927&lt;=2021), "2018-2021", IF(AND(B3927&gt;=2022, B3927&lt;=2024), "2022-2024", "Other"))</f>
        <v>2022-2024</v>
      </c>
    </row>
    <row r="3928" spans="1:9" x14ac:dyDescent="0.3">
      <c r="A3928" t="s">
        <v>22</v>
      </c>
      <c r="B3928">
        <v>2021</v>
      </c>
      <c r="C3928" t="s">
        <v>12</v>
      </c>
      <c r="D3928">
        <v>22876.31</v>
      </c>
      <c r="E3928">
        <v>18500.740000000002</v>
      </c>
      <c r="F3928">
        <v>122.13</v>
      </c>
      <c r="G3928">
        <v>1210.8900000000001</v>
      </c>
      <c r="H3928">
        <f>E3928*1000000/D3928</f>
        <v>808729.20501601871</v>
      </c>
      <c r="I3928" t="str">
        <f>IF(AND(B3928&gt;=2018, B3928&lt;=2021), "2018-2021", IF(AND(B3928&gt;=2022, B3928&lt;=2024), "2022-2024", "Other"))</f>
        <v>2018-2021</v>
      </c>
    </row>
    <row r="3929" spans="1:9" x14ac:dyDescent="0.3">
      <c r="A3929" t="s">
        <v>3</v>
      </c>
      <c r="B3929">
        <v>2024</v>
      </c>
      <c r="C3929" t="s">
        <v>4</v>
      </c>
      <c r="D3929">
        <v>24658.77</v>
      </c>
      <c r="E3929">
        <v>21150.240000000002</v>
      </c>
      <c r="F3929">
        <v>190.65</v>
      </c>
      <c r="G3929">
        <v>987.02</v>
      </c>
      <c r="H3929">
        <f>E3929*1000000/D3929</f>
        <v>857716.74742900801</v>
      </c>
      <c r="I3929" t="str">
        <f>IF(AND(B3929&gt;=2018, B3929&lt;=2021), "2018-2021", IF(AND(B3929&gt;=2022, B3929&lt;=2024), "2022-2024", "Other"))</f>
        <v>2022-2024</v>
      </c>
    </row>
    <row r="3930" spans="1:9" x14ac:dyDescent="0.3">
      <c r="A3930" t="s">
        <v>11</v>
      </c>
      <c r="B3930">
        <v>2021</v>
      </c>
      <c r="C3930" t="s">
        <v>4</v>
      </c>
      <c r="D3930">
        <v>47795.17</v>
      </c>
      <c r="E3930">
        <v>51508.42</v>
      </c>
      <c r="F3930">
        <v>23.8</v>
      </c>
      <c r="G3930">
        <v>1384.94</v>
      </c>
      <c r="H3930">
        <f>E3930*1000000/D3930</f>
        <v>1077690.9047504172</v>
      </c>
      <c r="I3930" t="str">
        <f>IF(AND(B3930&gt;=2018, B3930&lt;=2021), "2018-2021", IF(AND(B3930&gt;=2022, B3930&lt;=2024), "2022-2024", "Other"))</f>
        <v>2018-2021</v>
      </c>
    </row>
    <row r="3931" spans="1:9" x14ac:dyDescent="0.3">
      <c r="A3931" t="s">
        <v>11</v>
      </c>
      <c r="B3931">
        <v>2022</v>
      </c>
      <c r="C3931" t="s">
        <v>9</v>
      </c>
      <c r="D3931">
        <v>27412.14</v>
      </c>
      <c r="E3931">
        <v>24285.52</v>
      </c>
      <c r="F3931">
        <v>29.08</v>
      </c>
      <c r="G3931">
        <v>1032.17</v>
      </c>
      <c r="H3931">
        <f>E3931*1000000/D3931</f>
        <v>885940.31695445883</v>
      </c>
      <c r="I3931" t="str">
        <f>IF(AND(B3931&gt;=2018, B3931&lt;=2021), "2018-2021", IF(AND(B3931&gt;=2022, B3931&lt;=2024), "2022-2024", "Other"))</f>
        <v>2022-2024</v>
      </c>
    </row>
    <row r="3932" spans="1:9" x14ac:dyDescent="0.3">
      <c r="A3932" t="s">
        <v>22</v>
      </c>
      <c r="B3932">
        <v>2022</v>
      </c>
      <c r="C3932" t="s">
        <v>0</v>
      </c>
      <c r="D3932">
        <v>11754.6</v>
      </c>
      <c r="E3932">
        <v>13589.36</v>
      </c>
      <c r="F3932">
        <v>38.409999999999997</v>
      </c>
      <c r="G3932">
        <v>1325.99</v>
      </c>
      <c r="H3932">
        <f>E3932*1000000/D3932</f>
        <v>1156088.6801762714</v>
      </c>
      <c r="I3932" t="str">
        <f>IF(AND(B3932&gt;=2018, B3932&lt;=2021), "2018-2021", IF(AND(B3932&gt;=2022, B3932&lt;=2024), "2022-2024", "Other"))</f>
        <v>2022-2024</v>
      </c>
    </row>
    <row r="3933" spans="1:9" x14ac:dyDescent="0.3">
      <c r="A3933" t="s">
        <v>16</v>
      </c>
      <c r="B3933">
        <v>2024</v>
      </c>
      <c r="C3933" t="s">
        <v>9</v>
      </c>
      <c r="D3933">
        <v>25751.15</v>
      </c>
      <c r="E3933">
        <v>27543.65</v>
      </c>
      <c r="F3933">
        <v>82.04</v>
      </c>
      <c r="G3933">
        <v>169.01</v>
      </c>
      <c r="H3933">
        <f>E3933*1000000/D3933</f>
        <v>1069608.5417544458</v>
      </c>
      <c r="I3933" t="str">
        <f>IF(AND(B3933&gt;=2018, B3933&lt;=2021), "2018-2021", IF(AND(B3933&gt;=2022, B3933&lt;=2024), "2022-2024", "Other"))</f>
        <v>2022-2024</v>
      </c>
    </row>
    <row r="3934" spans="1:9" x14ac:dyDescent="0.3">
      <c r="A3934" t="s">
        <v>25</v>
      </c>
      <c r="B3934">
        <v>2020</v>
      </c>
      <c r="C3934" t="s">
        <v>8</v>
      </c>
      <c r="D3934">
        <v>38788.160000000003</v>
      </c>
      <c r="E3934">
        <v>38233.949999999997</v>
      </c>
      <c r="F3934">
        <v>171.57</v>
      </c>
      <c r="G3934">
        <v>933.35</v>
      </c>
      <c r="H3934">
        <f>E3934*1000000/D3934</f>
        <v>985711.87702639145</v>
      </c>
      <c r="I3934" t="str">
        <f>IF(AND(B3934&gt;=2018, B3934&lt;=2021), "2018-2021", IF(AND(B3934&gt;=2022, B3934&lt;=2024), "2022-2024", "Other"))</f>
        <v>2018-2021</v>
      </c>
    </row>
    <row r="3935" spans="1:9" x14ac:dyDescent="0.3">
      <c r="A3935" t="s">
        <v>3</v>
      </c>
      <c r="B3935">
        <v>2019</v>
      </c>
      <c r="C3935" t="s">
        <v>6</v>
      </c>
      <c r="D3935">
        <v>47213.66</v>
      </c>
      <c r="E3935">
        <v>41479.51</v>
      </c>
      <c r="F3935">
        <v>119.67</v>
      </c>
      <c r="G3935">
        <v>634.44000000000005</v>
      </c>
      <c r="H3935">
        <f>E3935*1000000/D3935</f>
        <v>878548.91995240352</v>
      </c>
      <c r="I3935" t="str">
        <f>IF(AND(B3935&gt;=2018, B3935&lt;=2021), "2018-2021", IF(AND(B3935&gt;=2022, B3935&lt;=2024), "2022-2024", "Other"))</f>
        <v>2018-2021</v>
      </c>
    </row>
    <row r="3936" spans="1:9" x14ac:dyDescent="0.3">
      <c r="A3936" t="s">
        <v>13</v>
      </c>
      <c r="B3936">
        <v>2022</v>
      </c>
      <c r="C3936" t="s">
        <v>0</v>
      </c>
      <c r="D3936">
        <v>34878.89</v>
      </c>
      <c r="E3936">
        <v>28723.34</v>
      </c>
      <c r="F3936">
        <v>109.99</v>
      </c>
      <c r="G3936">
        <v>1393.23</v>
      </c>
      <c r="H3936">
        <f>E3936*1000000/D3936</f>
        <v>823516.45938273845</v>
      </c>
      <c r="I3936" t="str">
        <f>IF(AND(B3936&gt;=2018, B3936&lt;=2021), "2018-2021", IF(AND(B3936&gt;=2022, B3936&lt;=2024), "2022-2024", "Other"))</f>
        <v>2022-2024</v>
      </c>
    </row>
    <row r="3937" spans="1:9" x14ac:dyDescent="0.3">
      <c r="A3937" t="s">
        <v>13</v>
      </c>
      <c r="B3937">
        <v>2018</v>
      </c>
      <c r="C3937" t="s">
        <v>9</v>
      </c>
      <c r="D3937">
        <v>14347.74</v>
      </c>
      <c r="E3937">
        <v>13176.64</v>
      </c>
      <c r="F3937">
        <v>81</v>
      </c>
      <c r="G3937">
        <v>97.11</v>
      </c>
      <c r="H3937">
        <f>E3937*1000000/D3937</f>
        <v>918377.38905221317</v>
      </c>
      <c r="I3937" t="str">
        <f>IF(AND(B3937&gt;=2018, B3937&lt;=2021), "2018-2021", IF(AND(B3937&gt;=2022, B3937&lt;=2024), "2022-2024", "Other"))</f>
        <v>2018-2021</v>
      </c>
    </row>
    <row r="3938" spans="1:9" x14ac:dyDescent="0.3">
      <c r="A3938" t="s">
        <v>22</v>
      </c>
      <c r="B3938">
        <v>2018</v>
      </c>
      <c r="C3938" t="s">
        <v>2</v>
      </c>
      <c r="D3938">
        <v>25357.01</v>
      </c>
      <c r="E3938">
        <v>29458.54</v>
      </c>
      <c r="F3938">
        <v>85.67</v>
      </c>
      <c r="G3938">
        <v>530.96</v>
      </c>
      <c r="H3938">
        <f>E3938*1000000/D3938</f>
        <v>1161751.3263590622</v>
      </c>
      <c r="I3938" t="str">
        <f>IF(AND(B3938&gt;=2018, B3938&lt;=2021), "2018-2021", IF(AND(B3938&gt;=2022, B3938&lt;=2024), "2022-2024", "Other"))</f>
        <v>2018-2021</v>
      </c>
    </row>
    <row r="3939" spans="1:9" x14ac:dyDescent="0.3">
      <c r="A3939" t="s">
        <v>23</v>
      </c>
      <c r="B3939">
        <v>2020</v>
      </c>
      <c r="C3939" t="s">
        <v>4</v>
      </c>
      <c r="D3939">
        <v>37724.449999999997</v>
      </c>
      <c r="E3939">
        <v>38936.199999999997</v>
      </c>
      <c r="F3939">
        <v>174.15</v>
      </c>
      <c r="G3939">
        <v>1320.3</v>
      </c>
      <c r="H3939">
        <f>E3939*1000000/D3939</f>
        <v>1032121.0779746292</v>
      </c>
      <c r="I3939" t="str">
        <f>IF(AND(B3939&gt;=2018, B3939&lt;=2021), "2018-2021", IF(AND(B3939&gt;=2022, B3939&lt;=2024), "2022-2024", "Other"))</f>
        <v>2018-2021</v>
      </c>
    </row>
    <row r="3940" spans="1:9" x14ac:dyDescent="0.3">
      <c r="A3940" t="s">
        <v>24</v>
      </c>
      <c r="B3940">
        <v>2024</v>
      </c>
      <c r="C3940" t="s">
        <v>6</v>
      </c>
      <c r="D3940">
        <v>25896.07</v>
      </c>
      <c r="E3940">
        <v>27820.57</v>
      </c>
      <c r="F3940">
        <v>62.31</v>
      </c>
      <c r="G3940">
        <v>913.57</v>
      </c>
      <c r="H3940">
        <f>E3940*1000000/D3940</f>
        <v>1074316.2958703772</v>
      </c>
      <c r="I3940" t="str">
        <f>IF(AND(B3940&gt;=2018, B3940&lt;=2021), "2018-2021", IF(AND(B3940&gt;=2022, B3940&lt;=2024), "2022-2024", "Other"))</f>
        <v>2022-2024</v>
      </c>
    </row>
    <row r="3941" spans="1:9" x14ac:dyDescent="0.3">
      <c r="A3941" t="s">
        <v>24</v>
      </c>
      <c r="B3941">
        <v>2024</v>
      </c>
      <c r="C3941" t="s">
        <v>9</v>
      </c>
      <c r="D3941">
        <v>16759.439999999999</v>
      </c>
      <c r="E3941">
        <v>14835.52</v>
      </c>
      <c r="F3941">
        <v>159.4</v>
      </c>
      <c r="G3941">
        <v>635.84</v>
      </c>
      <c r="H3941">
        <f>E3941*1000000/D3941</f>
        <v>885203.80155900202</v>
      </c>
      <c r="I3941" t="str">
        <f>IF(AND(B3941&gt;=2018, B3941&lt;=2021), "2018-2021", IF(AND(B3941&gt;=2022, B3941&lt;=2024), "2022-2024", "Other"))</f>
        <v>2022-2024</v>
      </c>
    </row>
    <row r="3942" spans="1:9" x14ac:dyDescent="0.3">
      <c r="A3942" t="s">
        <v>10</v>
      </c>
      <c r="B3942">
        <v>2018</v>
      </c>
      <c r="C3942" t="s">
        <v>12</v>
      </c>
      <c r="D3942">
        <v>45708.36</v>
      </c>
      <c r="E3942">
        <v>44083.59</v>
      </c>
      <c r="F3942">
        <v>26.57</v>
      </c>
      <c r="G3942">
        <v>799.74</v>
      </c>
      <c r="H3942">
        <f>E3942*1000000/D3942</f>
        <v>964453.54854122968</v>
      </c>
      <c r="I3942" t="str">
        <f>IF(AND(B3942&gt;=2018, B3942&lt;=2021), "2018-2021", IF(AND(B3942&gt;=2022, B3942&lt;=2024), "2022-2024", "Other"))</f>
        <v>2018-2021</v>
      </c>
    </row>
    <row r="3943" spans="1:9" x14ac:dyDescent="0.3">
      <c r="A3943" t="s">
        <v>26</v>
      </c>
      <c r="B3943">
        <v>2019</v>
      </c>
      <c r="C3943" t="s">
        <v>0</v>
      </c>
      <c r="D3943">
        <v>34128.57</v>
      </c>
      <c r="E3943">
        <v>28171.7</v>
      </c>
      <c r="F3943">
        <v>188.18</v>
      </c>
      <c r="G3943">
        <v>283.36</v>
      </c>
      <c r="H3943">
        <f>E3943*1000000/D3943</f>
        <v>825457.9667416478</v>
      </c>
      <c r="I3943" t="str">
        <f>IF(AND(B3943&gt;=2018, B3943&lt;=2021), "2018-2021", IF(AND(B3943&gt;=2022, B3943&lt;=2024), "2022-2024", "Other"))</f>
        <v>2018-2021</v>
      </c>
    </row>
    <row r="3944" spans="1:9" x14ac:dyDescent="0.3">
      <c r="A3944" t="s">
        <v>27</v>
      </c>
      <c r="B3944">
        <v>2018</v>
      </c>
      <c r="C3944" t="s">
        <v>8</v>
      </c>
      <c r="D3944">
        <v>36276.5</v>
      </c>
      <c r="E3944">
        <v>36781.35</v>
      </c>
      <c r="F3944">
        <v>195.05</v>
      </c>
      <c r="G3944">
        <v>287.95</v>
      </c>
      <c r="H3944">
        <f>E3944*1000000/D3944</f>
        <v>1013916.7229473626</v>
      </c>
      <c r="I3944" t="str">
        <f>IF(AND(B3944&gt;=2018, B3944&lt;=2021), "2018-2021", IF(AND(B3944&gt;=2022, B3944&lt;=2024), "2022-2024", "Other"))</f>
        <v>2018-2021</v>
      </c>
    </row>
    <row r="3945" spans="1:9" x14ac:dyDescent="0.3">
      <c r="A3945" t="s">
        <v>1</v>
      </c>
      <c r="B3945">
        <v>2019</v>
      </c>
      <c r="C3945" t="s">
        <v>4</v>
      </c>
      <c r="D3945">
        <v>16630.97</v>
      </c>
      <c r="E3945">
        <v>13435.43</v>
      </c>
      <c r="F3945">
        <v>141.55000000000001</v>
      </c>
      <c r="G3945">
        <v>413.02</v>
      </c>
      <c r="H3945">
        <f>E3945*1000000/D3945</f>
        <v>807856.06612242095</v>
      </c>
      <c r="I3945" t="str">
        <f>IF(AND(B3945&gt;=2018, B3945&lt;=2021), "2018-2021", IF(AND(B3945&gt;=2022, B3945&lt;=2024), "2022-2024", "Other"))</f>
        <v>2018-2021</v>
      </c>
    </row>
    <row r="3946" spans="1:9" x14ac:dyDescent="0.3">
      <c r="A3946" t="s">
        <v>21</v>
      </c>
      <c r="B3946">
        <v>2020</v>
      </c>
      <c r="C3946" t="s">
        <v>9</v>
      </c>
      <c r="D3946">
        <v>39920.99</v>
      </c>
      <c r="E3946">
        <v>42415.75</v>
      </c>
      <c r="F3946">
        <v>51.35</v>
      </c>
      <c r="G3946">
        <v>1127.43</v>
      </c>
      <c r="H3946">
        <f>E3946*1000000/D3946</f>
        <v>1062492.4381885319</v>
      </c>
      <c r="I3946" t="str">
        <f>IF(AND(B3946&gt;=2018, B3946&lt;=2021), "2018-2021", IF(AND(B3946&gt;=2022, B3946&lt;=2024), "2022-2024", "Other"))</f>
        <v>2018-2021</v>
      </c>
    </row>
    <row r="3947" spans="1:9" x14ac:dyDescent="0.3">
      <c r="A3947" t="s">
        <v>11</v>
      </c>
      <c r="B3947">
        <v>2019</v>
      </c>
      <c r="C3947" t="s">
        <v>14</v>
      </c>
      <c r="D3947">
        <v>8022.86</v>
      </c>
      <c r="E3947">
        <v>6768.62</v>
      </c>
      <c r="F3947">
        <v>80.959999999999994</v>
      </c>
      <c r="G3947">
        <v>1122.45</v>
      </c>
      <c r="H3947">
        <f>E3947*1000000/D3947</f>
        <v>843666.72234091093</v>
      </c>
      <c r="I3947" t="str">
        <f>IF(AND(B3947&gt;=2018, B3947&lt;=2021), "2018-2021", IF(AND(B3947&gt;=2022, B3947&lt;=2024), "2022-2024", "Other"))</f>
        <v>2018-2021</v>
      </c>
    </row>
    <row r="3948" spans="1:9" x14ac:dyDescent="0.3">
      <c r="A3948" t="s">
        <v>21</v>
      </c>
      <c r="B3948">
        <v>2023</v>
      </c>
      <c r="C3948" t="s">
        <v>12</v>
      </c>
      <c r="D3948">
        <v>33831.35</v>
      </c>
      <c r="E3948">
        <v>30292</v>
      </c>
      <c r="F3948">
        <v>171.24</v>
      </c>
      <c r="G3948">
        <v>793.74</v>
      </c>
      <c r="H3948">
        <f>E3948*1000000/D3948</f>
        <v>895382.53720291983</v>
      </c>
      <c r="I3948" t="str">
        <f>IF(AND(B3948&gt;=2018, B3948&lt;=2021), "2018-2021", IF(AND(B3948&gt;=2022, B3948&lt;=2024), "2022-2024", "Other"))</f>
        <v>2022-2024</v>
      </c>
    </row>
    <row r="3949" spans="1:9" x14ac:dyDescent="0.3">
      <c r="A3949" t="s">
        <v>5</v>
      </c>
      <c r="B3949">
        <v>2018</v>
      </c>
      <c r="C3949" t="s">
        <v>0</v>
      </c>
      <c r="D3949">
        <v>13232.58</v>
      </c>
      <c r="E3949">
        <v>12779.41</v>
      </c>
      <c r="F3949">
        <v>86.63</v>
      </c>
      <c r="G3949">
        <v>417.81</v>
      </c>
      <c r="H3949">
        <f>E3949*1000000/D3949</f>
        <v>965753.46606633021</v>
      </c>
      <c r="I3949" t="str">
        <f>IF(AND(B3949&gt;=2018, B3949&lt;=2021), "2018-2021", IF(AND(B3949&gt;=2022, B3949&lt;=2024), "2022-2024", "Other"))</f>
        <v>2018-2021</v>
      </c>
    </row>
    <row r="3950" spans="1:9" x14ac:dyDescent="0.3">
      <c r="A3950" t="s">
        <v>11</v>
      </c>
      <c r="B3950">
        <v>2024</v>
      </c>
      <c r="C3950" t="s">
        <v>8</v>
      </c>
      <c r="D3950">
        <v>25462.07</v>
      </c>
      <c r="E3950">
        <v>20702.75</v>
      </c>
      <c r="F3950">
        <v>152.13</v>
      </c>
      <c r="G3950">
        <v>957.59</v>
      </c>
      <c r="H3950">
        <f>E3950*1000000/D3950</f>
        <v>813081.96859092766</v>
      </c>
      <c r="I3950" t="str">
        <f>IF(AND(B3950&gt;=2018, B3950&lt;=2021), "2018-2021", IF(AND(B3950&gt;=2022, B3950&lt;=2024), "2022-2024", "Other"))</f>
        <v>2022-2024</v>
      </c>
    </row>
    <row r="3951" spans="1:9" x14ac:dyDescent="0.3">
      <c r="A3951" t="s">
        <v>7</v>
      </c>
      <c r="B3951">
        <v>2018</v>
      </c>
      <c r="C3951" t="s">
        <v>4</v>
      </c>
      <c r="D3951">
        <v>12286.86</v>
      </c>
      <c r="E3951">
        <v>12617.84</v>
      </c>
      <c r="F3951">
        <v>88.18</v>
      </c>
      <c r="G3951">
        <v>1124.78</v>
      </c>
      <c r="H3951">
        <f>E3951*1000000/D3951</f>
        <v>1026937.7204590921</v>
      </c>
      <c r="I3951" t="str">
        <f>IF(AND(B3951&gt;=2018, B3951&lt;=2021), "2018-2021", IF(AND(B3951&gt;=2022, B3951&lt;=2024), "2022-2024", "Other"))</f>
        <v>2018-2021</v>
      </c>
    </row>
    <row r="3952" spans="1:9" x14ac:dyDescent="0.3">
      <c r="A3952" t="s">
        <v>19</v>
      </c>
      <c r="B3952">
        <v>2018</v>
      </c>
      <c r="C3952" t="s">
        <v>9</v>
      </c>
      <c r="D3952">
        <v>1581.41</v>
      </c>
      <c r="E3952">
        <v>1654.63</v>
      </c>
      <c r="F3952">
        <v>72.790000000000006</v>
      </c>
      <c r="G3952">
        <v>875.05</v>
      </c>
      <c r="H3952">
        <f>E3952*1000000/D3952</f>
        <v>1046300.4533928583</v>
      </c>
      <c r="I3952" t="str">
        <f>IF(AND(B3952&gt;=2018, B3952&lt;=2021), "2018-2021", IF(AND(B3952&gt;=2022, B3952&lt;=2024), "2022-2024", "Other"))</f>
        <v>2018-2021</v>
      </c>
    </row>
    <row r="3953" spans="1:9" x14ac:dyDescent="0.3">
      <c r="A3953" t="s">
        <v>17</v>
      </c>
      <c r="B3953">
        <v>2020</v>
      </c>
      <c r="C3953" t="s">
        <v>12</v>
      </c>
      <c r="D3953">
        <v>33216.949999999997</v>
      </c>
      <c r="E3953">
        <v>33519.19</v>
      </c>
      <c r="F3953">
        <v>190.22</v>
      </c>
      <c r="G3953">
        <v>454.98</v>
      </c>
      <c r="H3953">
        <f>E3953*1000000/D3953</f>
        <v>1009098.9690504398</v>
      </c>
      <c r="I3953" t="str">
        <f>IF(AND(B3953&gt;=2018, B3953&lt;=2021), "2018-2021", IF(AND(B3953&gt;=2022, B3953&lt;=2024), "2022-2024", "Other"))</f>
        <v>2018-2021</v>
      </c>
    </row>
    <row r="3954" spans="1:9" x14ac:dyDescent="0.3">
      <c r="A3954" t="s">
        <v>18</v>
      </c>
      <c r="B3954">
        <v>2022</v>
      </c>
      <c r="C3954" t="s">
        <v>12</v>
      </c>
      <c r="D3954">
        <v>5881.53</v>
      </c>
      <c r="E3954">
        <v>5929.15</v>
      </c>
      <c r="F3954">
        <v>196.4</v>
      </c>
      <c r="G3954">
        <v>230.31</v>
      </c>
      <c r="H3954">
        <f>E3954*1000000/D3954</f>
        <v>1008096.5327049255</v>
      </c>
      <c r="I3954" t="str">
        <f>IF(AND(B3954&gt;=2018, B3954&lt;=2021), "2018-2021", IF(AND(B3954&gt;=2022, B3954&lt;=2024), "2022-2024", "Other"))</f>
        <v>2022-2024</v>
      </c>
    </row>
    <row r="3955" spans="1:9" x14ac:dyDescent="0.3">
      <c r="A3955" t="s">
        <v>21</v>
      </c>
      <c r="B3955">
        <v>2022</v>
      </c>
      <c r="C3955" t="s">
        <v>0</v>
      </c>
      <c r="D3955">
        <v>11947.95</v>
      </c>
      <c r="E3955">
        <v>12681.14</v>
      </c>
      <c r="F3955">
        <v>56.45</v>
      </c>
      <c r="G3955">
        <v>1179.45</v>
      </c>
      <c r="H3955">
        <f>E3955*1000000/D3955</f>
        <v>1061365.3388238149</v>
      </c>
      <c r="I3955" t="str">
        <f>IF(AND(B3955&gt;=2018, B3955&lt;=2021), "2018-2021", IF(AND(B3955&gt;=2022, B3955&lt;=2024), "2022-2024", "Other"))</f>
        <v>2022-2024</v>
      </c>
    </row>
    <row r="3956" spans="1:9" x14ac:dyDescent="0.3">
      <c r="A3956" t="s">
        <v>20</v>
      </c>
      <c r="B3956">
        <v>2018</v>
      </c>
      <c r="C3956" t="s">
        <v>8</v>
      </c>
      <c r="D3956">
        <v>29883.47</v>
      </c>
      <c r="E3956">
        <v>26779.8</v>
      </c>
      <c r="F3956">
        <v>65.22</v>
      </c>
      <c r="G3956">
        <v>442.64</v>
      </c>
      <c r="H3956">
        <f>E3956*1000000/D3956</f>
        <v>896140.91000810813</v>
      </c>
      <c r="I3956" t="str">
        <f>IF(AND(B3956&gt;=2018, B3956&lt;=2021), "2018-2021", IF(AND(B3956&gt;=2022, B3956&lt;=2024), "2022-2024", "Other"))</f>
        <v>2018-2021</v>
      </c>
    </row>
    <row r="3957" spans="1:9" x14ac:dyDescent="0.3">
      <c r="A3957" t="s">
        <v>24</v>
      </c>
      <c r="B3957">
        <v>2018</v>
      </c>
      <c r="C3957" t="s">
        <v>4</v>
      </c>
      <c r="D3957">
        <v>20409.63</v>
      </c>
      <c r="E3957">
        <v>17866.36</v>
      </c>
      <c r="F3957">
        <v>134.61000000000001</v>
      </c>
      <c r="G3957">
        <v>422.84</v>
      </c>
      <c r="H3957">
        <f>E3957*1000000/D3957</f>
        <v>875388.72581227578</v>
      </c>
      <c r="I3957" t="str">
        <f>IF(AND(B3957&gt;=2018, B3957&lt;=2021), "2018-2021", IF(AND(B3957&gt;=2022, B3957&lt;=2024), "2022-2024", "Other"))</f>
        <v>2018-2021</v>
      </c>
    </row>
    <row r="3958" spans="1:9" x14ac:dyDescent="0.3">
      <c r="A3958" t="s">
        <v>15</v>
      </c>
      <c r="B3958">
        <v>2019</v>
      </c>
      <c r="C3958" t="s">
        <v>9</v>
      </c>
      <c r="D3958">
        <v>22345.64</v>
      </c>
      <c r="E3958">
        <v>24910.18</v>
      </c>
      <c r="F3958">
        <v>163.41999999999999</v>
      </c>
      <c r="G3958">
        <v>684.69</v>
      </c>
      <c r="H3958">
        <f>E3958*1000000/D3958</f>
        <v>1114766.9075488553</v>
      </c>
      <c r="I3958" t="str">
        <f>IF(AND(B3958&gt;=2018, B3958&lt;=2021), "2018-2021", IF(AND(B3958&gt;=2022, B3958&lt;=2024), "2022-2024", "Other"))</f>
        <v>2018-2021</v>
      </c>
    </row>
    <row r="3959" spans="1:9" x14ac:dyDescent="0.3">
      <c r="A3959" t="s">
        <v>18</v>
      </c>
      <c r="B3959">
        <v>2020</v>
      </c>
      <c r="C3959" t="s">
        <v>6</v>
      </c>
      <c r="D3959">
        <v>42577.15</v>
      </c>
      <c r="E3959">
        <v>41658.199999999997</v>
      </c>
      <c r="F3959">
        <v>131.32</v>
      </c>
      <c r="G3959">
        <v>1277.56</v>
      </c>
      <c r="H3959">
        <f>E3959*1000000/D3959</f>
        <v>978416.82686605374</v>
      </c>
      <c r="I3959" t="str">
        <f>IF(AND(B3959&gt;=2018, B3959&lt;=2021), "2018-2021", IF(AND(B3959&gt;=2022, B3959&lt;=2024), "2022-2024", "Other"))</f>
        <v>2018-2021</v>
      </c>
    </row>
    <row r="3960" spans="1:9" x14ac:dyDescent="0.3">
      <c r="A3960" t="s">
        <v>24</v>
      </c>
      <c r="B3960">
        <v>2022</v>
      </c>
      <c r="C3960" t="s">
        <v>8</v>
      </c>
      <c r="D3960">
        <v>8949</v>
      </c>
      <c r="E3960">
        <v>8542.5</v>
      </c>
      <c r="F3960">
        <v>27.53</v>
      </c>
      <c r="G3960">
        <v>605.80999999999995</v>
      </c>
      <c r="H3960">
        <f>E3960*1000000/D3960</f>
        <v>954575.93027153867</v>
      </c>
      <c r="I3960" t="str">
        <f>IF(AND(B3960&gt;=2018, B3960&lt;=2021), "2018-2021", IF(AND(B3960&gt;=2022, B3960&lt;=2024), "2022-2024", "Other"))</f>
        <v>2022-2024</v>
      </c>
    </row>
    <row r="3961" spans="1:9" x14ac:dyDescent="0.3">
      <c r="A3961" t="s">
        <v>26</v>
      </c>
      <c r="B3961">
        <v>2018</v>
      </c>
      <c r="C3961" t="s">
        <v>4</v>
      </c>
      <c r="D3961">
        <v>48739.3</v>
      </c>
      <c r="E3961">
        <v>56192.06</v>
      </c>
      <c r="F3961">
        <v>28.23</v>
      </c>
      <c r="G3961">
        <v>219.36</v>
      </c>
      <c r="H3961">
        <f>E3961*1000000/D3961</f>
        <v>1152910.6901412206</v>
      </c>
      <c r="I3961" t="str">
        <f>IF(AND(B3961&gt;=2018, B3961&lt;=2021), "2018-2021", IF(AND(B3961&gt;=2022, B3961&lt;=2024), "2022-2024", "Other"))</f>
        <v>2018-2021</v>
      </c>
    </row>
    <row r="3962" spans="1:9" x14ac:dyDescent="0.3">
      <c r="A3962" t="s">
        <v>5</v>
      </c>
      <c r="B3962">
        <v>2020</v>
      </c>
      <c r="C3962" t="s">
        <v>0</v>
      </c>
      <c r="D3962">
        <v>38564.43</v>
      </c>
      <c r="E3962">
        <v>32658.89</v>
      </c>
      <c r="F3962">
        <v>26.13</v>
      </c>
      <c r="G3962">
        <v>362.46</v>
      </c>
      <c r="H3962">
        <f>E3962*1000000/D3962</f>
        <v>846865.62202527048</v>
      </c>
      <c r="I3962" t="str">
        <f>IF(AND(B3962&gt;=2018, B3962&lt;=2021), "2018-2021", IF(AND(B3962&gt;=2022, B3962&lt;=2024), "2022-2024", "Other"))</f>
        <v>2018-2021</v>
      </c>
    </row>
    <row r="3963" spans="1:9" x14ac:dyDescent="0.3">
      <c r="A3963" t="s">
        <v>13</v>
      </c>
      <c r="B3963">
        <v>2018</v>
      </c>
      <c r="C3963" t="s">
        <v>2</v>
      </c>
      <c r="D3963">
        <v>17771.61</v>
      </c>
      <c r="E3963">
        <v>17461.07</v>
      </c>
      <c r="F3963">
        <v>56.81</v>
      </c>
      <c r="G3963">
        <v>831.42</v>
      </c>
      <c r="H3963">
        <f>E3963*1000000/D3963</f>
        <v>982526.06263585575</v>
      </c>
      <c r="I3963" t="str">
        <f>IF(AND(B3963&gt;=2018, B3963&lt;=2021), "2018-2021", IF(AND(B3963&gt;=2022, B3963&lt;=2024), "2022-2024", "Other"))</f>
        <v>2018-2021</v>
      </c>
    </row>
    <row r="3964" spans="1:9" x14ac:dyDescent="0.3">
      <c r="A3964" t="s">
        <v>17</v>
      </c>
      <c r="B3964">
        <v>2023</v>
      </c>
      <c r="C3964" t="s">
        <v>8</v>
      </c>
      <c r="D3964">
        <v>9799.74</v>
      </c>
      <c r="E3964">
        <v>9998.61</v>
      </c>
      <c r="F3964">
        <v>130.16</v>
      </c>
      <c r="G3964">
        <v>157.63999999999999</v>
      </c>
      <c r="H3964">
        <f>E3964*1000000/D3964</f>
        <v>1020293.3955390654</v>
      </c>
      <c r="I3964" t="str">
        <f>IF(AND(B3964&gt;=2018, B3964&lt;=2021), "2018-2021", IF(AND(B3964&gt;=2022, B3964&lt;=2024), "2022-2024", "Other"))</f>
        <v>2022-2024</v>
      </c>
    </row>
    <row r="3965" spans="1:9" x14ac:dyDescent="0.3">
      <c r="A3965" t="s">
        <v>26</v>
      </c>
      <c r="B3965">
        <v>2022</v>
      </c>
      <c r="C3965" t="s">
        <v>12</v>
      </c>
      <c r="D3965">
        <v>14859.9</v>
      </c>
      <c r="E3965">
        <v>14172.89</v>
      </c>
      <c r="F3965">
        <v>80.599999999999994</v>
      </c>
      <c r="G3965">
        <v>1244.3499999999999</v>
      </c>
      <c r="H3965">
        <f>E3965*1000000/D3965</f>
        <v>953767.52198870794</v>
      </c>
      <c r="I3965" t="str">
        <f>IF(AND(B3965&gt;=2018, B3965&lt;=2021), "2018-2021", IF(AND(B3965&gt;=2022, B3965&lt;=2024), "2022-2024", "Other"))</f>
        <v>2022-2024</v>
      </c>
    </row>
    <row r="3966" spans="1:9" x14ac:dyDescent="0.3">
      <c r="A3966" t="s">
        <v>11</v>
      </c>
      <c r="B3966">
        <v>2021</v>
      </c>
      <c r="C3966" t="s">
        <v>0</v>
      </c>
      <c r="D3966">
        <v>17656.439999999999</v>
      </c>
      <c r="E3966">
        <v>20511.599999999999</v>
      </c>
      <c r="F3966">
        <v>50.98</v>
      </c>
      <c r="G3966">
        <v>771.51</v>
      </c>
      <c r="H3966">
        <f>E3966*1000000/D3966</f>
        <v>1161706.4368581662</v>
      </c>
      <c r="I3966" t="str">
        <f>IF(AND(B3966&gt;=2018, B3966&lt;=2021), "2018-2021", IF(AND(B3966&gt;=2022, B3966&lt;=2024), "2022-2024", "Other"))</f>
        <v>2018-2021</v>
      </c>
    </row>
    <row r="3967" spans="1:9" x14ac:dyDescent="0.3">
      <c r="A3967" t="s">
        <v>10</v>
      </c>
      <c r="B3967">
        <v>2022</v>
      </c>
      <c r="C3967" t="s">
        <v>4</v>
      </c>
      <c r="D3967">
        <v>41283.64</v>
      </c>
      <c r="E3967">
        <v>42195.46</v>
      </c>
      <c r="F3967">
        <v>78.150000000000006</v>
      </c>
      <c r="G3967">
        <v>513.62</v>
      </c>
      <c r="H3967">
        <f>E3967*1000000/D3967</f>
        <v>1022086.7152218167</v>
      </c>
      <c r="I3967" t="str">
        <f>IF(AND(B3967&gt;=2018, B3967&lt;=2021), "2018-2021", IF(AND(B3967&gt;=2022, B3967&lt;=2024), "2022-2024", "Other"))</f>
        <v>2022-2024</v>
      </c>
    </row>
    <row r="3968" spans="1:9" x14ac:dyDescent="0.3">
      <c r="A3968" t="s">
        <v>13</v>
      </c>
      <c r="B3968">
        <v>2022</v>
      </c>
      <c r="C3968" t="s">
        <v>9</v>
      </c>
      <c r="D3968">
        <v>33558.639999999999</v>
      </c>
      <c r="E3968">
        <v>36201.96</v>
      </c>
      <c r="F3968">
        <v>44.06</v>
      </c>
      <c r="G3968">
        <v>1099.07</v>
      </c>
      <c r="H3968">
        <f>E3968*1000000/D3968</f>
        <v>1078767.1967636351</v>
      </c>
      <c r="I3968" t="str">
        <f>IF(AND(B3968&gt;=2018, B3968&lt;=2021), "2018-2021", IF(AND(B3968&gt;=2022, B3968&lt;=2024), "2022-2024", "Other"))</f>
        <v>2022-2024</v>
      </c>
    </row>
    <row r="3969" spans="1:9" x14ac:dyDescent="0.3">
      <c r="A3969" t="s">
        <v>15</v>
      </c>
      <c r="B3969">
        <v>2020</v>
      </c>
      <c r="C3969" t="s">
        <v>14</v>
      </c>
      <c r="D3969">
        <v>23151</v>
      </c>
      <c r="E3969">
        <v>22695.55</v>
      </c>
      <c r="F3969">
        <v>151.32</v>
      </c>
      <c r="G3969">
        <v>361.5</v>
      </c>
      <c r="H3969">
        <f>E3969*1000000/D3969</f>
        <v>980326.98371560627</v>
      </c>
      <c r="I3969" t="str">
        <f>IF(AND(B3969&gt;=2018, B3969&lt;=2021), "2018-2021", IF(AND(B3969&gt;=2022, B3969&lt;=2024), "2022-2024", "Other"))</f>
        <v>2018-2021</v>
      </c>
    </row>
    <row r="3970" spans="1:9" x14ac:dyDescent="0.3">
      <c r="A3970" t="s">
        <v>15</v>
      </c>
      <c r="B3970">
        <v>2021</v>
      </c>
      <c r="C3970" t="s">
        <v>9</v>
      </c>
      <c r="D3970">
        <v>43395.8</v>
      </c>
      <c r="E3970">
        <v>42356.33</v>
      </c>
      <c r="F3970">
        <v>148.53</v>
      </c>
      <c r="G3970">
        <v>690.21</v>
      </c>
      <c r="H3970">
        <f>E3970*1000000/D3970</f>
        <v>976046.76028555748</v>
      </c>
      <c r="I3970" t="str">
        <f>IF(AND(B3970&gt;=2018, B3970&lt;=2021), "2018-2021", IF(AND(B3970&gt;=2022, B3970&lt;=2024), "2022-2024", "Other"))</f>
        <v>2018-2021</v>
      </c>
    </row>
    <row r="3971" spans="1:9" x14ac:dyDescent="0.3">
      <c r="A3971" t="s">
        <v>22</v>
      </c>
      <c r="B3971">
        <v>2019</v>
      </c>
      <c r="C3971" t="s">
        <v>4</v>
      </c>
      <c r="D3971">
        <v>35461.440000000002</v>
      </c>
      <c r="E3971">
        <v>32536.66</v>
      </c>
      <c r="F3971">
        <v>93</v>
      </c>
      <c r="G3971">
        <v>78.77</v>
      </c>
      <c r="H3971">
        <f>E3971*1000000/D3971</f>
        <v>917522.24387954909</v>
      </c>
      <c r="I3971" t="str">
        <f>IF(AND(B3971&gt;=2018, B3971&lt;=2021), "2018-2021", IF(AND(B3971&gt;=2022, B3971&lt;=2024), "2022-2024", "Other"))</f>
        <v>2018-2021</v>
      </c>
    </row>
    <row r="3972" spans="1:9" x14ac:dyDescent="0.3">
      <c r="A3972" t="s">
        <v>15</v>
      </c>
      <c r="B3972">
        <v>2021</v>
      </c>
      <c r="C3972" t="s">
        <v>9</v>
      </c>
      <c r="D3972">
        <v>5170.0600000000004</v>
      </c>
      <c r="E3972">
        <v>5685.82</v>
      </c>
      <c r="F3972">
        <v>52.39</v>
      </c>
      <c r="G3972">
        <v>483.54</v>
      </c>
      <c r="H3972">
        <f>E3972*1000000/D3972</f>
        <v>1099758.9969942321</v>
      </c>
      <c r="I3972" t="str">
        <f>IF(AND(B3972&gt;=2018, B3972&lt;=2021), "2018-2021", IF(AND(B3972&gt;=2022, B3972&lt;=2024), "2022-2024", "Other"))</f>
        <v>2018-2021</v>
      </c>
    </row>
    <row r="3973" spans="1:9" x14ac:dyDescent="0.3">
      <c r="A3973" t="s">
        <v>5</v>
      </c>
      <c r="B3973">
        <v>2020</v>
      </c>
      <c r="C3973" t="s">
        <v>8</v>
      </c>
      <c r="D3973">
        <v>47836.43</v>
      </c>
      <c r="E3973">
        <v>53056.61</v>
      </c>
      <c r="F3973">
        <v>128.63999999999999</v>
      </c>
      <c r="G3973">
        <v>637.38</v>
      </c>
      <c r="H3973">
        <f>E3973*1000000/D3973</f>
        <v>1109125.6182787889</v>
      </c>
      <c r="I3973" t="str">
        <f>IF(AND(B3973&gt;=2018, B3973&lt;=2021), "2018-2021", IF(AND(B3973&gt;=2022, B3973&lt;=2024), "2022-2024", "Other"))</f>
        <v>2018-2021</v>
      </c>
    </row>
    <row r="3974" spans="1:9" x14ac:dyDescent="0.3">
      <c r="A3974" t="s">
        <v>3</v>
      </c>
      <c r="B3974">
        <v>2024</v>
      </c>
      <c r="C3974" t="s">
        <v>2</v>
      </c>
      <c r="D3974">
        <v>19597.5</v>
      </c>
      <c r="E3974">
        <v>21349.34</v>
      </c>
      <c r="F3974">
        <v>135.19</v>
      </c>
      <c r="G3974">
        <v>647.32000000000005</v>
      </c>
      <c r="H3974">
        <f>E3974*1000000/D3974</f>
        <v>1089390.9937492027</v>
      </c>
      <c r="I3974" t="str">
        <f>IF(AND(B3974&gt;=2018, B3974&lt;=2021), "2018-2021", IF(AND(B3974&gt;=2022, B3974&lt;=2024), "2022-2024", "Other"))</f>
        <v>2022-2024</v>
      </c>
    </row>
    <row r="3975" spans="1:9" x14ac:dyDescent="0.3">
      <c r="A3975" t="s">
        <v>3</v>
      </c>
      <c r="B3975">
        <v>2020</v>
      </c>
      <c r="C3975" t="s">
        <v>6</v>
      </c>
      <c r="D3975">
        <v>47574.43</v>
      </c>
      <c r="E3975">
        <v>39243.81</v>
      </c>
      <c r="F3975">
        <v>113.13</v>
      </c>
      <c r="G3975">
        <v>631.25</v>
      </c>
      <c r="H3975">
        <f>E3975*1000000/D3975</f>
        <v>824892.90990979818</v>
      </c>
      <c r="I3975" t="str">
        <f>IF(AND(B3975&gt;=2018, B3975&lt;=2021), "2018-2021", IF(AND(B3975&gt;=2022, B3975&lt;=2024), "2022-2024", "Other"))</f>
        <v>2018-2021</v>
      </c>
    </row>
    <row r="3976" spans="1:9" x14ac:dyDescent="0.3">
      <c r="A3976" t="s">
        <v>17</v>
      </c>
      <c r="B3976">
        <v>2022</v>
      </c>
      <c r="C3976" t="s">
        <v>8</v>
      </c>
      <c r="D3976">
        <v>11479.76</v>
      </c>
      <c r="E3976">
        <v>12719.36</v>
      </c>
      <c r="F3976">
        <v>144.51</v>
      </c>
      <c r="G3976">
        <v>454.91</v>
      </c>
      <c r="H3976">
        <f>E3976*1000000/D3976</f>
        <v>1107981.3515265128</v>
      </c>
      <c r="I3976" t="str">
        <f>IF(AND(B3976&gt;=2018, B3976&lt;=2021), "2018-2021", IF(AND(B3976&gt;=2022, B3976&lt;=2024), "2022-2024", "Other"))</f>
        <v>2022-2024</v>
      </c>
    </row>
    <row r="3977" spans="1:9" x14ac:dyDescent="0.3">
      <c r="A3977" t="s">
        <v>23</v>
      </c>
      <c r="B3977">
        <v>2020</v>
      </c>
      <c r="C3977" t="s">
        <v>6</v>
      </c>
      <c r="D3977">
        <v>23830.2</v>
      </c>
      <c r="E3977">
        <v>25819.119999999999</v>
      </c>
      <c r="F3977">
        <v>139.08000000000001</v>
      </c>
      <c r="G3977">
        <v>302</v>
      </c>
      <c r="H3977">
        <f>E3977*1000000/D3977</f>
        <v>1083462.1614589889</v>
      </c>
      <c r="I3977" t="str">
        <f>IF(AND(B3977&gt;=2018, B3977&lt;=2021), "2018-2021", IF(AND(B3977&gt;=2022, B3977&lt;=2024), "2022-2024", "Other"))</f>
        <v>2018-2021</v>
      </c>
    </row>
    <row r="3978" spans="1:9" x14ac:dyDescent="0.3">
      <c r="A3978" t="s">
        <v>25</v>
      </c>
      <c r="B3978">
        <v>2020</v>
      </c>
      <c r="C3978" t="s">
        <v>6</v>
      </c>
      <c r="D3978">
        <v>33229</v>
      </c>
      <c r="E3978">
        <v>36468.28</v>
      </c>
      <c r="F3978">
        <v>199.01</v>
      </c>
      <c r="G3978">
        <v>824.94</v>
      </c>
      <c r="H3978">
        <f>E3978*1000000/D3978</f>
        <v>1097483.5234283307</v>
      </c>
      <c r="I3978" t="str">
        <f>IF(AND(B3978&gt;=2018, B3978&lt;=2021), "2018-2021", IF(AND(B3978&gt;=2022, B3978&lt;=2024), "2022-2024", "Other"))</f>
        <v>2018-2021</v>
      </c>
    </row>
    <row r="3979" spans="1:9" x14ac:dyDescent="0.3">
      <c r="A3979" t="s">
        <v>1</v>
      </c>
      <c r="B3979">
        <v>2020</v>
      </c>
      <c r="C3979" t="s">
        <v>4</v>
      </c>
      <c r="D3979">
        <v>11243.38</v>
      </c>
      <c r="E3979">
        <v>12223.77</v>
      </c>
      <c r="F3979">
        <v>193.06</v>
      </c>
      <c r="G3979">
        <v>18.98</v>
      </c>
      <c r="H3979">
        <f>E3979*1000000/D3979</f>
        <v>1087197.0884200304</v>
      </c>
      <c r="I3979" t="str">
        <f>IF(AND(B3979&gt;=2018, B3979&lt;=2021), "2018-2021", IF(AND(B3979&gt;=2022, B3979&lt;=2024), "2022-2024", "Other"))</f>
        <v>2018-2021</v>
      </c>
    </row>
    <row r="3980" spans="1:9" x14ac:dyDescent="0.3">
      <c r="A3980" t="s">
        <v>21</v>
      </c>
      <c r="B3980">
        <v>2018</v>
      </c>
      <c r="C3980" t="s">
        <v>4</v>
      </c>
      <c r="D3980">
        <v>34590.559999999998</v>
      </c>
      <c r="E3980">
        <v>29375.24</v>
      </c>
      <c r="F3980">
        <v>193.51</v>
      </c>
      <c r="G3980">
        <v>176.71</v>
      </c>
      <c r="H3980">
        <f>E3980*1000000/D3980</f>
        <v>849227.07235731371</v>
      </c>
      <c r="I3980" t="str">
        <f>IF(AND(B3980&gt;=2018, B3980&lt;=2021), "2018-2021", IF(AND(B3980&gt;=2022, B3980&lt;=2024), "2022-2024", "Other"))</f>
        <v>2018-2021</v>
      </c>
    </row>
    <row r="3981" spans="1:9" x14ac:dyDescent="0.3">
      <c r="A3981" t="s">
        <v>5</v>
      </c>
      <c r="B3981">
        <v>2024</v>
      </c>
      <c r="C3981" t="s">
        <v>9</v>
      </c>
      <c r="D3981">
        <v>6522.86</v>
      </c>
      <c r="E3981">
        <v>5334.03</v>
      </c>
      <c r="F3981">
        <v>164.16</v>
      </c>
      <c r="G3981">
        <v>576.36</v>
      </c>
      <c r="H3981">
        <f>E3981*1000000/D3981</f>
        <v>817744.05705472757</v>
      </c>
      <c r="I3981" t="str">
        <f>IF(AND(B3981&gt;=2018, B3981&lt;=2021), "2018-2021", IF(AND(B3981&gt;=2022, B3981&lt;=2024), "2022-2024", "Other"))</f>
        <v>2022-2024</v>
      </c>
    </row>
    <row r="3982" spans="1:9" x14ac:dyDescent="0.3">
      <c r="A3982" t="s">
        <v>3</v>
      </c>
      <c r="B3982">
        <v>2024</v>
      </c>
      <c r="C3982" t="s">
        <v>8</v>
      </c>
      <c r="D3982">
        <v>6128.27</v>
      </c>
      <c r="E3982">
        <v>5386.6</v>
      </c>
      <c r="F3982">
        <v>87.95</v>
      </c>
      <c r="G3982">
        <v>250.02</v>
      </c>
      <c r="H3982">
        <f>E3982*1000000/D3982</f>
        <v>878975.63260104391</v>
      </c>
      <c r="I3982" t="str">
        <f>IF(AND(B3982&gt;=2018, B3982&lt;=2021), "2018-2021", IF(AND(B3982&gt;=2022, B3982&lt;=2024), "2022-2024", "Other"))</f>
        <v>2022-2024</v>
      </c>
    </row>
    <row r="3983" spans="1:9" x14ac:dyDescent="0.3">
      <c r="A3983" t="s">
        <v>21</v>
      </c>
      <c r="B3983">
        <v>2019</v>
      </c>
      <c r="C3983" t="s">
        <v>4</v>
      </c>
      <c r="D3983">
        <v>33662.639999999999</v>
      </c>
      <c r="E3983">
        <v>38715.68</v>
      </c>
      <c r="F3983">
        <v>38.22</v>
      </c>
      <c r="G3983">
        <v>1199.0999999999999</v>
      </c>
      <c r="H3983">
        <f>E3983*1000000/D3983</f>
        <v>1150108.2505709594</v>
      </c>
      <c r="I3983" t="str">
        <f>IF(AND(B3983&gt;=2018, B3983&lt;=2021), "2018-2021", IF(AND(B3983&gt;=2022, B3983&lt;=2024), "2022-2024", "Other"))</f>
        <v>2018-2021</v>
      </c>
    </row>
    <row r="3984" spans="1:9" x14ac:dyDescent="0.3">
      <c r="A3984" t="s">
        <v>26</v>
      </c>
      <c r="B3984">
        <v>2023</v>
      </c>
      <c r="C3984" t="s">
        <v>14</v>
      </c>
      <c r="D3984">
        <v>31553.31</v>
      </c>
      <c r="E3984">
        <v>27883.34</v>
      </c>
      <c r="F3984">
        <v>92.26</v>
      </c>
      <c r="G3984">
        <v>1356.17</v>
      </c>
      <c r="H3984">
        <f>E3984*1000000/D3984</f>
        <v>883689.85694369301</v>
      </c>
      <c r="I3984" t="str">
        <f>IF(AND(B3984&gt;=2018, B3984&lt;=2021), "2018-2021", IF(AND(B3984&gt;=2022, B3984&lt;=2024), "2022-2024", "Other"))</f>
        <v>2022-2024</v>
      </c>
    </row>
    <row r="3985" spans="1:9" x14ac:dyDescent="0.3">
      <c r="A3985" t="s">
        <v>25</v>
      </c>
      <c r="B3985">
        <v>2022</v>
      </c>
      <c r="C3985" t="s">
        <v>9</v>
      </c>
      <c r="D3985">
        <v>38352.58</v>
      </c>
      <c r="E3985">
        <v>36719.57</v>
      </c>
      <c r="F3985">
        <v>55.06</v>
      </c>
      <c r="G3985">
        <v>1118.04</v>
      </c>
      <c r="H3985">
        <f>E3985*1000000/D3985</f>
        <v>957421.11743199546</v>
      </c>
      <c r="I3985" t="str">
        <f>IF(AND(B3985&gt;=2018, B3985&lt;=2021), "2018-2021", IF(AND(B3985&gt;=2022, B3985&lt;=2024), "2022-2024", "Other"))</f>
        <v>2022-2024</v>
      </c>
    </row>
    <row r="3986" spans="1:9" x14ac:dyDescent="0.3">
      <c r="A3986" t="s">
        <v>15</v>
      </c>
      <c r="B3986">
        <v>2019</v>
      </c>
      <c r="C3986" t="s">
        <v>12</v>
      </c>
      <c r="D3986">
        <v>4730.21</v>
      </c>
      <c r="E3986">
        <v>5486.39</v>
      </c>
      <c r="F3986">
        <v>89.77</v>
      </c>
      <c r="G3986">
        <v>11.29</v>
      </c>
      <c r="H3986">
        <f>E3986*1000000/D3986</f>
        <v>1159861.8243164679</v>
      </c>
      <c r="I3986" t="str">
        <f>IF(AND(B3986&gt;=2018, B3986&lt;=2021), "2018-2021", IF(AND(B3986&gt;=2022, B3986&lt;=2024), "2022-2024", "Other"))</f>
        <v>2018-2021</v>
      </c>
    </row>
    <row r="3987" spans="1:9" x14ac:dyDescent="0.3">
      <c r="A3987" t="s">
        <v>26</v>
      </c>
      <c r="B3987">
        <v>2024</v>
      </c>
      <c r="C3987" t="s">
        <v>14</v>
      </c>
      <c r="D3987">
        <v>3771.8</v>
      </c>
      <c r="E3987">
        <v>3221.32</v>
      </c>
      <c r="F3987">
        <v>42.31</v>
      </c>
      <c r="G3987">
        <v>1374.53</v>
      </c>
      <c r="H3987">
        <f>E3987*1000000/D3987</f>
        <v>854053.76743199525</v>
      </c>
      <c r="I3987" t="str">
        <f>IF(AND(B3987&gt;=2018, B3987&lt;=2021), "2018-2021", IF(AND(B3987&gt;=2022, B3987&lt;=2024), "2022-2024", "Other"))</f>
        <v>2022-2024</v>
      </c>
    </row>
    <row r="3988" spans="1:9" x14ac:dyDescent="0.3">
      <c r="A3988" t="s">
        <v>22</v>
      </c>
      <c r="B3988">
        <v>2020</v>
      </c>
      <c r="C3988" t="s">
        <v>2</v>
      </c>
      <c r="D3988">
        <v>16449.71</v>
      </c>
      <c r="E3988">
        <v>13204.62</v>
      </c>
      <c r="F3988">
        <v>70.599999999999994</v>
      </c>
      <c r="G3988">
        <v>397</v>
      </c>
      <c r="H3988">
        <f>E3988*1000000/D3988</f>
        <v>802726.61341750098</v>
      </c>
      <c r="I3988" t="str">
        <f>IF(AND(B3988&gt;=2018, B3988&lt;=2021), "2018-2021", IF(AND(B3988&gt;=2022, B3988&lt;=2024), "2022-2024", "Other"))</f>
        <v>2018-2021</v>
      </c>
    </row>
    <row r="3989" spans="1:9" x14ac:dyDescent="0.3">
      <c r="A3989" t="s">
        <v>18</v>
      </c>
      <c r="B3989">
        <v>2020</v>
      </c>
      <c r="C3989" t="s">
        <v>8</v>
      </c>
      <c r="D3989">
        <v>45537.84</v>
      </c>
      <c r="E3989">
        <v>44766.55</v>
      </c>
      <c r="F3989">
        <v>145.38</v>
      </c>
      <c r="G3989">
        <v>489.37</v>
      </c>
      <c r="H3989">
        <f>E3989*1000000/D3989</f>
        <v>983062.65734167455</v>
      </c>
      <c r="I3989" t="str">
        <f>IF(AND(B3989&gt;=2018, B3989&lt;=2021), "2018-2021", IF(AND(B3989&gt;=2022, B3989&lt;=2024), "2022-2024", "Other"))</f>
        <v>2018-2021</v>
      </c>
    </row>
    <row r="3990" spans="1:9" x14ac:dyDescent="0.3">
      <c r="A3990" t="s">
        <v>13</v>
      </c>
      <c r="B3990">
        <v>2024</v>
      </c>
      <c r="C3990" t="s">
        <v>0</v>
      </c>
      <c r="D3990">
        <v>40280.76</v>
      </c>
      <c r="E3990">
        <v>45344.83</v>
      </c>
      <c r="F3990">
        <v>141.41999999999999</v>
      </c>
      <c r="G3990">
        <v>607.47</v>
      </c>
      <c r="H3990">
        <f>E3990*1000000/D3990</f>
        <v>1125719.3260504517</v>
      </c>
      <c r="I3990" t="str">
        <f>IF(AND(B3990&gt;=2018, B3990&lt;=2021), "2018-2021", IF(AND(B3990&gt;=2022, B3990&lt;=2024), "2022-2024", "Other"))</f>
        <v>2022-2024</v>
      </c>
    </row>
    <row r="3991" spans="1:9" x14ac:dyDescent="0.3">
      <c r="A3991" t="s">
        <v>11</v>
      </c>
      <c r="B3991">
        <v>2021</v>
      </c>
      <c r="C3991" t="s">
        <v>8</v>
      </c>
      <c r="D3991">
        <v>6385.32</v>
      </c>
      <c r="E3991">
        <v>5824.93</v>
      </c>
      <c r="F3991">
        <v>22.85</v>
      </c>
      <c r="G3991">
        <v>697.78</v>
      </c>
      <c r="H3991">
        <f>E3991*1000000/D3991</f>
        <v>912237.75785708474</v>
      </c>
      <c r="I3991" t="str">
        <f>IF(AND(B3991&gt;=2018, B3991&lt;=2021), "2018-2021", IF(AND(B3991&gt;=2022, B3991&lt;=2024), "2022-2024", "Other"))</f>
        <v>2018-2021</v>
      </c>
    </row>
    <row r="3992" spans="1:9" x14ac:dyDescent="0.3">
      <c r="A3992" t="s">
        <v>19</v>
      </c>
      <c r="B3992">
        <v>2019</v>
      </c>
      <c r="C3992" t="s">
        <v>2</v>
      </c>
      <c r="D3992">
        <v>40586.76</v>
      </c>
      <c r="E3992">
        <v>47867.15</v>
      </c>
      <c r="F3992">
        <v>179.54</v>
      </c>
      <c r="G3992">
        <v>795.6</v>
      </c>
      <c r="H3992">
        <f>E3992*1000000/D3992</f>
        <v>1179378.4475528472</v>
      </c>
      <c r="I3992" t="str">
        <f>IF(AND(B3992&gt;=2018, B3992&lt;=2021), "2018-2021", IF(AND(B3992&gt;=2022, B3992&lt;=2024), "2022-2024", "Other"))</f>
        <v>2018-2021</v>
      </c>
    </row>
    <row r="3993" spans="1:9" x14ac:dyDescent="0.3">
      <c r="A3993" t="s">
        <v>17</v>
      </c>
      <c r="B3993">
        <v>2021</v>
      </c>
      <c r="C3993" t="s">
        <v>14</v>
      </c>
      <c r="D3993">
        <v>28582.65</v>
      </c>
      <c r="E3993">
        <v>23208.720000000001</v>
      </c>
      <c r="F3993">
        <v>96.05</v>
      </c>
      <c r="G3993">
        <v>328.26</v>
      </c>
      <c r="H3993">
        <f>E3993*1000000/D3993</f>
        <v>811986.29238366627</v>
      </c>
      <c r="I3993" t="str">
        <f>IF(AND(B3993&gt;=2018, B3993&lt;=2021), "2018-2021", IF(AND(B3993&gt;=2022, B3993&lt;=2024), "2022-2024", "Other"))</f>
        <v>2018-2021</v>
      </c>
    </row>
    <row r="3994" spans="1:9" x14ac:dyDescent="0.3">
      <c r="A3994" t="s">
        <v>7</v>
      </c>
      <c r="B3994">
        <v>2018</v>
      </c>
      <c r="C3994" t="s">
        <v>4</v>
      </c>
      <c r="D3994">
        <v>12401.47</v>
      </c>
      <c r="E3994">
        <v>11448.82</v>
      </c>
      <c r="F3994">
        <v>100.24</v>
      </c>
      <c r="G3994">
        <v>321.57</v>
      </c>
      <c r="H3994">
        <f>E3994*1000000/D3994</f>
        <v>923182.49368824833</v>
      </c>
      <c r="I3994" t="str">
        <f>IF(AND(B3994&gt;=2018, B3994&lt;=2021), "2018-2021", IF(AND(B3994&gt;=2022, B3994&lt;=2024), "2022-2024", "Other"))</f>
        <v>2018-2021</v>
      </c>
    </row>
    <row r="3995" spans="1:9" x14ac:dyDescent="0.3">
      <c r="A3995" t="s">
        <v>21</v>
      </c>
      <c r="B3995">
        <v>2020</v>
      </c>
      <c r="C3995" t="s">
        <v>14</v>
      </c>
      <c r="D3995">
        <v>1401.62</v>
      </c>
      <c r="E3995">
        <v>1256.8399999999999</v>
      </c>
      <c r="F3995">
        <v>60.51</v>
      </c>
      <c r="G3995">
        <v>1232.33</v>
      </c>
      <c r="H3995">
        <f>E3995*1000000/D3995</f>
        <v>896705.24107818108</v>
      </c>
      <c r="I3995" t="str">
        <f>IF(AND(B3995&gt;=2018, B3995&lt;=2021), "2018-2021", IF(AND(B3995&gt;=2022, B3995&lt;=2024), "2022-2024", "Other"))</f>
        <v>2018-2021</v>
      </c>
    </row>
    <row r="3996" spans="1:9" x14ac:dyDescent="0.3">
      <c r="A3996" t="s">
        <v>7</v>
      </c>
      <c r="B3996">
        <v>2020</v>
      </c>
      <c r="C3996" t="s">
        <v>4</v>
      </c>
      <c r="D3996">
        <v>30545.07</v>
      </c>
      <c r="E3996">
        <v>25240.14</v>
      </c>
      <c r="F3996">
        <v>174.74</v>
      </c>
      <c r="G3996">
        <v>1191.1500000000001</v>
      </c>
      <c r="H3996">
        <f>E3996*1000000/D3996</f>
        <v>826324.50997820601</v>
      </c>
      <c r="I3996" t="str">
        <f>IF(AND(B3996&gt;=2018, B3996&lt;=2021), "2018-2021", IF(AND(B3996&gt;=2022, B3996&lt;=2024), "2022-2024", "Other"))</f>
        <v>2018-2021</v>
      </c>
    </row>
    <row r="3997" spans="1:9" x14ac:dyDescent="0.3">
      <c r="A3997" t="s">
        <v>5</v>
      </c>
      <c r="B3997">
        <v>2023</v>
      </c>
      <c r="C3997" t="s">
        <v>8</v>
      </c>
      <c r="D3997">
        <v>38744.410000000003</v>
      </c>
      <c r="E3997">
        <v>31808.42</v>
      </c>
      <c r="F3997">
        <v>123.07</v>
      </c>
      <c r="G3997">
        <v>603</v>
      </c>
      <c r="H3997">
        <f>E3997*1000000/D3997</f>
        <v>820980.88472633855</v>
      </c>
      <c r="I3997" t="str">
        <f>IF(AND(B3997&gt;=2018, B3997&lt;=2021), "2018-2021", IF(AND(B3997&gt;=2022, B3997&lt;=2024), "2022-2024", "Other"))</f>
        <v>2022-2024</v>
      </c>
    </row>
    <row r="3998" spans="1:9" x14ac:dyDescent="0.3">
      <c r="A3998" t="s">
        <v>10</v>
      </c>
      <c r="B3998">
        <v>2022</v>
      </c>
      <c r="C3998" t="s">
        <v>12</v>
      </c>
      <c r="D3998">
        <v>8352.25</v>
      </c>
      <c r="E3998">
        <v>7851.65</v>
      </c>
      <c r="F3998">
        <v>50.15</v>
      </c>
      <c r="G3998">
        <v>1108.56</v>
      </c>
      <c r="H3998">
        <f>E3998*1000000/D3998</f>
        <v>940064.05459606694</v>
      </c>
      <c r="I3998" t="str">
        <f>IF(AND(B3998&gt;=2018, B3998&lt;=2021), "2018-2021", IF(AND(B3998&gt;=2022, B3998&lt;=2024), "2022-2024", "Other"))</f>
        <v>2022-2024</v>
      </c>
    </row>
    <row r="3999" spans="1:9" x14ac:dyDescent="0.3">
      <c r="A3999" t="s">
        <v>13</v>
      </c>
      <c r="B3999">
        <v>2018</v>
      </c>
      <c r="C3999" t="s">
        <v>14</v>
      </c>
      <c r="D3999">
        <v>29588.57</v>
      </c>
      <c r="E3999">
        <v>30075.64</v>
      </c>
      <c r="F3999">
        <v>149.51</v>
      </c>
      <c r="G3999">
        <v>1182.92</v>
      </c>
      <c r="H3999">
        <f>E3999*1000000/D3999</f>
        <v>1016461.424124248</v>
      </c>
      <c r="I3999" t="str">
        <f>IF(AND(B3999&gt;=2018, B3999&lt;=2021), "2018-2021", IF(AND(B3999&gt;=2022, B3999&lt;=2024), "2022-2024", "Other"))</f>
        <v>2018-2021</v>
      </c>
    </row>
    <row r="4000" spans="1:9" x14ac:dyDescent="0.3">
      <c r="A4000" t="s">
        <v>11</v>
      </c>
      <c r="B4000">
        <v>2019</v>
      </c>
      <c r="C4000" t="s">
        <v>6</v>
      </c>
      <c r="D4000">
        <v>20653.43</v>
      </c>
      <c r="E4000">
        <v>18253.02</v>
      </c>
      <c r="F4000">
        <v>103.72</v>
      </c>
      <c r="G4000">
        <v>450.44</v>
      </c>
      <c r="H4000">
        <f>E4000*1000000/D4000</f>
        <v>883776.68987669365</v>
      </c>
      <c r="I4000" t="str">
        <f>IF(AND(B4000&gt;=2018, B4000&lt;=2021), "2018-2021", IF(AND(B4000&gt;=2022, B4000&lt;=2024), "2022-2024", "Other"))</f>
        <v>2018-2021</v>
      </c>
    </row>
    <row r="4001" spans="1:9" x14ac:dyDescent="0.3">
      <c r="A4001" t="s">
        <v>25</v>
      </c>
      <c r="B4001">
        <v>2020</v>
      </c>
      <c r="C4001" t="s">
        <v>12</v>
      </c>
      <c r="D4001">
        <v>32652.959999999999</v>
      </c>
      <c r="E4001">
        <v>35165.550000000003</v>
      </c>
      <c r="F4001">
        <v>134.06</v>
      </c>
      <c r="G4001">
        <v>23.49</v>
      </c>
      <c r="H4001">
        <f>E4001*1000000/D4001</f>
        <v>1076948.3072897526</v>
      </c>
      <c r="I4001" t="str">
        <f>IF(AND(B4001&gt;=2018, B4001&lt;=2021), "2018-2021", IF(AND(B4001&gt;=2022, B4001&lt;=2024), "2022-2024", "Other"))</f>
        <v>2018-2021</v>
      </c>
    </row>
    <row r="4002" spans="1:9" x14ac:dyDescent="0.3">
      <c r="A4002" t="s">
        <v>24</v>
      </c>
      <c r="B4002">
        <v>2019</v>
      </c>
      <c r="C4002" t="s">
        <v>14</v>
      </c>
      <c r="D4002">
        <v>13538.96</v>
      </c>
      <c r="E4002">
        <v>12305.63</v>
      </c>
      <c r="F4002">
        <v>185.53</v>
      </c>
      <c r="G4002">
        <v>1073.95</v>
      </c>
      <c r="H4002">
        <f>E4002*1000000/D4002</f>
        <v>908905.1153116636</v>
      </c>
      <c r="I4002" t="str">
        <f>IF(AND(B4002&gt;=2018, B4002&lt;=2021), "2018-2021", IF(AND(B4002&gt;=2022, B4002&lt;=2024), "2022-2024", "Other"))</f>
        <v>2018-2021</v>
      </c>
    </row>
    <row r="4003" spans="1:9" x14ac:dyDescent="0.3">
      <c r="A4003" t="s">
        <v>7</v>
      </c>
      <c r="B4003">
        <v>2019</v>
      </c>
      <c r="C4003" t="s">
        <v>4</v>
      </c>
      <c r="D4003">
        <v>3613.99</v>
      </c>
      <c r="E4003">
        <v>3087.86</v>
      </c>
      <c r="F4003">
        <v>136.53</v>
      </c>
      <c r="G4003">
        <v>349.48</v>
      </c>
      <c r="H4003">
        <f>E4003*1000000/D4003</f>
        <v>854418.5235709009</v>
      </c>
      <c r="I4003" t="str">
        <f>IF(AND(B4003&gt;=2018, B4003&lt;=2021), "2018-2021", IF(AND(B4003&gt;=2022, B4003&lt;=2024), "2022-2024", "Other"))</f>
        <v>2018-2021</v>
      </c>
    </row>
    <row r="4004" spans="1:9" x14ac:dyDescent="0.3">
      <c r="A4004" t="s">
        <v>18</v>
      </c>
      <c r="B4004">
        <v>2020</v>
      </c>
      <c r="C4004" t="s">
        <v>8</v>
      </c>
      <c r="D4004">
        <v>22568.080000000002</v>
      </c>
      <c r="E4004">
        <v>22703.7</v>
      </c>
      <c r="F4004">
        <v>124.49</v>
      </c>
      <c r="G4004">
        <v>825.9</v>
      </c>
      <c r="H4004">
        <f>E4004*1000000/D4004</f>
        <v>1006009.3725296968</v>
      </c>
      <c r="I4004" t="str">
        <f>IF(AND(B4004&gt;=2018, B4004&lt;=2021), "2018-2021", IF(AND(B4004&gt;=2022, B4004&lt;=2024), "2022-2024", "Other"))</f>
        <v>2018-2021</v>
      </c>
    </row>
    <row r="4005" spans="1:9" x14ac:dyDescent="0.3">
      <c r="A4005" t="s">
        <v>20</v>
      </c>
      <c r="B4005">
        <v>2018</v>
      </c>
      <c r="C4005" t="s">
        <v>4</v>
      </c>
      <c r="D4005">
        <v>43768.06</v>
      </c>
      <c r="E4005">
        <v>45522.98</v>
      </c>
      <c r="F4005">
        <v>53.65</v>
      </c>
      <c r="G4005">
        <v>1138.1199999999999</v>
      </c>
      <c r="H4005">
        <f>E4005*1000000/D4005</f>
        <v>1040095.9055530449</v>
      </c>
      <c r="I4005" t="str">
        <f>IF(AND(B4005&gt;=2018, B4005&lt;=2021), "2018-2021", IF(AND(B4005&gt;=2022, B4005&lt;=2024), "2022-2024", "Other"))</f>
        <v>2018-2021</v>
      </c>
    </row>
    <row r="4006" spans="1:9" x14ac:dyDescent="0.3">
      <c r="A4006" t="s">
        <v>22</v>
      </c>
      <c r="B4006">
        <v>2018</v>
      </c>
      <c r="C4006" t="s">
        <v>6</v>
      </c>
      <c r="D4006">
        <v>9006.2999999999993</v>
      </c>
      <c r="E4006">
        <v>8000.91</v>
      </c>
      <c r="F4006">
        <v>172.54</v>
      </c>
      <c r="G4006">
        <v>1054.6099999999999</v>
      </c>
      <c r="H4006">
        <f>E4006*1000000/D4006</f>
        <v>888368.14230038982</v>
      </c>
      <c r="I4006" t="str">
        <f>IF(AND(B4006&gt;=2018, B4006&lt;=2021), "2018-2021", IF(AND(B4006&gt;=2022, B4006&lt;=2024), "2022-2024", "Other"))</f>
        <v>2018-2021</v>
      </c>
    </row>
    <row r="4007" spans="1:9" x14ac:dyDescent="0.3">
      <c r="A4007" t="s">
        <v>1</v>
      </c>
      <c r="B4007">
        <v>2020</v>
      </c>
      <c r="C4007" t="s">
        <v>9</v>
      </c>
      <c r="D4007">
        <v>45559.31</v>
      </c>
      <c r="E4007">
        <v>47508.31</v>
      </c>
      <c r="F4007">
        <v>137.62</v>
      </c>
      <c r="G4007">
        <v>364.73</v>
      </c>
      <c r="H4007">
        <f>E4007*1000000/D4007</f>
        <v>1042779.4011805711</v>
      </c>
      <c r="I4007" t="str">
        <f>IF(AND(B4007&gt;=2018, B4007&lt;=2021), "2018-2021", IF(AND(B4007&gt;=2022, B4007&lt;=2024), "2022-2024", "Other"))</f>
        <v>2018-2021</v>
      </c>
    </row>
    <row r="4008" spans="1:9" x14ac:dyDescent="0.3">
      <c r="A4008" t="s">
        <v>7</v>
      </c>
      <c r="B4008">
        <v>2022</v>
      </c>
      <c r="C4008" t="s">
        <v>9</v>
      </c>
      <c r="D4008">
        <v>20372.16</v>
      </c>
      <c r="E4008">
        <v>21673.06</v>
      </c>
      <c r="F4008">
        <v>141.76</v>
      </c>
      <c r="G4008">
        <v>758.88</v>
      </c>
      <c r="H4008">
        <f>E4008*1000000/D4008</f>
        <v>1063856.7535303081</v>
      </c>
      <c r="I4008" t="str">
        <f>IF(AND(B4008&gt;=2018, B4008&lt;=2021), "2018-2021", IF(AND(B4008&gt;=2022, B4008&lt;=2024), "2022-2024", "Other"))</f>
        <v>2022-2024</v>
      </c>
    </row>
    <row r="4009" spans="1:9" x14ac:dyDescent="0.3">
      <c r="A4009" t="s">
        <v>18</v>
      </c>
      <c r="B4009">
        <v>2022</v>
      </c>
      <c r="C4009" t="s">
        <v>6</v>
      </c>
      <c r="D4009">
        <v>18814.310000000001</v>
      </c>
      <c r="E4009">
        <v>16286.36</v>
      </c>
      <c r="F4009">
        <v>89.87</v>
      </c>
      <c r="G4009">
        <v>1387.49</v>
      </c>
      <c r="H4009">
        <f>E4009*1000000/D4009</f>
        <v>865636.8476973112</v>
      </c>
      <c r="I4009" t="str">
        <f>IF(AND(B4009&gt;=2018, B4009&lt;=2021), "2018-2021", IF(AND(B4009&gt;=2022, B4009&lt;=2024), "2022-2024", "Other"))</f>
        <v>2022-2024</v>
      </c>
    </row>
    <row r="4010" spans="1:9" x14ac:dyDescent="0.3">
      <c r="A4010" t="s">
        <v>18</v>
      </c>
      <c r="B4010">
        <v>2023</v>
      </c>
      <c r="C4010" t="s">
        <v>2</v>
      </c>
      <c r="D4010">
        <v>25255.87</v>
      </c>
      <c r="E4010">
        <v>29351.15</v>
      </c>
      <c r="F4010">
        <v>160.37</v>
      </c>
      <c r="G4010">
        <v>643.73</v>
      </c>
      <c r="H4010">
        <f>E4010*1000000/D4010</f>
        <v>1162151.6106948603</v>
      </c>
      <c r="I4010" t="str">
        <f>IF(AND(B4010&gt;=2018, B4010&lt;=2021), "2018-2021", IF(AND(B4010&gt;=2022, B4010&lt;=2024), "2022-2024", "Other"))</f>
        <v>2022-2024</v>
      </c>
    </row>
    <row r="4011" spans="1:9" x14ac:dyDescent="0.3">
      <c r="A4011" t="s">
        <v>20</v>
      </c>
      <c r="B4011">
        <v>2022</v>
      </c>
      <c r="C4011" t="s">
        <v>9</v>
      </c>
      <c r="D4011">
        <v>24800.87</v>
      </c>
      <c r="E4011">
        <v>28942.48</v>
      </c>
      <c r="F4011">
        <v>94.71</v>
      </c>
      <c r="G4011">
        <v>1060.06</v>
      </c>
      <c r="H4011">
        <f>E4011*1000000/D4011</f>
        <v>1166994.5449494312</v>
      </c>
      <c r="I4011" t="str">
        <f>IF(AND(B4011&gt;=2018, B4011&lt;=2021), "2018-2021", IF(AND(B4011&gt;=2022, B4011&lt;=2024), "2022-2024", "Other"))</f>
        <v>2022-2024</v>
      </c>
    </row>
    <row r="4012" spans="1:9" x14ac:dyDescent="0.3">
      <c r="A4012" t="s">
        <v>7</v>
      </c>
      <c r="B4012">
        <v>2018</v>
      </c>
      <c r="C4012" t="s">
        <v>14</v>
      </c>
      <c r="D4012">
        <v>24220.54</v>
      </c>
      <c r="E4012">
        <v>20618.900000000001</v>
      </c>
      <c r="F4012">
        <v>93.73</v>
      </c>
      <c r="G4012">
        <v>251.86</v>
      </c>
      <c r="H4012">
        <f>E4012*1000000/D4012</f>
        <v>851298.11308913841</v>
      </c>
      <c r="I4012" t="str">
        <f>IF(AND(B4012&gt;=2018, B4012&lt;=2021), "2018-2021", IF(AND(B4012&gt;=2022, B4012&lt;=2024), "2022-2024", "Other"))</f>
        <v>2018-2021</v>
      </c>
    </row>
    <row r="4013" spans="1:9" x14ac:dyDescent="0.3">
      <c r="A4013" t="s">
        <v>20</v>
      </c>
      <c r="B4013">
        <v>2024</v>
      </c>
      <c r="C4013" t="s">
        <v>2</v>
      </c>
      <c r="D4013">
        <v>7290.09</v>
      </c>
      <c r="E4013">
        <v>6996.1</v>
      </c>
      <c r="F4013">
        <v>131.22999999999999</v>
      </c>
      <c r="G4013">
        <v>502.55</v>
      </c>
      <c r="H4013">
        <f>E4013*1000000/D4013</f>
        <v>959672.65150361648</v>
      </c>
      <c r="I4013" t="str">
        <f>IF(AND(B4013&gt;=2018, B4013&lt;=2021), "2018-2021", IF(AND(B4013&gt;=2022, B4013&lt;=2024), "2022-2024", "Other"))</f>
        <v>2022-2024</v>
      </c>
    </row>
    <row r="4014" spans="1:9" x14ac:dyDescent="0.3">
      <c r="A4014" t="s">
        <v>20</v>
      </c>
      <c r="B4014">
        <v>2018</v>
      </c>
      <c r="C4014" t="s">
        <v>0</v>
      </c>
      <c r="D4014">
        <v>27534.23</v>
      </c>
      <c r="E4014">
        <v>29110.52</v>
      </c>
      <c r="F4014">
        <v>162.58000000000001</v>
      </c>
      <c r="G4014">
        <v>693.46</v>
      </c>
      <c r="H4014">
        <f>E4014*1000000/D4014</f>
        <v>1057248.3777465359</v>
      </c>
      <c r="I4014" t="str">
        <f>IF(AND(B4014&gt;=2018, B4014&lt;=2021), "2018-2021", IF(AND(B4014&gt;=2022, B4014&lt;=2024), "2022-2024", "Other"))</f>
        <v>2018-2021</v>
      </c>
    </row>
    <row r="4015" spans="1:9" x14ac:dyDescent="0.3">
      <c r="A4015" t="s">
        <v>16</v>
      </c>
      <c r="B4015">
        <v>2021</v>
      </c>
      <c r="C4015" t="s">
        <v>0</v>
      </c>
      <c r="D4015">
        <v>4405.63</v>
      </c>
      <c r="E4015">
        <v>4759.8100000000004</v>
      </c>
      <c r="F4015">
        <v>116.46</v>
      </c>
      <c r="G4015">
        <v>73.64</v>
      </c>
      <c r="H4015">
        <f>E4015*1000000/D4015</f>
        <v>1080392.5885741652</v>
      </c>
      <c r="I4015" t="str">
        <f>IF(AND(B4015&gt;=2018, B4015&lt;=2021), "2018-2021", IF(AND(B4015&gt;=2022, B4015&lt;=2024), "2022-2024", "Other"))</f>
        <v>2018-2021</v>
      </c>
    </row>
    <row r="4016" spans="1:9" x14ac:dyDescent="0.3">
      <c r="A4016" t="s">
        <v>3</v>
      </c>
      <c r="B4016">
        <v>2023</v>
      </c>
      <c r="C4016" t="s">
        <v>4</v>
      </c>
      <c r="D4016">
        <v>19342.060000000001</v>
      </c>
      <c r="E4016">
        <v>19006.54</v>
      </c>
      <c r="F4016">
        <v>175.68</v>
      </c>
      <c r="G4016">
        <v>985.03</v>
      </c>
      <c r="H4016">
        <f>E4016*1000000/D4016</f>
        <v>982653.34716157429</v>
      </c>
      <c r="I4016" t="str">
        <f>IF(AND(B4016&gt;=2018, B4016&lt;=2021), "2018-2021", IF(AND(B4016&gt;=2022, B4016&lt;=2024), "2022-2024", "Other"))</f>
        <v>2022-2024</v>
      </c>
    </row>
    <row r="4017" spans="1:9" x14ac:dyDescent="0.3">
      <c r="A4017" t="s">
        <v>27</v>
      </c>
      <c r="B4017">
        <v>2023</v>
      </c>
      <c r="C4017" t="s">
        <v>6</v>
      </c>
      <c r="D4017">
        <v>4171.2</v>
      </c>
      <c r="E4017">
        <v>3903.89</v>
      </c>
      <c r="F4017">
        <v>130.46</v>
      </c>
      <c r="G4017">
        <v>1045.8699999999999</v>
      </c>
      <c r="H4017">
        <f>E4017*1000000/D4017</f>
        <v>935915.32412734954</v>
      </c>
      <c r="I4017" t="str">
        <f>IF(AND(B4017&gt;=2018, B4017&lt;=2021), "2018-2021", IF(AND(B4017&gt;=2022, B4017&lt;=2024), "2022-2024", "Other"))</f>
        <v>2022-2024</v>
      </c>
    </row>
    <row r="4018" spans="1:9" x14ac:dyDescent="0.3">
      <c r="A4018" t="s">
        <v>25</v>
      </c>
      <c r="B4018">
        <v>2019</v>
      </c>
      <c r="C4018" t="s">
        <v>0</v>
      </c>
      <c r="D4018">
        <v>23728.91</v>
      </c>
      <c r="E4018">
        <v>23191.39</v>
      </c>
      <c r="F4018">
        <v>30.35</v>
      </c>
      <c r="G4018">
        <v>1145</v>
      </c>
      <c r="H4018">
        <f>E4018*1000000/D4018</f>
        <v>977347.46349495195</v>
      </c>
      <c r="I4018" t="str">
        <f>IF(AND(B4018&gt;=2018, B4018&lt;=2021), "2018-2021", IF(AND(B4018&gt;=2022, B4018&lt;=2024), "2022-2024", "Other"))</f>
        <v>2018-2021</v>
      </c>
    </row>
    <row r="4019" spans="1:9" x14ac:dyDescent="0.3">
      <c r="A4019" t="s">
        <v>19</v>
      </c>
      <c r="B4019">
        <v>2023</v>
      </c>
      <c r="C4019" t="s">
        <v>0</v>
      </c>
      <c r="D4019">
        <v>34600.629999999997</v>
      </c>
      <c r="E4019">
        <v>33104.379999999997</v>
      </c>
      <c r="F4019">
        <v>185.05</v>
      </c>
      <c r="G4019">
        <v>478.41</v>
      </c>
      <c r="H4019">
        <f>E4019*1000000/D4019</f>
        <v>956756.56772723503</v>
      </c>
      <c r="I4019" t="str">
        <f>IF(AND(B4019&gt;=2018, B4019&lt;=2021), "2018-2021", IF(AND(B4019&gt;=2022, B4019&lt;=2024), "2022-2024", "Other"))</f>
        <v>2022-2024</v>
      </c>
    </row>
    <row r="4020" spans="1:9" x14ac:dyDescent="0.3">
      <c r="A4020" t="s">
        <v>20</v>
      </c>
      <c r="B4020">
        <v>2023</v>
      </c>
      <c r="C4020" t="s">
        <v>2</v>
      </c>
      <c r="D4020">
        <v>18902.400000000001</v>
      </c>
      <c r="E4020">
        <v>18747.79</v>
      </c>
      <c r="F4020">
        <v>100.82</v>
      </c>
      <c r="G4020">
        <v>369.03</v>
      </c>
      <c r="H4020">
        <f>E4020*1000000/D4020</f>
        <v>991820.61537159292</v>
      </c>
      <c r="I4020" t="str">
        <f>IF(AND(B4020&gt;=2018, B4020&lt;=2021), "2018-2021", IF(AND(B4020&gt;=2022, B4020&lt;=2024), "2022-2024", "Other"))</f>
        <v>2022-2024</v>
      </c>
    </row>
    <row r="4021" spans="1:9" x14ac:dyDescent="0.3">
      <c r="A4021" t="s">
        <v>3</v>
      </c>
      <c r="B4021">
        <v>2023</v>
      </c>
      <c r="C4021" t="s">
        <v>14</v>
      </c>
      <c r="D4021">
        <v>17597.05</v>
      </c>
      <c r="E4021">
        <v>17582.88</v>
      </c>
      <c r="F4021">
        <v>164.06</v>
      </c>
      <c r="G4021">
        <v>222.8</v>
      </c>
      <c r="H4021">
        <f>E4021*1000000/D4021</f>
        <v>999194.75139298919</v>
      </c>
      <c r="I4021" t="str">
        <f>IF(AND(B4021&gt;=2018, B4021&lt;=2021), "2018-2021", IF(AND(B4021&gt;=2022, B4021&lt;=2024), "2022-2024", "Other"))</f>
        <v>2022-2024</v>
      </c>
    </row>
    <row r="4022" spans="1:9" x14ac:dyDescent="0.3">
      <c r="A4022" t="s">
        <v>24</v>
      </c>
      <c r="B4022">
        <v>2022</v>
      </c>
      <c r="C4022" t="s">
        <v>4</v>
      </c>
      <c r="D4022">
        <v>35852.300000000003</v>
      </c>
      <c r="E4022">
        <v>41996.52</v>
      </c>
      <c r="F4022">
        <v>167.88</v>
      </c>
      <c r="G4022">
        <v>1307.1500000000001</v>
      </c>
      <c r="H4022">
        <f>E4022*1000000/D4022</f>
        <v>1171375.8949913951</v>
      </c>
      <c r="I4022" t="str">
        <f>IF(AND(B4022&gt;=2018, B4022&lt;=2021), "2018-2021", IF(AND(B4022&gt;=2022, B4022&lt;=2024), "2022-2024", "Other"))</f>
        <v>2022-2024</v>
      </c>
    </row>
    <row r="4023" spans="1:9" x14ac:dyDescent="0.3">
      <c r="A4023" t="s">
        <v>1</v>
      </c>
      <c r="B4023">
        <v>2018</v>
      </c>
      <c r="C4023" t="s">
        <v>0</v>
      </c>
      <c r="D4023">
        <v>38755.01</v>
      </c>
      <c r="E4023">
        <v>39812.519999999997</v>
      </c>
      <c r="F4023">
        <v>58.81</v>
      </c>
      <c r="G4023">
        <v>895.89</v>
      </c>
      <c r="H4023">
        <f>E4023*1000000/D4023</f>
        <v>1027287.0526933162</v>
      </c>
      <c r="I4023" t="str">
        <f>IF(AND(B4023&gt;=2018, B4023&lt;=2021), "2018-2021", IF(AND(B4023&gt;=2022, B4023&lt;=2024), "2022-2024", "Other"))</f>
        <v>2018-2021</v>
      </c>
    </row>
    <row r="4024" spans="1:9" x14ac:dyDescent="0.3">
      <c r="A4024" t="s">
        <v>3</v>
      </c>
      <c r="B4024">
        <v>2020</v>
      </c>
      <c r="C4024" t="s">
        <v>9</v>
      </c>
      <c r="D4024">
        <v>8307.99</v>
      </c>
      <c r="E4024">
        <v>6650.19</v>
      </c>
      <c r="F4024">
        <v>149.59</v>
      </c>
      <c r="G4024">
        <v>221.14</v>
      </c>
      <c r="H4024">
        <f>E4024*1000000/D4024</f>
        <v>800457.15028544818</v>
      </c>
      <c r="I4024" t="str">
        <f>IF(AND(B4024&gt;=2018, B4024&lt;=2021), "2018-2021", IF(AND(B4024&gt;=2022, B4024&lt;=2024), "2022-2024", "Other"))</f>
        <v>2018-2021</v>
      </c>
    </row>
    <row r="4025" spans="1:9" x14ac:dyDescent="0.3">
      <c r="A4025" t="s">
        <v>26</v>
      </c>
      <c r="B4025">
        <v>2021</v>
      </c>
      <c r="C4025" t="s">
        <v>14</v>
      </c>
      <c r="D4025">
        <v>41548.85</v>
      </c>
      <c r="E4025">
        <v>34033.339999999997</v>
      </c>
      <c r="F4025">
        <v>106.19</v>
      </c>
      <c r="G4025">
        <v>564.04</v>
      </c>
      <c r="H4025">
        <f>E4025*1000000/D4025</f>
        <v>819116.29323073919</v>
      </c>
      <c r="I4025" t="str">
        <f>IF(AND(B4025&gt;=2018, B4025&lt;=2021), "2018-2021", IF(AND(B4025&gt;=2022, B4025&lt;=2024), "2022-2024", "Other"))</f>
        <v>2018-2021</v>
      </c>
    </row>
    <row r="4026" spans="1:9" x14ac:dyDescent="0.3">
      <c r="A4026" t="s">
        <v>27</v>
      </c>
      <c r="B4026">
        <v>2024</v>
      </c>
      <c r="C4026" t="s">
        <v>14</v>
      </c>
      <c r="D4026">
        <v>48474.74</v>
      </c>
      <c r="E4026">
        <v>43605.18</v>
      </c>
      <c r="F4026">
        <v>39.270000000000003</v>
      </c>
      <c r="G4026">
        <v>840.18</v>
      </c>
      <c r="H4026">
        <f>E4026*1000000/D4026</f>
        <v>899544.38125918782</v>
      </c>
      <c r="I4026" t="str">
        <f>IF(AND(B4026&gt;=2018, B4026&lt;=2021), "2018-2021", IF(AND(B4026&gt;=2022, B4026&lt;=2024), "2022-2024", "Other"))</f>
        <v>2022-2024</v>
      </c>
    </row>
    <row r="4027" spans="1:9" x14ac:dyDescent="0.3">
      <c r="A4027" t="s">
        <v>24</v>
      </c>
      <c r="B4027">
        <v>2021</v>
      </c>
      <c r="C4027" t="s">
        <v>12</v>
      </c>
      <c r="D4027">
        <v>28916.69</v>
      </c>
      <c r="E4027">
        <v>32196.55</v>
      </c>
      <c r="F4027">
        <v>134.55000000000001</v>
      </c>
      <c r="G4027">
        <v>950.8</v>
      </c>
      <c r="H4027">
        <f>E4027*1000000/D4027</f>
        <v>1113424.4617900597</v>
      </c>
      <c r="I4027" t="str">
        <f>IF(AND(B4027&gt;=2018, B4027&lt;=2021), "2018-2021", IF(AND(B4027&gt;=2022, B4027&lt;=2024), "2022-2024", "Other"))</f>
        <v>2018-2021</v>
      </c>
    </row>
    <row r="4028" spans="1:9" x14ac:dyDescent="0.3">
      <c r="A4028" t="s">
        <v>17</v>
      </c>
      <c r="B4028">
        <v>2019</v>
      </c>
      <c r="C4028" t="s">
        <v>6</v>
      </c>
      <c r="D4028">
        <v>31980.71</v>
      </c>
      <c r="E4028">
        <v>35434.660000000003</v>
      </c>
      <c r="F4028">
        <v>132.11000000000001</v>
      </c>
      <c r="G4028">
        <v>355.18</v>
      </c>
      <c r="H4028">
        <f>E4028*1000000/D4028</f>
        <v>1108001.0418780572</v>
      </c>
      <c r="I4028" t="str">
        <f>IF(AND(B4028&gt;=2018, B4028&lt;=2021), "2018-2021", IF(AND(B4028&gt;=2022, B4028&lt;=2024), "2022-2024", "Other"))</f>
        <v>2018-2021</v>
      </c>
    </row>
    <row r="4029" spans="1:9" x14ac:dyDescent="0.3">
      <c r="A4029" t="s">
        <v>16</v>
      </c>
      <c r="B4029">
        <v>2018</v>
      </c>
      <c r="C4029" t="s">
        <v>2</v>
      </c>
      <c r="D4029">
        <v>29922.27</v>
      </c>
      <c r="E4029">
        <v>35494.18</v>
      </c>
      <c r="F4029">
        <v>53.99</v>
      </c>
      <c r="G4029">
        <v>1138.6500000000001</v>
      </c>
      <c r="H4029">
        <f>E4029*1000000/D4029</f>
        <v>1186212.8107259241</v>
      </c>
      <c r="I4029" t="str">
        <f>IF(AND(B4029&gt;=2018, B4029&lt;=2021), "2018-2021", IF(AND(B4029&gt;=2022, B4029&lt;=2024), "2022-2024", "Other"))</f>
        <v>2018-2021</v>
      </c>
    </row>
    <row r="4030" spans="1:9" x14ac:dyDescent="0.3">
      <c r="A4030" t="s">
        <v>15</v>
      </c>
      <c r="B4030">
        <v>2020</v>
      </c>
      <c r="C4030" t="s">
        <v>12</v>
      </c>
      <c r="D4030">
        <v>38681.870000000003</v>
      </c>
      <c r="E4030">
        <v>33973.5</v>
      </c>
      <c r="F4030">
        <v>27.75</v>
      </c>
      <c r="G4030">
        <v>1054.51</v>
      </c>
      <c r="H4030">
        <f>E4030*1000000/D4030</f>
        <v>878279.66951959662</v>
      </c>
      <c r="I4030" t="str">
        <f>IF(AND(B4030&gt;=2018, B4030&lt;=2021), "2018-2021", IF(AND(B4030&gt;=2022, B4030&lt;=2024), "2022-2024", "Other"))</f>
        <v>2018-2021</v>
      </c>
    </row>
    <row r="4031" spans="1:9" x14ac:dyDescent="0.3">
      <c r="A4031" t="s">
        <v>27</v>
      </c>
      <c r="B4031">
        <v>2019</v>
      </c>
      <c r="C4031" t="s">
        <v>2</v>
      </c>
      <c r="D4031">
        <v>17963.27</v>
      </c>
      <c r="E4031">
        <v>20605.61</v>
      </c>
      <c r="F4031">
        <v>22.52</v>
      </c>
      <c r="G4031">
        <v>315.39</v>
      </c>
      <c r="H4031">
        <f>E4031*1000000/D4031</f>
        <v>1147096.8259119859</v>
      </c>
      <c r="I4031" t="str">
        <f>IF(AND(B4031&gt;=2018, B4031&lt;=2021), "2018-2021", IF(AND(B4031&gt;=2022, B4031&lt;=2024), "2022-2024", "Other"))</f>
        <v>2018-2021</v>
      </c>
    </row>
    <row r="4032" spans="1:9" x14ac:dyDescent="0.3">
      <c r="A4032" t="s">
        <v>3</v>
      </c>
      <c r="B4032">
        <v>2022</v>
      </c>
      <c r="C4032" t="s">
        <v>8</v>
      </c>
      <c r="D4032">
        <v>16867.64</v>
      </c>
      <c r="E4032">
        <v>19167.490000000002</v>
      </c>
      <c r="F4032">
        <v>157.32</v>
      </c>
      <c r="G4032">
        <v>1287.8499999999999</v>
      </c>
      <c r="H4032">
        <f>E4032*1000000/D4032</f>
        <v>1136346.8748443767</v>
      </c>
      <c r="I4032" t="str">
        <f>IF(AND(B4032&gt;=2018, B4032&lt;=2021), "2018-2021", IF(AND(B4032&gt;=2022, B4032&lt;=2024), "2022-2024", "Other"))</f>
        <v>2022-2024</v>
      </c>
    </row>
    <row r="4033" spans="1:9" x14ac:dyDescent="0.3">
      <c r="A4033" t="s">
        <v>22</v>
      </c>
      <c r="B4033">
        <v>2018</v>
      </c>
      <c r="C4033" t="s">
        <v>14</v>
      </c>
      <c r="D4033">
        <v>21928.77</v>
      </c>
      <c r="E4033">
        <v>25233.25</v>
      </c>
      <c r="F4033">
        <v>150.63999999999999</v>
      </c>
      <c r="G4033">
        <v>1101.44</v>
      </c>
      <c r="H4033">
        <f>E4033*1000000/D4033</f>
        <v>1150691.5344545089</v>
      </c>
      <c r="I4033" t="str">
        <f>IF(AND(B4033&gt;=2018, B4033&lt;=2021), "2018-2021", IF(AND(B4033&gt;=2022, B4033&lt;=2024), "2022-2024", "Other"))</f>
        <v>2018-2021</v>
      </c>
    </row>
    <row r="4034" spans="1:9" x14ac:dyDescent="0.3">
      <c r="A4034" t="s">
        <v>27</v>
      </c>
      <c r="B4034">
        <v>2021</v>
      </c>
      <c r="C4034" t="s">
        <v>9</v>
      </c>
      <c r="D4034">
        <v>40857.910000000003</v>
      </c>
      <c r="E4034">
        <v>46463.12</v>
      </c>
      <c r="F4034">
        <v>44.34</v>
      </c>
      <c r="G4034">
        <v>602.65</v>
      </c>
      <c r="H4034">
        <f>E4034*1000000/D4034</f>
        <v>1137187.8786751451</v>
      </c>
      <c r="I4034" t="str">
        <f>IF(AND(B4034&gt;=2018, B4034&lt;=2021), "2018-2021", IF(AND(B4034&gt;=2022, B4034&lt;=2024), "2022-2024", "Other"))</f>
        <v>2018-2021</v>
      </c>
    </row>
    <row r="4035" spans="1:9" x14ac:dyDescent="0.3">
      <c r="A4035" t="s">
        <v>18</v>
      </c>
      <c r="B4035">
        <v>2023</v>
      </c>
      <c r="C4035" t="s">
        <v>14</v>
      </c>
      <c r="D4035">
        <v>28810.62</v>
      </c>
      <c r="E4035">
        <v>34553.599999999999</v>
      </c>
      <c r="F4035">
        <v>129.68</v>
      </c>
      <c r="G4035">
        <v>856.13</v>
      </c>
      <c r="H4035">
        <f>E4035*1000000/D4035</f>
        <v>1199335.5228037438</v>
      </c>
      <c r="I4035" t="str">
        <f>IF(AND(B4035&gt;=2018, B4035&lt;=2021), "2018-2021", IF(AND(B4035&gt;=2022, B4035&lt;=2024), "2022-2024", "Other"))</f>
        <v>2022-2024</v>
      </c>
    </row>
    <row r="4036" spans="1:9" x14ac:dyDescent="0.3">
      <c r="A4036" t="s">
        <v>15</v>
      </c>
      <c r="B4036">
        <v>2019</v>
      </c>
      <c r="C4036" t="s">
        <v>12</v>
      </c>
      <c r="D4036">
        <v>17230.55</v>
      </c>
      <c r="E4036">
        <v>19353.55</v>
      </c>
      <c r="F4036">
        <v>177.45</v>
      </c>
      <c r="G4036">
        <v>224.07</v>
      </c>
      <c r="H4036">
        <f>E4036*1000000/D4036</f>
        <v>1123211.3890734771</v>
      </c>
      <c r="I4036" t="str">
        <f>IF(AND(B4036&gt;=2018, B4036&lt;=2021), "2018-2021", IF(AND(B4036&gt;=2022, B4036&lt;=2024), "2022-2024", "Other"))</f>
        <v>2018-2021</v>
      </c>
    </row>
    <row r="4037" spans="1:9" x14ac:dyDescent="0.3">
      <c r="A4037" t="s">
        <v>11</v>
      </c>
      <c r="B4037">
        <v>2018</v>
      </c>
      <c r="C4037" t="s">
        <v>2</v>
      </c>
      <c r="D4037">
        <v>38851.370000000003</v>
      </c>
      <c r="E4037">
        <v>34204.69</v>
      </c>
      <c r="F4037">
        <v>149.05000000000001</v>
      </c>
      <c r="G4037">
        <v>219.4</v>
      </c>
      <c r="H4037">
        <f>E4037*1000000/D4037</f>
        <v>880398.55479999806</v>
      </c>
      <c r="I4037" t="str">
        <f>IF(AND(B4037&gt;=2018, B4037&lt;=2021), "2018-2021", IF(AND(B4037&gt;=2022, B4037&lt;=2024), "2022-2024", "Other"))</f>
        <v>2018-2021</v>
      </c>
    </row>
    <row r="4038" spans="1:9" x14ac:dyDescent="0.3">
      <c r="A4038" t="s">
        <v>20</v>
      </c>
      <c r="B4038">
        <v>2018</v>
      </c>
      <c r="C4038" t="s">
        <v>0</v>
      </c>
      <c r="D4038">
        <v>23843.3</v>
      </c>
      <c r="E4038">
        <v>20013.400000000001</v>
      </c>
      <c r="F4038">
        <v>114.45</v>
      </c>
      <c r="G4038">
        <v>1259.8900000000001</v>
      </c>
      <c r="H4038">
        <f>E4038*1000000/D4038</f>
        <v>839372.06678605732</v>
      </c>
      <c r="I4038" t="str">
        <f>IF(AND(B4038&gt;=2018, B4038&lt;=2021), "2018-2021", IF(AND(B4038&gt;=2022, B4038&lt;=2024), "2022-2024", "Other"))</f>
        <v>2018-2021</v>
      </c>
    </row>
    <row r="4039" spans="1:9" x14ac:dyDescent="0.3">
      <c r="A4039" t="s">
        <v>20</v>
      </c>
      <c r="B4039">
        <v>2018</v>
      </c>
      <c r="C4039" t="s">
        <v>9</v>
      </c>
      <c r="D4039">
        <v>17775.87</v>
      </c>
      <c r="E4039">
        <v>14626.15</v>
      </c>
      <c r="F4039">
        <v>192.6</v>
      </c>
      <c r="G4039">
        <v>498.22</v>
      </c>
      <c r="H4039">
        <f>E4039*1000000/D4039</f>
        <v>822809.23521605413</v>
      </c>
      <c r="I4039" t="str">
        <f>IF(AND(B4039&gt;=2018, B4039&lt;=2021), "2018-2021", IF(AND(B4039&gt;=2022, B4039&lt;=2024), "2022-2024", "Other"))</f>
        <v>2018-2021</v>
      </c>
    </row>
    <row r="4040" spans="1:9" x14ac:dyDescent="0.3">
      <c r="A4040" t="s">
        <v>1</v>
      </c>
      <c r="B4040">
        <v>2020</v>
      </c>
      <c r="C4040" t="s">
        <v>4</v>
      </c>
      <c r="D4040">
        <v>39332.550000000003</v>
      </c>
      <c r="E4040">
        <v>43838.89</v>
      </c>
      <c r="F4040">
        <v>160.59</v>
      </c>
      <c r="G4040">
        <v>676.21</v>
      </c>
      <c r="H4040">
        <f>E4040*1000000/D4040</f>
        <v>1114570.2477973078</v>
      </c>
      <c r="I4040" t="str">
        <f>IF(AND(B4040&gt;=2018, B4040&lt;=2021), "2018-2021", IF(AND(B4040&gt;=2022, B4040&lt;=2024), "2022-2024", "Other"))</f>
        <v>2018-2021</v>
      </c>
    </row>
    <row r="4041" spans="1:9" x14ac:dyDescent="0.3">
      <c r="A4041" t="s">
        <v>18</v>
      </c>
      <c r="B4041">
        <v>2022</v>
      </c>
      <c r="C4041" t="s">
        <v>9</v>
      </c>
      <c r="D4041">
        <v>37794.81</v>
      </c>
      <c r="E4041">
        <v>31849.599999999999</v>
      </c>
      <c r="F4041">
        <v>48.76</v>
      </c>
      <c r="G4041">
        <v>76.599999999999994</v>
      </c>
      <c r="H4041">
        <f>E4041*1000000/D4041</f>
        <v>842697.71431580163</v>
      </c>
      <c r="I4041" t="str">
        <f>IF(AND(B4041&gt;=2018, B4041&lt;=2021), "2018-2021", IF(AND(B4041&gt;=2022, B4041&lt;=2024), "2022-2024", "Other"))</f>
        <v>2022-2024</v>
      </c>
    </row>
    <row r="4042" spans="1:9" x14ac:dyDescent="0.3">
      <c r="A4042" t="s">
        <v>23</v>
      </c>
      <c r="B4042">
        <v>2023</v>
      </c>
      <c r="C4042" t="s">
        <v>8</v>
      </c>
      <c r="D4042">
        <v>32843.06</v>
      </c>
      <c r="E4042">
        <v>27504.95</v>
      </c>
      <c r="F4042">
        <v>143.86000000000001</v>
      </c>
      <c r="G4042">
        <v>491.46</v>
      </c>
      <c r="H4042">
        <f>E4042*1000000/D4042</f>
        <v>837466.11917403562</v>
      </c>
      <c r="I4042" t="str">
        <f>IF(AND(B4042&gt;=2018, B4042&lt;=2021), "2018-2021", IF(AND(B4042&gt;=2022, B4042&lt;=2024), "2022-2024", "Other"))</f>
        <v>2022-2024</v>
      </c>
    </row>
    <row r="4043" spans="1:9" x14ac:dyDescent="0.3">
      <c r="A4043" t="s">
        <v>13</v>
      </c>
      <c r="B4043">
        <v>2020</v>
      </c>
      <c r="C4043" t="s">
        <v>2</v>
      </c>
      <c r="D4043">
        <v>14284.62</v>
      </c>
      <c r="E4043">
        <v>13705.76</v>
      </c>
      <c r="F4043">
        <v>80.430000000000007</v>
      </c>
      <c r="G4043">
        <v>493.89</v>
      </c>
      <c r="H4043">
        <f>E4043*1000000/D4043</f>
        <v>959476.69591490703</v>
      </c>
      <c r="I4043" t="str">
        <f>IF(AND(B4043&gt;=2018, B4043&lt;=2021), "2018-2021", IF(AND(B4043&gt;=2022, B4043&lt;=2024), "2022-2024", "Other"))</f>
        <v>2018-2021</v>
      </c>
    </row>
    <row r="4044" spans="1:9" x14ac:dyDescent="0.3">
      <c r="A4044" t="s">
        <v>18</v>
      </c>
      <c r="B4044">
        <v>2024</v>
      </c>
      <c r="C4044" t="s">
        <v>0</v>
      </c>
      <c r="D4044">
        <v>31449.81</v>
      </c>
      <c r="E4044">
        <v>34344.230000000003</v>
      </c>
      <c r="F4044">
        <v>119.49</v>
      </c>
      <c r="G4044">
        <v>1207.32</v>
      </c>
      <c r="H4044">
        <f>E4044*1000000/D4044</f>
        <v>1092032.9884345883</v>
      </c>
      <c r="I4044" t="str">
        <f>IF(AND(B4044&gt;=2018, B4044&lt;=2021), "2018-2021", IF(AND(B4044&gt;=2022, B4044&lt;=2024), "2022-2024", "Other"))</f>
        <v>2022-2024</v>
      </c>
    </row>
    <row r="4045" spans="1:9" x14ac:dyDescent="0.3">
      <c r="A4045" t="s">
        <v>16</v>
      </c>
      <c r="B4045">
        <v>2021</v>
      </c>
      <c r="C4045" t="s">
        <v>8</v>
      </c>
      <c r="D4045">
        <v>14721.03</v>
      </c>
      <c r="E4045">
        <v>15984.7</v>
      </c>
      <c r="F4045">
        <v>177.51</v>
      </c>
      <c r="G4045">
        <v>481.19</v>
      </c>
      <c r="H4045">
        <f>E4045*1000000/D4045</f>
        <v>1085841.1401919567</v>
      </c>
      <c r="I4045" t="str">
        <f>IF(AND(B4045&gt;=2018, B4045&lt;=2021), "2018-2021", IF(AND(B4045&gt;=2022, B4045&lt;=2024), "2022-2024", "Other"))</f>
        <v>2018-2021</v>
      </c>
    </row>
    <row r="4046" spans="1:9" x14ac:dyDescent="0.3">
      <c r="A4046" t="s">
        <v>5</v>
      </c>
      <c r="B4046">
        <v>2020</v>
      </c>
      <c r="C4046" t="s">
        <v>8</v>
      </c>
      <c r="D4046">
        <v>17673.400000000001</v>
      </c>
      <c r="E4046">
        <v>21146.85</v>
      </c>
      <c r="F4046">
        <v>194.93</v>
      </c>
      <c r="G4046">
        <v>1373.6</v>
      </c>
      <c r="H4046">
        <f>E4046*1000000/D4046</f>
        <v>1196535.4713863772</v>
      </c>
      <c r="I4046" t="str">
        <f>IF(AND(B4046&gt;=2018, B4046&lt;=2021), "2018-2021", IF(AND(B4046&gt;=2022, B4046&lt;=2024), "2022-2024", "Other"))</f>
        <v>2018-2021</v>
      </c>
    </row>
    <row r="4047" spans="1:9" x14ac:dyDescent="0.3">
      <c r="A4047" t="s">
        <v>15</v>
      </c>
      <c r="B4047">
        <v>2019</v>
      </c>
      <c r="C4047" t="s">
        <v>8</v>
      </c>
      <c r="D4047">
        <v>42043.14</v>
      </c>
      <c r="E4047">
        <v>36734.879999999997</v>
      </c>
      <c r="F4047">
        <v>66.680000000000007</v>
      </c>
      <c r="G4047">
        <v>1383.97</v>
      </c>
      <c r="H4047">
        <f>E4047*1000000/D4047</f>
        <v>873742.5415894246</v>
      </c>
      <c r="I4047" t="str">
        <f>IF(AND(B4047&gt;=2018, B4047&lt;=2021), "2018-2021", IF(AND(B4047&gt;=2022, B4047&lt;=2024), "2022-2024", "Other"))</f>
        <v>2018-2021</v>
      </c>
    </row>
    <row r="4048" spans="1:9" x14ac:dyDescent="0.3">
      <c r="A4048" t="s">
        <v>10</v>
      </c>
      <c r="B4048">
        <v>2021</v>
      </c>
      <c r="C4048" t="s">
        <v>12</v>
      </c>
      <c r="D4048">
        <v>35106.61</v>
      </c>
      <c r="E4048">
        <v>41960.33</v>
      </c>
      <c r="F4048">
        <v>100.15</v>
      </c>
      <c r="G4048">
        <v>163.09</v>
      </c>
      <c r="H4048">
        <f>E4048*1000000/D4048</f>
        <v>1195225.9132966697</v>
      </c>
      <c r="I4048" t="str">
        <f>IF(AND(B4048&gt;=2018, B4048&lt;=2021), "2018-2021", IF(AND(B4048&gt;=2022, B4048&lt;=2024), "2022-2024", "Other"))</f>
        <v>2018-2021</v>
      </c>
    </row>
    <row r="4049" spans="1:9" x14ac:dyDescent="0.3">
      <c r="A4049" t="s">
        <v>7</v>
      </c>
      <c r="B4049">
        <v>2023</v>
      </c>
      <c r="C4049" t="s">
        <v>4</v>
      </c>
      <c r="D4049">
        <v>22413.83</v>
      </c>
      <c r="E4049">
        <v>18004.61</v>
      </c>
      <c r="F4049">
        <v>53.68</v>
      </c>
      <c r="G4049">
        <v>891.19</v>
      </c>
      <c r="H4049">
        <f>E4049*1000000/D4049</f>
        <v>803281.27767543518</v>
      </c>
      <c r="I4049" t="str">
        <f>IF(AND(B4049&gt;=2018, B4049&lt;=2021), "2018-2021", IF(AND(B4049&gt;=2022, B4049&lt;=2024), "2022-2024", "Other"))</f>
        <v>2022-2024</v>
      </c>
    </row>
    <row r="4050" spans="1:9" x14ac:dyDescent="0.3">
      <c r="A4050" t="s">
        <v>19</v>
      </c>
      <c r="B4050">
        <v>2023</v>
      </c>
      <c r="C4050" t="s">
        <v>2</v>
      </c>
      <c r="D4050">
        <v>20235.810000000001</v>
      </c>
      <c r="E4050">
        <v>16744.080000000002</v>
      </c>
      <c r="F4050">
        <v>108.17</v>
      </c>
      <c r="G4050">
        <v>94.52</v>
      </c>
      <c r="H4050">
        <f>E4050*1000000/D4050</f>
        <v>827447.97465483227</v>
      </c>
      <c r="I4050" t="str">
        <f>IF(AND(B4050&gt;=2018, B4050&lt;=2021), "2018-2021", IF(AND(B4050&gt;=2022, B4050&lt;=2024), "2022-2024", "Other"))</f>
        <v>2022-2024</v>
      </c>
    </row>
    <row r="4051" spans="1:9" x14ac:dyDescent="0.3">
      <c r="A4051" t="s">
        <v>7</v>
      </c>
      <c r="B4051">
        <v>2021</v>
      </c>
      <c r="C4051" t="s">
        <v>12</v>
      </c>
      <c r="D4051">
        <v>43600.25</v>
      </c>
      <c r="E4051">
        <v>51461.96</v>
      </c>
      <c r="F4051">
        <v>97.81</v>
      </c>
      <c r="G4051">
        <v>508.93</v>
      </c>
      <c r="H4051">
        <f>E4051*1000000/D4051</f>
        <v>1180313.4156340847</v>
      </c>
      <c r="I4051" t="str">
        <f>IF(AND(B4051&gt;=2018, B4051&lt;=2021), "2018-2021", IF(AND(B4051&gt;=2022, B4051&lt;=2024), "2022-2024", "Other"))</f>
        <v>2018-2021</v>
      </c>
    </row>
    <row r="4052" spans="1:9" x14ac:dyDescent="0.3">
      <c r="A4052" t="s">
        <v>22</v>
      </c>
      <c r="B4052">
        <v>2019</v>
      </c>
      <c r="C4052" t="s">
        <v>0</v>
      </c>
      <c r="D4052">
        <v>45483.34</v>
      </c>
      <c r="E4052">
        <v>42243.95</v>
      </c>
      <c r="F4052">
        <v>160.54</v>
      </c>
      <c r="G4052">
        <v>1053.42</v>
      </c>
      <c r="H4052">
        <f>E4052*1000000/D4052</f>
        <v>928778.53737214557</v>
      </c>
      <c r="I4052" t="str">
        <f>IF(AND(B4052&gt;=2018, B4052&lt;=2021), "2018-2021", IF(AND(B4052&gt;=2022, B4052&lt;=2024), "2022-2024", "Other"))</f>
        <v>2018-2021</v>
      </c>
    </row>
    <row r="4053" spans="1:9" x14ac:dyDescent="0.3">
      <c r="A4053" t="s">
        <v>24</v>
      </c>
      <c r="B4053">
        <v>2024</v>
      </c>
      <c r="C4053" t="s">
        <v>9</v>
      </c>
      <c r="D4053">
        <v>12488.76</v>
      </c>
      <c r="E4053">
        <v>13219.64</v>
      </c>
      <c r="F4053">
        <v>27.03</v>
      </c>
      <c r="G4053">
        <v>710.49</v>
      </c>
      <c r="H4053">
        <f>E4053*1000000/D4053</f>
        <v>1058523.0239030935</v>
      </c>
      <c r="I4053" t="str">
        <f>IF(AND(B4053&gt;=2018, B4053&lt;=2021), "2018-2021", IF(AND(B4053&gt;=2022, B4053&lt;=2024), "2022-2024", "Other"))</f>
        <v>2022-2024</v>
      </c>
    </row>
    <row r="4054" spans="1:9" x14ac:dyDescent="0.3">
      <c r="A4054" t="s">
        <v>13</v>
      </c>
      <c r="B4054">
        <v>2021</v>
      </c>
      <c r="C4054" t="s">
        <v>6</v>
      </c>
      <c r="D4054">
        <v>25919.77</v>
      </c>
      <c r="E4054">
        <v>26176.34</v>
      </c>
      <c r="F4054">
        <v>43.74</v>
      </c>
      <c r="G4054">
        <v>441.37</v>
      </c>
      <c r="H4054">
        <f>E4054*1000000/D4054</f>
        <v>1009898.62178561</v>
      </c>
      <c r="I4054" t="str">
        <f>IF(AND(B4054&gt;=2018, B4054&lt;=2021), "2018-2021", IF(AND(B4054&gt;=2022, B4054&lt;=2024), "2022-2024", "Other"))</f>
        <v>2018-2021</v>
      </c>
    </row>
    <row r="4055" spans="1:9" x14ac:dyDescent="0.3">
      <c r="A4055" t="s">
        <v>22</v>
      </c>
      <c r="B4055">
        <v>2018</v>
      </c>
      <c r="C4055" t="s">
        <v>0</v>
      </c>
      <c r="D4055">
        <v>38623.78</v>
      </c>
      <c r="E4055">
        <v>38544.07</v>
      </c>
      <c r="F4055">
        <v>166.34</v>
      </c>
      <c r="G4055">
        <v>652</v>
      </c>
      <c r="H4055">
        <f>E4055*1000000/D4055</f>
        <v>997936.24549435615</v>
      </c>
      <c r="I4055" t="str">
        <f>IF(AND(B4055&gt;=2018, B4055&lt;=2021), "2018-2021", IF(AND(B4055&gt;=2022, B4055&lt;=2024), "2022-2024", "Other"))</f>
        <v>2018-2021</v>
      </c>
    </row>
    <row r="4056" spans="1:9" x14ac:dyDescent="0.3">
      <c r="A4056" t="s">
        <v>5</v>
      </c>
      <c r="B4056">
        <v>2021</v>
      </c>
      <c r="C4056" t="s">
        <v>12</v>
      </c>
      <c r="D4056">
        <v>44733.13</v>
      </c>
      <c r="E4056">
        <v>45485.4</v>
      </c>
      <c r="F4056">
        <v>128.31</v>
      </c>
      <c r="G4056">
        <v>1014.79</v>
      </c>
      <c r="H4056">
        <f>E4056*1000000/D4056</f>
        <v>1016816.8424610575</v>
      </c>
      <c r="I4056" t="str">
        <f>IF(AND(B4056&gt;=2018, B4056&lt;=2021), "2018-2021", IF(AND(B4056&gt;=2022, B4056&lt;=2024), "2022-2024", "Other"))</f>
        <v>2018-2021</v>
      </c>
    </row>
    <row r="4057" spans="1:9" x14ac:dyDescent="0.3">
      <c r="A4057" t="s">
        <v>17</v>
      </c>
      <c r="B4057">
        <v>2021</v>
      </c>
      <c r="C4057" t="s">
        <v>4</v>
      </c>
      <c r="D4057">
        <v>48731.01</v>
      </c>
      <c r="E4057">
        <v>51453.67</v>
      </c>
      <c r="F4057">
        <v>127.89</v>
      </c>
      <c r="G4057">
        <v>1282.07</v>
      </c>
      <c r="H4057">
        <f>E4057*1000000/D4057</f>
        <v>1055871.199878681</v>
      </c>
      <c r="I4057" t="str">
        <f>IF(AND(B4057&gt;=2018, B4057&lt;=2021), "2018-2021", IF(AND(B4057&gt;=2022, B4057&lt;=2024), "2022-2024", "Other"))</f>
        <v>2018-2021</v>
      </c>
    </row>
    <row r="4058" spans="1:9" x14ac:dyDescent="0.3">
      <c r="A4058" t="s">
        <v>15</v>
      </c>
      <c r="B4058">
        <v>2019</v>
      </c>
      <c r="C4058" t="s">
        <v>8</v>
      </c>
      <c r="D4058">
        <v>8253.32</v>
      </c>
      <c r="E4058">
        <v>8452.4699999999993</v>
      </c>
      <c r="F4058">
        <v>43.85</v>
      </c>
      <c r="G4058">
        <v>167.21</v>
      </c>
      <c r="H4058">
        <f>E4058*1000000/D4058</f>
        <v>1024129.6835697633</v>
      </c>
      <c r="I4058" t="str">
        <f>IF(AND(B4058&gt;=2018, B4058&lt;=2021), "2018-2021", IF(AND(B4058&gt;=2022, B4058&lt;=2024), "2022-2024", "Other"))</f>
        <v>2018-2021</v>
      </c>
    </row>
    <row r="4059" spans="1:9" x14ac:dyDescent="0.3">
      <c r="A4059" t="s">
        <v>22</v>
      </c>
      <c r="B4059">
        <v>2024</v>
      </c>
      <c r="C4059" t="s">
        <v>6</v>
      </c>
      <c r="D4059">
        <v>41099.29</v>
      </c>
      <c r="E4059">
        <v>43634.85</v>
      </c>
      <c r="F4059">
        <v>148.06</v>
      </c>
      <c r="G4059">
        <v>1054.79</v>
      </c>
      <c r="H4059">
        <f>E4059*1000000/D4059</f>
        <v>1061693.5231727848</v>
      </c>
      <c r="I4059" t="str">
        <f>IF(AND(B4059&gt;=2018, B4059&lt;=2021), "2018-2021", IF(AND(B4059&gt;=2022, B4059&lt;=2024), "2022-2024", "Other"))</f>
        <v>2022-2024</v>
      </c>
    </row>
    <row r="4060" spans="1:9" x14ac:dyDescent="0.3">
      <c r="A4060" t="s">
        <v>16</v>
      </c>
      <c r="B4060">
        <v>2020</v>
      </c>
      <c r="C4060" t="s">
        <v>4</v>
      </c>
      <c r="D4060">
        <v>25528.240000000002</v>
      </c>
      <c r="E4060">
        <v>26821.15</v>
      </c>
      <c r="F4060">
        <v>62.02</v>
      </c>
      <c r="G4060">
        <v>157.03</v>
      </c>
      <c r="H4060">
        <f>E4060*1000000/D4060</f>
        <v>1050646.2646856969</v>
      </c>
      <c r="I4060" t="str">
        <f>IF(AND(B4060&gt;=2018, B4060&lt;=2021), "2018-2021", IF(AND(B4060&gt;=2022, B4060&lt;=2024), "2022-2024", "Other"))</f>
        <v>2018-2021</v>
      </c>
    </row>
    <row r="4061" spans="1:9" x14ac:dyDescent="0.3">
      <c r="A4061" t="s">
        <v>18</v>
      </c>
      <c r="B4061">
        <v>2021</v>
      </c>
      <c r="C4061" t="s">
        <v>12</v>
      </c>
      <c r="D4061">
        <v>41094.839999999997</v>
      </c>
      <c r="E4061">
        <v>38219.46</v>
      </c>
      <c r="F4061">
        <v>79.03</v>
      </c>
      <c r="G4061">
        <v>1211.31</v>
      </c>
      <c r="H4061">
        <f>E4061*1000000/D4061</f>
        <v>930030.63158294337</v>
      </c>
      <c r="I4061" t="str">
        <f>IF(AND(B4061&gt;=2018, B4061&lt;=2021), "2018-2021", IF(AND(B4061&gt;=2022, B4061&lt;=2024), "2022-2024", "Other"))</f>
        <v>2018-2021</v>
      </c>
    </row>
    <row r="4062" spans="1:9" x14ac:dyDescent="0.3">
      <c r="A4062" t="s">
        <v>5</v>
      </c>
      <c r="B4062">
        <v>2018</v>
      </c>
      <c r="C4062" t="s">
        <v>12</v>
      </c>
      <c r="D4062">
        <v>44135.77</v>
      </c>
      <c r="E4062">
        <v>44014.239999999998</v>
      </c>
      <c r="F4062">
        <v>170.31</v>
      </c>
      <c r="G4062">
        <v>190.75</v>
      </c>
      <c r="H4062">
        <f>E4062*1000000/D4062</f>
        <v>997246.45112116553</v>
      </c>
      <c r="I4062" t="str">
        <f>IF(AND(B4062&gt;=2018, B4062&lt;=2021), "2018-2021", IF(AND(B4062&gt;=2022, B4062&lt;=2024), "2022-2024", "Other"))</f>
        <v>2018-2021</v>
      </c>
    </row>
    <row r="4063" spans="1:9" x14ac:dyDescent="0.3">
      <c r="A4063" t="s">
        <v>1</v>
      </c>
      <c r="B4063">
        <v>2020</v>
      </c>
      <c r="C4063" t="s">
        <v>0</v>
      </c>
      <c r="D4063">
        <v>2748.15</v>
      </c>
      <c r="E4063">
        <v>2227.25</v>
      </c>
      <c r="F4063">
        <v>138.93</v>
      </c>
      <c r="G4063">
        <v>784.79</v>
      </c>
      <c r="H4063">
        <f>E4063*1000000/D4063</f>
        <v>810454.30562378326</v>
      </c>
      <c r="I4063" t="str">
        <f>IF(AND(B4063&gt;=2018, B4063&lt;=2021), "2018-2021", IF(AND(B4063&gt;=2022, B4063&lt;=2024), "2022-2024", "Other"))</f>
        <v>2018-2021</v>
      </c>
    </row>
    <row r="4064" spans="1:9" x14ac:dyDescent="0.3">
      <c r="A4064" t="s">
        <v>16</v>
      </c>
      <c r="B4064">
        <v>2018</v>
      </c>
      <c r="C4064" t="s">
        <v>8</v>
      </c>
      <c r="D4064">
        <v>19031.96</v>
      </c>
      <c r="E4064">
        <v>17002.43</v>
      </c>
      <c r="F4064">
        <v>174.25</v>
      </c>
      <c r="G4064">
        <v>1060.8900000000001</v>
      </c>
      <c r="H4064">
        <f>E4064*1000000/D4064</f>
        <v>893362.00790670014</v>
      </c>
      <c r="I4064" t="str">
        <f>IF(AND(B4064&gt;=2018, B4064&lt;=2021), "2018-2021", IF(AND(B4064&gt;=2022, B4064&lt;=2024), "2022-2024", "Other"))</f>
        <v>2018-2021</v>
      </c>
    </row>
    <row r="4065" spans="1:9" x14ac:dyDescent="0.3">
      <c r="A4065" t="s">
        <v>19</v>
      </c>
      <c r="B4065">
        <v>2023</v>
      </c>
      <c r="C4065" t="s">
        <v>4</v>
      </c>
      <c r="D4065">
        <v>38683.68</v>
      </c>
      <c r="E4065">
        <v>46155.58</v>
      </c>
      <c r="F4065">
        <v>103.97</v>
      </c>
      <c r="G4065">
        <v>785.29</v>
      </c>
      <c r="H4065">
        <f>E4065*1000000/D4065</f>
        <v>1193153.8054290595</v>
      </c>
      <c r="I4065" t="str">
        <f>IF(AND(B4065&gt;=2018, B4065&lt;=2021), "2018-2021", IF(AND(B4065&gt;=2022, B4065&lt;=2024), "2022-2024", "Other"))</f>
        <v>2022-2024</v>
      </c>
    </row>
    <row r="4066" spans="1:9" x14ac:dyDescent="0.3">
      <c r="A4066" t="s">
        <v>20</v>
      </c>
      <c r="B4066">
        <v>2021</v>
      </c>
      <c r="C4066" t="s">
        <v>14</v>
      </c>
      <c r="D4066">
        <v>36669.199999999997</v>
      </c>
      <c r="E4066">
        <v>31771.48</v>
      </c>
      <c r="F4066">
        <v>142.11000000000001</v>
      </c>
      <c r="G4066">
        <v>354.57</v>
      </c>
      <c r="H4066">
        <f>E4066*1000000/D4066</f>
        <v>866435.04630589171</v>
      </c>
      <c r="I4066" t="str">
        <f>IF(AND(B4066&gt;=2018, B4066&lt;=2021), "2018-2021", IF(AND(B4066&gt;=2022, B4066&lt;=2024), "2022-2024", "Other"))</f>
        <v>2018-2021</v>
      </c>
    </row>
    <row r="4067" spans="1:9" x14ac:dyDescent="0.3">
      <c r="A4067" t="s">
        <v>18</v>
      </c>
      <c r="B4067">
        <v>2022</v>
      </c>
      <c r="C4067" t="s">
        <v>6</v>
      </c>
      <c r="D4067">
        <v>12289.15</v>
      </c>
      <c r="E4067">
        <v>13239.72</v>
      </c>
      <c r="F4067">
        <v>137.34</v>
      </c>
      <c r="G4067">
        <v>1037.97</v>
      </c>
      <c r="H4067">
        <f>E4067*1000000/D4067</f>
        <v>1077350.3456300884</v>
      </c>
      <c r="I4067" t="str">
        <f>IF(AND(B4067&gt;=2018, B4067&lt;=2021), "2018-2021", IF(AND(B4067&gt;=2022, B4067&lt;=2024), "2022-2024", "Other"))</f>
        <v>2022-2024</v>
      </c>
    </row>
    <row r="4068" spans="1:9" x14ac:dyDescent="0.3">
      <c r="A4068" t="s">
        <v>25</v>
      </c>
      <c r="B4068">
        <v>2024</v>
      </c>
      <c r="C4068" t="s">
        <v>14</v>
      </c>
      <c r="D4068">
        <v>9720.84</v>
      </c>
      <c r="E4068">
        <v>10304.870000000001</v>
      </c>
      <c r="F4068">
        <v>40.11</v>
      </c>
      <c r="G4068">
        <v>116.33</v>
      </c>
      <c r="H4068">
        <f>E4068*1000000/D4068</f>
        <v>1060080.1988305538</v>
      </c>
      <c r="I4068" t="str">
        <f>IF(AND(B4068&gt;=2018, B4068&lt;=2021), "2018-2021", IF(AND(B4068&gt;=2022, B4068&lt;=2024), "2022-2024", "Other"))</f>
        <v>2022-2024</v>
      </c>
    </row>
    <row r="4069" spans="1:9" x14ac:dyDescent="0.3">
      <c r="A4069" t="s">
        <v>21</v>
      </c>
      <c r="B4069">
        <v>2023</v>
      </c>
      <c r="C4069" t="s">
        <v>9</v>
      </c>
      <c r="D4069">
        <v>41009.81</v>
      </c>
      <c r="E4069">
        <v>44634.39</v>
      </c>
      <c r="F4069">
        <v>98.55</v>
      </c>
      <c r="G4069">
        <v>706.53</v>
      </c>
      <c r="H4069">
        <f>E4069*1000000/D4069</f>
        <v>1088383.2429362633</v>
      </c>
      <c r="I4069" t="str">
        <f>IF(AND(B4069&gt;=2018, B4069&lt;=2021), "2018-2021", IF(AND(B4069&gt;=2022, B4069&lt;=2024), "2022-2024", "Other"))</f>
        <v>2022-2024</v>
      </c>
    </row>
    <row r="4070" spans="1:9" x14ac:dyDescent="0.3">
      <c r="A4070" t="s">
        <v>5</v>
      </c>
      <c r="B4070">
        <v>2021</v>
      </c>
      <c r="C4070" t="s">
        <v>9</v>
      </c>
      <c r="D4070">
        <v>1650.24</v>
      </c>
      <c r="E4070">
        <v>1546.86</v>
      </c>
      <c r="F4070">
        <v>47.2</v>
      </c>
      <c r="G4070">
        <v>442.62</v>
      </c>
      <c r="H4070">
        <f>E4070*1000000/D4070</f>
        <v>937354.56660849333</v>
      </c>
      <c r="I4070" t="str">
        <f>IF(AND(B4070&gt;=2018, B4070&lt;=2021), "2018-2021", IF(AND(B4070&gt;=2022, B4070&lt;=2024), "2022-2024", "Other"))</f>
        <v>2018-2021</v>
      </c>
    </row>
    <row r="4071" spans="1:9" x14ac:dyDescent="0.3">
      <c r="A4071" t="s">
        <v>5</v>
      </c>
      <c r="B4071">
        <v>2023</v>
      </c>
      <c r="C4071" t="s">
        <v>12</v>
      </c>
      <c r="D4071">
        <v>13158.48</v>
      </c>
      <c r="E4071">
        <v>14397.43</v>
      </c>
      <c r="F4071">
        <v>43.99</v>
      </c>
      <c r="G4071">
        <v>1323.82</v>
      </c>
      <c r="H4071">
        <f>E4071*1000000/D4071</f>
        <v>1094156.0119405889</v>
      </c>
      <c r="I4071" t="str">
        <f>IF(AND(B4071&gt;=2018, B4071&lt;=2021), "2018-2021", IF(AND(B4071&gt;=2022, B4071&lt;=2024), "2022-2024", "Other"))</f>
        <v>2022-2024</v>
      </c>
    </row>
    <row r="4072" spans="1:9" x14ac:dyDescent="0.3">
      <c r="A4072" t="s">
        <v>17</v>
      </c>
      <c r="B4072">
        <v>2022</v>
      </c>
      <c r="C4072" t="s">
        <v>12</v>
      </c>
      <c r="D4072">
        <v>23481.71</v>
      </c>
      <c r="E4072">
        <v>19223.310000000001</v>
      </c>
      <c r="F4072">
        <v>73.28</v>
      </c>
      <c r="G4072">
        <v>828.05</v>
      </c>
      <c r="H4072">
        <f>E4072*1000000/D4072</f>
        <v>818650.34531130828</v>
      </c>
      <c r="I4072" t="str">
        <f>IF(AND(B4072&gt;=2018, B4072&lt;=2021), "2018-2021", IF(AND(B4072&gt;=2022, B4072&lt;=2024), "2022-2024", "Other"))</f>
        <v>2022-2024</v>
      </c>
    </row>
    <row r="4073" spans="1:9" x14ac:dyDescent="0.3">
      <c r="A4073" t="s">
        <v>22</v>
      </c>
      <c r="B4073">
        <v>2021</v>
      </c>
      <c r="C4073" t="s">
        <v>9</v>
      </c>
      <c r="D4073">
        <v>14619.47</v>
      </c>
      <c r="E4073">
        <v>14294.85</v>
      </c>
      <c r="F4073">
        <v>77.72</v>
      </c>
      <c r="G4073">
        <v>751.85</v>
      </c>
      <c r="H4073">
        <f>E4073*1000000/D4073</f>
        <v>977795.3646746428</v>
      </c>
      <c r="I4073" t="str">
        <f>IF(AND(B4073&gt;=2018, B4073&lt;=2021), "2018-2021", IF(AND(B4073&gt;=2022, B4073&lt;=2024), "2022-2024", "Other"))</f>
        <v>2018-2021</v>
      </c>
    </row>
    <row r="4074" spans="1:9" x14ac:dyDescent="0.3">
      <c r="A4074" t="s">
        <v>21</v>
      </c>
      <c r="B4074">
        <v>2018</v>
      </c>
      <c r="C4074" t="s">
        <v>9</v>
      </c>
      <c r="D4074">
        <v>19119.939999999999</v>
      </c>
      <c r="E4074">
        <v>22634.44</v>
      </c>
      <c r="F4074">
        <v>136.85</v>
      </c>
      <c r="G4074">
        <v>1050.8399999999999</v>
      </c>
      <c r="H4074">
        <f>E4074*1000000/D4074</f>
        <v>1183813.3383263755</v>
      </c>
      <c r="I4074" t="str">
        <f>IF(AND(B4074&gt;=2018, B4074&lt;=2021), "2018-2021", IF(AND(B4074&gt;=2022, B4074&lt;=2024), "2022-2024", "Other"))</f>
        <v>2018-2021</v>
      </c>
    </row>
    <row r="4075" spans="1:9" x14ac:dyDescent="0.3">
      <c r="A4075" t="s">
        <v>1</v>
      </c>
      <c r="B4075">
        <v>2021</v>
      </c>
      <c r="C4075" t="s">
        <v>0</v>
      </c>
      <c r="D4075">
        <v>35575.75</v>
      </c>
      <c r="E4075">
        <v>32976.58</v>
      </c>
      <c r="F4075">
        <v>140.53</v>
      </c>
      <c r="G4075">
        <v>587.53</v>
      </c>
      <c r="H4075">
        <f>E4075*1000000/D4075</f>
        <v>926939.83963795565</v>
      </c>
      <c r="I4075" t="str">
        <f>IF(AND(B4075&gt;=2018, B4075&lt;=2021), "2018-2021", IF(AND(B4075&gt;=2022, B4075&lt;=2024), "2022-2024", "Other"))</f>
        <v>2018-2021</v>
      </c>
    </row>
    <row r="4076" spans="1:9" x14ac:dyDescent="0.3">
      <c r="A4076" t="s">
        <v>17</v>
      </c>
      <c r="B4076">
        <v>2018</v>
      </c>
      <c r="C4076" t="s">
        <v>12</v>
      </c>
      <c r="D4076">
        <v>34170.589999999997</v>
      </c>
      <c r="E4076">
        <v>34859.68</v>
      </c>
      <c r="F4076">
        <v>94.39</v>
      </c>
      <c r="G4076">
        <v>777.03</v>
      </c>
      <c r="H4076">
        <f>E4076*1000000/D4076</f>
        <v>1020166.1721380872</v>
      </c>
      <c r="I4076" t="str">
        <f>IF(AND(B4076&gt;=2018, B4076&lt;=2021), "2018-2021", IF(AND(B4076&gt;=2022, B4076&lt;=2024), "2022-2024", "Other"))</f>
        <v>2018-2021</v>
      </c>
    </row>
    <row r="4077" spans="1:9" x14ac:dyDescent="0.3">
      <c r="A4077" t="s">
        <v>15</v>
      </c>
      <c r="B4077">
        <v>2018</v>
      </c>
      <c r="C4077" t="s">
        <v>0</v>
      </c>
      <c r="D4077">
        <v>49511.53</v>
      </c>
      <c r="E4077">
        <v>40027.800000000003</v>
      </c>
      <c r="F4077">
        <v>150.16999999999999</v>
      </c>
      <c r="G4077">
        <v>552.21</v>
      </c>
      <c r="H4077">
        <f>E4077*1000000/D4077</f>
        <v>808454.11159784405</v>
      </c>
      <c r="I4077" t="str">
        <f>IF(AND(B4077&gt;=2018, B4077&lt;=2021), "2018-2021", IF(AND(B4077&gt;=2022, B4077&lt;=2024), "2022-2024", "Other"))</f>
        <v>2018-2021</v>
      </c>
    </row>
    <row r="4078" spans="1:9" x14ac:dyDescent="0.3">
      <c r="A4078" t="s">
        <v>24</v>
      </c>
      <c r="B4078">
        <v>2022</v>
      </c>
      <c r="C4078" t="s">
        <v>14</v>
      </c>
      <c r="D4078">
        <v>43147.54</v>
      </c>
      <c r="E4078">
        <v>35382.31</v>
      </c>
      <c r="F4078">
        <v>43.19</v>
      </c>
      <c r="G4078">
        <v>843.07</v>
      </c>
      <c r="H4078">
        <f>E4078*1000000/D4078</f>
        <v>820030.7595751693</v>
      </c>
      <c r="I4078" t="str">
        <f>IF(AND(B4078&gt;=2018, B4078&lt;=2021), "2018-2021", IF(AND(B4078&gt;=2022, B4078&lt;=2024), "2022-2024", "Other"))</f>
        <v>2022-2024</v>
      </c>
    </row>
    <row r="4079" spans="1:9" x14ac:dyDescent="0.3">
      <c r="A4079" t="s">
        <v>16</v>
      </c>
      <c r="B4079">
        <v>2019</v>
      </c>
      <c r="C4079" t="s">
        <v>6</v>
      </c>
      <c r="D4079">
        <v>13160.74</v>
      </c>
      <c r="E4079">
        <v>15727.17</v>
      </c>
      <c r="F4079">
        <v>149.72999999999999</v>
      </c>
      <c r="G4079">
        <v>211.06</v>
      </c>
      <c r="H4079">
        <f>E4079*1000000/D4079</f>
        <v>1195006.5117918903</v>
      </c>
      <c r="I4079" t="str">
        <f>IF(AND(B4079&gt;=2018, B4079&lt;=2021), "2018-2021", IF(AND(B4079&gt;=2022, B4079&lt;=2024), "2022-2024", "Other"))</f>
        <v>2018-2021</v>
      </c>
    </row>
    <row r="4080" spans="1:9" x14ac:dyDescent="0.3">
      <c r="A4080" t="s">
        <v>25</v>
      </c>
      <c r="B4080">
        <v>2022</v>
      </c>
      <c r="C4080" t="s">
        <v>8</v>
      </c>
      <c r="D4080">
        <v>5759.15</v>
      </c>
      <c r="E4080">
        <v>6427.88</v>
      </c>
      <c r="F4080">
        <v>168.77</v>
      </c>
      <c r="G4080">
        <v>1394.2</v>
      </c>
      <c r="H4080">
        <f>E4080*1000000/D4080</f>
        <v>1116116.0935207454</v>
      </c>
      <c r="I4080" t="str">
        <f>IF(AND(B4080&gt;=2018, B4080&lt;=2021), "2018-2021", IF(AND(B4080&gt;=2022, B4080&lt;=2024), "2022-2024", "Other"))</f>
        <v>2022-2024</v>
      </c>
    </row>
    <row r="4081" spans="1:9" x14ac:dyDescent="0.3">
      <c r="A4081" t="s">
        <v>23</v>
      </c>
      <c r="B4081">
        <v>2019</v>
      </c>
      <c r="C4081" t="s">
        <v>8</v>
      </c>
      <c r="D4081">
        <v>12625.72</v>
      </c>
      <c r="E4081">
        <v>11788.01</v>
      </c>
      <c r="F4081">
        <v>175.12</v>
      </c>
      <c r="G4081">
        <v>1009.26</v>
      </c>
      <c r="H4081">
        <f>E4081*1000000/D4081</f>
        <v>933650.51656459994</v>
      </c>
      <c r="I4081" t="str">
        <f>IF(AND(B4081&gt;=2018, B4081&lt;=2021), "2018-2021", IF(AND(B4081&gt;=2022, B4081&lt;=2024), "2022-2024", "Other"))</f>
        <v>2018-2021</v>
      </c>
    </row>
    <row r="4082" spans="1:9" x14ac:dyDescent="0.3">
      <c r="A4082" t="s">
        <v>1</v>
      </c>
      <c r="B4082">
        <v>2020</v>
      </c>
      <c r="C4082" t="s">
        <v>14</v>
      </c>
      <c r="D4082">
        <v>15521.69</v>
      </c>
      <c r="E4082">
        <v>13453.46</v>
      </c>
      <c r="F4082">
        <v>46.46</v>
      </c>
      <c r="G4082">
        <v>314.37</v>
      </c>
      <c r="H4082">
        <f>E4082*1000000/D4082</f>
        <v>866752.26731109817</v>
      </c>
      <c r="I4082" t="str">
        <f>IF(AND(B4082&gt;=2018, B4082&lt;=2021), "2018-2021", IF(AND(B4082&gt;=2022, B4082&lt;=2024), "2022-2024", "Other"))</f>
        <v>2018-2021</v>
      </c>
    </row>
    <row r="4083" spans="1:9" x14ac:dyDescent="0.3">
      <c r="A4083" t="s">
        <v>10</v>
      </c>
      <c r="B4083">
        <v>2019</v>
      </c>
      <c r="C4083" t="s">
        <v>14</v>
      </c>
      <c r="D4083">
        <v>11084.93</v>
      </c>
      <c r="E4083">
        <v>12598.47</v>
      </c>
      <c r="F4083">
        <v>25.04</v>
      </c>
      <c r="G4083">
        <v>1345.63</v>
      </c>
      <c r="H4083">
        <f>E4083*1000000/D4083</f>
        <v>1136540.3299795308</v>
      </c>
      <c r="I4083" t="str">
        <f>IF(AND(B4083&gt;=2018, B4083&lt;=2021), "2018-2021", IF(AND(B4083&gt;=2022, B4083&lt;=2024), "2022-2024", "Other"))</f>
        <v>2018-2021</v>
      </c>
    </row>
    <row r="4084" spans="1:9" x14ac:dyDescent="0.3">
      <c r="A4084" t="s">
        <v>13</v>
      </c>
      <c r="B4084">
        <v>2019</v>
      </c>
      <c r="C4084" t="s">
        <v>0</v>
      </c>
      <c r="D4084">
        <v>15583.63</v>
      </c>
      <c r="E4084">
        <v>13255.85</v>
      </c>
      <c r="F4084">
        <v>46.61</v>
      </c>
      <c r="G4084">
        <v>973.05</v>
      </c>
      <c r="H4084">
        <f>E4084*1000000/D4084</f>
        <v>850626.58700187318</v>
      </c>
      <c r="I4084" t="str">
        <f>IF(AND(B4084&gt;=2018, B4084&lt;=2021), "2018-2021", IF(AND(B4084&gt;=2022, B4084&lt;=2024), "2022-2024", "Other"))</f>
        <v>2018-2021</v>
      </c>
    </row>
    <row r="4085" spans="1:9" x14ac:dyDescent="0.3">
      <c r="A4085" t="s">
        <v>11</v>
      </c>
      <c r="B4085">
        <v>2023</v>
      </c>
      <c r="C4085" t="s">
        <v>0</v>
      </c>
      <c r="D4085">
        <v>9508.41</v>
      </c>
      <c r="E4085">
        <v>10582.75</v>
      </c>
      <c r="F4085">
        <v>20.66</v>
      </c>
      <c r="G4085">
        <v>48.13</v>
      </c>
      <c r="H4085">
        <f>E4085*1000000/D4085</f>
        <v>1112988.3965878629</v>
      </c>
      <c r="I4085" t="str">
        <f>IF(AND(B4085&gt;=2018, B4085&lt;=2021), "2018-2021", IF(AND(B4085&gt;=2022, B4085&lt;=2024), "2022-2024", "Other"))</f>
        <v>2022-2024</v>
      </c>
    </row>
    <row r="4086" spans="1:9" x14ac:dyDescent="0.3">
      <c r="A4086" t="s">
        <v>7</v>
      </c>
      <c r="B4086">
        <v>2021</v>
      </c>
      <c r="C4086" t="s">
        <v>12</v>
      </c>
      <c r="D4086">
        <v>39348.870000000003</v>
      </c>
      <c r="E4086">
        <v>34608.370000000003</v>
      </c>
      <c r="F4086">
        <v>130.96</v>
      </c>
      <c r="G4086">
        <v>283.67</v>
      </c>
      <c r="H4086">
        <f>E4086*1000000/D4086</f>
        <v>879526.4006310727</v>
      </c>
      <c r="I4086" t="str">
        <f>IF(AND(B4086&gt;=2018, B4086&lt;=2021), "2018-2021", IF(AND(B4086&gt;=2022, B4086&lt;=2024), "2022-2024", "Other"))</f>
        <v>2018-2021</v>
      </c>
    </row>
    <row r="4087" spans="1:9" x14ac:dyDescent="0.3">
      <c r="A4087" t="s">
        <v>16</v>
      </c>
      <c r="B4087">
        <v>2024</v>
      </c>
      <c r="C4087" t="s">
        <v>2</v>
      </c>
      <c r="D4087">
        <v>24121.200000000001</v>
      </c>
      <c r="E4087">
        <v>28455.91</v>
      </c>
      <c r="F4087">
        <v>23.33</v>
      </c>
      <c r="G4087">
        <v>710.14</v>
      </c>
      <c r="H4087">
        <f>E4087*1000000/D4087</f>
        <v>1179705.404374575</v>
      </c>
      <c r="I4087" t="str">
        <f>IF(AND(B4087&gt;=2018, B4087&lt;=2021), "2018-2021", IF(AND(B4087&gt;=2022, B4087&lt;=2024), "2022-2024", "Other"))</f>
        <v>2022-2024</v>
      </c>
    </row>
    <row r="4088" spans="1:9" x14ac:dyDescent="0.3">
      <c r="A4088" t="s">
        <v>25</v>
      </c>
      <c r="B4088">
        <v>2022</v>
      </c>
      <c r="C4088" t="s">
        <v>12</v>
      </c>
      <c r="D4088">
        <v>4710.18</v>
      </c>
      <c r="E4088">
        <v>5007.17</v>
      </c>
      <c r="F4088">
        <v>121.85</v>
      </c>
      <c r="G4088">
        <v>315.22000000000003</v>
      </c>
      <c r="H4088">
        <f>E4088*1000000/D4088</f>
        <v>1063052.7920376714</v>
      </c>
      <c r="I4088" t="str">
        <f>IF(AND(B4088&gt;=2018, B4088&lt;=2021), "2018-2021", IF(AND(B4088&gt;=2022, B4088&lt;=2024), "2022-2024", "Other"))</f>
        <v>2022-2024</v>
      </c>
    </row>
    <row r="4089" spans="1:9" x14ac:dyDescent="0.3">
      <c r="A4089" t="s">
        <v>22</v>
      </c>
      <c r="B4089">
        <v>2018</v>
      </c>
      <c r="C4089" t="s">
        <v>12</v>
      </c>
      <c r="D4089">
        <v>21411.4</v>
      </c>
      <c r="E4089">
        <v>21402.77</v>
      </c>
      <c r="F4089">
        <v>151.44</v>
      </c>
      <c r="G4089">
        <v>539.4</v>
      </c>
      <c r="H4089">
        <f>E4089*1000000/D4089</f>
        <v>999596.94368420553</v>
      </c>
      <c r="I4089" t="str">
        <f>IF(AND(B4089&gt;=2018, B4089&lt;=2021), "2018-2021", IF(AND(B4089&gt;=2022, B4089&lt;=2024), "2022-2024", "Other"))</f>
        <v>2018-2021</v>
      </c>
    </row>
    <row r="4090" spans="1:9" x14ac:dyDescent="0.3">
      <c r="A4090" t="s">
        <v>11</v>
      </c>
      <c r="B4090">
        <v>2019</v>
      </c>
      <c r="C4090" t="s">
        <v>6</v>
      </c>
      <c r="D4090">
        <v>14892.8</v>
      </c>
      <c r="E4090">
        <v>15282.22</v>
      </c>
      <c r="F4090">
        <v>80.87</v>
      </c>
      <c r="G4090">
        <v>1310.1099999999999</v>
      </c>
      <c r="H4090">
        <f>E4090*1000000/D4090</f>
        <v>1026148.2058444349</v>
      </c>
      <c r="I4090" t="str">
        <f>IF(AND(B4090&gt;=2018, B4090&lt;=2021), "2018-2021", IF(AND(B4090&gt;=2022, B4090&lt;=2024), "2022-2024", "Other"))</f>
        <v>2018-2021</v>
      </c>
    </row>
    <row r="4091" spans="1:9" x14ac:dyDescent="0.3">
      <c r="A4091" t="s">
        <v>22</v>
      </c>
      <c r="B4091">
        <v>2020</v>
      </c>
      <c r="C4091" t="s">
        <v>0</v>
      </c>
      <c r="D4091">
        <v>39525.760000000002</v>
      </c>
      <c r="E4091">
        <v>40409.949999999997</v>
      </c>
      <c r="F4091">
        <v>47.56</v>
      </c>
      <c r="G4091">
        <v>1032.0899999999999</v>
      </c>
      <c r="H4091">
        <f>E4091*1000000/D4091</f>
        <v>1022369.9683446947</v>
      </c>
      <c r="I4091" t="str">
        <f>IF(AND(B4091&gt;=2018, B4091&lt;=2021), "2018-2021", IF(AND(B4091&gt;=2022, B4091&lt;=2024), "2022-2024", "Other"))</f>
        <v>2018-2021</v>
      </c>
    </row>
    <row r="4092" spans="1:9" x14ac:dyDescent="0.3">
      <c r="A4092" t="s">
        <v>24</v>
      </c>
      <c r="B4092">
        <v>2019</v>
      </c>
      <c r="C4092" t="s">
        <v>0</v>
      </c>
      <c r="D4092">
        <v>42335.87</v>
      </c>
      <c r="E4092">
        <v>38012.230000000003</v>
      </c>
      <c r="F4092">
        <v>133.31</v>
      </c>
      <c r="G4092">
        <v>81.11</v>
      </c>
      <c r="H4092">
        <f>E4092*1000000/D4092</f>
        <v>897872.89123856428</v>
      </c>
      <c r="I4092" t="str">
        <f>IF(AND(B4092&gt;=2018, B4092&lt;=2021), "2018-2021", IF(AND(B4092&gt;=2022, B4092&lt;=2024), "2022-2024", "Other"))</f>
        <v>2018-2021</v>
      </c>
    </row>
    <row r="4093" spans="1:9" x14ac:dyDescent="0.3">
      <c r="A4093" t="s">
        <v>16</v>
      </c>
      <c r="B4093">
        <v>2021</v>
      </c>
      <c r="C4093" t="s">
        <v>4</v>
      </c>
      <c r="D4093">
        <v>41616.06</v>
      </c>
      <c r="E4093">
        <v>45467.27</v>
      </c>
      <c r="F4093">
        <v>198.75</v>
      </c>
      <c r="G4093">
        <v>971.5</v>
      </c>
      <c r="H4093">
        <f>E4093*1000000/D4093</f>
        <v>1092541.4371278782</v>
      </c>
      <c r="I4093" t="str">
        <f>IF(AND(B4093&gt;=2018, B4093&lt;=2021), "2018-2021", IF(AND(B4093&gt;=2022, B4093&lt;=2024), "2022-2024", "Other"))</f>
        <v>2018-2021</v>
      </c>
    </row>
    <row r="4094" spans="1:9" x14ac:dyDescent="0.3">
      <c r="A4094" t="s">
        <v>15</v>
      </c>
      <c r="B4094">
        <v>2020</v>
      </c>
      <c r="C4094" t="s">
        <v>2</v>
      </c>
      <c r="D4094">
        <v>42992.46</v>
      </c>
      <c r="E4094">
        <v>47767.22</v>
      </c>
      <c r="F4094">
        <v>48.44</v>
      </c>
      <c r="G4094">
        <v>592.58000000000004</v>
      </c>
      <c r="H4094">
        <f>E4094*1000000/D4094</f>
        <v>1111060.4045453551</v>
      </c>
      <c r="I4094" t="str">
        <f>IF(AND(B4094&gt;=2018, B4094&lt;=2021), "2018-2021", IF(AND(B4094&gt;=2022, B4094&lt;=2024), "2022-2024", "Other"))</f>
        <v>2018-2021</v>
      </c>
    </row>
    <row r="4095" spans="1:9" x14ac:dyDescent="0.3">
      <c r="A4095" t="s">
        <v>23</v>
      </c>
      <c r="B4095">
        <v>2021</v>
      </c>
      <c r="C4095" t="s">
        <v>0</v>
      </c>
      <c r="D4095">
        <v>2991.83</v>
      </c>
      <c r="E4095">
        <v>2960.43</v>
      </c>
      <c r="F4095">
        <v>53.02</v>
      </c>
      <c r="G4095">
        <v>146.91999999999999</v>
      </c>
      <c r="H4095">
        <f>E4095*1000000/D4095</f>
        <v>989504.75127263251</v>
      </c>
      <c r="I4095" t="str">
        <f>IF(AND(B4095&gt;=2018, B4095&lt;=2021), "2018-2021", IF(AND(B4095&gt;=2022, B4095&lt;=2024), "2022-2024", "Other"))</f>
        <v>2018-2021</v>
      </c>
    </row>
    <row r="4096" spans="1:9" x14ac:dyDescent="0.3">
      <c r="A4096" t="s">
        <v>20</v>
      </c>
      <c r="B4096">
        <v>2022</v>
      </c>
      <c r="C4096" t="s">
        <v>6</v>
      </c>
      <c r="D4096">
        <v>34343.360000000001</v>
      </c>
      <c r="E4096">
        <v>37433.1</v>
      </c>
      <c r="F4096">
        <v>137.02000000000001</v>
      </c>
      <c r="G4096">
        <v>467.65</v>
      </c>
      <c r="H4096">
        <f>E4096*1000000/D4096</f>
        <v>1089966.1535737913</v>
      </c>
      <c r="I4096" t="str">
        <f>IF(AND(B4096&gt;=2018, B4096&lt;=2021), "2018-2021", IF(AND(B4096&gt;=2022, B4096&lt;=2024), "2022-2024", "Other"))</f>
        <v>2022-2024</v>
      </c>
    </row>
    <row r="4097" spans="1:9" x14ac:dyDescent="0.3">
      <c r="A4097" t="s">
        <v>23</v>
      </c>
      <c r="B4097">
        <v>2023</v>
      </c>
      <c r="C4097" t="s">
        <v>6</v>
      </c>
      <c r="D4097">
        <v>45324.58</v>
      </c>
      <c r="E4097">
        <v>48623.38</v>
      </c>
      <c r="F4097">
        <v>83.97</v>
      </c>
      <c r="G4097">
        <v>167.59</v>
      </c>
      <c r="H4097">
        <f>E4097*1000000/D4097</f>
        <v>1072781.7003489055</v>
      </c>
      <c r="I4097" t="str">
        <f>IF(AND(B4097&gt;=2018, B4097&lt;=2021), "2018-2021", IF(AND(B4097&gt;=2022, B4097&lt;=2024), "2022-2024", "Other"))</f>
        <v>2022-2024</v>
      </c>
    </row>
    <row r="4098" spans="1:9" x14ac:dyDescent="0.3">
      <c r="A4098" t="s">
        <v>22</v>
      </c>
      <c r="B4098">
        <v>2023</v>
      </c>
      <c r="C4098" t="s">
        <v>6</v>
      </c>
      <c r="D4098">
        <v>26357.4</v>
      </c>
      <c r="E4098">
        <v>31374.01</v>
      </c>
      <c r="F4098">
        <v>110.76</v>
      </c>
      <c r="G4098">
        <v>189.93</v>
      </c>
      <c r="H4098">
        <f>E4098*1000000/D4098</f>
        <v>1190330.229840576</v>
      </c>
      <c r="I4098" t="str">
        <f>IF(AND(B4098&gt;=2018, B4098&lt;=2021), "2018-2021", IF(AND(B4098&gt;=2022, B4098&lt;=2024), "2022-2024", "Other"))</f>
        <v>2022-2024</v>
      </c>
    </row>
    <row r="4099" spans="1:9" x14ac:dyDescent="0.3">
      <c r="A4099" t="s">
        <v>15</v>
      </c>
      <c r="B4099">
        <v>2022</v>
      </c>
      <c r="C4099" t="s">
        <v>14</v>
      </c>
      <c r="D4099">
        <v>15916.02</v>
      </c>
      <c r="E4099">
        <v>14934.3</v>
      </c>
      <c r="F4099">
        <v>135.53</v>
      </c>
      <c r="G4099">
        <v>733.39</v>
      </c>
      <c r="H4099">
        <f>E4099*1000000/D4099</f>
        <v>938318.7505419068</v>
      </c>
      <c r="I4099" t="str">
        <f>IF(AND(B4099&gt;=2018, B4099&lt;=2021), "2018-2021", IF(AND(B4099&gt;=2022, B4099&lt;=2024), "2022-2024", "Other"))</f>
        <v>2022-2024</v>
      </c>
    </row>
    <row r="4100" spans="1:9" x14ac:dyDescent="0.3">
      <c r="A4100" t="s">
        <v>19</v>
      </c>
      <c r="B4100">
        <v>2018</v>
      </c>
      <c r="C4100" t="s">
        <v>4</v>
      </c>
      <c r="D4100">
        <v>31339.96</v>
      </c>
      <c r="E4100">
        <v>37294.58</v>
      </c>
      <c r="F4100">
        <v>181.56</v>
      </c>
      <c r="G4100">
        <v>604.77</v>
      </c>
      <c r="H4100">
        <f>E4100*1000000/D4100</f>
        <v>1190000.8806648126</v>
      </c>
      <c r="I4100" t="str">
        <f>IF(AND(B4100&gt;=2018, B4100&lt;=2021), "2018-2021", IF(AND(B4100&gt;=2022, B4100&lt;=2024), "2022-2024", "Other"))</f>
        <v>2018-2021</v>
      </c>
    </row>
    <row r="4101" spans="1:9" x14ac:dyDescent="0.3">
      <c r="A4101" t="s">
        <v>11</v>
      </c>
      <c r="B4101">
        <v>2023</v>
      </c>
      <c r="C4101" t="s">
        <v>4</v>
      </c>
      <c r="D4101">
        <v>37116.04</v>
      </c>
      <c r="E4101">
        <v>32648.86</v>
      </c>
      <c r="F4101">
        <v>177.79</v>
      </c>
      <c r="G4101">
        <v>374.43</v>
      </c>
      <c r="H4101">
        <f>E4101*1000000/D4101</f>
        <v>879642.87138390844</v>
      </c>
      <c r="I4101" t="str">
        <f>IF(AND(B4101&gt;=2018, B4101&lt;=2021), "2018-2021", IF(AND(B4101&gt;=2022, B4101&lt;=2024), "2022-2024", "Other"))</f>
        <v>2022-2024</v>
      </c>
    </row>
    <row r="4102" spans="1:9" x14ac:dyDescent="0.3">
      <c r="A4102" t="s">
        <v>5</v>
      </c>
      <c r="B4102">
        <v>2018</v>
      </c>
      <c r="C4102" t="s">
        <v>12</v>
      </c>
      <c r="D4102">
        <v>36259.769999999997</v>
      </c>
      <c r="E4102">
        <v>37544.620000000003</v>
      </c>
      <c r="F4102">
        <v>55.69</v>
      </c>
      <c r="G4102">
        <v>1023.87</v>
      </c>
      <c r="H4102">
        <f>E4102*1000000/D4102</f>
        <v>1035434.5876987086</v>
      </c>
      <c r="I4102" t="str">
        <f>IF(AND(B4102&gt;=2018, B4102&lt;=2021), "2018-2021", IF(AND(B4102&gt;=2022, B4102&lt;=2024), "2022-2024", "Other"))</f>
        <v>2018-2021</v>
      </c>
    </row>
    <row r="4103" spans="1:9" x14ac:dyDescent="0.3">
      <c r="A4103" t="s">
        <v>16</v>
      </c>
      <c r="B4103">
        <v>2022</v>
      </c>
      <c r="C4103" t="s">
        <v>8</v>
      </c>
      <c r="D4103">
        <v>14919.1</v>
      </c>
      <c r="E4103">
        <v>17084.2</v>
      </c>
      <c r="F4103">
        <v>132.51</v>
      </c>
      <c r="G4103">
        <v>803.19</v>
      </c>
      <c r="H4103">
        <f>E4103*1000000/D4103</f>
        <v>1145122.6950687373</v>
      </c>
      <c r="I4103" t="str">
        <f>IF(AND(B4103&gt;=2018, B4103&lt;=2021), "2018-2021", IF(AND(B4103&gt;=2022, B4103&lt;=2024), "2022-2024", "Other"))</f>
        <v>2022-2024</v>
      </c>
    </row>
    <row r="4104" spans="1:9" x14ac:dyDescent="0.3">
      <c r="A4104" t="s">
        <v>27</v>
      </c>
      <c r="B4104">
        <v>2020</v>
      </c>
      <c r="C4104" t="s">
        <v>2</v>
      </c>
      <c r="D4104">
        <v>42030.89</v>
      </c>
      <c r="E4104">
        <v>45789.18</v>
      </c>
      <c r="F4104">
        <v>63.52</v>
      </c>
      <c r="G4104">
        <v>585.27</v>
      </c>
      <c r="H4104">
        <f>E4104*1000000/D4104</f>
        <v>1089417.3309201875</v>
      </c>
      <c r="I4104" t="str">
        <f>IF(AND(B4104&gt;=2018, B4104&lt;=2021), "2018-2021", IF(AND(B4104&gt;=2022, B4104&lt;=2024), "2022-2024", "Other"))</f>
        <v>2018-2021</v>
      </c>
    </row>
    <row r="4105" spans="1:9" x14ac:dyDescent="0.3">
      <c r="A4105" t="s">
        <v>7</v>
      </c>
      <c r="B4105">
        <v>2020</v>
      </c>
      <c r="C4105" t="s">
        <v>8</v>
      </c>
      <c r="D4105">
        <v>30761.09</v>
      </c>
      <c r="E4105">
        <v>24828.6</v>
      </c>
      <c r="F4105">
        <v>79.05</v>
      </c>
      <c r="G4105">
        <v>576.35</v>
      </c>
      <c r="H4105">
        <f>E4105*1000000/D4105</f>
        <v>807143.04987242003</v>
      </c>
      <c r="I4105" t="str">
        <f>IF(AND(B4105&gt;=2018, B4105&lt;=2021), "2018-2021", IF(AND(B4105&gt;=2022, B4105&lt;=2024), "2022-2024", "Other"))</f>
        <v>2018-2021</v>
      </c>
    </row>
    <row r="4106" spans="1:9" x14ac:dyDescent="0.3">
      <c r="A4106" t="s">
        <v>22</v>
      </c>
      <c r="B4106">
        <v>2021</v>
      </c>
      <c r="C4106" t="s">
        <v>0</v>
      </c>
      <c r="D4106">
        <v>13002.52</v>
      </c>
      <c r="E4106">
        <v>15565.35</v>
      </c>
      <c r="F4106">
        <v>58.26</v>
      </c>
      <c r="G4106">
        <v>982.98</v>
      </c>
      <c r="H4106">
        <f>E4106*1000000/D4106</f>
        <v>1197102.5616572788</v>
      </c>
      <c r="I4106" t="str">
        <f>IF(AND(B4106&gt;=2018, B4106&lt;=2021), "2018-2021", IF(AND(B4106&gt;=2022, B4106&lt;=2024), "2022-2024", "Other"))</f>
        <v>2018-2021</v>
      </c>
    </row>
    <row r="4107" spans="1:9" x14ac:dyDescent="0.3">
      <c r="A4107" t="s">
        <v>13</v>
      </c>
      <c r="B4107">
        <v>2019</v>
      </c>
      <c r="C4107" t="s">
        <v>6</v>
      </c>
      <c r="D4107">
        <v>15490.93</v>
      </c>
      <c r="E4107">
        <v>12642.13</v>
      </c>
      <c r="F4107">
        <v>159.05000000000001</v>
      </c>
      <c r="G4107">
        <v>375.62</v>
      </c>
      <c r="H4107">
        <f>E4107*1000000/D4107</f>
        <v>816098.83977269277</v>
      </c>
      <c r="I4107" t="str">
        <f>IF(AND(B4107&gt;=2018, B4107&lt;=2021), "2018-2021", IF(AND(B4107&gt;=2022, B4107&lt;=2024), "2022-2024", "Other"))</f>
        <v>2018-2021</v>
      </c>
    </row>
    <row r="4108" spans="1:9" x14ac:dyDescent="0.3">
      <c r="A4108" t="s">
        <v>11</v>
      </c>
      <c r="B4108">
        <v>2023</v>
      </c>
      <c r="C4108" t="s">
        <v>2</v>
      </c>
      <c r="D4108">
        <v>17821.64</v>
      </c>
      <c r="E4108">
        <v>16109.76</v>
      </c>
      <c r="F4108">
        <v>24.35</v>
      </c>
      <c r="G4108">
        <v>66.180000000000007</v>
      </c>
      <c r="H4108">
        <f>E4108*1000000/D4108</f>
        <v>903943.74479565292</v>
      </c>
      <c r="I4108" t="str">
        <f>IF(AND(B4108&gt;=2018, B4108&lt;=2021), "2018-2021", IF(AND(B4108&gt;=2022, B4108&lt;=2024), "2022-2024", "Other"))</f>
        <v>2022-2024</v>
      </c>
    </row>
    <row r="4109" spans="1:9" x14ac:dyDescent="0.3">
      <c r="A4109" t="s">
        <v>17</v>
      </c>
      <c r="B4109">
        <v>2018</v>
      </c>
      <c r="C4109" t="s">
        <v>14</v>
      </c>
      <c r="D4109">
        <v>883.58</v>
      </c>
      <c r="E4109">
        <v>732.83</v>
      </c>
      <c r="F4109">
        <v>125.68</v>
      </c>
      <c r="G4109">
        <v>376.86</v>
      </c>
      <c r="H4109">
        <f>E4109*1000000/D4109</f>
        <v>829387.2654428574</v>
      </c>
      <c r="I4109" t="str">
        <f>IF(AND(B4109&gt;=2018, B4109&lt;=2021), "2018-2021", IF(AND(B4109&gt;=2022, B4109&lt;=2024), "2022-2024", "Other"))</f>
        <v>2018-2021</v>
      </c>
    </row>
    <row r="4110" spans="1:9" x14ac:dyDescent="0.3">
      <c r="A4110" t="s">
        <v>16</v>
      </c>
      <c r="B4110">
        <v>2022</v>
      </c>
      <c r="C4110" t="s">
        <v>8</v>
      </c>
      <c r="D4110">
        <v>28088.1</v>
      </c>
      <c r="E4110">
        <v>24215.09</v>
      </c>
      <c r="F4110">
        <v>76.319999999999993</v>
      </c>
      <c r="G4110">
        <v>729.94</v>
      </c>
      <c r="H4110">
        <f>E4110*1000000/D4110</f>
        <v>862112.06881205924</v>
      </c>
      <c r="I4110" t="str">
        <f>IF(AND(B4110&gt;=2018, B4110&lt;=2021), "2018-2021", IF(AND(B4110&gt;=2022, B4110&lt;=2024), "2022-2024", "Other"))</f>
        <v>2022-2024</v>
      </c>
    </row>
    <row r="4111" spans="1:9" x14ac:dyDescent="0.3">
      <c r="A4111" t="s">
        <v>15</v>
      </c>
      <c r="B4111">
        <v>2024</v>
      </c>
      <c r="C4111" t="s">
        <v>9</v>
      </c>
      <c r="D4111">
        <v>24366.95</v>
      </c>
      <c r="E4111">
        <v>23847.84</v>
      </c>
      <c r="F4111">
        <v>29.73</v>
      </c>
      <c r="G4111">
        <v>1298.6300000000001</v>
      </c>
      <c r="H4111">
        <f>E4111*1000000/D4111</f>
        <v>978696.1437520904</v>
      </c>
      <c r="I4111" t="str">
        <f>IF(AND(B4111&gt;=2018, B4111&lt;=2021), "2018-2021", IF(AND(B4111&gt;=2022, B4111&lt;=2024), "2022-2024", "Other"))</f>
        <v>2022-2024</v>
      </c>
    </row>
    <row r="4112" spans="1:9" x14ac:dyDescent="0.3">
      <c r="A4112" t="s">
        <v>26</v>
      </c>
      <c r="B4112">
        <v>2022</v>
      </c>
      <c r="C4112" t="s">
        <v>6</v>
      </c>
      <c r="D4112">
        <v>48638.45</v>
      </c>
      <c r="E4112">
        <v>41147.199999999997</v>
      </c>
      <c r="F4112">
        <v>165.93</v>
      </c>
      <c r="G4112">
        <v>112.72</v>
      </c>
      <c r="H4112">
        <f>E4112*1000000/D4112</f>
        <v>845980.90605272166</v>
      </c>
      <c r="I4112" t="str">
        <f>IF(AND(B4112&gt;=2018, B4112&lt;=2021), "2018-2021", IF(AND(B4112&gt;=2022, B4112&lt;=2024), "2022-2024", "Other"))</f>
        <v>2022-2024</v>
      </c>
    </row>
    <row r="4113" spans="1:9" x14ac:dyDescent="0.3">
      <c r="A4113" t="s">
        <v>24</v>
      </c>
      <c r="B4113">
        <v>2024</v>
      </c>
      <c r="C4113" t="s">
        <v>14</v>
      </c>
      <c r="D4113">
        <v>25626.17</v>
      </c>
      <c r="E4113">
        <v>20892.25</v>
      </c>
      <c r="F4113">
        <v>168.75</v>
      </c>
      <c r="G4113">
        <v>850.52</v>
      </c>
      <c r="H4113">
        <f>E4113*1000000/D4113</f>
        <v>815270.09303380107</v>
      </c>
      <c r="I4113" t="str">
        <f>IF(AND(B4113&gt;=2018, B4113&lt;=2021), "2018-2021", IF(AND(B4113&gt;=2022, B4113&lt;=2024), "2022-2024", "Other"))</f>
        <v>2022-2024</v>
      </c>
    </row>
    <row r="4114" spans="1:9" x14ac:dyDescent="0.3">
      <c r="A4114" t="s">
        <v>11</v>
      </c>
      <c r="B4114">
        <v>2021</v>
      </c>
      <c r="C4114" t="s">
        <v>0</v>
      </c>
      <c r="D4114">
        <v>31434.87</v>
      </c>
      <c r="E4114">
        <v>37218.26</v>
      </c>
      <c r="F4114">
        <v>83.98</v>
      </c>
      <c r="G4114">
        <v>883.02</v>
      </c>
      <c r="H4114">
        <f>E4114*1000000/D4114</f>
        <v>1183980.0832642221</v>
      </c>
      <c r="I4114" t="str">
        <f>IF(AND(B4114&gt;=2018, B4114&lt;=2021), "2018-2021", IF(AND(B4114&gt;=2022, B4114&lt;=2024), "2022-2024", "Other"))</f>
        <v>2018-2021</v>
      </c>
    </row>
    <row r="4115" spans="1:9" x14ac:dyDescent="0.3">
      <c r="A4115" t="s">
        <v>20</v>
      </c>
      <c r="B4115">
        <v>2018</v>
      </c>
      <c r="C4115" t="s">
        <v>6</v>
      </c>
      <c r="D4115">
        <v>3875.26</v>
      </c>
      <c r="E4115">
        <v>4171.74</v>
      </c>
      <c r="F4115">
        <v>111.03</v>
      </c>
      <c r="G4115">
        <v>984.53</v>
      </c>
      <c r="H4115">
        <f>E4115*1000000/D4115</f>
        <v>1076505.834447237</v>
      </c>
      <c r="I4115" t="str">
        <f>IF(AND(B4115&gt;=2018, B4115&lt;=2021), "2018-2021", IF(AND(B4115&gt;=2022, B4115&lt;=2024), "2022-2024", "Other"))</f>
        <v>2018-2021</v>
      </c>
    </row>
    <row r="4116" spans="1:9" x14ac:dyDescent="0.3">
      <c r="A4116" t="s">
        <v>23</v>
      </c>
      <c r="B4116">
        <v>2019</v>
      </c>
      <c r="C4116" t="s">
        <v>0</v>
      </c>
      <c r="D4116">
        <v>17731.47</v>
      </c>
      <c r="E4116">
        <v>19809.54</v>
      </c>
      <c r="F4116">
        <v>102.18</v>
      </c>
      <c r="G4116">
        <v>1019.24</v>
      </c>
      <c r="H4116">
        <f>E4116*1000000/D4116</f>
        <v>1117196.7129628845</v>
      </c>
      <c r="I4116" t="str">
        <f>IF(AND(B4116&gt;=2018, B4116&lt;=2021), "2018-2021", IF(AND(B4116&gt;=2022, B4116&lt;=2024), "2022-2024", "Other"))</f>
        <v>2018-2021</v>
      </c>
    </row>
    <row r="4117" spans="1:9" x14ac:dyDescent="0.3">
      <c r="A4117" t="s">
        <v>20</v>
      </c>
      <c r="B4117">
        <v>2023</v>
      </c>
      <c r="C4117" t="s">
        <v>8</v>
      </c>
      <c r="D4117">
        <v>2267.0500000000002</v>
      </c>
      <c r="E4117">
        <v>2347.17</v>
      </c>
      <c r="F4117">
        <v>146.55000000000001</v>
      </c>
      <c r="G4117">
        <v>129.91</v>
      </c>
      <c r="H4117">
        <f>E4117*1000000/D4117</f>
        <v>1035341.0820228931</v>
      </c>
      <c r="I4117" t="str">
        <f>IF(AND(B4117&gt;=2018, B4117&lt;=2021), "2018-2021", IF(AND(B4117&gt;=2022, B4117&lt;=2024), "2022-2024", "Other"))</f>
        <v>2022-2024</v>
      </c>
    </row>
    <row r="4118" spans="1:9" x14ac:dyDescent="0.3">
      <c r="A4118" t="s">
        <v>19</v>
      </c>
      <c r="B4118">
        <v>2022</v>
      </c>
      <c r="C4118" t="s">
        <v>2</v>
      </c>
      <c r="D4118">
        <v>27384.23</v>
      </c>
      <c r="E4118">
        <v>27460.01</v>
      </c>
      <c r="F4118">
        <v>166.87</v>
      </c>
      <c r="G4118">
        <v>1125.17</v>
      </c>
      <c r="H4118">
        <f>E4118*1000000/D4118</f>
        <v>1002767.2861351223</v>
      </c>
      <c r="I4118" t="str">
        <f>IF(AND(B4118&gt;=2018, B4118&lt;=2021), "2018-2021", IF(AND(B4118&gt;=2022, B4118&lt;=2024), "2022-2024", "Other"))</f>
        <v>2022-2024</v>
      </c>
    </row>
    <row r="4119" spans="1:9" x14ac:dyDescent="0.3">
      <c r="A4119" t="s">
        <v>1</v>
      </c>
      <c r="B4119">
        <v>2022</v>
      </c>
      <c r="C4119" t="s">
        <v>9</v>
      </c>
      <c r="D4119">
        <v>37658.839999999997</v>
      </c>
      <c r="E4119">
        <v>44908.91</v>
      </c>
      <c r="F4119">
        <v>161.69999999999999</v>
      </c>
      <c r="G4119">
        <v>1057.6099999999999</v>
      </c>
      <c r="H4119">
        <f>E4119*1000000/D4119</f>
        <v>1192519.7377295743</v>
      </c>
      <c r="I4119" t="str">
        <f>IF(AND(B4119&gt;=2018, B4119&lt;=2021), "2018-2021", IF(AND(B4119&gt;=2022, B4119&lt;=2024), "2022-2024", "Other"))</f>
        <v>2022-2024</v>
      </c>
    </row>
    <row r="4120" spans="1:9" x14ac:dyDescent="0.3">
      <c r="A4120" t="s">
        <v>27</v>
      </c>
      <c r="B4120">
        <v>2018</v>
      </c>
      <c r="C4120" t="s">
        <v>9</v>
      </c>
      <c r="D4120">
        <v>23944.71</v>
      </c>
      <c r="E4120">
        <v>20221.28</v>
      </c>
      <c r="F4120">
        <v>92.54</v>
      </c>
      <c r="G4120">
        <v>1107.6400000000001</v>
      </c>
      <c r="H4120">
        <f>E4120*1000000/D4120</f>
        <v>844498.84755338449</v>
      </c>
      <c r="I4120" t="str">
        <f>IF(AND(B4120&gt;=2018, B4120&lt;=2021), "2018-2021", IF(AND(B4120&gt;=2022, B4120&lt;=2024), "2022-2024", "Other"))</f>
        <v>2018-2021</v>
      </c>
    </row>
    <row r="4121" spans="1:9" x14ac:dyDescent="0.3">
      <c r="A4121" t="s">
        <v>10</v>
      </c>
      <c r="B4121">
        <v>2023</v>
      </c>
      <c r="C4121" t="s">
        <v>12</v>
      </c>
      <c r="D4121">
        <v>14270.47</v>
      </c>
      <c r="E4121">
        <v>16875.48</v>
      </c>
      <c r="F4121">
        <v>131.80000000000001</v>
      </c>
      <c r="G4121">
        <v>672.26</v>
      </c>
      <c r="H4121">
        <f>E4121*1000000/D4121</f>
        <v>1182545.4942969643</v>
      </c>
      <c r="I4121" t="str">
        <f>IF(AND(B4121&gt;=2018, B4121&lt;=2021), "2018-2021", IF(AND(B4121&gt;=2022, B4121&lt;=2024), "2022-2024", "Other"))</f>
        <v>2022-2024</v>
      </c>
    </row>
    <row r="4122" spans="1:9" x14ac:dyDescent="0.3">
      <c r="A4122" t="s">
        <v>27</v>
      </c>
      <c r="B4122">
        <v>2024</v>
      </c>
      <c r="C4122" t="s">
        <v>0</v>
      </c>
      <c r="D4122">
        <v>10750.06</v>
      </c>
      <c r="E4122">
        <v>11143.47</v>
      </c>
      <c r="F4122">
        <v>194.86</v>
      </c>
      <c r="G4122">
        <v>539.34</v>
      </c>
      <c r="H4122">
        <f>E4122*1000000/D4122</f>
        <v>1036596.0748126057</v>
      </c>
      <c r="I4122" t="str">
        <f>IF(AND(B4122&gt;=2018, B4122&lt;=2021), "2018-2021", IF(AND(B4122&gt;=2022, B4122&lt;=2024), "2022-2024", "Other"))</f>
        <v>2022-2024</v>
      </c>
    </row>
    <row r="4123" spans="1:9" x14ac:dyDescent="0.3">
      <c r="A4123" t="s">
        <v>16</v>
      </c>
      <c r="B4123">
        <v>2021</v>
      </c>
      <c r="C4123" t="s">
        <v>8</v>
      </c>
      <c r="D4123">
        <v>25760.32</v>
      </c>
      <c r="E4123">
        <v>24901.13</v>
      </c>
      <c r="F4123">
        <v>65.31</v>
      </c>
      <c r="G4123">
        <v>431.85</v>
      </c>
      <c r="H4123">
        <f>E4123*1000000/D4123</f>
        <v>966646.7652575745</v>
      </c>
      <c r="I4123" t="str">
        <f>IF(AND(B4123&gt;=2018, B4123&lt;=2021), "2018-2021", IF(AND(B4123&gt;=2022, B4123&lt;=2024), "2022-2024", "Other"))</f>
        <v>2018-2021</v>
      </c>
    </row>
    <row r="4124" spans="1:9" x14ac:dyDescent="0.3">
      <c r="A4124" t="s">
        <v>1</v>
      </c>
      <c r="B4124">
        <v>2023</v>
      </c>
      <c r="C4124" t="s">
        <v>4</v>
      </c>
      <c r="D4124">
        <v>31881.43</v>
      </c>
      <c r="E4124">
        <v>36280.050000000003</v>
      </c>
      <c r="F4124">
        <v>188.46</v>
      </c>
      <c r="G4124">
        <v>587.85</v>
      </c>
      <c r="H4124">
        <f>E4124*1000000/D4124</f>
        <v>1137968.0898880633</v>
      </c>
      <c r="I4124" t="str">
        <f>IF(AND(B4124&gt;=2018, B4124&lt;=2021), "2018-2021", IF(AND(B4124&gt;=2022, B4124&lt;=2024), "2022-2024", "Other"))</f>
        <v>2022-2024</v>
      </c>
    </row>
    <row r="4125" spans="1:9" x14ac:dyDescent="0.3">
      <c r="A4125" t="s">
        <v>27</v>
      </c>
      <c r="B4125">
        <v>2018</v>
      </c>
      <c r="C4125" t="s">
        <v>6</v>
      </c>
      <c r="D4125">
        <v>24351.4</v>
      </c>
      <c r="E4125">
        <v>26008.75</v>
      </c>
      <c r="F4125">
        <v>74.06</v>
      </c>
      <c r="G4125">
        <v>350</v>
      </c>
      <c r="H4125">
        <f>E4125*1000000/D4125</f>
        <v>1068059.7419450216</v>
      </c>
      <c r="I4125" t="str">
        <f>IF(AND(B4125&gt;=2018, B4125&lt;=2021), "2018-2021", IF(AND(B4125&gt;=2022, B4125&lt;=2024), "2022-2024", "Other"))</f>
        <v>2018-2021</v>
      </c>
    </row>
    <row r="4126" spans="1:9" x14ac:dyDescent="0.3">
      <c r="A4126" t="s">
        <v>23</v>
      </c>
      <c r="B4126">
        <v>2023</v>
      </c>
      <c r="C4126" t="s">
        <v>9</v>
      </c>
      <c r="D4126">
        <v>24170.61</v>
      </c>
      <c r="E4126">
        <v>24194.62</v>
      </c>
      <c r="F4126">
        <v>35.97</v>
      </c>
      <c r="G4126">
        <v>487.76</v>
      </c>
      <c r="H4126">
        <f>E4126*1000000/D4126</f>
        <v>1000993.3551532212</v>
      </c>
      <c r="I4126" t="str">
        <f>IF(AND(B4126&gt;=2018, B4126&lt;=2021), "2018-2021", IF(AND(B4126&gt;=2022, B4126&lt;=2024), "2022-2024", "Other"))</f>
        <v>2022-2024</v>
      </c>
    </row>
    <row r="4127" spans="1:9" x14ac:dyDescent="0.3">
      <c r="A4127" t="s">
        <v>25</v>
      </c>
      <c r="B4127">
        <v>2019</v>
      </c>
      <c r="C4127" t="s">
        <v>4</v>
      </c>
      <c r="D4127">
        <v>20186.78</v>
      </c>
      <c r="E4127">
        <v>23092.05</v>
      </c>
      <c r="F4127">
        <v>74.13</v>
      </c>
      <c r="G4127">
        <v>457.32</v>
      </c>
      <c r="H4127">
        <f>E4127*1000000/D4127</f>
        <v>1143919.4363836134</v>
      </c>
      <c r="I4127" t="str">
        <f>IF(AND(B4127&gt;=2018, B4127&lt;=2021), "2018-2021", IF(AND(B4127&gt;=2022, B4127&lt;=2024), "2022-2024", "Other"))</f>
        <v>2018-2021</v>
      </c>
    </row>
    <row r="4128" spans="1:9" x14ac:dyDescent="0.3">
      <c r="A4128" t="s">
        <v>23</v>
      </c>
      <c r="B4128">
        <v>2020</v>
      </c>
      <c r="C4128" t="s">
        <v>12</v>
      </c>
      <c r="D4128">
        <v>33030.51</v>
      </c>
      <c r="E4128">
        <v>30017</v>
      </c>
      <c r="F4128">
        <v>169.29</v>
      </c>
      <c r="G4128">
        <v>1212.1300000000001</v>
      </c>
      <c r="H4128">
        <f>E4128*1000000/D4128</f>
        <v>908765.86525609193</v>
      </c>
      <c r="I4128" t="str">
        <f>IF(AND(B4128&gt;=2018, B4128&lt;=2021), "2018-2021", IF(AND(B4128&gt;=2022, B4128&lt;=2024), "2022-2024", "Other"))</f>
        <v>2018-2021</v>
      </c>
    </row>
    <row r="4129" spans="1:9" x14ac:dyDescent="0.3">
      <c r="A4129" t="s">
        <v>1</v>
      </c>
      <c r="B4129">
        <v>2024</v>
      </c>
      <c r="C4129" t="s">
        <v>8</v>
      </c>
      <c r="D4129">
        <v>46890.11</v>
      </c>
      <c r="E4129">
        <v>50991.35</v>
      </c>
      <c r="F4129">
        <v>101.17</v>
      </c>
      <c r="G4129">
        <v>970.27</v>
      </c>
      <c r="H4129">
        <f>E4129*1000000/D4129</f>
        <v>1087464.9259726624</v>
      </c>
      <c r="I4129" t="str">
        <f>IF(AND(B4129&gt;=2018, B4129&lt;=2021), "2018-2021", IF(AND(B4129&gt;=2022, B4129&lt;=2024), "2022-2024", "Other"))</f>
        <v>2022-2024</v>
      </c>
    </row>
    <row r="4130" spans="1:9" x14ac:dyDescent="0.3">
      <c r="A4130" t="s">
        <v>15</v>
      </c>
      <c r="B4130">
        <v>2022</v>
      </c>
      <c r="C4130" t="s">
        <v>4</v>
      </c>
      <c r="D4130">
        <v>41004.31</v>
      </c>
      <c r="E4130">
        <v>46604.29</v>
      </c>
      <c r="F4130">
        <v>25.18</v>
      </c>
      <c r="G4130">
        <v>647.16999999999996</v>
      </c>
      <c r="H4130">
        <f>E4130*1000000/D4130</f>
        <v>1136570.5214890826</v>
      </c>
      <c r="I4130" t="str">
        <f>IF(AND(B4130&gt;=2018, B4130&lt;=2021), "2018-2021", IF(AND(B4130&gt;=2022, B4130&lt;=2024), "2022-2024", "Other"))</f>
        <v>2022-2024</v>
      </c>
    </row>
    <row r="4131" spans="1:9" x14ac:dyDescent="0.3">
      <c r="A4131" t="s">
        <v>24</v>
      </c>
      <c r="B4131">
        <v>2021</v>
      </c>
      <c r="C4131" t="s">
        <v>6</v>
      </c>
      <c r="D4131">
        <v>30750.799999999999</v>
      </c>
      <c r="E4131">
        <v>33432.300000000003</v>
      </c>
      <c r="F4131">
        <v>137.34</v>
      </c>
      <c r="G4131">
        <v>230.4</v>
      </c>
      <c r="H4131">
        <f>E4131*1000000/D4131</f>
        <v>1087200.9833890502</v>
      </c>
      <c r="I4131" t="str">
        <f>IF(AND(B4131&gt;=2018, B4131&lt;=2021), "2018-2021", IF(AND(B4131&gt;=2022, B4131&lt;=2024), "2022-2024", "Other"))</f>
        <v>2018-2021</v>
      </c>
    </row>
    <row r="4132" spans="1:9" x14ac:dyDescent="0.3">
      <c r="A4132" t="s">
        <v>5</v>
      </c>
      <c r="B4132">
        <v>2021</v>
      </c>
      <c r="C4132" t="s">
        <v>9</v>
      </c>
      <c r="D4132">
        <v>30637.42</v>
      </c>
      <c r="E4132">
        <v>25279.55</v>
      </c>
      <c r="F4132">
        <v>174.6</v>
      </c>
      <c r="G4132">
        <v>1027.22</v>
      </c>
      <c r="H4132">
        <f>E4132*1000000/D4132</f>
        <v>825120.06559299061</v>
      </c>
      <c r="I4132" t="str">
        <f>IF(AND(B4132&gt;=2018, B4132&lt;=2021), "2018-2021", IF(AND(B4132&gt;=2022, B4132&lt;=2024), "2022-2024", "Other"))</f>
        <v>2018-2021</v>
      </c>
    </row>
    <row r="4133" spans="1:9" x14ac:dyDescent="0.3">
      <c r="A4133" t="s">
        <v>24</v>
      </c>
      <c r="B4133">
        <v>2022</v>
      </c>
      <c r="C4133" t="s">
        <v>8</v>
      </c>
      <c r="D4133">
        <v>34149.18</v>
      </c>
      <c r="E4133">
        <v>38842.47</v>
      </c>
      <c r="F4133">
        <v>101.9</v>
      </c>
      <c r="G4133">
        <v>942.49</v>
      </c>
      <c r="H4133">
        <f>E4133*1000000/D4133</f>
        <v>1137434.9252310011</v>
      </c>
      <c r="I4133" t="str">
        <f>IF(AND(B4133&gt;=2018, B4133&lt;=2021), "2018-2021", IF(AND(B4133&gt;=2022, B4133&lt;=2024), "2022-2024", "Other"))</f>
        <v>2022-2024</v>
      </c>
    </row>
    <row r="4134" spans="1:9" x14ac:dyDescent="0.3">
      <c r="A4134" t="s">
        <v>7</v>
      </c>
      <c r="B4134">
        <v>2022</v>
      </c>
      <c r="C4134" t="s">
        <v>4</v>
      </c>
      <c r="D4134">
        <v>46815.5</v>
      </c>
      <c r="E4134">
        <v>42424.43</v>
      </c>
      <c r="F4134">
        <v>118.25</v>
      </c>
      <c r="G4134">
        <v>1051.3399999999999</v>
      </c>
      <c r="H4134">
        <f>E4134*1000000/D4134</f>
        <v>906204.7826040521</v>
      </c>
      <c r="I4134" t="str">
        <f>IF(AND(B4134&gt;=2018, B4134&lt;=2021), "2018-2021", IF(AND(B4134&gt;=2022, B4134&lt;=2024), "2022-2024", "Other"))</f>
        <v>2022-2024</v>
      </c>
    </row>
    <row r="4135" spans="1:9" x14ac:dyDescent="0.3">
      <c r="A4135" t="s">
        <v>5</v>
      </c>
      <c r="B4135">
        <v>2021</v>
      </c>
      <c r="C4135" t="s">
        <v>6</v>
      </c>
      <c r="D4135">
        <v>12513.65</v>
      </c>
      <c r="E4135">
        <v>10732.01</v>
      </c>
      <c r="F4135">
        <v>89.82</v>
      </c>
      <c r="G4135">
        <v>1376.59</v>
      </c>
      <c r="H4135">
        <f>E4135*1000000/D4135</f>
        <v>857624.27429247263</v>
      </c>
      <c r="I4135" t="str">
        <f>IF(AND(B4135&gt;=2018, B4135&lt;=2021), "2018-2021", IF(AND(B4135&gt;=2022, B4135&lt;=2024), "2022-2024", "Other"))</f>
        <v>2018-2021</v>
      </c>
    </row>
    <row r="4136" spans="1:9" x14ac:dyDescent="0.3">
      <c r="A4136" t="s">
        <v>3</v>
      </c>
      <c r="B4136">
        <v>2023</v>
      </c>
      <c r="C4136" t="s">
        <v>8</v>
      </c>
      <c r="D4136">
        <v>41819.440000000002</v>
      </c>
      <c r="E4136">
        <v>36925.57</v>
      </c>
      <c r="F4136">
        <v>196.26</v>
      </c>
      <c r="G4136">
        <v>813.71</v>
      </c>
      <c r="H4136">
        <f>E4136*1000000/D4136</f>
        <v>882976.19480318238</v>
      </c>
      <c r="I4136" t="str">
        <f>IF(AND(B4136&gt;=2018, B4136&lt;=2021), "2018-2021", IF(AND(B4136&gt;=2022, B4136&lt;=2024), "2022-2024", "Other"))</f>
        <v>2022-2024</v>
      </c>
    </row>
    <row r="4137" spans="1:9" x14ac:dyDescent="0.3">
      <c r="A4137" t="s">
        <v>27</v>
      </c>
      <c r="B4137">
        <v>2023</v>
      </c>
      <c r="C4137" t="s">
        <v>6</v>
      </c>
      <c r="D4137">
        <v>49107.7</v>
      </c>
      <c r="E4137">
        <v>50025.56</v>
      </c>
      <c r="F4137">
        <v>115.42</v>
      </c>
      <c r="G4137">
        <v>233.71</v>
      </c>
      <c r="H4137">
        <f>E4137*1000000/D4137</f>
        <v>1018690.7552176135</v>
      </c>
      <c r="I4137" t="str">
        <f>IF(AND(B4137&gt;=2018, B4137&lt;=2021), "2018-2021", IF(AND(B4137&gt;=2022, B4137&lt;=2024), "2022-2024", "Other"))</f>
        <v>2022-2024</v>
      </c>
    </row>
    <row r="4138" spans="1:9" x14ac:dyDescent="0.3">
      <c r="A4138" t="s">
        <v>22</v>
      </c>
      <c r="B4138">
        <v>2023</v>
      </c>
      <c r="C4138" t="s">
        <v>8</v>
      </c>
      <c r="D4138">
        <v>42525.41</v>
      </c>
      <c r="E4138">
        <v>43267.76</v>
      </c>
      <c r="F4138">
        <v>95.59</v>
      </c>
      <c r="G4138">
        <v>1200.8599999999999</v>
      </c>
      <c r="H4138">
        <f>E4138*1000000/D4138</f>
        <v>1017456.6218174028</v>
      </c>
      <c r="I4138" t="str">
        <f>IF(AND(B4138&gt;=2018, B4138&lt;=2021), "2018-2021", IF(AND(B4138&gt;=2022, B4138&lt;=2024), "2022-2024", "Other"))</f>
        <v>2022-2024</v>
      </c>
    </row>
    <row r="4139" spans="1:9" x14ac:dyDescent="0.3">
      <c r="A4139" t="s">
        <v>25</v>
      </c>
      <c r="B4139">
        <v>2023</v>
      </c>
      <c r="C4139" t="s">
        <v>0</v>
      </c>
      <c r="D4139">
        <v>11040.53</v>
      </c>
      <c r="E4139">
        <v>11278.52</v>
      </c>
      <c r="F4139">
        <v>83.92</v>
      </c>
      <c r="G4139">
        <v>172.33</v>
      </c>
      <c r="H4139">
        <f>E4139*1000000/D4139</f>
        <v>1021556.0303717303</v>
      </c>
      <c r="I4139" t="str">
        <f>IF(AND(B4139&gt;=2018, B4139&lt;=2021), "2018-2021", IF(AND(B4139&gt;=2022, B4139&lt;=2024), "2022-2024", "Other"))</f>
        <v>2022-2024</v>
      </c>
    </row>
    <row r="4140" spans="1:9" x14ac:dyDescent="0.3">
      <c r="A4140" t="s">
        <v>23</v>
      </c>
      <c r="B4140">
        <v>2021</v>
      </c>
      <c r="C4140" t="s">
        <v>8</v>
      </c>
      <c r="D4140">
        <v>44081.72</v>
      </c>
      <c r="E4140">
        <v>44429.64</v>
      </c>
      <c r="F4140">
        <v>107.15</v>
      </c>
      <c r="G4140">
        <v>349.13</v>
      </c>
      <c r="H4140">
        <f>E4140*1000000/D4140</f>
        <v>1007892.6139905611</v>
      </c>
      <c r="I4140" t="str">
        <f>IF(AND(B4140&gt;=2018, B4140&lt;=2021), "2018-2021", IF(AND(B4140&gt;=2022, B4140&lt;=2024), "2022-2024", "Other"))</f>
        <v>2018-2021</v>
      </c>
    </row>
    <row r="4141" spans="1:9" x14ac:dyDescent="0.3">
      <c r="A4141" t="s">
        <v>24</v>
      </c>
      <c r="B4141">
        <v>2023</v>
      </c>
      <c r="C4141" t="s">
        <v>6</v>
      </c>
      <c r="D4141">
        <v>35076.449999999997</v>
      </c>
      <c r="E4141">
        <v>35115.4</v>
      </c>
      <c r="F4141">
        <v>56.36</v>
      </c>
      <c r="G4141">
        <v>377.48</v>
      </c>
      <c r="H4141">
        <f>E4141*1000000/D4141</f>
        <v>1001110.431642883</v>
      </c>
      <c r="I4141" t="str">
        <f>IF(AND(B4141&gt;=2018, B4141&lt;=2021), "2018-2021", IF(AND(B4141&gt;=2022, B4141&lt;=2024), "2022-2024", "Other"))</f>
        <v>2022-2024</v>
      </c>
    </row>
    <row r="4142" spans="1:9" x14ac:dyDescent="0.3">
      <c r="A4142" t="s">
        <v>16</v>
      </c>
      <c r="B4142">
        <v>2022</v>
      </c>
      <c r="C4142" t="s">
        <v>6</v>
      </c>
      <c r="D4142">
        <v>20946.36</v>
      </c>
      <c r="E4142">
        <v>17515.05</v>
      </c>
      <c r="F4142">
        <v>161.72999999999999</v>
      </c>
      <c r="G4142">
        <v>517.33000000000004</v>
      </c>
      <c r="H4142">
        <f>E4142*1000000/D4142</f>
        <v>836185.85759053123</v>
      </c>
      <c r="I4142" t="str">
        <f>IF(AND(B4142&gt;=2018, B4142&lt;=2021), "2018-2021", IF(AND(B4142&gt;=2022, B4142&lt;=2024), "2022-2024", "Other"))</f>
        <v>2022-2024</v>
      </c>
    </row>
    <row r="4143" spans="1:9" x14ac:dyDescent="0.3">
      <c r="A4143" t="s">
        <v>22</v>
      </c>
      <c r="B4143">
        <v>2024</v>
      </c>
      <c r="C4143" t="s">
        <v>14</v>
      </c>
      <c r="D4143">
        <v>41633.949999999997</v>
      </c>
      <c r="E4143">
        <v>38231.15</v>
      </c>
      <c r="F4143">
        <v>168.63</v>
      </c>
      <c r="G4143">
        <v>563.08000000000004</v>
      </c>
      <c r="H4143">
        <f>E4143*1000000/D4143</f>
        <v>918268.62452397624</v>
      </c>
      <c r="I4143" t="str">
        <f>IF(AND(B4143&gt;=2018, B4143&lt;=2021), "2018-2021", IF(AND(B4143&gt;=2022, B4143&lt;=2024), "2022-2024", "Other"))</f>
        <v>2022-2024</v>
      </c>
    </row>
    <row r="4144" spans="1:9" x14ac:dyDescent="0.3">
      <c r="A4144" t="s">
        <v>26</v>
      </c>
      <c r="B4144">
        <v>2021</v>
      </c>
      <c r="C4144" t="s">
        <v>2</v>
      </c>
      <c r="D4144">
        <v>42467.040000000001</v>
      </c>
      <c r="E4144">
        <v>34601.29</v>
      </c>
      <c r="F4144">
        <v>38.39</v>
      </c>
      <c r="G4144">
        <v>1389.49</v>
      </c>
      <c r="H4144">
        <f>E4144*1000000/D4144</f>
        <v>814779.8857655254</v>
      </c>
      <c r="I4144" t="str">
        <f>IF(AND(B4144&gt;=2018, B4144&lt;=2021), "2018-2021", IF(AND(B4144&gt;=2022, B4144&lt;=2024), "2022-2024", "Other"))</f>
        <v>2018-2021</v>
      </c>
    </row>
    <row r="4145" spans="1:9" x14ac:dyDescent="0.3">
      <c r="A4145" t="s">
        <v>13</v>
      </c>
      <c r="B4145">
        <v>2019</v>
      </c>
      <c r="C4145" t="s">
        <v>2</v>
      </c>
      <c r="D4145">
        <v>30419.87</v>
      </c>
      <c r="E4145">
        <v>36046.03</v>
      </c>
      <c r="F4145">
        <v>27.9</v>
      </c>
      <c r="G4145">
        <v>1363.88</v>
      </c>
      <c r="H4145">
        <f>E4145*1000000/D4145</f>
        <v>1184950.1657962378</v>
      </c>
      <c r="I4145" t="str">
        <f>IF(AND(B4145&gt;=2018, B4145&lt;=2021), "2018-2021", IF(AND(B4145&gt;=2022, B4145&lt;=2024), "2022-2024", "Other"))</f>
        <v>2018-2021</v>
      </c>
    </row>
    <row r="4146" spans="1:9" x14ac:dyDescent="0.3">
      <c r="A4146" t="s">
        <v>13</v>
      </c>
      <c r="B4146">
        <v>2020</v>
      </c>
      <c r="C4146" t="s">
        <v>0</v>
      </c>
      <c r="D4146">
        <v>28809.15</v>
      </c>
      <c r="E4146">
        <v>23817.33</v>
      </c>
      <c r="F4146">
        <v>114.87</v>
      </c>
      <c r="G4146">
        <v>189.05</v>
      </c>
      <c r="H4146">
        <f>E4146*1000000/D4146</f>
        <v>826727.96663560008</v>
      </c>
      <c r="I4146" t="str">
        <f>IF(AND(B4146&gt;=2018, B4146&lt;=2021), "2018-2021", IF(AND(B4146&gt;=2022, B4146&lt;=2024), "2022-2024", "Other"))</f>
        <v>2018-2021</v>
      </c>
    </row>
    <row r="4147" spans="1:9" x14ac:dyDescent="0.3">
      <c r="A4147" t="s">
        <v>16</v>
      </c>
      <c r="B4147">
        <v>2019</v>
      </c>
      <c r="C4147" t="s">
        <v>0</v>
      </c>
      <c r="D4147">
        <v>20245.330000000002</v>
      </c>
      <c r="E4147">
        <v>22805.62</v>
      </c>
      <c r="F4147">
        <v>167.95</v>
      </c>
      <c r="G4147">
        <v>635.17999999999995</v>
      </c>
      <c r="H4147">
        <f>E4147*1000000/D4147</f>
        <v>1126463.2386826987</v>
      </c>
      <c r="I4147" t="str">
        <f>IF(AND(B4147&gt;=2018, B4147&lt;=2021), "2018-2021", IF(AND(B4147&gt;=2022, B4147&lt;=2024), "2022-2024", "Other"))</f>
        <v>2018-2021</v>
      </c>
    </row>
    <row r="4148" spans="1:9" x14ac:dyDescent="0.3">
      <c r="A4148" t="s">
        <v>3</v>
      </c>
      <c r="B4148">
        <v>2023</v>
      </c>
      <c r="C4148" t="s">
        <v>4</v>
      </c>
      <c r="D4148">
        <v>22703.51</v>
      </c>
      <c r="E4148">
        <v>24955.67</v>
      </c>
      <c r="F4148">
        <v>66.84</v>
      </c>
      <c r="G4148">
        <v>1357.71</v>
      </c>
      <c r="H4148">
        <f>E4148*1000000/D4148</f>
        <v>1099198.7582536798</v>
      </c>
      <c r="I4148" t="str">
        <f>IF(AND(B4148&gt;=2018, B4148&lt;=2021), "2018-2021", IF(AND(B4148&gt;=2022, B4148&lt;=2024), "2022-2024", "Other"))</f>
        <v>2022-2024</v>
      </c>
    </row>
    <row r="4149" spans="1:9" x14ac:dyDescent="0.3">
      <c r="A4149" t="s">
        <v>16</v>
      </c>
      <c r="B4149">
        <v>2023</v>
      </c>
      <c r="C4149" t="s">
        <v>14</v>
      </c>
      <c r="D4149">
        <v>13326.03</v>
      </c>
      <c r="E4149">
        <v>11474.94</v>
      </c>
      <c r="F4149">
        <v>139.32</v>
      </c>
      <c r="G4149">
        <v>1018.74</v>
      </c>
      <c r="H4149">
        <f>E4149*1000000/D4149</f>
        <v>861092.16323241056</v>
      </c>
      <c r="I4149" t="str">
        <f>IF(AND(B4149&gt;=2018, B4149&lt;=2021), "2018-2021", IF(AND(B4149&gt;=2022, B4149&lt;=2024), "2022-2024", "Other"))</f>
        <v>2022-2024</v>
      </c>
    </row>
    <row r="4150" spans="1:9" x14ac:dyDescent="0.3">
      <c r="A4150" t="s">
        <v>10</v>
      </c>
      <c r="B4150">
        <v>2019</v>
      </c>
      <c r="C4150" t="s">
        <v>2</v>
      </c>
      <c r="D4150">
        <v>45581.29</v>
      </c>
      <c r="E4150">
        <v>37684.559999999998</v>
      </c>
      <c r="F4150">
        <v>29.71</v>
      </c>
      <c r="G4150">
        <v>394.29</v>
      </c>
      <c r="H4150">
        <f>E4150*1000000/D4150</f>
        <v>826755.01285724912</v>
      </c>
      <c r="I4150" t="str">
        <f>IF(AND(B4150&gt;=2018, B4150&lt;=2021), "2018-2021", IF(AND(B4150&gt;=2022, B4150&lt;=2024), "2022-2024", "Other"))</f>
        <v>2018-2021</v>
      </c>
    </row>
    <row r="4151" spans="1:9" x14ac:dyDescent="0.3">
      <c r="A4151" t="s">
        <v>23</v>
      </c>
      <c r="B4151">
        <v>2023</v>
      </c>
      <c r="C4151" t="s">
        <v>4</v>
      </c>
      <c r="D4151">
        <v>19686</v>
      </c>
      <c r="E4151">
        <v>21084.15</v>
      </c>
      <c r="F4151">
        <v>36.770000000000003</v>
      </c>
      <c r="G4151">
        <v>1092.68</v>
      </c>
      <c r="H4151">
        <f>E4151*1000000/D4151</f>
        <v>1071022.55409936</v>
      </c>
      <c r="I4151" t="str">
        <f>IF(AND(B4151&gt;=2018, B4151&lt;=2021), "2018-2021", IF(AND(B4151&gt;=2022, B4151&lt;=2024), "2022-2024", "Other"))</f>
        <v>2022-2024</v>
      </c>
    </row>
    <row r="4152" spans="1:9" x14ac:dyDescent="0.3">
      <c r="A4152" t="s">
        <v>27</v>
      </c>
      <c r="B4152">
        <v>2021</v>
      </c>
      <c r="C4152" t="s">
        <v>12</v>
      </c>
      <c r="D4152">
        <v>41191.760000000002</v>
      </c>
      <c r="E4152">
        <v>47097.13</v>
      </c>
      <c r="F4152">
        <v>40.08</v>
      </c>
      <c r="G4152">
        <v>550.15</v>
      </c>
      <c r="H4152">
        <f>E4152*1000000/D4152</f>
        <v>1143362.8958801469</v>
      </c>
      <c r="I4152" t="str">
        <f>IF(AND(B4152&gt;=2018, B4152&lt;=2021), "2018-2021", IF(AND(B4152&gt;=2022, B4152&lt;=2024), "2022-2024", "Other"))</f>
        <v>2018-2021</v>
      </c>
    </row>
    <row r="4153" spans="1:9" x14ac:dyDescent="0.3">
      <c r="A4153" t="s">
        <v>24</v>
      </c>
      <c r="B4153">
        <v>2021</v>
      </c>
      <c r="C4153" t="s">
        <v>14</v>
      </c>
      <c r="D4153">
        <v>1532.37</v>
      </c>
      <c r="E4153">
        <v>1367.1</v>
      </c>
      <c r="F4153">
        <v>57.91</v>
      </c>
      <c r="G4153">
        <v>1060.6600000000001</v>
      </c>
      <c r="H4153">
        <f>E4153*1000000/D4153</f>
        <v>892147.45785939437</v>
      </c>
      <c r="I4153" t="str">
        <f>IF(AND(B4153&gt;=2018, B4153&lt;=2021), "2018-2021", IF(AND(B4153&gt;=2022, B4153&lt;=2024), "2022-2024", "Other"))</f>
        <v>2018-2021</v>
      </c>
    </row>
    <row r="4154" spans="1:9" x14ac:dyDescent="0.3">
      <c r="A4154" t="s">
        <v>10</v>
      </c>
      <c r="B4154">
        <v>2022</v>
      </c>
      <c r="C4154" t="s">
        <v>14</v>
      </c>
      <c r="D4154">
        <v>31688.19</v>
      </c>
      <c r="E4154">
        <v>25866.5</v>
      </c>
      <c r="F4154">
        <v>26.21</v>
      </c>
      <c r="G4154">
        <v>266.91000000000003</v>
      </c>
      <c r="H4154">
        <f>E4154*1000000/D4154</f>
        <v>816282.02809942758</v>
      </c>
      <c r="I4154" t="str">
        <f>IF(AND(B4154&gt;=2018, B4154&lt;=2021), "2018-2021", IF(AND(B4154&gt;=2022, B4154&lt;=2024), "2022-2024", "Other"))</f>
        <v>2022-2024</v>
      </c>
    </row>
    <row r="4155" spans="1:9" x14ac:dyDescent="0.3">
      <c r="A4155" t="s">
        <v>10</v>
      </c>
      <c r="B4155">
        <v>2024</v>
      </c>
      <c r="C4155" t="s">
        <v>0</v>
      </c>
      <c r="D4155">
        <v>32539.06</v>
      </c>
      <c r="E4155">
        <v>36744</v>
      </c>
      <c r="F4155">
        <v>159.49</v>
      </c>
      <c r="G4155">
        <v>52.6</v>
      </c>
      <c r="H4155">
        <f>E4155*1000000/D4155</f>
        <v>1129227.4577077518</v>
      </c>
      <c r="I4155" t="str">
        <f>IF(AND(B4155&gt;=2018, B4155&lt;=2021), "2018-2021", IF(AND(B4155&gt;=2022, B4155&lt;=2024), "2022-2024", "Other"))</f>
        <v>2022-2024</v>
      </c>
    </row>
    <row r="4156" spans="1:9" x14ac:dyDescent="0.3">
      <c r="A4156" t="s">
        <v>11</v>
      </c>
      <c r="B4156">
        <v>2022</v>
      </c>
      <c r="C4156" t="s">
        <v>6</v>
      </c>
      <c r="D4156">
        <v>20894.32</v>
      </c>
      <c r="E4156">
        <v>20180.47</v>
      </c>
      <c r="F4156">
        <v>109.99</v>
      </c>
      <c r="G4156">
        <v>624.72</v>
      </c>
      <c r="H4156">
        <f>E4156*1000000/D4156</f>
        <v>965835.21263194981</v>
      </c>
      <c r="I4156" t="str">
        <f>IF(AND(B4156&gt;=2018, B4156&lt;=2021), "2018-2021", IF(AND(B4156&gt;=2022, B4156&lt;=2024), "2022-2024", "Other"))</f>
        <v>2022-2024</v>
      </c>
    </row>
    <row r="4157" spans="1:9" x14ac:dyDescent="0.3">
      <c r="A4157" t="s">
        <v>3</v>
      </c>
      <c r="B4157">
        <v>2023</v>
      </c>
      <c r="C4157" t="s">
        <v>9</v>
      </c>
      <c r="D4157">
        <v>18746.740000000002</v>
      </c>
      <c r="E4157">
        <v>17600.48</v>
      </c>
      <c r="F4157">
        <v>66.86</v>
      </c>
      <c r="G4157">
        <v>832.71</v>
      </c>
      <c r="H4157">
        <f>E4157*1000000/D4157</f>
        <v>938855.50234334066</v>
      </c>
      <c r="I4157" t="str">
        <f>IF(AND(B4157&gt;=2018, B4157&lt;=2021), "2018-2021", IF(AND(B4157&gt;=2022, B4157&lt;=2024), "2022-2024", "Other"))</f>
        <v>2022-2024</v>
      </c>
    </row>
    <row r="4158" spans="1:9" x14ac:dyDescent="0.3">
      <c r="A4158" t="s">
        <v>24</v>
      </c>
      <c r="B4158">
        <v>2023</v>
      </c>
      <c r="C4158" t="s">
        <v>8</v>
      </c>
      <c r="D4158">
        <v>44680.27</v>
      </c>
      <c r="E4158">
        <v>53062.49</v>
      </c>
      <c r="F4158">
        <v>140.02000000000001</v>
      </c>
      <c r="G4158">
        <v>904.94</v>
      </c>
      <c r="H4158">
        <f>E4158*1000000/D4158</f>
        <v>1187604.5064186051</v>
      </c>
      <c r="I4158" t="str">
        <f>IF(AND(B4158&gt;=2018, B4158&lt;=2021), "2018-2021", IF(AND(B4158&gt;=2022, B4158&lt;=2024), "2022-2024", "Other"))</f>
        <v>2022-2024</v>
      </c>
    </row>
    <row r="4159" spans="1:9" x14ac:dyDescent="0.3">
      <c r="A4159" t="s">
        <v>5</v>
      </c>
      <c r="B4159">
        <v>2020</v>
      </c>
      <c r="C4159" t="s">
        <v>8</v>
      </c>
      <c r="D4159">
        <v>4100.72</v>
      </c>
      <c r="E4159">
        <v>3967.38</v>
      </c>
      <c r="F4159">
        <v>161.82</v>
      </c>
      <c r="G4159">
        <v>735.45</v>
      </c>
      <c r="H4159">
        <f>E4159*1000000/D4159</f>
        <v>967483.75894964777</v>
      </c>
      <c r="I4159" t="str">
        <f>IF(AND(B4159&gt;=2018, B4159&lt;=2021), "2018-2021", IF(AND(B4159&gt;=2022, B4159&lt;=2024), "2022-2024", "Other"))</f>
        <v>2018-2021</v>
      </c>
    </row>
    <row r="4160" spans="1:9" x14ac:dyDescent="0.3">
      <c r="A4160" t="s">
        <v>26</v>
      </c>
      <c r="B4160">
        <v>2020</v>
      </c>
      <c r="C4160" t="s">
        <v>4</v>
      </c>
      <c r="D4160">
        <v>10163.57</v>
      </c>
      <c r="E4160">
        <v>8929.2800000000007</v>
      </c>
      <c r="F4160">
        <v>44.65</v>
      </c>
      <c r="G4160">
        <v>667.06</v>
      </c>
      <c r="H4160">
        <f>E4160*1000000/D4160</f>
        <v>878557.43601903669</v>
      </c>
      <c r="I4160" t="str">
        <f>IF(AND(B4160&gt;=2018, B4160&lt;=2021), "2018-2021", IF(AND(B4160&gt;=2022, B4160&lt;=2024), "2022-2024", "Other"))</f>
        <v>2018-2021</v>
      </c>
    </row>
    <row r="4161" spans="1:9" x14ac:dyDescent="0.3">
      <c r="A4161" t="s">
        <v>10</v>
      </c>
      <c r="B4161">
        <v>2020</v>
      </c>
      <c r="C4161" t="s">
        <v>12</v>
      </c>
      <c r="D4161">
        <v>3193.99</v>
      </c>
      <c r="E4161">
        <v>3543.2</v>
      </c>
      <c r="F4161">
        <v>146.15</v>
      </c>
      <c r="G4161">
        <v>1089.03</v>
      </c>
      <c r="H4161">
        <f>E4161*1000000/D4161</f>
        <v>1109333.4669175546</v>
      </c>
      <c r="I4161" t="str">
        <f>IF(AND(B4161&gt;=2018, B4161&lt;=2021), "2018-2021", IF(AND(B4161&gt;=2022, B4161&lt;=2024), "2022-2024", "Other"))</f>
        <v>2018-2021</v>
      </c>
    </row>
    <row r="4162" spans="1:9" x14ac:dyDescent="0.3">
      <c r="A4162" t="s">
        <v>13</v>
      </c>
      <c r="B4162">
        <v>2022</v>
      </c>
      <c r="C4162" t="s">
        <v>14</v>
      </c>
      <c r="D4162">
        <v>13520.49</v>
      </c>
      <c r="E4162">
        <v>12198.85</v>
      </c>
      <c r="F4162">
        <v>168.69</v>
      </c>
      <c r="G4162">
        <v>1060.3800000000001</v>
      </c>
      <c r="H4162">
        <f>E4162*1000000/D4162</f>
        <v>902249.10487711616</v>
      </c>
      <c r="I4162" t="str">
        <f>IF(AND(B4162&gt;=2018, B4162&lt;=2021), "2018-2021", IF(AND(B4162&gt;=2022, B4162&lt;=2024), "2022-2024", "Other"))</f>
        <v>2022-2024</v>
      </c>
    </row>
    <row r="4163" spans="1:9" x14ac:dyDescent="0.3">
      <c r="A4163" t="s">
        <v>20</v>
      </c>
      <c r="B4163">
        <v>2022</v>
      </c>
      <c r="C4163" t="s">
        <v>2</v>
      </c>
      <c r="D4163">
        <v>46515.03</v>
      </c>
      <c r="E4163">
        <v>45618.46</v>
      </c>
      <c r="F4163">
        <v>100.96</v>
      </c>
      <c r="G4163">
        <v>335.06</v>
      </c>
      <c r="H4163">
        <f>E4163*1000000/D4163</f>
        <v>980725.15485854784</v>
      </c>
      <c r="I4163" t="str">
        <f>IF(AND(B4163&gt;=2018, B4163&lt;=2021), "2018-2021", IF(AND(B4163&gt;=2022, B4163&lt;=2024), "2022-2024", "Other"))</f>
        <v>2022-2024</v>
      </c>
    </row>
    <row r="4164" spans="1:9" x14ac:dyDescent="0.3">
      <c r="A4164" t="s">
        <v>19</v>
      </c>
      <c r="B4164">
        <v>2024</v>
      </c>
      <c r="C4164" t="s">
        <v>14</v>
      </c>
      <c r="D4164">
        <v>39004.36</v>
      </c>
      <c r="E4164">
        <v>44355.91</v>
      </c>
      <c r="F4164">
        <v>58.31</v>
      </c>
      <c r="G4164">
        <v>896.32</v>
      </c>
      <c r="H4164">
        <f>E4164*1000000/D4164</f>
        <v>1137203.8920777061</v>
      </c>
      <c r="I4164" t="str">
        <f>IF(AND(B4164&gt;=2018, B4164&lt;=2021), "2018-2021", IF(AND(B4164&gt;=2022, B4164&lt;=2024), "2022-2024", "Other"))</f>
        <v>2022-2024</v>
      </c>
    </row>
    <row r="4165" spans="1:9" x14ac:dyDescent="0.3">
      <c r="A4165" t="s">
        <v>18</v>
      </c>
      <c r="B4165">
        <v>2023</v>
      </c>
      <c r="C4165" t="s">
        <v>4</v>
      </c>
      <c r="D4165">
        <v>38139.33</v>
      </c>
      <c r="E4165">
        <v>41925</v>
      </c>
      <c r="F4165">
        <v>58.97</v>
      </c>
      <c r="G4165">
        <v>1053.52</v>
      </c>
      <c r="H4165">
        <f>E4165*1000000/D4165</f>
        <v>1099258.953945966</v>
      </c>
      <c r="I4165" t="str">
        <f>IF(AND(B4165&gt;=2018, B4165&lt;=2021), "2018-2021", IF(AND(B4165&gt;=2022, B4165&lt;=2024), "2022-2024", "Other"))</f>
        <v>2022-2024</v>
      </c>
    </row>
    <row r="4166" spans="1:9" x14ac:dyDescent="0.3">
      <c r="A4166" t="s">
        <v>22</v>
      </c>
      <c r="B4166">
        <v>2022</v>
      </c>
      <c r="C4166" t="s">
        <v>0</v>
      </c>
      <c r="D4166">
        <v>37878.43</v>
      </c>
      <c r="E4166">
        <v>45092.53</v>
      </c>
      <c r="F4166">
        <v>32.950000000000003</v>
      </c>
      <c r="G4166">
        <v>245.46</v>
      </c>
      <c r="H4166">
        <f>E4166*1000000/D4166</f>
        <v>1190454.0394097643</v>
      </c>
      <c r="I4166" t="str">
        <f>IF(AND(B4166&gt;=2018, B4166&lt;=2021), "2018-2021", IF(AND(B4166&gt;=2022, B4166&lt;=2024), "2022-2024", "Other"))</f>
        <v>2022-2024</v>
      </c>
    </row>
    <row r="4167" spans="1:9" x14ac:dyDescent="0.3">
      <c r="A4167" t="s">
        <v>21</v>
      </c>
      <c r="B4167">
        <v>2021</v>
      </c>
      <c r="C4167" t="s">
        <v>4</v>
      </c>
      <c r="D4167">
        <v>49387.02</v>
      </c>
      <c r="E4167">
        <v>46708.71</v>
      </c>
      <c r="F4167">
        <v>129.97</v>
      </c>
      <c r="G4167">
        <v>774.46</v>
      </c>
      <c r="H4167">
        <f>E4167*1000000/D4167</f>
        <v>945768.94900724932</v>
      </c>
      <c r="I4167" t="str">
        <f>IF(AND(B4167&gt;=2018, B4167&lt;=2021), "2018-2021", IF(AND(B4167&gt;=2022, B4167&lt;=2024), "2022-2024", "Other"))</f>
        <v>2018-2021</v>
      </c>
    </row>
    <row r="4168" spans="1:9" x14ac:dyDescent="0.3">
      <c r="A4168" t="s">
        <v>27</v>
      </c>
      <c r="B4168">
        <v>2019</v>
      </c>
      <c r="C4168" t="s">
        <v>14</v>
      </c>
      <c r="D4168">
        <v>14842.05</v>
      </c>
      <c r="E4168">
        <v>15528.45</v>
      </c>
      <c r="F4168">
        <v>171.78</v>
      </c>
      <c r="G4168">
        <v>1382.56</v>
      </c>
      <c r="H4168">
        <f>E4168*1000000/D4168</f>
        <v>1046246.9807068431</v>
      </c>
      <c r="I4168" t="str">
        <f>IF(AND(B4168&gt;=2018, B4168&lt;=2021), "2018-2021", IF(AND(B4168&gt;=2022, B4168&lt;=2024), "2022-2024", "Other"))</f>
        <v>2018-2021</v>
      </c>
    </row>
    <row r="4169" spans="1:9" x14ac:dyDescent="0.3">
      <c r="A4169" t="s">
        <v>10</v>
      </c>
      <c r="B4169">
        <v>2020</v>
      </c>
      <c r="C4169" t="s">
        <v>0</v>
      </c>
      <c r="D4169">
        <v>31713.3</v>
      </c>
      <c r="E4169">
        <v>27576.98</v>
      </c>
      <c r="F4169">
        <v>187.98</v>
      </c>
      <c r="G4169">
        <v>132.66999999999999</v>
      </c>
      <c r="H4169">
        <f>E4169*1000000/D4169</f>
        <v>869571.44163489772</v>
      </c>
      <c r="I4169" t="str">
        <f>IF(AND(B4169&gt;=2018, B4169&lt;=2021), "2018-2021", IF(AND(B4169&gt;=2022, B4169&lt;=2024), "2022-2024", "Other"))</f>
        <v>2018-2021</v>
      </c>
    </row>
    <row r="4170" spans="1:9" x14ac:dyDescent="0.3">
      <c r="A4170" t="s">
        <v>18</v>
      </c>
      <c r="B4170">
        <v>2022</v>
      </c>
      <c r="C4170" t="s">
        <v>12</v>
      </c>
      <c r="D4170">
        <v>2042.26</v>
      </c>
      <c r="E4170">
        <v>2256.48</v>
      </c>
      <c r="F4170">
        <v>78.13</v>
      </c>
      <c r="G4170">
        <v>212.94</v>
      </c>
      <c r="H4170">
        <f>E4170*1000000/D4170</f>
        <v>1104893.5982685848</v>
      </c>
      <c r="I4170" t="str">
        <f>IF(AND(B4170&gt;=2018, B4170&lt;=2021), "2018-2021", IF(AND(B4170&gt;=2022, B4170&lt;=2024), "2022-2024", "Other"))</f>
        <v>2022-2024</v>
      </c>
    </row>
    <row r="4171" spans="1:9" x14ac:dyDescent="0.3">
      <c r="A4171" t="s">
        <v>15</v>
      </c>
      <c r="B4171">
        <v>2020</v>
      </c>
      <c r="C4171" t="s">
        <v>4</v>
      </c>
      <c r="D4171">
        <v>20302.830000000002</v>
      </c>
      <c r="E4171">
        <v>20726.29</v>
      </c>
      <c r="F4171">
        <v>159.93</v>
      </c>
      <c r="G4171">
        <v>839.95</v>
      </c>
      <c r="H4171">
        <f>E4171*1000000/D4171</f>
        <v>1020857.190844823</v>
      </c>
      <c r="I4171" t="str">
        <f>IF(AND(B4171&gt;=2018, B4171&lt;=2021), "2018-2021", IF(AND(B4171&gt;=2022, B4171&lt;=2024), "2022-2024", "Other"))</f>
        <v>2018-2021</v>
      </c>
    </row>
    <row r="4172" spans="1:9" x14ac:dyDescent="0.3">
      <c r="A4172" t="s">
        <v>18</v>
      </c>
      <c r="B4172">
        <v>2021</v>
      </c>
      <c r="C4172" t="s">
        <v>14</v>
      </c>
      <c r="D4172">
        <v>2712.29</v>
      </c>
      <c r="E4172">
        <v>2735.91</v>
      </c>
      <c r="F4172">
        <v>185.47</v>
      </c>
      <c r="G4172">
        <v>228.39</v>
      </c>
      <c r="H4172">
        <f>E4172*1000000/D4172</f>
        <v>1008708.5083084774</v>
      </c>
      <c r="I4172" t="str">
        <f>IF(AND(B4172&gt;=2018, B4172&lt;=2021), "2018-2021", IF(AND(B4172&gt;=2022, B4172&lt;=2024), "2022-2024", "Other"))</f>
        <v>2018-2021</v>
      </c>
    </row>
    <row r="4173" spans="1:9" x14ac:dyDescent="0.3">
      <c r="A4173" t="s">
        <v>7</v>
      </c>
      <c r="B4173">
        <v>2021</v>
      </c>
      <c r="C4173" t="s">
        <v>2</v>
      </c>
      <c r="D4173">
        <v>39887.410000000003</v>
      </c>
      <c r="E4173">
        <v>35684.559999999998</v>
      </c>
      <c r="F4173">
        <v>126.56</v>
      </c>
      <c r="G4173">
        <v>992.7</v>
      </c>
      <c r="H4173">
        <f>E4173*1000000/D4173</f>
        <v>894632.16588893579</v>
      </c>
      <c r="I4173" t="str">
        <f>IF(AND(B4173&gt;=2018, B4173&lt;=2021), "2018-2021", IF(AND(B4173&gt;=2022, B4173&lt;=2024), "2022-2024", "Other"))</f>
        <v>2018-2021</v>
      </c>
    </row>
    <row r="4174" spans="1:9" x14ac:dyDescent="0.3">
      <c r="A4174" t="s">
        <v>15</v>
      </c>
      <c r="B4174">
        <v>2021</v>
      </c>
      <c r="C4174" t="s">
        <v>14</v>
      </c>
      <c r="D4174">
        <v>28451.49</v>
      </c>
      <c r="E4174">
        <v>34008.33</v>
      </c>
      <c r="F4174">
        <v>179.67</v>
      </c>
      <c r="G4174">
        <v>1075.42</v>
      </c>
      <c r="H4174">
        <f>E4174*1000000/D4174</f>
        <v>1195309.2790570897</v>
      </c>
      <c r="I4174" t="str">
        <f>IF(AND(B4174&gt;=2018, B4174&lt;=2021), "2018-2021", IF(AND(B4174&gt;=2022, B4174&lt;=2024), "2022-2024", "Other"))</f>
        <v>2018-2021</v>
      </c>
    </row>
    <row r="4175" spans="1:9" x14ac:dyDescent="0.3">
      <c r="A4175" t="s">
        <v>17</v>
      </c>
      <c r="B4175">
        <v>2024</v>
      </c>
      <c r="C4175" t="s">
        <v>9</v>
      </c>
      <c r="D4175">
        <v>7125.82</v>
      </c>
      <c r="E4175">
        <v>6079.02</v>
      </c>
      <c r="F4175">
        <v>165.78</v>
      </c>
      <c r="G4175">
        <v>684.89</v>
      </c>
      <c r="H4175">
        <f>E4175*1000000/D4175</f>
        <v>853097.60841559293</v>
      </c>
      <c r="I4175" t="str">
        <f>IF(AND(B4175&gt;=2018, B4175&lt;=2021), "2018-2021", IF(AND(B4175&gt;=2022, B4175&lt;=2024), "2022-2024", "Other"))</f>
        <v>2022-2024</v>
      </c>
    </row>
    <row r="4176" spans="1:9" x14ac:dyDescent="0.3">
      <c r="A4176" t="s">
        <v>16</v>
      </c>
      <c r="B4176">
        <v>2020</v>
      </c>
      <c r="C4176" t="s">
        <v>4</v>
      </c>
      <c r="D4176">
        <v>42110.44</v>
      </c>
      <c r="E4176">
        <v>39772.839999999997</v>
      </c>
      <c r="F4176">
        <v>162.4</v>
      </c>
      <c r="G4176">
        <v>674.12</v>
      </c>
      <c r="H4176">
        <f>E4176*1000000/D4176</f>
        <v>944488.82509895402</v>
      </c>
      <c r="I4176" t="str">
        <f>IF(AND(B4176&gt;=2018, B4176&lt;=2021), "2018-2021", IF(AND(B4176&gt;=2022, B4176&lt;=2024), "2022-2024", "Other"))</f>
        <v>2018-2021</v>
      </c>
    </row>
    <row r="4177" spans="1:9" x14ac:dyDescent="0.3">
      <c r="A4177" t="s">
        <v>3</v>
      </c>
      <c r="B4177">
        <v>2021</v>
      </c>
      <c r="C4177" t="s">
        <v>8</v>
      </c>
      <c r="D4177">
        <v>23064.47</v>
      </c>
      <c r="E4177">
        <v>21332.400000000001</v>
      </c>
      <c r="F4177">
        <v>168.07</v>
      </c>
      <c r="G4177">
        <v>642.95000000000005</v>
      </c>
      <c r="H4177">
        <f>E4177*1000000/D4177</f>
        <v>924903.10854747577</v>
      </c>
      <c r="I4177" t="str">
        <f>IF(AND(B4177&gt;=2018, B4177&lt;=2021), "2018-2021", IF(AND(B4177&gt;=2022, B4177&lt;=2024), "2022-2024", "Other"))</f>
        <v>2018-2021</v>
      </c>
    </row>
    <row r="4178" spans="1:9" x14ac:dyDescent="0.3">
      <c r="A4178" t="s">
        <v>1</v>
      </c>
      <c r="B4178">
        <v>2024</v>
      </c>
      <c r="C4178" t="s">
        <v>12</v>
      </c>
      <c r="D4178">
        <v>32948.339999999997</v>
      </c>
      <c r="E4178">
        <v>27988.9</v>
      </c>
      <c r="F4178">
        <v>58.41</v>
      </c>
      <c r="G4178">
        <v>925.96</v>
      </c>
      <c r="H4178">
        <f>E4178*1000000/D4178</f>
        <v>849478.30452156323</v>
      </c>
      <c r="I4178" t="str">
        <f>IF(AND(B4178&gt;=2018, B4178&lt;=2021), "2018-2021", IF(AND(B4178&gt;=2022, B4178&lt;=2024), "2022-2024", "Other"))</f>
        <v>2022-2024</v>
      </c>
    </row>
    <row r="4179" spans="1:9" x14ac:dyDescent="0.3">
      <c r="A4179" t="s">
        <v>20</v>
      </c>
      <c r="B4179">
        <v>2021</v>
      </c>
      <c r="C4179" t="s">
        <v>8</v>
      </c>
      <c r="D4179">
        <v>29944.880000000001</v>
      </c>
      <c r="E4179">
        <v>34923.519999999997</v>
      </c>
      <c r="F4179">
        <v>28.65</v>
      </c>
      <c r="G4179">
        <v>260.73</v>
      </c>
      <c r="H4179">
        <f>E4179*1000000/D4179</f>
        <v>1166260.1419675082</v>
      </c>
      <c r="I4179" t="str">
        <f>IF(AND(B4179&gt;=2018, B4179&lt;=2021), "2018-2021", IF(AND(B4179&gt;=2022, B4179&lt;=2024), "2022-2024", "Other"))</f>
        <v>2018-2021</v>
      </c>
    </row>
    <row r="4180" spans="1:9" x14ac:dyDescent="0.3">
      <c r="A4180" t="s">
        <v>16</v>
      </c>
      <c r="B4180">
        <v>2019</v>
      </c>
      <c r="C4180" t="s">
        <v>14</v>
      </c>
      <c r="D4180">
        <v>38709.379999999997</v>
      </c>
      <c r="E4180">
        <v>38601.9</v>
      </c>
      <c r="F4180">
        <v>163.77000000000001</v>
      </c>
      <c r="G4180">
        <v>740.53</v>
      </c>
      <c r="H4180">
        <f>E4180*1000000/D4180</f>
        <v>997223.41199988232</v>
      </c>
      <c r="I4180" t="str">
        <f>IF(AND(B4180&gt;=2018, B4180&lt;=2021), "2018-2021", IF(AND(B4180&gt;=2022, B4180&lt;=2024), "2022-2024", "Other"))</f>
        <v>2018-2021</v>
      </c>
    </row>
    <row r="4181" spans="1:9" x14ac:dyDescent="0.3">
      <c r="A4181" t="s">
        <v>3</v>
      </c>
      <c r="B4181">
        <v>2018</v>
      </c>
      <c r="C4181" t="s">
        <v>0</v>
      </c>
      <c r="D4181">
        <v>15382.11</v>
      </c>
      <c r="E4181">
        <v>14887.14</v>
      </c>
      <c r="F4181">
        <v>172.81</v>
      </c>
      <c r="G4181">
        <v>763.91</v>
      </c>
      <c r="H4181">
        <f>E4181*1000000/D4181</f>
        <v>967821.70976543531</v>
      </c>
      <c r="I4181" t="str">
        <f>IF(AND(B4181&gt;=2018, B4181&lt;=2021), "2018-2021", IF(AND(B4181&gt;=2022, B4181&lt;=2024), "2022-2024", "Other"))</f>
        <v>2018-2021</v>
      </c>
    </row>
    <row r="4182" spans="1:9" x14ac:dyDescent="0.3">
      <c r="A4182" t="s">
        <v>21</v>
      </c>
      <c r="B4182">
        <v>2024</v>
      </c>
      <c r="C4182" t="s">
        <v>8</v>
      </c>
      <c r="D4182">
        <v>16270.95</v>
      </c>
      <c r="E4182">
        <v>16900.740000000002</v>
      </c>
      <c r="F4182">
        <v>144.49</v>
      </c>
      <c r="G4182">
        <v>846.88</v>
      </c>
      <c r="H4182">
        <f>E4182*1000000/D4182</f>
        <v>1038706.4062024652</v>
      </c>
      <c r="I4182" t="str">
        <f>IF(AND(B4182&gt;=2018, B4182&lt;=2021), "2018-2021", IF(AND(B4182&gt;=2022, B4182&lt;=2024), "2022-2024", "Other"))</f>
        <v>2022-2024</v>
      </c>
    </row>
    <row r="4183" spans="1:9" x14ac:dyDescent="0.3">
      <c r="A4183" t="s">
        <v>3</v>
      </c>
      <c r="B4183">
        <v>2022</v>
      </c>
      <c r="C4183" t="s">
        <v>4</v>
      </c>
      <c r="D4183">
        <v>8997.9500000000007</v>
      </c>
      <c r="E4183">
        <v>8132.68</v>
      </c>
      <c r="F4183">
        <v>165.36</v>
      </c>
      <c r="G4183">
        <v>585.41999999999996</v>
      </c>
      <c r="H4183">
        <f>E4183*1000000/D4183</f>
        <v>903836.98509104841</v>
      </c>
      <c r="I4183" t="str">
        <f>IF(AND(B4183&gt;=2018, B4183&lt;=2021), "2018-2021", IF(AND(B4183&gt;=2022, B4183&lt;=2024), "2022-2024", "Other"))</f>
        <v>2022-2024</v>
      </c>
    </row>
    <row r="4184" spans="1:9" x14ac:dyDescent="0.3">
      <c r="A4184" t="s">
        <v>24</v>
      </c>
      <c r="B4184">
        <v>2019</v>
      </c>
      <c r="C4184" t="s">
        <v>0</v>
      </c>
      <c r="D4184">
        <v>36423.94</v>
      </c>
      <c r="E4184">
        <v>37742.699999999997</v>
      </c>
      <c r="F4184">
        <v>70.959999999999994</v>
      </c>
      <c r="G4184">
        <v>183.99</v>
      </c>
      <c r="H4184">
        <f>E4184*1000000/D4184</f>
        <v>1036205.8580153602</v>
      </c>
      <c r="I4184" t="str">
        <f>IF(AND(B4184&gt;=2018, B4184&lt;=2021), "2018-2021", IF(AND(B4184&gt;=2022, B4184&lt;=2024), "2022-2024", "Other"))</f>
        <v>2018-2021</v>
      </c>
    </row>
    <row r="4185" spans="1:9" x14ac:dyDescent="0.3">
      <c r="A4185" t="s">
        <v>25</v>
      </c>
      <c r="B4185">
        <v>2021</v>
      </c>
      <c r="C4185" t="s">
        <v>12</v>
      </c>
      <c r="D4185">
        <v>34844.76</v>
      </c>
      <c r="E4185">
        <v>28235.33</v>
      </c>
      <c r="F4185">
        <v>190.53</v>
      </c>
      <c r="G4185">
        <v>1239.9100000000001</v>
      </c>
      <c r="H4185">
        <f>E4185*1000000/D4185</f>
        <v>810317.82110136503</v>
      </c>
      <c r="I4185" t="str">
        <f>IF(AND(B4185&gt;=2018, B4185&lt;=2021), "2018-2021", IF(AND(B4185&gt;=2022, B4185&lt;=2024), "2022-2024", "Other"))</f>
        <v>2018-2021</v>
      </c>
    </row>
    <row r="4186" spans="1:9" x14ac:dyDescent="0.3">
      <c r="A4186" t="s">
        <v>7</v>
      </c>
      <c r="B4186">
        <v>2020</v>
      </c>
      <c r="C4186" t="s">
        <v>9</v>
      </c>
      <c r="D4186">
        <v>37903.21</v>
      </c>
      <c r="E4186">
        <v>39273.22</v>
      </c>
      <c r="F4186">
        <v>155.96</v>
      </c>
      <c r="G4186">
        <v>1215.47</v>
      </c>
      <c r="H4186">
        <f>E4186*1000000/D4186</f>
        <v>1036144.9597540684</v>
      </c>
      <c r="I4186" t="str">
        <f>IF(AND(B4186&gt;=2018, B4186&lt;=2021), "2018-2021", IF(AND(B4186&gt;=2022, B4186&lt;=2024), "2022-2024", "Other"))</f>
        <v>2018-2021</v>
      </c>
    </row>
    <row r="4187" spans="1:9" x14ac:dyDescent="0.3">
      <c r="A4187" t="s">
        <v>23</v>
      </c>
      <c r="B4187">
        <v>2022</v>
      </c>
      <c r="C4187" t="s">
        <v>14</v>
      </c>
      <c r="D4187">
        <v>44003.89</v>
      </c>
      <c r="E4187">
        <v>35541.279999999999</v>
      </c>
      <c r="F4187">
        <v>93.26</v>
      </c>
      <c r="G4187">
        <v>1175.9100000000001</v>
      </c>
      <c r="H4187">
        <f>E4187*1000000/D4187</f>
        <v>807684.95694357937</v>
      </c>
      <c r="I4187" t="str">
        <f>IF(AND(B4187&gt;=2018, B4187&lt;=2021), "2018-2021", IF(AND(B4187&gt;=2022, B4187&lt;=2024), "2022-2024", "Other"))</f>
        <v>2022-2024</v>
      </c>
    </row>
    <row r="4188" spans="1:9" x14ac:dyDescent="0.3">
      <c r="A4188" t="s">
        <v>11</v>
      </c>
      <c r="B4188">
        <v>2020</v>
      </c>
      <c r="C4188" t="s">
        <v>8</v>
      </c>
      <c r="D4188">
        <v>14912.46</v>
      </c>
      <c r="E4188">
        <v>12840.38</v>
      </c>
      <c r="F4188">
        <v>34.049999999999997</v>
      </c>
      <c r="G4188">
        <v>160.05000000000001</v>
      </c>
      <c r="H4188">
        <f>E4188*1000000/D4188</f>
        <v>861050.42360549502</v>
      </c>
      <c r="I4188" t="str">
        <f>IF(AND(B4188&gt;=2018, B4188&lt;=2021), "2018-2021", IF(AND(B4188&gt;=2022, B4188&lt;=2024), "2022-2024", "Other"))</f>
        <v>2018-2021</v>
      </c>
    </row>
    <row r="4189" spans="1:9" x14ac:dyDescent="0.3">
      <c r="A4189" t="s">
        <v>19</v>
      </c>
      <c r="B4189">
        <v>2023</v>
      </c>
      <c r="C4189" t="s">
        <v>2</v>
      </c>
      <c r="D4189">
        <v>5164.03</v>
      </c>
      <c r="E4189">
        <v>5766.99</v>
      </c>
      <c r="F4189">
        <v>189.15</v>
      </c>
      <c r="G4189">
        <v>1245.9100000000001</v>
      </c>
      <c r="H4189">
        <f>E4189*1000000/D4189</f>
        <v>1116761.5215248556</v>
      </c>
      <c r="I4189" t="str">
        <f>IF(AND(B4189&gt;=2018, B4189&lt;=2021), "2018-2021", IF(AND(B4189&gt;=2022, B4189&lt;=2024), "2022-2024", "Other"))</f>
        <v>2022-2024</v>
      </c>
    </row>
    <row r="4190" spans="1:9" x14ac:dyDescent="0.3">
      <c r="A4190" t="s">
        <v>16</v>
      </c>
      <c r="B4190">
        <v>2020</v>
      </c>
      <c r="C4190" t="s">
        <v>4</v>
      </c>
      <c r="D4190">
        <v>31602.42</v>
      </c>
      <c r="E4190">
        <v>25537.29</v>
      </c>
      <c r="F4190">
        <v>134.31</v>
      </c>
      <c r="G4190">
        <v>473.71</v>
      </c>
      <c r="H4190">
        <f>E4190*1000000/D4190</f>
        <v>808080.20398437849</v>
      </c>
      <c r="I4190" t="str">
        <f>IF(AND(B4190&gt;=2018, B4190&lt;=2021), "2018-2021", IF(AND(B4190&gt;=2022, B4190&lt;=2024), "2022-2024", "Other"))</f>
        <v>2018-2021</v>
      </c>
    </row>
    <row r="4191" spans="1:9" x14ac:dyDescent="0.3">
      <c r="A4191" t="s">
        <v>17</v>
      </c>
      <c r="B4191">
        <v>2021</v>
      </c>
      <c r="C4191" t="s">
        <v>9</v>
      </c>
      <c r="D4191">
        <v>37875.46</v>
      </c>
      <c r="E4191">
        <v>45347.88</v>
      </c>
      <c r="F4191">
        <v>143.31</v>
      </c>
      <c r="G4191">
        <v>725.96</v>
      </c>
      <c r="H4191">
        <f>E4191*1000000/D4191</f>
        <v>1197289.2210418039</v>
      </c>
      <c r="I4191" t="str">
        <f>IF(AND(B4191&gt;=2018, B4191&lt;=2021), "2018-2021", IF(AND(B4191&gt;=2022, B4191&lt;=2024), "2022-2024", "Other"))</f>
        <v>2018-2021</v>
      </c>
    </row>
    <row r="4192" spans="1:9" x14ac:dyDescent="0.3">
      <c r="A4192" t="s">
        <v>21</v>
      </c>
      <c r="B4192">
        <v>2023</v>
      </c>
      <c r="C4192" t="s">
        <v>4</v>
      </c>
      <c r="D4192">
        <v>41910.99</v>
      </c>
      <c r="E4192">
        <v>47436.94</v>
      </c>
      <c r="F4192">
        <v>89.8</v>
      </c>
      <c r="G4192">
        <v>324.8</v>
      </c>
      <c r="H4192">
        <f>E4192*1000000/D4192</f>
        <v>1131849.665207145</v>
      </c>
      <c r="I4192" t="str">
        <f>IF(AND(B4192&gt;=2018, B4192&lt;=2021), "2018-2021", IF(AND(B4192&gt;=2022, B4192&lt;=2024), "2022-2024", "Other"))</f>
        <v>2022-2024</v>
      </c>
    </row>
    <row r="4193" spans="1:9" x14ac:dyDescent="0.3">
      <c r="A4193" t="s">
        <v>1</v>
      </c>
      <c r="B4193">
        <v>2021</v>
      </c>
      <c r="C4193" t="s">
        <v>2</v>
      </c>
      <c r="D4193">
        <v>40449.32</v>
      </c>
      <c r="E4193">
        <v>47696.47</v>
      </c>
      <c r="F4193">
        <v>197.31</v>
      </c>
      <c r="G4193">
        <v>168.32</v>
      </c>
      <c r="H4193">
        <f>E4193*1000000/D4193</f>
        <v>1179166.1763411597</v>
      </c>
      <c r="I4193" t="str">
        <f>IF(AND(B4193&gt;=2018, B4193&lt;=2021), "2018-2021", IF(AND(B4193&gt;=2022, B4193&lt;=2024), "2022-2024", "Other"))</f>
        <v>2018-2021</v>
      </c>
    </row>
    <row r="4194" spans="1:9" x14ac:dyDescent="0.3">
      <c r="A4194" t="s">
        <v>1</v>
      </c>
      <c r="B4194">
        <v>2020</v>
      </c>
      <c r="C4194" t="s">
        <v>4</v>
      </c>
      <c r="D4194">
        <v>42442.57</v>
      </c>
      <c r="E4194">
        <v>45788.95</v>
      </c>
      <c r="F4194">
        <v>188.32</v>
      </c>
      <c r="G4194">
        <v>142.91</v>
      </c>
      <c r="H4194">
        <f>E4194*1000000/D4194</f>
        <v>1078844.8955847868</v>
      </c>
      <c r="I4194" t="str">
        <f>IF(AND(B4194&gt;=2018, B4194&lt;=2021), "2018-2021", IF(AND(B4194&gt;=2022, B4194&lt;=2024), "2022-2024", "Other"))</f>
        <v>2018-2021</v>
      </c>
    </row>
    <row r="4195" spans="1:9" x14ac:dyDescent="0.3">
      <c r="A4195" t="s">
        <v>26</v>
      </c>
      <c r="B4195">
        <v>2022</v>
      </c>
      <c r="C4195" t="s">
        <v>6</v>
      </c>
      <c r="D4195">
        <v>19047.02</v>
      </c>
      <c r="E4195">
        <v>16267.32</v>
      </c>
      <c r="F4195">
        <v>170.58</v>
      </c>
      <c r="G4195">
        <v>272.33</v>
      </c>
      <c r="H4195">
        <f>E4195*1000000/D4195</f>
        <v>854061.16022348905</v>
      </c>
      <c r="I4195" t="str">
        <f>IF(AND(B4195&gt;=2018, B4195&lt;=2021), "2018-2021", IF(AND(B4195&gt;=2022, B4195&lt;=2024), "2022-2024", "Other"))</f>
        <v>2022-2024</v>
      </c>
    </row>
    <row r="4196" spans="1:9" x14ac:dyDescent="0.3">
      <c r="A4196" t="s">
        <v>5</v>
      </c>
      <c r="B4196">
        <v>2018</v>
      </c>
      <c r="C4196" t="s">
        <v>8</v>
      </c>
      <c r="D4196">
        <v>47749.55</v>
      </c>
      <c r="E4196">
        <v>39099.53</v>
      </c>
      <c r="F4196">
        <v>188.54</v>
      </c>
      <c r="G4196">
        <v>359.58</v>
      </c>
      <c r="H4196">
        <f>E4196*1000000/D4196</f>
        <v>818846.04148101911</v>
      </c>
      <c r="I4196" t="str">
        <f>IF(AND(B4196&gt;=2018, B4196&lt;=2021), "2018-2021", IF(AND(B4196&gt;=2022, B4196&lt;=2024), "2022-2024", "Other"))</f>
        <v>2018-2021</v>
      </c>
    </row>
    <row r="4197" spans="1:9" x14ac:dyDescent="0.3">
      <c r="A4197" t="s">
        <v>19</v>
      </c>
      <c r="B4197">
        <v>2018</v>
      </c>
      <c r="C4197" t="s">
        <v>0</v>
      </c>
      <c r="D4197">
        <v>49341.91</v>
      </c>
      <c r="E4197">
        <v>52775.19</v>
      </c>
      <c r="F4197">
        <v>106.29</v>
      </c>
      <c r="G4197">
        <v>906.36</v>
      </c>
      <c r="H4197">
        <f>E4197*1000000/D4197</f>
        <v>1069581.4166901929</v>
      </c>
      <c r="I4197" t="str">
        <f>IF(AND(B4197&gt;=2018, B4197&lt;=2021), "2018-2021", IF(AND(B4197&gt;=2022, B4197&lt;=2024), "2022-2024", "Other"))</f>
        <v>2018-2021</v>
      </c>
    </row>
    <row r="4198" spans="1:9" x14ac:dyDescent="0.3">
      <c r="A4198" t="s">
        <v>7</v>
      </c>
      <c r="B4198">
        <v>2020</v>
      </c>
      <c r="C4198" t="s">
        <v>9</v>
      </c>
      <c r="D4198">
        <v>44590.66</v>
      </c>
      <c r="E4198">
        <v>45630.59</v>
      </c>
      <c r="F4198">
        <v>166.39</v>
      </c>
      <c r="G4198">
        <v>908.86</v>
      </c>
      <c r="H4198">
        <f>E4198*1000000/D4198</f>
        <v>1023321.7001049098</v>
      </c>
      <c r="I4198" t="str">
        <f>IF(AND(B4198&gt;=2018, B4198&lt;=2021), "2018-2021", IF(AND(B4198&gt;=2022, B4198&lt;=2024), "2022-2024", "Other"))</f>
        <v>2018-2021</v>
      </c>
    </row>
    <row r="4199" spans="1:9" x14ac:dyDescent="0.3">
      <c r="A4199" t="s">
        <v>19</v>
      </c>
      <c r="B4199">
        <v>2019</v>
      </c>
      <c r="C4199" t="s">
        <v>6</v>
      </c>
      <c r="D4199">
        <v>31133.27</v>
      </c>
      <c r="E4199">
        <v>28268.89</v>
      </c>
      <c r="F4199">
        <v>23.93</v>
      </c>
      <c r="G4199">
        <v>457.91</v>
      </c>
      <c r="H4199">
        <f>E4199*1000000/D4199</f>
        <v>907996.17258322041</v>
      </c>
      <c r="I4199" t="str">
        <f>IF(AND(B4199&gt;=2018, B4199&lt;=2021), "2018-2021", IF(AND(B4199&gt;=2022, B4199&lt;=2024), "2022-2024", "Other"))</f>
        <v>2018-2021</v>
      </c>
    </row>
    <row r="4200" spans="1:9" x14ac:dyDescent="0.3">
      <c r="A4200" t="s">
        <v>20</v>
      </c>
      <c r="B4200">
        <v>2021</v>
      </c>
      <c r="C4200" t="s">
        <v>8</v>
      </c>
      <c r="D4200">
        <v>7225.77</v>
      </c>
      <c r="E4200">
        <v>7393.73</v>
      </c>
      <c r="F4200">
        <v>105.58</v>
      </c>
      <c r="G4200">
        <v>1247.06</v>
      </c>
      <c r="H4200">
        <f>E4200*1000000/D4200</f>
        <v>1023244.5815463265</v>
      </c>
      <c r="I4200" t="str">
        <f>IF(AND(B4200&gt;=2018, B4200&lt;=2021), "2018-2021", IF(AND(B4200&gt;=2022, B4200&lt;=2024), "2022-2024", "Other"))</f>
        <v>2018-2021</v>
      </c>
    </row>
    <row r="4201" spans="1:9" x14ac:dyDescent="0.3">
      <c r="A4201" t="s">
        <v>20</v>
      </c>
      <c r="B4201">
        <v>2024</v>
      </c>
      <c r="C4201" t="s">
        <v>9</v>
      </c>
      <c r="D4201">
        <v>2886.99</v>
      </c>
      <c r="E4201">
        <v>3327</v>
      </c>
      <c r="F4201">
        <v>147.87</v>
      </c>
      <c r="G4201">
        <v>13.72</v>
      </c>
      <c r="H4201">
        <f>E4201*1000000/D4201</f>
        <v>1152411.3349890371</v>
      </c>
      <c r="I4201" t="str">
        <f>IF(AND(B4201&gt;=2018, B4201&lt;=2021), "2018-2021", IF(AND(B4201&gt;=2022, B4201&lt;=2024), "2022-2024", "Other"))</f>
        <v>2022-2024</v>
      </c>
    </row>
    <row r="4202" spans="1:9" x14ac:dyDescent="0.3">
      <c r="A4202" t="s">
        <v>1</v>
      </c>
      <c r="B4202">
        <v>2020</v>
      </c>
      <c r="C4202" t="s">
        <v>2</v>
      </c>
      <c r="D4202">
        <v>12396.63</v>
      </c>
      <c r="E4202">
        <v>11857.8</v>
      </c>
      <c r="F4202">
        <v>135.94999999999999</v>
      </c>
      <c r="G4202">
        <v>820.55</v>
      </c>
      <c r="H4202">
        <f>E4202*1000000/D4202</f>
        <v>956534.15484692215</v>
      </c>
      <c r="I4202" t="str">
        <f>IF(AND(B4202&gt;=2018, B4202&lt;=2021), "2018-2021", IF(AND(B4202&gt;=2022, B4202&lt;=2024), "2022-2024", "Other"))</f>
        <v>2018-2021</v>
      </c>
    </row>
    <row r="4203" spans="1:9" x14ac:dyDescent="0.3">
      <c r="A4203" t="s">
        <v>16</v>
      </c>
      <c r="B4203">
        <v>2023</v>
      </c>
      <c r="C4203" t="s">
        <v>4</v>
      </c>
      <c r="D4203">
        <v>28316.47</v>
      </c>
      <c r="E4203">
        <v>30769.01</v>
      </c>
      <c r="F4203">
        <v>178.99</v>
      </c>
      <c r="G4203">
        <v>518.97</v>
      </c>
      <c r="H4203">
        <f>E4203*1000000/D4203</f>
        <v>1086611.7845903814</v>
      </c>
      <c r="I4203" t="str">
        <f>IF(AND(B4203&gt;=2018, B4203&lt;=2021), "2018-2021", IF(AND(B4203&gt;=2022, B4203&lt;=2024), "2022-2024", "Other"))</f>
        <v>2022-2024</v>
      </c>
    </row>
    <row r="4204" spans="1:9" x14ac:dyDescent="0.3">
      <c r="A4204" t="s">
        <v>17</v>
      </c>
      <c r="B4204">
        <v>2024</v>
      </c>
      <c r="C4204" t="s">
        <v>8</v>
      </c>
      <c r="D4204">
        <v>34832.33</v>
      </c>
      <c r="E4204">
        <v>32198.66</v>
      </c>
      <c r="F4204">
        <v>198.47</v>
      </c>
      <c r="G4204">
        <v>1366.62</v>
      </c>
      <c r="H4204">
        <f>E4204*1000000/D4204</f>
        <v>924390.07094845502</v>
      </c>
      <c r="I4204" t="str">
        <f>IF(AND(B4204&gt;=2018, B4204&lt;=2021), "2018-2021", IF(AND(B4204&gt;=2022, B4204&lt;=2024), "2022-2024", "Other"))</f>
        <v>2022-2024</v>
      </c>
    </row>
    <row r="4205" spans="1:9" x14ac:dyDescent="0.3">
      <c r="A4205" t="s">
        <v>17</v>
      </c>
      <c r="B4205">
        <v>2020</v>
      </c>
      <c r="C4205" t="s">
        <v>14</v>
      </c>
      <c r="D4205">
        <v>2394.5700000000002</v>
      </c>
      <c r="E4205">
        <v>2590.56</v>
      </c>
      <c r="F4205">
        <v>183.97</v>
      </c>
      <c r="G4205">
        <v>1231.32</v>
      </c>
      <c r="H4205">
        <f>E4205*1000000/D4205</f>
        <v>1081847.6803768526</v>
      </c>
      <c r="I4205" t="str">
        <f>IF(AND(B4205&gt;=2018, B4205&lt;=2021), "2018-2021", IF(AND(B4205&gt;=2022, B4205&lt;=2024), "2022-2024", "Other"))</f>
        <v>2018-2021</v>
      </c>
    </row>
    <row r="4206" spans="1:9" x14ac:dyDescent="0.3">
      <c r="A4206" t="s">
        <v>11</v>
      </c>
      <c r="B4206">
        <v>2019</v>
      </c>
      <c r="C4206" t="s">
        <v>2</v>
      </c>
      <c r="D4206">
        <v>12613.45</v>
      </c>
      <c r="E4206">
        <v>10764.24</v>
      </c>
      <c r="F4206">
        <v>101.54</v>
      </c>
      <c r="G4206">
        <v>391.98</v>
      </c>
      <c r="H4206">
        <f>E4206*1000000/D4206</f>
        <v>853393.7978903472</v>
      </c>
      <c r="I4206" t="str">
        <f>IF(AND(B4206&gt;=2018, B4206&lt;=2021), "2018-2021", IF(AND(B4206&gt;=2022, B4206&lt;=2024), "2022-2024", "Other"))</f>
        <v>2018-2021</v>
      </c>
    </row>
    <row r="4207" spans="1:9" x14ac:dyDescent="0.3">
      <c r="A4207" t="s">
        <v>23</v>
      </c>
      <c r="B4207">
        <v>2021</v>
      </c>
      <c r="C4207" t="s">
        <v>14</v>
      </c>
      <c r="D4207">
        <v>7913.03</v>
      </c>
      <c r="E4207">
        <v>8075.1</v>
      </c>
      <c r="F4207">
        <v>152.35</v>
      </c>
      <c r="G4207">
        <v>177.73</v>
      </c>
      <c r="H4207">
        <f>E4207*1000000/D4207</f>
        <v>1020481.4085122893</v>
      </c>
      <c r="I4207" t="str">
        <f>IF(AND(B4207&gt;=2018, B4207&lt;=2021), "2018-2021", IF(AND(B4207&gt;=2022, B4207&lt;=2024), "2022-2024", "Other"))</f>
        <v>2018-2021</v>
      </c>
    </row>
    <row r="4208" spans="1:9" x14ac:dyDescent="0.3">
      <c r="A4208" t="s">
        <v>26</v>
      </c>
      <c r="B4208">
        <v>2023</v>
      </c>
      <c r="C4208" t="s">
        <v>9</v>
      </c>
      <c r="D4208">
        <v>32703.24</v>
      </c>
      <c r="E4208">
        <v>32320.61</v>
      </c>
      <c r="F4208">
        <v>73.56</v>
      </c>
      <c r="G4208">
        <v>1392.18</v>
      </c>
      <c r="H4208">
        <f>E4208*1000000/D4208</f>
        <v>988299.93603080302</v>
      </c>
      <c r="I4208" t="str">
        <f>IF(AND(B4208&gt;=2018, B4208&lt;=2021), "2018-2021", IF(AND(B4208&gt;=2022, B4208&lt;=2024), "2022-2024", "Other"))</f>
        <v>2022-2024</v>
      </c>
    </row>
    <row r="4209" spans="1:9" x14ac:dyDescent="0.3">
      <c r="A4209" t="s">
        <v>24</v>
      </c>
      <c r="B4209">
        <v>2018</v>
      </c>
      <c r="C4209" t="s">
        <v>2</v>
      </c>
      <c r="D4209">
        <v>34292.47</v>
      </c>
      <c r="E4209">
        <v>33457.33</v>
      </c>
      <c r="F4209">
        <v>148.49</v>
      </c>
      <c r="G4209">
        <v>158.13</v>
      </c>
      <c r="H4209">
        <f>E4209*1000000/D4209</f>
        <v>975646.54864464409</v>
      </c>
      <c r="I4209" t="str">
        <f>IF(AND(B4209&gt;=2018, B4209&lt;=2021), "2018-2021", IF(AND(B4209&gt;=2022, B4209&lt;=2024), "2022-2024", "Other"))</f>
        <v>2018-2021</v>
      </c>
    </row>
    <row r="4210" spans="1:9" x14ac:dyDescent="0.3">
      <c r="A4210" t="s">
        <v>5</v>
      </c>
      <c r="B4210">
        <v>2019</v>
      </c>
      <c r="C4210" t="s">
        <v>0</v>
      </c>
      <c r="D4210">
        <v>26061.19</v>
      </c>
      <c r="E4210">
        <v>29622.9</v>
      </c>
      <c r="F4210">
        <v>191.51</v>
      </c>
      <c r="G4210">
        <v>418.61</v>
      </c>
      <c r="H4210">
        <f>E4210*1000000/D4210</f>
        <v>1136667.2051429732</v>
      </c>
      <c r="I4210" t="str">
        <f>IF(AND(B4210&gt;=2018, B4210&lt;=2021), "2018-2021", IF(AND(B4210&gt;=2022, B4210&lt;=2024), "2022-2024", "Other"))</f>
        <v>2018-2021</v>
      </c>
    </row>
    <row r="4211" spans="1:9" x14ac:dyDescent="0.3">
      <c r="A4211" t="s">
        <v>26</v>
      </c>
      <c r="B4211">
        <v>2024</v>
      </c>
      <c r="C4211" t="s">
        <v>12</v>
      </c>
      <c r="D4211">
        <v>23569.68</v>
      </c>
      <c r="E4211">
        <v>27289.4</v>
      </c>
      <c r="F4211">
        <v>199.15</v>
      </c>
      <c r="G4211">
        <v>1095.32</v>
      </c>
      <c r="H4211">
        <f>E4211*1000000/D4211</f>
        <v>1157818.0102572457</v>
      </c>
      <c r="I4211" t="str">
        <f>IF(AND(B4211&gt;=2018, B4211&lt;=2021), "2018-2021", IF(AND(B4211&gt;=2022, B4211&lt;=2024), "2022-2024", "Other"))</f>
        <v>2022-2024</v>
      </c>
    </row>
    <row r="4212" spans="1:9" x14ac:dyDescent="0.3">
      <c r="A4212" t="s">
        <v>19</v>
      </c>
      <c r="B4212">
        <v>2020</v>
      </c>
      <c r="C4212" t="s">
        <v>4</v>
      </c>
      <c r="D4212">
        <v>5978.9</v>
      </c>
      <c r="E4212">
        <v>5833.47</v>
      </c>
      <c r="F4212">
        <v>41.22</v>
      </c>
      <c r="G4212">
        <v>937.24</v>
      </c>
      <c r="H4212">
        <f>E4212*1000000/D4212</f>
        <v>975676.12771580066</v>
      </c>
      <c r="I4212" t="str">
        <f>IF(AND(B4212&gt;=2018, B4212&lt;=2021), "2018-2021", IF(AND(B4212&gt;=2022, B4212&lt;=2024), "2022-2024", "Other"))</f>
        <v>2018-2021</v>
      </c>
    </row>
    <row r="4213" spans="1:9" x14ac:dyDescent="0.3">
      <c r="A4213" t="s">
        <v>5</v>
      </c>
      <c r="B4213">
        <v>2018</v>
      </c>
      <c r="C4213" t="s">
        <v>4</v>
      </c>
      <c r="D4213">
        <v>30127.25</v>
      </c>
      <c r="E4213">
        <v>28702.33</v>
      </c>
      <c r="F4213">
        <v>133.83000000000001</v>
      </c>
      <c r="G4213">
        <v>1256.67</v>
      </c>
      <c r="H4213">
        <f>E4213*1000000/D4213</f>
        <v>952703.28357218136</v>
      </c>
      <c r="I4213" t="str">
        <f>IF(AND(B4213&gt;=2018, B4213&lt;=2021), "2018-2021", IF(AND(B4213&gt;=2022, B4213&lt;=2024), "2022-2024", "Other"))</f>
        <v>2018-2021</v>
      </c>
    </row>
    <row r="4214" spans="1:9" x14ac:dyDescent="0.3">
      <c r="A4214" t="s">
        <v>25</v>
      </c>
      <c r="B4214">
        <v>2019</v>
      </c>
      <c r="C4214" t="s">
        <v>4</v>
      </c>
      <c r="D4214">
        <v>37711.58</v>
      </c>
      <c r="E4214">
        <v>44058.28</v>
      </c>
      <c r="F4214">
        <v>76.61</v>
      </c>
      <c r="G4214">
        <v>1261.04</v>
      </c>
      <c r="H4214">
        <f>E4214*1000000/D4214</f>
        <v>1168295.7860688944</v>
      </c>
      <c r="I4214" t="str">
        <f>IF(AND(B4214&gt;=2018, B4214&lt;=2021), "2018-2021", IF(AND(B4214&gt;=2022, B4214&lt;=2024), "2022-2024", "Other"))</f>
        <v>2018-2021</v>
      </c>
    </row>
    <row r="4215" spans="1:9" x14ac:dyDescent="0.3">
      <c r="A4215" t="s">
        <v>17</v>
      </c>
      <c r="B4215">
        <v>2021</v>
      </c>
      <c r="C4215" t="s">
        <v>4</v>
      </c>
      <c r="D4215">
        <v>24498.79</v>
      </c>
      <c r="E4215">
        <v>28438.43</v>
      </c>
      <c r="F4215">
        <v>52.33</v>
      </c>
      <c r="G4215">
        <v>45.91</v>
      </c>
      <c r="H4215">
        <f>E4215*1000000/D4215</f>
        <v>1160809.5746769535</v>
      </c>
      <c r="I4215" t="str">
        <f>IF(AND(B4215&gt;=2018, B4215&lt;=2021), "2018-2021", IF(AND(B4215&gt;=2022, B4215&lt;=2024), "2022-2024", "Other"))</f>
        <v>2018-2021</v>
      </c>
    </row>
    <row r="4216" spans="1:9" x14ac:dyDescent="0.3">
      <c r="A4216" t="s">
        <v>17</v>
      </c>
      <c r="B4216">
        <v>2020</v>
      </c>
      <c r="C4216" t="s">
        <v>0</v>
      </c>
      <c r="D4216">
        <v>26718.55</v>
      </c>
      <c r="E4216">
        <v>30067.32</v>
      </c>
      <c r="F4216">
        <v>117</v>
      </c>
      <c r="G4216">
        <v>371.31</v>
      </c>
      <c r="H4216">
        <f>E4216*1000000/D4216</f>
        <v>1125335.0200516121</v>
      </c>
      <c r="I4216" t="str">
        <f>IF(AND(B4216&gt;=2018, B4216&lt;=2021), "2018-2021", IF(AND(B4216&gt;=2022, B4216&lt;=2024), "2022-2024", "Other"))</f>
        <v>2018-2021</v>
      </c>
    </row>
    <row r="4217" spans="1:9" x14ac:dyDescent="0.3">
      <c r="A4217" t="s">
        <v>20</v>
      </c>
      <c r="B4217">
        <v>2022</v>
      </c>
      <c r="C4217" t="s">
        <v>8</v>
      </c>
      <c r="D4217">
        <v>3719.16</v>
      </c>
      <c r="E4217">
        <v>3803.6</v>
      </c>
      <c r="F4217">
        <v>61.05</v>
      </c>
      <c r="G4217">
        <v>882.69</v>
      </c>
      <c r="H4217">
        <f>E4217*1000000/D4217</f>
        <v>1022704.0514524785</v>
      </c>
      <c r="I4217" t="str">
        <f>IF(AND(B4217&gt;=2018, B4217&lt;=2021), "2018-2021", IF(AND(B4217&gt;=2022, B4217&lt;=2024), "2022-2024", "Other"))</f>
        <v>2022-2024</v>
      </c>
    </row>
    <row r="4218" spans="1:9" x14ac:dyDescent="0.3">
      <c r="A4218" t="s">
        <v>20</v>
      </c>
      <c r="B4218">
        <v>2020</v>
      </c>
      <c r="C4218" t="s">
        <v>9</v>
      </c>
      <c r="D4218">
        <v>12302.84</v>
      </c>
      <c r="E4218">
        <v>11330.03</v>
      </c>
      <c r="F4218">
        <v>64.8</v>
      </c>
      <c r="G4218">
        <v>889.93</v>
      </c>
      <c r="H4218">
        <f>E4218*1000000/D4218</f>
        <v>920928.01336927083</v>
      </c>
      <c r="I4218" t="str">
        <f>IF(AND(B4218&gt;=2018, B4218&lt;=2021), "2018-2021", IF(AND(B4218&gt;=2022, B4218&lt;=2024), "2022-2024", "Other"))</f>
        <v>2018-2021</v>
      </c>
    </row>
    <row r="4219" spans="1:9" x14ac:dyDescent="0.3">
      <c r="A4219" t="s">
        <v>15</v>
      </c>
      <c r="B4219">
        <v>2022</v>
      </c>
      <c r="C4219" t="s">
        <v>8</v>
      </c>
      <c r="D4219">
        <v>5457.06</v>
      </c>
      <c r="E4219">
        <v>5389.62</v>
      </c>
      <c r="F4219">
        <v>147.69999999999999</v>
      </c>
      <c r="G4219">
        <v>667.61</v>
      </c>
      <c r="H4219">
        <f>E4219*1000000/D4219</f>
        <v>987641.69717760105</v>
      </c>
      <c r="I4219" t="str">
        <f>IF(AND(B4219&gt;=2018, B4219&lt;=2021), "2018-2021", IF(AND(B4219&gt;=2022, B4219&lt;=2024), "2022-2024", "Other"))</f>
        <v>2022-2024</v>
      </c>
    </row>
    <row r="4220" spans="1:9" x14ac:dyDescent="0.3">
      <c r="A4220" t="s">
        <v>19</v>
      </c>
      <c r="B4220">
        <v>2019</v>
      </c>
      <c r="C4220" t="s">
        <v>2</v>
      </c>
      <c r="D4220">
        <v>40705.199999999997</v>
      </c>
      <c r="E4220">
        <v>40258.76</v>
      </c>
      <c r="F4220">
        <v>60.06</v>
      </c>
      <c r="G4220">
        <v>1009.32</v>
      </c>
      <c r="H4220">
        <f>E4220*1000000/D4220</f>
        <v>989032.35950198013</v>
      </c>
      <c r="I4220" t="str">
        <f>IF(AND(B4220&gt;=2018, B4220&lt;=2021), "2018-2021", IF(AND(B4220&gt;=2022, B4220&lt;=2024), "2022-2024", "Other"))</f>
        <v>2018-2021</v>
      </c>
    </row>
    <row r="4221" spans="1:9" x14ac:dyDescent="0.3">
      <c r="A4221" t="s">
        <v>23</v>
      </c>
      <c r="B4221">
        <v>2022</v>
      </c>
      <c r="C4221" t="s">
        <v>9</v>
      </c>
      <c r="D4221">
        <v>21309.4</v>
      </c>
      <c r="E4221">
        <v>17977.599999999999</v>
      </c>
      <c r="F4221">
        <v>161.31</v>
      </c>
      <c r="G4221">
        <v>811.37</v>
      </c>
      <c r="H4221">
        <f>E4221*1000000/D4221</f>
        <v>843646.46587890782</v>
      </c>
      <c r="I4221" t="str">
        <f>IF(AND(B4221&gt;=2018, B4221&lt;=2021), "2018-2021", IF(AND(B4221&gt;=2022, B4221&lt;=2024), "2022-2024", "Other"))</f>
        <v>2022-2024</v>
      </c>
    </row>
    <row r="4222" spans="1:9" x14ac:dyDescent="0.3">
      <c r="A4222" t="s">
        <v>24</v>
      </c>
      <c r="B4222">
        <v>2020</v>
      </c>
      <c r="C4222" t="s">
        <v>6</v>
      </c>
      <c r="D4222">
        <v>28455.74</v>
      </c>
      <c r="E4222">
        <v>28701.79</v>
      </c>
      <c r="F4222">
        <v>64.52</v>
      </c>
      <c r="G4222">
        <v>1270.2</v>
      </c>
      <c r="H4222">
        <f>E4222*1000000/D4222</f>
        <v>1008646.7616024043</v>
      </c>
      <c r="I4222" t="str">
        <f>IF(AND(B4222&gt;=2018, B4222&lt;=2021), "2018-2021", IF(AND(B4222&gt;=2022, B4222&lt;=2024), "2022-2024", "Other"))</f>
        <v>2018-2021</v>
      </c>
    </row>
    <row r="4223" spans="1:9" x14ac:dyDescent="0.3">
      <c r="A4223" t="s">
        <v>27</v>
      </c>
      <c r="B4223">
        <v>2019</v>
      </c>
      <c r="C4223" t="s">
        <v>2</v>
      </c>
      <c r="D4223">
        <v>562.22</v>
      </c>
      <c r="E4223">
        <v>627.72</v>
      </c>
      <c r="F4223">
        <v>122.17</v>
      </c>
      <c r="G4223">
        <v>462.18</v>
      </c>
      <c r="H4223">
        <f>E4223*1000000/D4223</f>
        <v>1116502.4367685248</v>
      </c>
      <c r="I4223" t="str">
        <f>IF(AND(B4223&gt;=2018, B4223&lt;=2021), "2018-2021", IF(AND(B4223&gt;=2022, B4223&lt;=2024), "2022-2024", "Other"))</f>
        <v>2018-2021</v>
      </c>
    </row>
    <row r="4224" spans="1:9" x14ac:dyDescent="0.3">
      <c r="A4224" t="s">
        <v>11</v>
      </c>
      <c r="B4224">
        <v>2022</v>
      </c>
      <c r="C4224" t="s">
        <v>2</v>
      </c>
      <c r="D4224">
        <v>29919.89</v>
      </c>
      <c r="E4224">
        <v>25147.81</v>
      </c>
      <c r="F4224">
        <v>32.57</v>
      </c>
      <c r="G4224">
        <v>1017.44</v>
      </c>
      <c r="H4224">
        <f>E4224*1000000/D4224</f>
        <v>840504.76121402858</v>
      </c>
      <c r="I4224" t="str">
        <f>IF(AND(B4224&gt;=2018, B4224&lt;=2021), "2018-2021", IF(AND(B4224&gt;=2022, B4224&lt;=2024), "2022-2024", "Other"))</f>
        <v>2022-2024</v>
      </c>
    </row>
    <row r="4225" spans="1:9" x14ac:dyDescent="0.3">
      <c r="A4225" t="s">
        <v>23</v>
      </c>
      <c r="B4225">
        <v>2021</v>
      </c>
      <c r="C4225" t="s">
        <v>8</v>
      </c>
      <c r="D4225">
        <v>40334.35</v>
      </c>
      <c r="E4225">
        <v>38795.4</v>
      </c>
      <c r="F4225">
        <v>50.85</v>
      </c>
      <c r="G4225">
        <v>985.08</v>
      </c>
      <c r="H4225">
        <f>E4225*1000000/D4225</f>
        <v>961845.17662984529</v>
      </c>
      <c r="I4225" t="str">
        <f>IF(AND(B4225&gt;=2018, B4225&lt;=2021), "2018-2021", IF(AND(B4225&gt;=2022, B4225&lt;=2024), "2022-2024", "Other"))</f>
        <v>2018-2021</v>
      </c>
    </row>
    <row r="4226" spans="1:9" x14ac:dyDescent="0.3">
      <c r="A4226" t="s">
        <v>15</v>
      </c>
      <c r="B4226">
        <v>2020</v>
      </c>
      <c r="C4226" t="s">
        <v>0</v>
      </c>
      <c r="D4226">
        <v>21625.02</v>
      </c>
      <c r="E4226">
        <v>23407.4</v>
      </c>
      <c r="F4226">
        <v>143.29</v>
      </c>
      <c r="G4226">
        <v>1267.24</v>
      </c>
      <c r="H4226">
        <f>E4226*1000000/D4226</f>
        <v>1082422.1203032413</v>
      </c>
      <c r="I4226" t="str">
        <f>IF(AND(B4226&gt;=2018, B4226&lt;=2021), "2018-2021", IF(AND(B4226&gt;=2022, B4226&lt;=2024), "2022-2024", "Other"))</f>
        <v>2018-2021</v>
      </c>
    </row>
    <row r="4227" spans="1:9" x14ac:dyDescent="0.3">
      <c r="A4227" t="s">
        <v>22</v>
      </c>
      <c r="B4227">
        <v>2021</v>
      </c>
      <c r="C4227" t="s">
        <v>0</v>
      </c>
      <c r="D4227">
        <v>30450.77</v>
      </c>
      <c r="E4227">
        <v>30812.12</v>
      </c>
      <c r="F4227">
        <v>21.46</v>
      </c>
      <c r="G4227">
        <v>87.15</v>
      </c>
      <c r="H4227">
        <f>E4227*1000000/D4227</f>
        <v>1011866.6949965468</v>
      </c>
      <c r="I4227" t="str">
        <f>IF(AND(B4227&gt;=2018, B4227&lt;=2021), "2018-2021", IF(AND(B4227&gt;=2022, B4227&lt;=2024), "2022-2024", "Other"))</f>
        <v>2018-2021</v>
      </c>
    </row>
    <row r="4228" spans="1:9" x14ac:dyDescent="0.3">
      <c r="A4228" t="s">
        <v>10</v>
      </c>
      <c r="B4228">
        <v>2023</v>
      </c>
      <c r="C4228" t="s">
        <v>0</v>
      </c>
      <c r="D4228">
        <v>8619.86</v>
      </c>
      <c r="E4228">
        <v>9439.1</v>
      </c>
      <c r="F4228">
        <v>74.56</v>
      </c>
      <c r="G4228">
        <v>1106.7</v>
      </c>
      <c r="H4228">
        <f>E4228*1000000/D4228</f>
        <v>1095040.9867445643</v>
      </c>
      <c r="I4228" t="str">
        <f>IF(AND(B4228&gt;=2018, B4228&lt;=2021), "2018-2021", IF(AND(B4228&gt;=2022, B4228&lt;=2024), "2022-2024", "Other"))</f>
        <v>2022-2024</v>
      </c>
    </row>
    <row r="4229" spans="1:9" x14ac:dyDescent="0.3">
      <c r="A4229" t="s">
        <v>24</v>
      </c>
      <c r="B4229">
        <v>2018</v>
      </c>
      <c r="C4229" t="s">
        <v>6</v>
      </c>
      <c r="D4229">
        <v>24221.08</v>
      </c>
      <c r="E4229">
        <v>24937.45</v>
      </c>
      <c r="F4229">
        <v>144.93</v>
      </c>
      <c r="G4229">
        <v>814.89</v>
      </c>
      <c r="H4229">
        <f>E4229*1000000/D4229</f>
        <v>1029576.3029559375</v>
      </c>
      <c r="I4229" t="str">
        <f>IF(AND(B4229&gt;=2018, B4229&lt;=2021), "2018-2021", IF(AND(B4229&gt;=2022, B4229&lt;=2024), "2022-2024", "Other"))</f>
        <v>2018-2021</v>
      </c>
    </row>
    <row r="4230" spans="1:9" x14ac:dyDescent="0.3">
      <c r="A4230" t="s">
        <v>11</v>
      </c>
      <c r="B4230">
        <v>2018</v>
      </c>
      <c r="C4230" t="s">
        <v>12</v>
      </c>
      <c r="D4230">
        <v>42649.16</v>
      </c>
      <c r="E4230">
        <v>45762.45</v>
      </c>
      <c r="F4230">
        <v>78.08</v>
      </c>
      <c r="G4230">
        <v>222.74</v>
      </c>
      <c r="H4230">
        <f>E4230*1000000/D4230</f>
        <v>1072997.6862381345</v>
      </c>
      <c r="I4230" t="str">
        <f>IF(AND(B4230&gt;=2018, B4230&lt;=2021), "2018-2021", IF(AND(B4230&gt;=2022, B4230&lt;=2024), "2022-2024", "Other"))</f>
        <v>2018-2021</v>
      </c>
    </row>
    <row r="4231" spans="1:9" x14ac:dyDescent="0.3">
      <c r="A4231" t="s">
        <v>1</v>
      </c>
      <c r="B4231">
        <v>2024</v>
      </c>
      <c r="C4231" t="s">
        <v>8</v>
      </c>
      <c r="D4231">
        <v>22354.93</v>
      </c>
      <c r="E4231">
        <v>18257.96</v>
      </c>
      <c r="F4231">
        <v>27.61</v>
      </c>
      <c r="G4231">
        <v>690.29</v>
      </c>
      <c r="H4231">
        <f>E4231*1000000/D4231</f>
        <v>816730.80613538041</v>
      </c>
      <c r="I4231" t="str">
        <f>IF(AND(B4231&gt;=2018, B4231&lt;=2021), "2018-2021", IF(AND(B4231&gt;=2022, B4231&lt;=2024), "2022-2024", "Other"))</f>
        <v>2022-2024</v>
      </c>
    </row>
    <row r="4232" spans="1:9" x14ac:dyDescent="0.3">
      <c r="A4232" t="s">
        <v>15</v>
      </c>
      <c r="B4232">
        <v>2022</v>
      </c>
      <c r="C4232" t="s">
        <v>0</v>
      </c>
      <c r="D4232">
        <v>18850.259999999998</v>
      </c>
      <c r="E4232">
        <v>18542.54</v>
      </c>
      <c r="F4232">
        <v>167.04</v>
      </c>
      <c r="G4232">
        <v>946.56</v>
      </c>
      <c r="H4232">
        <f>E4232*1000000/D4232</f>
        <v>983675.5567297216</v>
      </c>
      <c r="I4232" t="str">
        <f>IF(AND(B4232&gt;=2018, B4232&lt;=2021), "2018-2021", IF(AND(B4232&gt;=2022, B4232&lt;=2024), "2022-2024", "Other"))</f>
        <v>2022-2024</v>
      </c>
    </row>
    <row r="4233" spans="1:9" x14ac:dyDescent="0.3">
      <c r="A4233" t="s">
        <v>17</v>
      </c>
      <c r="B4233">
        <v>2021</v>
      </c>
      <c r="C4233" t="s">
        <v>8</v>
      </c>
      <c r="D4233">
        <v>2047.11</v>
      </c>
      <c r="E4233">
        <v>2369.73</v>
      </c>
      <c r="F4233">
        <v>72.27</v>
      </c>
      <c r="G4233">
        <v>35.049999999999997</v>
      </c>
      <c r="H4233">
        <f>E4233*1000000/D4233</f>
        <v>1157597.7841933263</v>
      </c>
      <c r="I4233" t="str">
        <f>IF(AND(B4233&gt;=2018, B4233&lt;=2021), "2018-2021", IF(AND(B4233&gt;=2022, B4233&lt;=2024), "2022-2024", "Other"))</f>
        <v>2018-2021</v>
      </c>
    </row>
    <row r="4234" spans="1:9" x14ac:dyDescent="0.3">
      <c r="A4234" t="s">
        <v>23</v>
      </c>
      <c r="B4234">
        <v>2023</v>
      </c>
      <c r="C4234" t="s">
        <v>0</v>
      </c>
      <c r="D4234">
        <v>30417.22</v>
      </c>
      <c r="E4234">
        <v>28835.35</v>
      </c>
      <c r="F4234">
        <v>25.72</v>
      </c>
      <c r="G4234">
        <v>680.5</v>
      </c>
      <c r="H4234">
        <f>E4234*1000000/D4234</f>
        <v>947994.26114549581</v>
      </c>
      <c r="I4234" t="str">
        <f>IF(AND(B4234&gt;=2018, B4234&lt;=2021), "2018-2021", IF(AND(B4234&gt;=2022, B4234&lt;=2024), "2022-2024", "Other"))</f>
        <v>2022-2024</v>
      </c>
    </row>
    <row r="4235" spans="1:9" x14ac:dyDescent="0.3">
      <c r="A4235" t="s">
        <v>17</v>
      </c>
      <c r="B4235">
        <v>2022</v>
      </c>
      <c r="C4235" t="s">
        <v>9</v>
      </c>
      <c r="D4235">
        <v>11890.66</v>
      </c>
      <c r="E4235">
        <v>13680.35</v>
      </c>
      <c r="F4235">
        <v>178.86</v>
      </c>
      <c r="G4235">
        <v>381.88</v>
      </c>
      <c r="H4235">
        <f>E4235*1000000/D4235</f>
        <v>1150512.2507917979</v>
      </c>
      <c r="I4235" t="str">
        <f>IF(AND(B4235&gt;=2018, B4235&lt;=2021), "2018-2021", IF(AND(B4235&gt;=2022, B4235&lt;=2024), "2022-2024", "Other"))</f>
        <v>2022-2024</v>
      </c>
    </row>
    <row r="4236" spans="1:9" x14ac:dyDescent="0.3">
      <c r="A4236" t="s">
        <v>18</v>
      </c>
      <c r="B4236">
        <v>2022</v>
      </c>
      <c r="C4236" t="s">
        <v>12</v>
      </c>
      <c r="D4236">
        <v>41759.370000000003</v>
      </c>
      <c r="E4236">
        <v>35161.449999999997</v>
      </c>
      <c r="F4236">
        <v>92.07</v>
      </c>
      <c r="G4236">
        <v>1097.0899999999999</v>
      </c>
      <c r="H4236">
        <f>E4236*1000000/D4236</f>
        <v>842001.44781877694</v>
      </c>
      <c r="I4236" t="str">
        <f>IF(AND(B4236&gt;=2018, B4236&lt;=2021), "2018-2021", IF(AND(B4236&gt;=2022, B4236&lt;=2024), "2022-2024", "Other"))</f>
        <v>2022-2024</v>
      </c>
    </row>
    <row r="4237" spans="1:9" x14ac:dyDescent="0.3">
      <c r="A4237" t="s">
        <v>22</v>
      </c>
      <c r="B4237">
        <v>2022</v>
      </c>
      <c r="C4237" t="s">
        <v>4</v>
      </c>
      <c r="D4237">
        <v>29113.22</v>
      </c>
      <c r="E4237">
        <v>27117.15</v>
      </c>
      <c r="F4237">
        <v>21.72</v>
      </c>
      <c r="G4237">
        <v>725.76</v>
      </c>
      <c r="H4237">
        <f>E4237*1000000/D4237</f>
        <v>931437.67676677462</v>
      </c>
      <c r="I4237" t="str">
        <f>IF(AND(B4237&gt;=2018, B4237&lt;=2021), "2018-2021", IF(AND(B4237&gt;=2022, B4237&lt;=2024), "2022-2024", "Other"))</f>
        <v>2022-2024</v>
      </c>
    </row>
    <row r="4238" spans="1:9" x14ac:dyDescent="0.3">
      <c r="A4238" t="s">
        <v>19</v>
      </c>
      <c r="B4238">
        <v>2023</v>
      </c>
      <c r="C4238" t="s">
        <v>6</v>
      </c>
      <c r="D4238">
        <v>16069.8</v>
      </c>
      <c r="E4238">
        <v>16316.85</v>
      </c>
      <c r="F4238">
        <v>42.72</v>
      </c>
      <c r="G4238">
        <v>1354.29</v>
      </c>
      <c r="H4238">
        <f>E4238*1000000/D4238</f>
        <v>1015373.5578538625</v>
      </c>
      <c r="I4238" t="str">
        <f>IF(AND(B4238&gt;=2018, B4238&lt;=2021), "2018-2021", IF(AND(B4238&gt;=2022, B4238&lt;=2024), "2022-2024", "Other"))</f>
        <v>2022-2024</v>
      </c>
    </row>
    <row r="4239" spans="1:9" x14ac:dyDescent="0.3">
      <c r="A4239" t="s">
        <v>18</v>
      </c>
      <c r="B4239">
        <v>2023</v>
      </c>
      <c r="C4239" t="s">
        <v>6</v>
      </c>
      <c r="D4239">
        <v>19085.740000000002</v>
      </c>
      <c r="E4239">
        <v>21107.47</v>
      </c>
      <c r="F4239">
        <v>168.14</v>
      </c>
      <c r="G4239">
        <v>872.11</v>
      </c>
      <c r="H4239">
        <f>E4239*1000000/D4239</f>
        <v>1105928.8243473922</v>
      </c>
      <c r="I4239" t="str">
        <f>IF(AND(B4239&gt;=2018, B4239&lt;=2021), "2018-2021", IF(AND(B4239&gt;=2022, B4239&lt;=2024), "2022-2024", "Other"))</f>
        <v>2022-2024</v>
      </c>
    </row>
    <row r="4240" spans="1:9" x14ac:dyDescent="0.3">
      <c r="A4240" t="s">
        <v>24</v>
      </c>
      <c r="B4240">
        <v>2023</v>
      </c>
      <c r="C4240" t="s">
        <v>2</v>
      </c>
      <c r="D4240">
        <v>45330.2</v>
      </c>
      <c r="E4240">
        <v>45565.69</v>
      </c>
      <c r="F4240">
        <v>135.78</v>
      </c>
      <c r="G4240">
        <v>854.62</v>
      </c>
      <c r="H4240">
        <f>E4240*1000000/D4240</f>
        <v>1005194.9914185245</v>
      </c>
      <c r="I4240" t="str">
        <f>IF(AND(B4240&gt;=2018, B4240&lt;=2021), "2018-2021", IF(AND(B4240&gt;=2022, B4240&lt;=2024), "2022-2024", "Other"))</f>
        <v>2022-2024</v>
      </c>
    </row>
    <row r="4241" spans="1:9" x14ac:dyDescent="0.3">
      <c r="A4241" t="s">
        <v>15</v>
      </c>
      <c r="B4241">
        <v>2019</v>
      </c>
      <c r="C4241" t="s">
        <v>12</v>
      </c>
      <c r="D4241">
        <v>24914.11</v>
      </c>
      <c r="E4241">
        <v>29706.21</v>
      </c>
      <c r="F4241">
        <v>32.57</v>
      </c>
      <c r="G4241">
        <v>1267.52</v>
      </c>
      <c r="H4241">
        <f>E4241*1000000/D4241</f>
        <v>1192344.8198631217</v>
      </c>
      <c r="I4241" t="str">
        <f>IF(AND(B4241&gt;=2018, B4241&lt;=2021), "2018-2021", IF(AND(B4241&gt;=2022, B4241&lt;=2024), "2022-2024", "Other"))</f>
        <v>2018-2021</v>
      </c>
    </row>
    <row r="4242" spans="1:9" x14ac:dyDescent="0.3">
      <c r="A4242" t="s">
        <v>7</v>
      </c>
      <c r="B4242">
        <v>2019</v>
      </c>
      <c r="C4242" t="s">
        <v>4</v>
      </c>
      <c r="D4242">
        <v>6272.68</v>
      </c>
      <c r="E4242">
        <v>5946.07</v>
      </c>
      <c r="F4242">
        <v>165.54</v>
      </c>
      <c r="G4242">
        <v>148.68</v>
      </c>
      <c r="H4242">
        <f>E4242*1000000/D4242</f>
        <v>947931.34672898985</v>
      </c>
      <c r="I4242" t="str">
        <f>IF(AND(B4242&gt;=2018, B4242&lt;=2021), "2018-2021", IF(AND(B4242&gt;=2022, B4242&lt;=2024), "2022-2024", "Other"))</f>
        <v>2018-2021</v>
      </c>
    </row>
    <row r="4243" spans="1:9" x14ac:dyDescent="0.3">
      <c r="A4243" t="s">
        <v>18</v>
      </c>
      <c r="B4243">
        <v>2022</v>
      </c>
      <c r="C4243" t="s">
        <v>12</v>
      </c>
      <c r="D4243">
        <v>43846.87</v>
      </c>
      <c r="E4243">
        <v>44810.33</v>
      </c>
      <c r="F4243">
        <v>67.92</v>
      </c>
      <c r="G4243">
        <v>167.79</v>
      </c>
      <c r="H4243">
        <f>E4243*1000000/D4243</f>
        <v>1021973.2902257333</v>
      </c>
      <c r="I4243" t="str">
        <f>IF(AND(B4243&gt;=2018, B4243&lt;=2021), "2018-2021", IF(AND(B4243&gt;=2022, B4243&lt;=2024), "2022-2024", "Other"))</f>
        <v>2022-2024</v>
      </c>
    </row>
    <row r="4244" spans="1:9" x14ac:dyDescent="0.3">
      <c r="A4244" t="s">
        <v>22</v>
      </c>
      <c r="B4244">
        <v>2021</v>
      </c>
      <c r="C4244" t="s">
        <v>2</v>
      </c>
      <c r="D4244">
        <v>13864.8</v>
      </c>
      <c r="E4244">
        <v>15565.97</v>
      </c>
      <c r="F4244">
        <v>47.7</v>
      </c>
      <c r="G4244">
        <v>909.74</v>
      </c>
      <c r="H4244">
        <f>E4244*1000000/D4244</f>
        <v>1122697.0457561596</v>
      </c>
      <c r="I4244" t="str">
        <f>IF(AND(B4244&gt;=2018, B4244&lt;=2021), "2018-2021", IF(AND(B4244&gt;=2022, B4244&lt;=2024), "2022-2024", "Other"))</f>
        <v>2018-2021</v>
      </c>
    </row>
    <row r="4245" spans="1:9" x14ac:dyDescent="0.3">
      <c r="A4245" t="s">
        <v>13</v>
      </c>
      <c r="B4245">
        <v>2023</v>
      </c>
      <c r="C4245" t="s">
        <v>6</v>
      </c>
      <c r="D4245">
        <v>35127.949999999997</v>
      </c>
      <c r="E4245">
        <v>38873.69</v>
      </c>
      <c r="F4245">
        <v>186.21</v>
      </c>
      <c r="G4245">
        <v>877.4</v>
      </c>
      <c r="H4245">
        <f>E4245*1000000/D4245</f>
        <v>1106631.3291837412</v>
      </c>
      <c r="I4245" t="str">
        <f>IF(AND(B4245&gt;=2018, B4245&lt;=2021), "2018-2021", IF(AND(B4245&gt;=2022, B4245&lt;=2024), "2022-2024", "Other"))</f>
        <v>2022-2024</v>
      </c>
    </row>
    <row r="4246" spans="1:9" x14ac:dyDescent="0.3">
      <c r="A4246" t="s">
        <v>11</v>
      </c>
      <c r="B4246">
        <v>2023</v>
      </c>
      <c r="C4246" t="s">
        <v>2</v>
      </c>
      <c r="D4246">
        <v>13534.93</v>
      </c>
      <c r="E4246">
        <v>12427.64</v>
      </c>
      <c r="F4246">
        <v>148.55000000000001</v>
      </c>
      <c r="G4246">
        <v>1189.8</v>
      </c>
      <c r="H4246">
        <f>E4246*1000000/D4246</f>
        <v>918190.19381703483</v>
      </c>
      <c r="I4246" t="str">
        <f>IF(AND(B4246&gt;=2018, B4246&lt;=2021), "2018-2021", IF(AND(B4246&gt;=2022, B4246&lt;=2024), "2022-2024", "Other"))</f>
        <v>2022-2024</v>
      </c>
    </row>
    <row r="4247" spans="1:9" x14ac:dyDescent="0.3">
      <c r="A4247" t="s">
        <v>27</v>
      </c>
      <c r="B4247">
        <v>2022</v>
      </c>
      <c r="C4247" t="s">
        <v>2</v>
      </c>
      <c r="D4247">
        <v>14779.69</v>
      </c>
      <c r="E4247">
        <v>12125.54</v>
      </c>
      <c r="F4247">
        <v>183.18</v>
      </c>
      <c r="G4247">
        <v>830.63</v>
      </c>
      <c r="H4247">
        <f>E4247*1000000/D4247</f>
        <v>820419.10215978813</v>
      </c>
      <c r="I4247" t="str">
        <f>IF(AND(B4247&gt;=2018, B4247&lt;=2021), "2018-2021", IF(AND(B4247&gt;=2022, B4247&lt;=2024), "2022-2024", "Other"))</f>
        <v>2022-2024</v>
      </c>
    </row>
    <row r="4248" spans="1:9" x14ac:dyDescent="0.3">
      <c r="A4248" t="s">
        <v>15</v>
      </c>
      <c r="B4248">
        <v>2021</v>
      </c>
      <c r="C4248" t="s">
        <v>0</v>
      </c>
      <c r="D4248">
        <v>12746.19</v>
      </c>
      <c r="E4248">
        <v>12488.54</v>
      </c>
      <c r="F4248">
        <v>119.42</v>
      </c>
      <c r="G4248">
        <v>553.49</v>
      </c>
      <c r="H4248">
        <f>E4248*1000000/D4248</f>
        <v>979786.11647872813</v>
      </c>
      <c r="I4248" t="str">
        <f>IF(AND(B4248&gt;=2018, B4248&lt;=2021), "2018-2021", IF(AND(B4248&gt;=2022, B4248&lt;=2024), "2022-2024", "Other"))</f>
        <v>2018-2021</v>
      </c>
    </row>
    <row r="4249" spans="1:9" x14ac:dyDescent="0.3">
      <c r="A4249" t="s">
        <v>23</v>
      </c>
      <c r="B4249">
        <v>2020</v>
      </c>
      <c r="C4249" t="s">
        <v>9</v>
      </c>
      <c r="D4249">
        <v>15449.15</v>
      </c>
      <c r="E4249">
        <v>12990.26</v>
      </c>
      <c r="F4249">
        <v>123.5</v>
      </c>
      <c r="G4249">
        <v>42.67</v>
      </c>
      <c r="H4249">
        <f>E4249*1000000/D4249</f>
        <v>840839.78730221407</v>
      </c>
      <c r="I4249" t="str">
        <f>IF(AND(B4249&gt;=2018, B4249&lt;=2021), "2018-2021", IF(AND(B4249&gt;=2022, B4249&lt;=2024), "2022-2024", "Other"))</f>
        <v>2018-2021</v>
      </c>
    </row>
    <row r="4250" spans="1:9" x14ac:dyDescent="0.3">
      <c r="A4250" t="s">
        <v>20</v>
      </c>
      <c r="B4250">
        <v>2024</v>
      </c>
      <c r="C4250" t="s">
        <v>4</v>
      </c>
      <c r="D4250">
        <v>37100.54</v>
      </c>
      <c r="E4250">
        <v>35853.129999999997</v>
      </c>
      <c r="F4250">
        <v>144.38</v>
      </c>
      <c r="G4250">
        <v>321.20999999999998</v>
      </c>
      <c r="H4250">
        <f>E4250*1000000/D4250</f>
        <v>966377.57833174395</v>
      </c>
      <c r="I4250" t="str">
        <f>IF(AND(B4250&gt;=2018, B4250&lt;=2021), "2018-2021", IF(AND(B4250&gt;=2022, B4250&lt;=2024), "2022-2024", "Other"))</f>
        <v>2022-2024</v>
      </c>
    </row>
    <row r="4251" spans="1:9" x14ac:dyDescent="0.3">
      <c r="A4251" t="s">
        <v>5</v>
      </c>
      <c r="B4251">
        <v>2019</v>
      </c>
      <c r="C4251" t="s">
        <v>0</v>
      </c>
      <c r="D4251">
        <v>35356.04</v>
      </c>
      <c r="E4251">
        <v>37868.53</v>
      </c>
      <c r="F4251">
        <v>76.959999999999994</v>
      </c>
      <c r="G4251">
        <v>458.31</v>
      </c>
      <c r="H4251">
        <f>E4251*1000000/D4251</f>
        <v>1071062.5398093225</v>
      </c>
      <c r="I4251" t="str">
        <f>IF(AND(B4251&gt;=2018, B4251&lt;=2021), "2018-2021", IF(AND(B4251&gt;=2022, B4251&lt;=2024), "2022-2024", "Other"))</f>
        <v>2018-2021</v>
      </c>
    </row>
    <row r="4252" spans="1:9" x14ac:dyDescent="0.3">
      <c r="A4252" t="s">
        <v>24</v>
      </c>
      <c r="B4252">
        <v>2024</v>
      </c>
      <c r="C4252" t="s">
        <v>4</v>
      </c>
      <c r="D4252">
        <v>12930</v>
      </c>
      <c r="E4252">
        <v>13350.78</v>
      </c>
      <c r="F4252">
        <v>172.99</v>
      </c>
      <c r="G4252">
        <v>86.63</v>
      </c>
      <c r="H4252">
        <f>E4252*1000000/D4252</f>
        <v>1032542.9234338747</v>
      </c>
      <c r="I4252" t="str">
        <f>IF(AND(B4252&gt;=2018, B4252&lt;=2021), "2018-2021", IF(AND(B4252&gt;=2022, B4252&lt;=2024), "2022-2024", "Other"))</f>
        <v>2022-2024</v>
      </c>
    </row>
    <row r="4253" spans="1:9" x14ac:dyDescent="0.3">
      <c r="A4253" t="s">
        <v>19</v>
      </c>
      <c r="B4253">
        <v>2024</v>
      </c>
      <c r="C4253" t="s">
        <v>0</v>
      </c>
      <c r="D4253">
        <v>13512.16</v>
      </c>
      <c r="E4253">
        <v>15702.23</v>
      </c>
      <c r="F4253">
        <v>168.7</v>
      </c>
      <c r="G4253">
        <v>406.53</v>
      </c>
      <c r="H4253">
        <f>E4253*1000000/D4253</f>
        <v>1162081.4140744337</v>
      </c>
      <c r="I4253" t="str">
        <f>IF(AND(B4253&gt;=2018, B4253&lt;=2021), "2018-2021", IF(AND(B4253&gt;=2022, B4253&lt;=2024), "2022-2024", "Other"))</f>
        <v>2022-2024</v>
      </c>
    </row>
    <row r="4254" spans="1:9" x14ac:dyDescent="0.3">
      <c r="A4254" t="s">
        <v>10</v>
      </c>
      <c r="B4254">
        <v>2022</v>
      </c>
      <c r="C4254" t="s">
        <v>4</v>
      </c>
      <c r="D4254">
        <v>10642.53</v>
      </c>
      <c r="E4254">
        <v>9247.43</v>
      </c>
      <c r="F4254">
        <v>73.8</v>
      </c>
      <c r="G4254">
        <v>1201.1600000000001</v>
      </c>
      <c r="H4254">
        <f>E4254*1000000/D4254</f>
        <v>868912.74913014099</v>
      </c>
      <c r="I4254" t="str">
        <f>IF(AND(B4254&gt;=2018, B4254&lt;=2021), "2018-2021", IF(AND(B4254&gt;=2022, B4254&lt;=2024), "2022-2024", "Other"))</f>
        <v>2022-2024</v>
      </c>
    </row>
    <row r="4255" spans="1:9" x14ac:dyDescent="0.3">
      <c r="A4255" t="s">
        <v>26</v>
      </c>
      <c r="B4255">
        <v>2019</v>
      </c>
      <c r="C4255" t="s">
        <v>6</v>
      </c>
      <c r="D4255">
        <v>34493.480000000003</v>
      </c>
      <c r="E4255">
        <v>36121.71</v>
      </c>
      <c r="F4255">
        <v>196.8</v>
      </c>
      <c r="G4255">
        <v>118.39</v>
      </c>
      <c r="H4255">
        <f>E4255*1000000/D4255</f>
        <v>1047203.9933343923</v>
      </c>
      <c r="I4255" t="str">
        <f>IF(AND(B4255&gt;=2018, B4255&lt;=2021), "2018-2021", IF(AND(B4255&gt;=2022, B4255&lt;=2024), "2022-2024", "Other"))</f>
        <v>2018-2021</v>
      </c>
    </row>
    <row r="4256" spans="1:9" x14ac:dyDescent="0.3">
      <c r="A4256" t="s">
        <v>23</v>
      </c>
      <c r="B4256">
        <v>2020</v>
      </c>
      <c r="C4256" t="s">
        <v>0</v>
      </c>
      <c r="D4256">
        <v>11092.49</v>
      </c>
      <c r="E4256">
        <v>10035</v>
      </c>
      <c r="F4256">
        <v>150.02000000000001</v>
      </c>
      <c r="G4256">
        <v>1215.76</v>
      </c>
      <c r="H4256">
        <f>E4256*1000000/D4256</f>
        <v>904666.12996721209</v>
      </c>
      <c r="I4256" t="str">
        <f>IF(AND(B4256&gt;=2018, B4256&lt;=2021), "2018-2021", IF(AND(B4256&gt;=2022, B4256&lt;=2024), "2022-2024", "Other"))</f>
        <v>2018-2021</v>
      </c>
    </row>
    <row r="4257" spans="1:9" x14ac:dyDescent="0.3">
      <c r="A4257" t="s">
        <v>27</v>
      </c>
      <c r="B4257">
        <v>2024</v>
      </c>
      <c r="C4257" t="s">
        <v>9</v>
      </c>
      <c r="D4257">
        <v>13338.14</v>
      </c>
      <c r="E4257">
        <v>12307.87</v>
      </c>
      <c r="F4257">
        <v>112.42</v>
      </c>
      <c r="G4257">
        <v>450.02</v>
      </c>
      <c r="H4257">
        <f>E4257*1000000/D4257</f>
        <v>922757.59588668286</v>
      </c>
      <c r="I4257" t="str">
        <f>IF(AND(B4257&gt;=2018, B4257&lt;=2021), "2018-2021", IF(AND(B4257&gt;=2022, B4257&lt;=2024), "2022-2024", "Other"))</f>
        <v>2022-2024</v>
      </c>
    </row>
    <row r="4258" spans="1:9" x14ac:dyDescent="0.3">
      <c r="A4258" t="s">
        <v>19</v>
      </c>
      <c r="B4258">
        <v>2020</v>
      </c>
      <c r="C4258" t="s">
        <v>9</v>
      </c>
      <c r="D4258">
        <v>25111.5</v>
      </c>
      <c r="E4258">
        <v>28295.66</v>
      </c>
      <c r="F4258">
        <v>190.76</v>
      </c>
      <c r="G4258">
        <v>1022.31</v>
      </c>
      <c r="H4258">
        <f>E4258*1000000/D4258</f>
        <v>1126800.8681281484</v>
      </c>
      <c r="I4258" t="str">
        <f>IF(AND(B4258&gt;=2018, B4258&lt;=2021), "2018-2021", IF(AND(B4258&gt;=2022, B4258&lt;=2024), "2022-2024", "Other"))</f>
        <v>2018-2021</v>
      </c>
    </row>
    <row r="4259" spans="1:9" x14ac:dyDescent="0.3">
      <c r="A4259" t="s">
        <v>3</v>
      </c>
      <c r="B4259">
        <v>2023</v>
      </c>
      <c r="C4259" t="s">
        <v>8</v>
      </c>
      <c r="D4259">
        <v>1434.79</v>
      </c>
      <c r="E4259">
        <v>1521.97</v>
      </c>
      <c r="F4259">
        <v>98.79</v>
      </c>
      <c r="G4259">
        <v>1150.57</v>
      </c>
      <c r="H4259">
        <f>E4259*1000000/D4259</f>
        <v>1060761.5051680037</v>
      </c>
      <c r="I4259" t="str">
        <f>IF(AND(B4259&gt;=2018, B4259&lt;=2021), "2018-2021", IF(AND(B4259&gt;=2022, B4259&lt;=2024), "2022-2024", "Other"))</f>
        <v>2022-2024</v>
      </c>
    </row>
    <row r="4260" spans="1:9" x14ac:dyDescent="0.3">
      <c r="A4260" t="s">
        <v>3</v>
      </c>
      <c r="B4260">
        <v>2024</v>
      </c>
      <c r="C4260" t="s">
        <v>0</v>
      </c>
      <c r="D4260">
        <v>17941.25</v>
      </c>
      <c r="E4260">
        <v>14499.25</v>
      </c>
      <c r="F4260">
        <v>165.11</v>
      </c>
      <c r="G4260">
        <v>492.54</v>
      </c>
      <c r="H4260">
        <f>E4260*1000000/D4260</f>
        <v>808151.60593604122</v>
      </c>
      <c r="I4260" t="str">
        <f>IF(AND(B4260&gt;=2018, B4260&lt;=2021), "2018-2021", IF(AND(B4260&gt;=2022, B4260&lt;=2024), "2022-2024", "Other"))</f>
        <v>2022-2024</v>
      </c>
    </row>
    <row r="4261" spans="1:9" x14ac:dyDescent="0.3">
      <c r="A4261" t="s">
        <v>20</v>
      </c>
      <c r="B4261">
        <v>2022</v>
      </c>
      <c r="C4261" t="s">
        <v>4</v>
      </c>
      <c r="D4261">
        <v>48372.88</v>
      </c>
      <c r="E4261">
        <v>48305</v>
      </c>
      <c r="F4261">
        <v>177.17</v>
      </c>
      <c r="G4261">
        <v>1289.27</v>
      </c>
      <c r="H4261">
        <f>E4261*1000000/D4261</f>
        <v>998596.73436851404</v>
      </c>
      <c r="I4261" t="str">
        <f>IF(AND(B4261&gt;=2018, B4261&lt;=2021), "2018-2021", IF(AND(B4261&gt;=2022, B4261&lt;=2024), "2022-2024", "Other"))</f>
        <v>2022-2024</v>
      </c>
    </row>
    <row r="4262" spans="1:9" x14ac:dyDescent="0.3">
      <c r="A4262" t="s">
        <v>17</v>
      </c>
      <c r="B4262">
        <v>2024</v>
      </c>
      <c r="C4262" t="s">
        <v>14</v>
      </c>
      <c r="D4262">
        <v>9666.4</v>
      </c>
      <c r="E4262">
        <v>9795.89</v>
      </c>
      <c r="F4262">
        <v>192.07</v>
      </c>
      <c r="G4262">
        <v>300.95999999999998</v>
      </c>
      <c r="H4262">
        <f>E4262*1000000/D4262</f>
        <v>1013395.8867830837</v>
      </c>
      <c r="I4262" t="str">
        <f>IF(AND(B4262&gt;=2018, B4262&lt;=2021), "2018-2021", IF(AND(B4262&gt;=2022, B4262&lt;=2024), "2022-2024", "Other"))</f>
        <v>2022-2024</v>
      </c>
    </row>
    <row r="4263" spans="1:9" x14ac:dyDescent="0.3">
      <c r="A4263" t="s">
        <v>5</v>
      </c>
      <c r="B4263">
        <v>2021</v>
      </c>
      <c r="C4263" t="s">
        <v>6</v>
      </c>
      <c r="D4263">
        <v>10461.91</v>
      </c>
      <c r="E4263">
        <v>12442.68</v>
      </c>
      <c r="F4263">
        <v>39.159999999999997</v>
      </c>
      <c r="G4263">
        <v>874.9</v>
      </c>
      <c r="H4263">
        <f>E4263*1000000/D4263</f>
        <v>1189331.5847679821</v>
      </c>
      <c r="I4263" t="str">
        <f>IF(AND(B4263&gt;=2018, B4263&lt;=2021), "2018-2021", IF(AND(B4263&gt;=2022, B4263&lt;=2024), "2022-2024", "Other"))</f>
        <v>2018-2021</v>
      </c>
    </row>
    <row r="4264" spans="1:9" x14ac:dyDescent="0.3">
      <c r="A4264" t="s">
        <v>24</v>
      </c>
      <c r="B4264">
        <v>2022</v>
      </c>
      <c r="C4264" t="s">
        <v>6</v>
      </c>
      <c r="D4264">
        <v>24836.07</v>
      </c>
      <c r="E4264">
        <v>23121.8</v>
      </c>
      <c r="F4264">
        <v>68.62</v>
      </c>
      <c r="G4264">
        <v>1310.94</v>
      </c>
      <c r="H4264">
        <f>E4264*1000000/D4264</f>
        <v>930976.59975994588</v>
      </c>
      <c r="I4264" t="str">
        <f>IF(AND(B4264&gt;=2018, B4264&lt;=2021), "2018-2021", IF(AND(B4264&gt;=2022, B4264&lt;=2024), "2022-2024", "Other"))</f>
        <v>2022-2024</v>
      </c>
    </row>
    <row r="4265" spans="1:9" x14ac:dyDescent="0.3">
      <c r="A4265" t="s">
        <v>18</v>
      </c>
      <c r="B4265">
        <v>2019</v>
      </c>
      <c r="C4265" t="s">
        <v>6</v>
      </c>
      <c r="D4265">
        <v>13807.04</v>
      </c>
      <c r="E4265">
        <v>11632.83</v>
      </c>
      <c r="F4265">
        <v>23.49</v>
      </c>
      <c r="G4265">
        <v>654.04999999999995</v>
      </c>
      <c r="H4265">
        <f>E4265*1000000/D4265</f>
        <v>842528.88381579251</v>
      </c>
      <c r="I4265" t="str">
        <f>IF(AND(B4265&gt;=2018, B4265&lt;=2021), "2018-2021", IF(AND(B4265&gt;=2022, B4265&lt;=2024), "2022-2024", "Other"))</f>
        <v>2018-2021</v>
      </c>
    </row>
    <row r="4266" spans="1:9" x14ac:dyDescent="0.3">
      <c r="A4266" t="s">
        <v>18</v>
      </c>
      <c r="B4266">
        <v>2022</v>
      </c>
      <c r="C4266" t="s">
        <v>6</v>
      </c>
      <c r="D4266">
        <v>49395.14</v>
      </c>
      <c r="E4266">
        <v>40327.449999999997</v>
      </c>
      <c r="F4266">
        <v>100.35</v>
      </c>
      <c r="G4266">
        <v>1122.9100000000001</v>
      </c>
      <c r="H4266">
        <f>E4266*1000000/D4266</f>
        <v>816425.46210011758</v>
      </c>
      <c r="I4266" t="str">
        <f>IF(AND(B4266&gt;=2018, B4266&lt;=2021), "2018-2021", IF(AND(B4266&gt;=2022, B4266&lt;=2024), "2022-2024", "Other"))</f>
        <v>2022-2024</v>
      </c>
    </row>
    <row r="4267" spans="1:9" x14ac:dyDescent="0.3">
      <c r="A4267" t="s">
        <v>25</v>
      </c>
      <c r="B4267">
        <v>2018</v>
      </c>
      <c r="C4267" t="s">
        <v>2</v>
      </c>
      <c r="D4267">
        <v>20942.04</v>
      </c>
      <c r="E4267">
        <v>18650.07</v>
      </c>
      <c r="F4267">
        <v>124.24</v>
      </c>
      <c r="G4267">
        <v>128.07</v>
      </c>
      <c r="H4267">
        <f>E4267*1000000/D4267</f>
        <v>890556.50738896488</v>
      </c>
      <c r="I4267" t="str">
        <f>IF(AND(B4267&gt;=2018, B4267&lt;=2021), "2018-2021", IF(AND(B4267&gt;=2022, B4267&lt;=2024), "2022-2024", "Other"))</f>
        <v>2018-2021</v>
      </c>
    </row>
    <row r="4268" spans="1:9" x14ac:dyDescent="0.3">
      <c r="A4268" t="s">
        <v>10</v>
      </c>
      <c r="B4268">
        <v>2019</v>
      </c>
      <c r="C4268" t="s">
        <v>4</v>
      </c>
      <c r="D4268">
        <v>10367.07</v>
      </c>
      <c r="E4268">
        <v>11883.66</v>
      </c>
      <c r="F4268">
        <v>128.72999999999999</v>
      </c>
      <c r="G4268">
        <v>462.9</v>
      </c>
      <c r="H4268">
        <f>E4268*1000000/D4268</f>
        <v>1146289.1636691948</v>
      </c>
      <c r="I4268" t="str">
        <f>IF(AND(B4268&gt;=2018, B4268&lt;=2021), "2018-2021", IF(AND(B4268&gt;=2022, B4268&lt;=2024), "2022-2024", "Other"))</f>
        <v>2018-2021</v>
      </c>
    </row>
    <row r="4269" spans="1:9" x14ac:dyDescent="0.3">
      <c r="A4269" t="s">
        <v>15</v>
      </c>
      <c r="B4269">
        <v>2023</v>
      </c>
      <c r="C4269" t="s">
        <v>14</v>
      </c>
      <c r="D4269">
        <v>39760.39</v>
      </c>
      <c r="E4269">
        <v>38052.74</v>
      </c>
      <c r="F4269">
        <v>70.239999999999995</v>
      </c>
      <c r="G4269">
        <v>841.5</v>
      </c>
      <c r="H4269">
        <f>E4269*1000000/D4269</f>
        <v>957051.47761377599</v>
      </c>
      <c r="I4269" t="str">
        <f>IF(AND(B4269&gt;=2018, B4269&lt;=2021), "2018-2021", IF(AND(B4269&gt;=2022, B4269&lt;=2024), "2022-2024", "Other"))</f>
        <v>2022-2024</v>
      </c>
    </row>
    <row r="4270" spans="1:9" x14ac:dyDescent="0.3">
      <c r="A4270" t="s">
        <v>15</v>
      </c>
      <c r="B4270">
        <v>2024</v>
      </c>
      <c r="C4270" t="s">
        <v>6</v>
      </c>
      <c r="D4270">
        <v>47659.16</v>
      </c>
      <c r="E4270">
        <v>56031.37</v>
      </c>
      <c r="F4270">
        <v>89.22</v>
      </c>
      <c r="G4270">
        <v>1024.82</v>
      </c>
      <c r="H4270">
        <f>E4270*1000000/D4270</f>
        <v>1175668.433937988</v>
      </c>
      <c r="I4270" t="str">
        <f>IF(AND(B4270&gt;=2018, B4270&lt;=2021), "2018-2021", IF(AND(B4270&gt;=2022, B4270&lt;=2024), "2022-2024", "Other"))</f>
        <v>2022-2024</v>
      </c>
    </row>
    <row r="4271" spans="1:9" x14ac:dyDescent="0.3">
      <c r="A4271" t="s">
        <v>13</v>
      </c>
      <c r="B4271">
        <v>2022</v>
      </c>
      <c r="C4271" t="s">
        <v>2</v>
      </c>
      <c r="D4271">
        <v>14009.07</v>
      </c>
      <c r="E4271">
        <v>12256.59</v>
      </c>
      <c r="F4271">
        <v>145.34</v>
      </c>
      <c r="G4271">
        <v>1284.28</v>
      </c>
      <c r="H4271">
        <f>E4271*1000000/D4271</f>
        <v>874903.90154378559</v>
      </c>
      <c r="I4271" t="str">
        <f>IF(AND(B4271&gt;=2018, B4271&lt;=2021), "2018-2021", IF(AND(B4271&gt;=2022, B4271&lt;=2024), "2022-2024", "Other"))</f>
        <v>2022-2024</v>
      </c>
    </row>
    <row r="4272" spans="1:9" x14ac:dyDescent="0.3">
      <c r="A4272" t="s">
        <v>13</v>
      </c>
      <c r="B4272">
        <v>2019</v>
      </c>
      <c r="C4272" t="s">
        <v>4</v>
      </c>
      <c r="D4272">
        <v>43154.38</v>
      </c>
      <c r="E4272">
        <v>37000.11</v>
      </c>
      <c r="F4272">
        <v>175.09</v>
      </c>
      <c r="G4272">
        <v>1097.3499999999999</v>
      </c>
      <c r="H4272">
        <f>E4272*1000000/D4272</f>
        <v>857389.44691129855</v>
      </c>
      <c r="I4272" t="str">
        <f>IF(AND(B4272&gt;=2018, B4272&lt;=2021), "2018-2021", IF(AND(B4272&gt;=2022, B4272&lt;=2024), "2022-2024", "Other"))</f>
        <v>2018-2021</v>
      </c>
    </row>
    <row r="4273" spans="1:9" x14ac:dyDescent="0.3">
      <c r="A4273" t="s">
        <v>7</v>
      </c>
      <c r="B4273">
        <v>2023</v>
      </c>
      <c r="C4273" t="s">
        <v>8</v>
      </c>
      <c r="D4273">
        <v>21517.15</v>
      </c>
      <c r="E4273">
        <v>25165.97</v>
      </c>
      <c r="F4273">
        <v>61.64</v>
      </c>
      <c r="G4273">
        <v>511.25</v>
      </c>
      <c r="H4273">
        <f>E4273*1000000/D4273</f>
        <v>1169577.2906727889</v>
      </c>
      <c r="I4273" t="str">
        <f>IF(AND(B4273&gt;=2018, B4273&lt;=2021), "2018-2021", IF(AND(B4273&gt;=2022, B4273&lt;=2024), "2022-2024", "Other"))</f>
        <v>2022-2024</v>
      </c>
    </row>
    <row r="4274" spans="1:9" x14ac:dyDescent="0.3">
      <c r="A4274" t="s">
        <v>3</v>
      </c>
      <c r="B4274">
        <v>2019</v>
      </c>
      <c r="C4274" t="s">
        <v>14</v>
      </c>
      <c r="D4274">
        <v>15479.16</v>
      </c>
      <c r="E4274">
        <v>16007.31</v>
      </c>
      <c r="F4274">
        <v>34.64</v>
      </c>
      <c r="G4274">
        <v>221.5</v>
      </c>
      <c r="H4274">
        <f>E4274*1000000/D4274</f>
        <v>1034120.0685308506</v>
      </c>
      <c r="I4274" t="str">
        <f>IF(AND(B4274&gt;=2018, B4274&lt;=2021), "2018-2021", IF(AND(B4274&gt;=2022, B4274&lt;=2024), "2022-2024", "Other"))</f>
        <v>2018-2021</v>
      </c>
    </row>
    <row r="4275" spans="1:9" x14ac:dyDescent="0.3">
      <c r="A4275" t="s">
        <v>1</v>
      </c>
      <c r="B4275">
        <v>2018</v>
      </c>
      <c r="C4275" t="s">
        <v>14</v>
      </c>
      <c r="D4275">
        <v>7634.8</v>
      </c>
      <c r="E4275">
        <v>6920.6</v>
      </c>
      <c r="F4275">
        <v>152.62</v>
      </c>
      <c r="G4275">
        <v>819.72</v>
      </c>
      <c r="H4275">
        <f>E4275*1000000/D4275</f>
        <v>906454.65500078583</v>
      </c>
      <c r="I4275" t="str">
        <f>IF(AND(B4275&gt;=2018, B4275&lt;=2021), "2018-2021", IF(AND(B4275&gt;=2022, B4275&lt;=2024), "2022-2024", "Other"))</f>
        <v>2018-2021</v>
      </c>
    </row>
    <row r="4276" spans="1:9" x14ac:dyDescent="0.3">
      <c r="A4276" t="s">
        <v>1</v>
      </c>
      <c r="B4276">
        <v>2018</v>
      </c>
      <c r="C4276" t="s">
        <v>2</v>
      </c>
      <c r="D4276">
        <v>3715.38</v>
      </c>
      <c r="E4276">
        <v>4207.47</v>
      </c>
      <c r="F4276">
        <v>146.4</v>
      </c>
      <c r="G4276">
        <v>1024.27</v>
      </c>
      <c r="H4276">
        <f>E4276*1000000/D4276</f>
        <v>1132446.748381054</v>
      </c>
      <c r="I4276" t="str">
        <f>IF(AND(B4276&gt;=2018, B4276&lt;=2021), "2018-2021", IF(AND(B4276&gt;=2022, B4276&lt;=2024), "2022-2024", "Other"))</f>
        <v>2018-2021</v>
      </c>
    </row>
    <row r="4277" spans="1:9" x14ac:dyDescent="0.3">
      <c r="A4277" t="s">
        <v>19</v>
      </c>
      <c r="B4277">
        <v>2022</v>
      </c>
      <c r="C4277" t="s">
        <v>8</v>
      </c>
      <c r="D4277">
        <v>44914.43</v>
      </c>
      <c r="E4277">
        <v>37679.79</v>
      </c>
      <c r="F4277">
        <v>167.65</v>
      </c>
      <c r="G4277">
        <v>907.89</v>
      </c>
      <c r="H4277">
        <f>E4277*1000000/D4277</f>
        <v>838923.92712097208</v>
      </c>
      <c r="I4277" t="str">
        <f>IF(AND(B4277&gt;=2018, B4277&lt;=2021), "2018-2021", IF(AND(B4277&gt;=2022, B4277&lt;=2024), "2022-2024", "Other"))</f>
        <v>2022-2024</v>
      </c>
    </row>
    <row r="4278" spans="1:9" x14ac:dyDescent="0.3">
      <c r="A4278" t="s">
        <v>22</v>
      </c>
      <c r="B4278">
        <v>2023</v>
      </c>
      <c r="C4278" t="s">
        <v>0</v>
      </c>
      <c r="D4278">
        <v>48952.68</v>
      </c>
      <c r="E4278">
        <v>45037.440000000002</v>
      </c>
      <c r="F4278">
        <v>127.04</v>
      </c>
      <c r="G4278">
        <v>485.67</v>
      </c>
      <c r="H4278">
        <f>E4278*1000000/D4278</f>
        <v>920019.90493676753</v>
      </c>
      <c r="I4278" t="str">
        <f>IF(AND(B4278&gt;=2018, B4278&lt;=2021), "2018-2021", IF(AND(B4278&gt;=2022, B4278&lt;=2024), "2022-2024", "Other"))</f>
        <v>2022-2024</v>
      </c>
    </row>
    <row r="4279" spans="1:9" x14ac:dyDescent="0.3">
      <c r="A4279" t="s">
        <v>21</v>
      </c>
      <c r="B4279">
        <v>2023</v>
      </c>
      <c r="C4279" t="s">
        <v>8</v>
      </c>
      <c r="D4279">
        <v>18528.169999999998</v>
      </c>
      <c r="E4279">
        <v>15310.1</v>
      </c>
      <c r="F4279">
        <v>39.67</v>
      </c>
      <c r="G4279">
        <v>585.84</v>
      </c>
      <c r="H4279">
        <f>E4279*1000000/D4279</f>
        <v>826314.74128313817</v>
      </c>
      <c r="I4279" t="str">
        <f>IF(AND(B4279&gt;=2018, B4279&lt;=2021), "2018-2021", IF(AND(B4279&gt;=2022, B4279&lt;=2024), "2022-2024", "Other"))</f>
        <v>2022-2024</v>
      </c>
    </row>
    <row r="4280" spans="1:9" x14ac:dyDescent="0.3">
      <c r="A4280" t="s">
        <v>17</v>
      </c>
      <c r="B4280">
        <v>2021</v>
      </c>
      <c r="C4280" t="s">
        <v>8</v>
      </c>
      <c r="D4280">
        <v>6924.7</v>
      </c>
      <c r="E4280">
        <v>6480.12</v>
      </c>
      <c r="F4280">
        <v>81.489999999999995</v>
      </c>
      <c r="G4280">
        <v>812.17</v>
      </c>
      <c r="H4280">
        <f>E4280*1000000/D4280</f>
        <v>935797.94070501253</v>
      </c>
      <c r="I4280" t="str">
        <f>IF(AND(B4280&gt;=2018, B4280&lt;=2021), "2018-2021", IF(AND(B4280&gt;=2022, B4280&lt;=2024), "2022-2024", "Other"))</f>
        <v>2018-2021</v>
      </c>
    </row>
    <row r="4281" spans="1:9" x14ac:dyDescent="0.3">
      <c r="A4281" t="s">
        <v>7</v>
      </c>
      <c r="B4281">
        <v>2018</v>
      </c>
      <c r="C4281" t="s">
        <v>0</v>
      </c>
      <c r="D4281">
        <v>16533</v>
      </c>
      <c r="E4281">
        <v>13724.03</v>
      </c>
      <c r="F4281">
        <v>79.02</v>
      </c>
      <c r="G4281">
        <v>1017.5</v>
      </c>
      <c r="H4281">
        <f>E4281*1000000/D4281</f>
        <v>830099.19554829737</v>
      </c>
      <c r="I4281" t="str">
        <f>IF(AND(B4281&gt;=2018, B4281&lt;=2021), "2018-2021", IF(AND(B4281&gt;=2022, B4281&lt;=2024), "2022-2024", "Other"))</f>
        <v>2018-2021</v>
      </c>
    </row>
    <row r="4282" spans="1:9" x14ac:dyDescent="0.3">
      <c r="A4282" t="s">
        <v>7</v>
      </c>
      <c r="B4282">
        <v>2023</v>
      </c>
      <c r="C4282" t="s">
        <v>14</v>
      </c>
      <c r="D4282">
        <v>42686.47</v>
      </c>
      <c r="E4282">
        <v>35909.269999999997</v>
      </c>
      <c r="F4282">
        <v>131.08000000000001</v>
      </c>
      <c r="G4282">
        <v>932.12</v>
      </c>
      <c r="H4282">
        <f>E4282*1000000/D4282</f>
        <v>841233.06518435467</v>
      </c>
      <c r="I4282" t="str">
        <f>IF(AND(B4282&gt;=2018, B4282&lt;=2021), "2018-2021", IF(AND(B4282&gt;=2022, B4282&lt;=2024), "2022-2024", "Other"))</f>
        <v>2022-2024</v>
      </c>
    </row>
    <row r="4283" spans="1:9" x14ac:dyDescent="0.3">
      <c r="A4283" t="s">
        <v>19</v>
      </c>
      <c r="B4283">
        <v>2018</v>
      </c>
      <c r="C4283" t="s">
        <v>4</v>
      </c>
      <c r="D4283">
        <v>12735.64</v>
      </c>
      <c r="E4283">
        <v>14984.8</v>
      </c>
      <c r="F4283">
        <v>119.17</v>
      </c>
      <c r="G4283">
        <v>970.84</v>
      </c>
      <c r="H4283">
        <f>E4283*1000000/D4283</f>
        <v>1176603.6100266653</v>
      </c>
      <c r="I4283" t="str">
        <f>IF(AND(B4283&gt;=2018, B4283&lt;=2021), "2018-2021", IF(AND(B4283&gt;=2022, B4283&lt;=2024), "2022-2024", "Other"))</f>
        <v>2018-2021</v>
      </c>
    </row>
    <row r="4284" spans="1:9" x14ac:dyDescent="0.3">
      <c r="A4284" t="s">
        <v>3</v>
      </c>
      <c r="B4284">
        <v>2019</v>
      </c>
      <c r="C4284" t="s">
        <v>14</v>
      </c>
      <c r="D4284">
        <v>46106.35</v>
      </c>
      <c r="E4284">
        <v>45513.19</v>
      </c>
      <c r="F4284">
        <v>80.87</v>
      </c>
      <c r="G4284">
        <v>231.28</v>
      </c>
      <c r="H4284">
        <f>E4284*1000000/D4284</f>
        <v>987134.9608025793</v>
      </c>
      <c r="I4284" t="str">
        <f>IF(AND(B4284&gt;=2018, B4284&lt;=2021), "2018-2021", IF(AND(B4284&gt;=2022, B4284&lt;=2024), "2022-2024", "Other"))</f>
        <v>2018-2021</v>
      </c>
    </row>
    <row r="4285" spans="1:9" x14ac:dyDescent="0.3">
      <c r="A4285" t="s">
        <v>20</v>
      </c>
      <c r="B4285">
        <v>2024</v>
      </c>
      <c r="C4285" t="s">
        <v>14</v>
      </c>
      <c r="D4285">
        <v>35892.199999999997</v>
      </c>
      <c r="E4285">
        <v>36287.72</v>
      </c>
      <c r="F4285">
        <v>154.65</v>
      </c>
      <c r="G4285">
        <v>183.52</v>
      </c>
      <c r="H4285">
        <f>E4285*1000000/D4285</f>
        <v>1011019.6644396277</v>
      </c>
      <c r="I4285" t="str">
        <f>IF(AND(B4285&gt;=2018, B4285&lt;=2021), "2018-2021", IF(AND(B4285&gt;=2022, B4285&lt;=2024), "2022-2024", "Other"))</f>
        <v>2022-2024</v>
      </c>
    </row>
    <row r="4286" spans="1:9" x14ac:dyDescent="0.3">
      <c r="A4286" t="s">
        <v>26</v>
      </c>
      <c r="B4286">
        <v>2023</v>
      </c>
      <c r="C4286" t="s">
        <v>12</v>
      </c>
      <c r="D4286">
        <v>6482.29</v>
      </c>
      <c r="E4286">
        <v>6869.84</v>
      </c>
      <c r="F4286">
        <v>30.16</v>
      </c>
      <c r="G4286">
        <v>291.70999999999998</v>
      </c>
      <c r="H4286">
        <f>E4286*1000000/D4286</f>
        <v>1059785.9706986265</v>
      </c>
      <c r="I4286" t="str">
        <f>IF(AND(B4286&gt;=2018, B4286&lt;=2021), "2018-2021", IF(AND(B4286&gt;=2022, B4286&lt;=2024), "2022-2024", "Other"))</f>
        <v>2022-2024</v>
      </c>
    </row>
    <row r="4287" spans="1:9" x14ac:dyDescent="0.3">
      <c r="A4287" t="s">
        <v>5</v>
      </c>
      <c r="B4287">
        <v>2020</v>
      </c>
      <c r="C4287" t="s">
        <v>14</v>
      </c>
      <c r="D4287">
        <v>21627.599999999999</v>
      </c>
      <c r="E4287">
        <v>24587.61</v>
      </c>
      <c r="F4287">
        <v>118.9</v>
      </c>
      <c r="G4287">
        <v>1069.58</v>
      </c>
      <c r="H4287">
        <f>E4287*1000000/D4287</f>
        <v>1136862.6199855742</v>
      </c>
      <c r="I4287" t="str">
        <f>IF(AND(B4287&gt;=2018, B4287&lt;=2021), "2018-2021", IF(AND(B4287&gt;=2022, B4287&lt;=2024), "2022-2024", "Other"))</f>
        <v>2018-2021</v>
      </c>
    </row>
    <row r="4288" spans="1:9" x14ac:dyDescent="0.3">
      <c r="A4288" t="s">
        <v>16</v>
      </c>
      <c r="B4288">
        <v>2023</v>
      </c>
      <c r="C4288" t="s">
        <v>2</v>
      </c>
      <c r="D4288">
        <v>20092.05</v>
      </c>
      <c r="E4288">
        <v>18645.740000000002</v>
      </c>
      <c r="F4288">
        <v>24.02</v>
      </c>
      <c r="G4288">
        <v>317.2</v>
      </c>
      <c r="H4288">
        <f>E4288*1000000/D4288</f>
        <v>928015.8072471451</v>
      </c>
      <c r="I4288" t="str">
        <f>IF(AND(B4288&gt;=2018, B4288&lt;=2021), "2018-2021", IF(AND(B4288&gt;=2022, B4288&lt;=2024), "2022-2024", "Other"))</f>
        <v>2022-2024</v>
      </c>
    </row>
    <row r="4289" spans="1:9" x14ac:dyDescent="0.3">
      <c r="A4289" t="s">
        <v>3</v>
      </c>
      <c r="B4289">
        <v>2022</v>
      </c>
      <c r="C4289" t="s">
        <v>14</v>
      </c>
      <c r="D4289">
        <v>48373.39</v>
      </c>
      <c r="E4289">
        <v>50449.34</v>
      </c>
      <c r="F4289">
        <v>58.89</v>
      </c>
      <c r="G4289">
        <v>1328.37</v>
      </c>
      <c r="H4289">
        <f>E4289*1000000/D4289</f>
        <v>1042915.123376716</v>
      </c>
      <c r="I4289" t="str">
        <f>IF(AND(B4289&gt;=2018, B4289&lt;=2021), "2018-2021", IF(AND(B4289&gt;=2022, B4289&lt;=2024), "2022-2024", "Other"))</f>
        <v>2022-2024</v>
      </c>
    </row>
    <row r="4290" spans="1:9" x14ac:dyDescent="0.3">
      <c r="A4290" t="s">
        <v>24</v>
      </c>
      <c r="B4290">
        <v>2024</v>
      </c>
      <c r="C4290" t="s">
        <v>8</v>
      </c>
      <c r="D4290">
        <v>17324.62</v>
      </c>
      <c r="E4290">
        <v>20112.650000000001</v>
      </c>
      <c r="F4290">
        <v>140</v>
      </c>
      <c r="G4290">
        <v>243.99</v>
      </c>
      <c r="H4290">
        <f>E4290*1000000/D4290</f>
        <v>1160928.7822763212</v>
      </c>
      <c r="I4290" t="str">
        <f>IF(AND(B4290&gt;=2018, B4290&lt;=2021), "2018-2021", IF(AND(B4290&gt;=2022, B4290&lt;=2024), "2022-2024", "Other"))</f>
        <v>2022-2024</v>
      </c>
    </row>
    <row r="4291" spans="1:9" x14ac:dyDescent="0.3">
      <c r="A4291" t="s">
        <v>11</v>
      </c>
      <c r="B4291">
        <v>2019</v>
      </c>
      <c r="C4291" t="s">
        <v>2</v>
      </c>
      <c r="D4291">
        <v>28539.63</v>
      </c>
      <c r="E4291">
        <v>27498.23</v>
      </c>
      <c r="F4291">
        <v>113.87</v>
      </c>
      <c r="G4291">
        <v>572.35</v>
      </c>
      <c r="H4291">
        <f>E4291*1000000/D4291</f>
        <v>963510.38888731215</v>
      </c>
      <c r="I4291" t="str">
        <f>IF(AND(B4291&gt;=2018, B4291&lt;=2021), "2018-2021", IF(AND(B4291&gt;=2022, B4291&lt;=2024), "2022-2024", "Other"))</f>
        <v>2018-2021</v>
      </c>
    </row>
    <row r="4292" spans="1:9" x14ac:dyDescent="0.3">
      <c r="A4292" t="s">
        <v>20</v>
      </c>
      <c r="B4292">
        <v>2019</v>
      </c>
      <c r="C4292" t="s">
        <v>14</v>
      </c>
      <c r="D4292">
        <v>20167.009999999998</v>
      </c>
      <c r="E4292">
        <v>18982.009999999998</v>
      </c>
      <c r="F4292">
        <v>61.78</v>
      </c>
      <c r="G4292">
        <v>651.99</v>
      </c>
      <c r="H4292">
        <f>E4292*1000000/D4292</f>
        <v>941240.66978694417</v>
      </c>
      <c r="I4292" t="str">
        <f>IF(AND(B4292&gt;=2018, B4292&lt;=2021), "2018-2021", IF(AND(B4292&gt;=2022, B4292&lt;=2024), "2022-2024", "Other"))</f>
        <v>2018-2021</v>
      </c>
    </row>
    <row r="4293" spans="1:9" x14ac:dyDescent="0.3">
      <c r="A4293" t="s">
        <v>24</v>
      </c>
      <c r="B4293">
        <v>2022</v>
      </c>
      <c r="C4293" t="s">
        <v>2</v>
      </c>
      <c r="D4293">
        <v>16309.24</v>
      </c>
      <c r="E4293">
        <v>13445.9</v>
      </c>
      <c r="F4293">
        <v>54.53</v>
      </c>
      <c r="G4293">
        <v>286.48</v>
      </c>
      <c r="H4293">
        <f>E4293*1000000/D4293</f>
        <v>824434.4923491223</v>
      </c>
      <c r="I4293" t="str">
        <f>IF(AND(B4293&gt;=2018, B4293&lt;=2021), "2018-2021", IF(AND(B4293&gt;=2022, B4293&lt;=2024), "2022-2024", "Other"))</f>
        <v>2022-2024</v>
      </c>
    </row>
    <row r="4294" spans="1:9" x14ac:dyDescent="0.3">
      <c r="A4294" t="s">
        <v>15</v>
      </c>
      <c r="B4294">
        <v>2019</v>
      </c>
      <c r="C4294" t="s">
        <v>6</v>
      </c>
      <c r="D4294">
        <v>39516.230000000003</v>
      </c>
      <c r="E4294">
        <v>43657.2</v>
      </c>
      <c r="F4294">
        <v>83.82</v>
      </c>
      <c r="G4294">
        <v>241.94</v>
      </c>
      <c r="H4294">
        <f>E4294*1000000/D4294</f>
        <v>1104791.6261242533</v>
      </c>
      <c r="I4294" t="str">
        <f>IF(AND(B4294&gt;=2018, B4294&lt;=2021), "2018-2021", IF(AND(B4294&gt;=2022, B4294&lt;=2024), "2022-2024", "Other"))</f>
        <v>2018-2021</v>
      </c>
    </row>
    <row r="4295" spans="1:9" x14ac:dyDescent="0.3">
      <c r="A4295" t="s">
        <v>18</v>
      </c>
      <c r="B4295">
        <v>2023</v>
      </c>
      <c r="C4295" t="s">
        <v>0</v>
      </c>
      <c r="D4295">
        <v>6367.24</v>
      </c>
      <c r="E4295">
        <v>5602.06</v>
      </c>
      <c r="F4295">
        <v>136.13</v>
      </c>
      <c r="G4295">
        <v>857.6</v>
      </c>
      <c r="H4295">
        <f>E4295*1000000/D4295</f>
        <v>879825.48168437195</v>
      </c>
      <c r="I4295" t="str">
        <f>IF(AND(B4295&gt;=2018, B4295&lt;=2021), "2018-2021", IF(AND(B4295&gt;=2022, B4295&lt;=2024), "2022-2024", "Other"))</f>
        <v>2022-2024</v>
      </c>
    </row>
    <row r="4296" spans="1:9" x14ac:dyDescent="0.3">
      <c r="A4296" t="s">
        <v>23</v>
      </c>
      <c r="B4296">
        <v>2020</v>
      </c>
      <c r="C4296" t="s">
        <v>14</v>
      </c>
      <c r="D4296">
        <v>17786.740000000002</v>
      </c>
      <c r="E4296">
        <v>19470.900000000001</v>
      </c>
      <c r="F4296">
        <v>128.44</v>
      </c>
      <c r="G4296">
        <v>957.51</v>
      </c>
      <c r="H4296">
        <f>E4296*1000000/D4296</f>
        <v>1094686.2662860085</v>
      </c>
      <c r="I4296" t="str">
        <f>IF(AND(B4296&gt;=2018, B4296&lt;=2021), "2018-2021", IF(AND(B4296&gt;=2022, B4296&lt;=2024), "2022-2024", "Other"))</f>
        <v>2018-2021</v>
      </c>
    </row>
    <row r="4297" spans="1:9" x14ac:dyDescent="0.3">
      <c r="A4297" t="s">
        <v>24</v>
      </c>
      <c r="B4297">
        <v>2023</v>
      </c>
      <c r="C4297" t="s">
        <v>4</v>
      </c>
      <c r="D4297">
        <v>26861.08</v>
      </c>
      <c r="E4297">
        <v>23432.21</v>
      </c>
      <c r="F4297">
        <v>107.89</v>
      </c>
      <c r="G4297">
        <v>853.88</v>
      </c>
      <c r="H4297">
        <f>E4297*1000000/D4297</f>
        <v>872348.02174745011</v>
      </c>
      <c r="I4297" t="str">
        <f>IF(AND(B4297&gt;=2018, B4297&lt;=2021), "2018-2021", IF(AND(B4297&gt;=2022, B4297&lt;=2024), "2022-2024", "Other"))</f>
        <v>2022-2024</v>
      </c>
    </row>
    <row r="4298" spans="1:9" x14ac:dyDescent="0.3">
      <c r="A4298" t="s">
        <v>5</v>
      </c>
      <c r="B4298">
        <v>2020</v>
      </c>
      <c r="C4298" t="s">
        <v>6</v>
      </c>
      <c r="D4298">
        <v>3236.77</v>
      </c>
      <c r="E4298">
        <v>3128.03</v>
      </c>
      <c r="F4298">
        <v>28.91</v>
      </c>
      <c r="G4298">
        <v>846.7</v>
      </c>
      <c r="H4298">
        <f>E4298*1000000/D4298</f>
        <v>966404.78007396264</v>
      </c>
      <c r="I4298" t="str">
        <f>IF(AND(B4298&gt;=2018, B4298&lt;=2021), "2018-2021", IF(AND(B4298&gt;=2022, B4298&lt;=2024), "2022-2024", "Other"))</f>
        <v>2018-2021</v>
      </c>
    </row>
    <row r="4299" spans="1:9" x14ac:dyDescent="0.3">
      <c r="A4299" t="s">
        <v>5</v>
      </c>
      <c r="B4299">
        <v>2020</v>
      </c>
      <c r="C4299" t="s">
        <v>2</v>
      </c>
      <c r="D4299">
        <v>46073</v>
      </c>
      <c r="E4299">
        <v>42721.58</v>
      </c>
      <c r="F4299">
        <v>142.01</v>
      </c>
      <c r="G4299">
        <v>582.04999999999995</v>
      </c>
      <c r="H4299">
        <f>E4299*1000000/D4299</f>
        <v>927258.4811060708</v>
      </c>
      <c r="I4299" t="str">
        <f>IF(AND(B4299&gt;=2018, B4299&lt;=2021), "2018-2021", IF(AND(B4299&gt;=2022, B4299&lt;=2024), "2022-2024", "Other"))</f>
        <v>2018-2021</v>
      </c>
    </row>
    <row r="4300" spans="1:9" x14ac:dyDescent="0.3">
      <c r="A4300" t="s">
        <v>27</v>
      </c>
      <c r="B4300">
        <v>2018</v>
      </c>
      <c r="C4300" t="s">
        <v>12</v>
      </c>
      <c r="D4300">
        <v>24411.49</v>
      </c>
      <c r="E4300">
        <v>22266.81</v>
      </c>
      <c r="F4300">
        <v>188.9</v>
      </c>
      <c r="G4300">
        <v>715.16</v>
      </c>
      <c r="H4300">
        <f>E4300*1000000/D4300</f>
        <v>912144.64991690381</v>
      </c>
      <c r="I4300" t="str">
        <f>IF(AND(B4300&gt;=2018, B4300&lt;=2021), "2018-2021", IF(AND(B4300&gt;=2022, B4300&lt;=2024), "2022-2024", "Other"))</f>
        <v>2018-2021</v>
      </c>
    </row>
    <row r="4301" spans="1:9" x14ac:dyDescent="0.3">
      <c r="A4301" t="s">
        <v>1</v>
      </c>
      <c r="B4301">
        <v>2024</v>
      </c>
      <c r="C4301" t="s">
        <v>14</v>
      </c>
      <c r="D4301">
        <v>11016.36</v>
      </c>
      <c r="E4301">
        <v>10330.11</v>
      </c>
      <c r="F4301">
        <v>199.71</v>
      </c>
      <c r="G4301">
        <v>1212.3</v>
      </c>
      <c r="H4301">
        <f>E4301*1000000/D4301</f>
        <v>937706.28410836239</v>
      </c>
      <c r="I4301" t="str">
        <f>IF(AND(B4301&gt;=2018, B4301&lt;=2021), "2018-2021", IF(AND(B4301&gt;=2022, B4301&lt;=2024), "2022-2024", "Other"))</f>
        <v>2022-2024</v>
      </c>
    </row>
    <row r="4302" spans="1:9" x14ac:dyDescent="0.3">
      <c r="A4302" t="s">
        <v>22</v>
      </c>
      <c r="B4302">
        <v>2018</v>
      </c>
      <c r="C4302" t="s">
        <v>9</v>
      </c>
      <c r="D4302">
        <v>18824.66</v>
      </c>
      <c r="E4302">
        <v>16221.22</v>
      </c>
      <c r="F4302">
        <v>121.56</v>
      </c>
      <c r="G4302">
        <v>1190.79</v>
      </c>
      <c r="H4302">
        <f>E4302*1000000/D4302</f>
        <v>861700.5566103186</v>
      </c>
      <c r="I4302" t="str">
        <f>IF(AND(B4302&gt;=2018, B4302&lt;=2021), "2018-2021", IF(AND(B4302&gt;=2022, B4302&lt;=2024), "2022-2024", "Other"))</f>
        <v>2018-2021</v>
      </c>
    </row>
    <row r="4303" spans="1:9" x14ac:dyDescent="0.3">
      <c r="A4303" t="s">
        <v>10</v>
      </c>
      <c r="B4303">
        <v>2024</v>
      </c>
      <c r="C4303" t="s">
        <v>8</v>
      </c>
      <c r="D4303">
        <v>30251.98</v>
      </c>
      <c r="E4303">
        <v>30485.18</v>
      </c>
      <c r="F4303">
        <v>155.22</v>
      </c>
      <c r="G4303">
        <v>673.12</v>
      </c>
      <c r="H4303">
        <f>E4303*1000000/D4303</f>
        <v>1007708.5863470755</v>
      </c>
      <c r="I4303" t="str">
        <f>IF(AND(B4303&gt;=2018, B4303&lt;=2021), "2018-2021", IF(AND(B4303&gt;=2022, B4303&lt;=2024), "2022-2024", "Other"))</f>
        <v>2022-2024</v>
      </c>
    </row>
    <row r="4304" spans="1:9" x14ac:dyDescent="0.3">
      <c r="A4304" t="s">
        <v>20</v>
      </c>
      <c r="B4304">
        <v>2021</v>
      </c>
      <c r="C4304" t="s">
        <v>8</v>
      </c>
      <c r="D4304">
        <v>28188.81</v>
      </c>
      <c r="E4304">
        <v>25430.05</v>
      </c>
      <c r="F4304">
        <v>158.6</v>
      </c>
      <c r="G4304">
        <v>334.9</v>
      </c>
      <c r="H4304">
        <f>E4304*1000000/D4304</f>
        <v>902132.79666647862</v>
      </c>
      <c r="I4304" t="str">
        <f>IF(AND(B4304&gt;=2018, B4304&lt;=2021), "2018-2021", IF(AND(B4304&gt;=2022, B4304&lt;=2024), "2022-2024", "Other"))</f>
        <v>2018-2021</v>
      </c>
    </row>
    <row r="4305" spans="1:9" x14ac:dyDescent="0.3">
      <c r="A4305" t="s">
        <v>25</v>
      </c>
      <c r="B4305">
        <v>2018</v>
      </c>
      <c r="C4305" t="s">
        <v>2</v>
      </c>
      <c r="D4305">
        <v>28017.919999999998</v>
      </c>
      <c r="E4305">
        <v>33552.639999999999</v>
      </c>
      <c r="F4305">
        <v>132.71</v>
      </c>
      <c r="G4305">
        <v>226.82</v>
      </c>
      <c r="H4305">
        <f>E4305*1000000/D4305</f>
        <v>1197542.1444561195</v>
      </c>
      <c r="I4305" t="str">
        <f>IF(AND(B4305&gt;=2018, B4305&lt;=2021), "2018-2021", IF(AND(B4305&gt;=2022, B4305&lt;=2024), "2022-2024", "Other"))</f>
        <v>2018-2021</v>
      </c>
    </row>
    <row r="4306" spans="1:9" x14ac:dyDescent="0.3">
      <c r="A4306" t="s">
        <v>19</v>
      </c>
      <c r="B4306">
        <v>2022</v>
      </c>
      <c r="C4306" t="s">
        <v>4</v>
      </c>
      <c r="D4306">
        <v>47128.3</v>
      </c>
      <c r="E4306">
        <v>42676.68</v>
      </c>
      <c r="F4306">
        <v>74.290000000000006</v>
      </c>
      <c r="G4306">
        <v>783.58</v>
      </c>
      <c r="H4306">
        <f>E4306*1000000/D4306</f>
        <v>905542.52964779118</v>
      </c>
      <c r="I4306" t="str">
        <f>IF(AND(B4306&gt;=2018, B4306&lt;=2021), "2018-2021", IF(AND(B4306&gt;=2022, B4306&lt;=2024), "2022-2024", "Other"))</f>
        <v>2022-2024</v>
      </c>
    </row>
    <row r="4307" spans="1:9" x14ac:dyDescent="0.3">
      <c r="A4307" t="s">
        <v>5</v>
      </c>
      <c r="B4307">
        <v>2023</v>
      </c>
      <c r="C4307" t="s">
        <v>14</v>
      </c>
      <c r="D4307">
        <v>29274.27</v>
      </c>
      <c r="E4307">
        <v>32530.11</v>
      </c>
      <c r="F4307">
        <v>131.41</v>
      </c>
      <c r="G4307">
        <v>472.82</v>
      </c>
      <c r="H4307">
        <f>E4307*1000000/D4307</f>
        <v>1111218.4864046141</v>
      </c>
      <c r="I4307" t="str">
        <f>IF(AND(B4307&gt;=2018, B4307&lt;=2021), "2018-2021", IF(AND(B4307&gt;=2022, B4307&lt;=2024), "2022-2024", "Other"))</f>
        <v>2022-2024</v>
      </c>
    </row>
    <row r="4308" spans="1:9" x14ac:dyDescent="0.3">
      <c r="A4308" t="s">
        <v>21</v>
      </c>
      <c r="B4308">
        <v>2021</v>
      </c>
      <c r="C4308" t="s">
        <v>0</v>
      </c>
      <c r="D4308">
        <v>10846.69</v>
      </c>
      <c r="E4308">
        <v>11717.08</v>
      </c>
      <c r="F4308">
        <v>197.88</v>
      </c>
      <c r="G4308">
        <v>122.85</v>
      </c>
      <c r="H4308">
        <f>E4308*1000000/D4308</f>
        <v>1080244.7566953604</v>
      </c>
      <c r="I4308" t="str">
        <f>IF(AND(B4308&gt;=2018, B4308&lt;=2021), "2018-2021", IF(AND(B4308&gt;=2022, B4308&lt;=2024), "2022-2024", "Other"))</f>
        <v>2018-2021</v>
      </c>
    </row>
    <row r="4309" spans="1:9" x14ac:dyDescent="0.3">
      <c r="A4309" t="s">
        <v>23</v>
      </c>
      <c r="B4309">
        <v>2023</v>
      </c>
      <c r="C4309" t="s">
        <v>8</v>
      </c>
      <c r="D4309">
        <v>20059.23</v>
      </c>
      <c r="E4309">
        <v>20402.650000000001</v>
      </c>
      <c r="F4309">
        <v>86.38</v>
      </c>
      <c r="G4309">
        <v>691.1</v>
      </c>
      <c r="H4309">
        <f>E4309*1000000/D4309</f>
        <v>1017120.2982367718</v>
      </c>
      <c r="I4309" t="str">
        <f>IF(AND(B4309&gt;=2018, B4309&lt;=2021), "2018-2021", IF(AND(B4309&gt;=2022, B4309&lt;=2024), "2022-2024", "Other"))</f>
        <v>2022-2024</v>
      </c>
    </row>
    <row r="4310" spans="1:9" x14ac:dyDescent="0.3">
      <c r="A4310" t="s">
        <v>18</v>
      </c>
      <c r="B4310">
        <v>2018</v>
      </c>
      <c r="C4310" t="s">
        <v>0</v>
      </c>
      <c r="D4310">
        <v>23891.65</v>
      </c>
      <c r="E4310">
        <v>20701.810000000001</v>
      </c>
      <c r="F4310">
        <v>99.24</v>
      </c>
      <c r="G4310">
        <v>1111.73</v>
      </c>
      <c r="H4310">
        <f>E4310*1000000/D4310</f>
        <v>866487.24554394523</v>
      </c>
      <c r="I4310" t="str">
        <f>IF(AND(B4310&gt;=2018, B4310&lt;=2021), "2018-2021", IF(AND(B4310&gt;=2022, B4310&lt;=2024), "2022-2024", "Other"))</f>
        <v>2018-2021</v>
      </c>
    </row>
    <row r="4311" spans="1:9" x14ac:dyDescent="0.3">
      <c r="A4311" t="s">
        <v>7</v>
      </c>
      <c r="B4311">
        <v>2022</v>
      </c>
      <c r="C4311" t="s">
        <v>4</v>
      </c>
      <c r="D4311">
        <v>15955.86</v>
      </c>
      <c r="E4311">
        <v>15880.58</v>
      </c>
      <c r="F4311">
        <v>41.11</v>
      </c>
      <c r="G4311">
        <v>1178.6300000000001</v>
      </c>
      <c r="H4311">
        <f>E4311*1000000/D4311</f>
        <v>995281.98417383956</v>
      </c>
      <c r="I4311" t="str">
        <f>IF(AND(B4311&gt;=2018, B4311&lt;=2021), "2018-2021", IF(AND(B4311&gt;=2022, B4311&lt;=2024), "2022-2024", "Other"))</f>
        <v>2022-2024</v>
      </c>
    </row>
    <row r="4312" spans="1:9" x14ac:dyDescent="0.3">
      <c r="A4312" t="s">
        <v>21</v>
      </c>
      <c r="B4312">
        <v>2022</v>
      </c>
      <c r="C4312" t="s">
        <v>9</v>
      </c>
      <c r="D4312">
        <v>44822.55</v>
      </c>
      <c r="E4312">
        <v>49895.35</v>
      </c>
      <c r="F4312">
        <v>197.44</v>
      </c>
      <c r="G4312">
        <v>147.11000000000001</v>
      </c>
      <c r="H4312">
        <f>E4312*1000000/D4312</f>
        <v>1113175.1763342335</v>
      </c>
      <c r="I4312" t="str">
        <f>IF(AND(B4312&gt;=2018, B4312&lt;=2021), "2018-2021", IF(AND(B4312&gt;=2022, B4312&lt;=2024), "2022-2024", "Other"))</f>
        <v>2022-2024</v>
      </c>
    </row>
    <row r="4313" spans="1:9" x14ac:dyDescent="0.3">
      <c r="A4313" t="s">
        <v>22</v>
      </c>
      <c r="B4313">
        <v>2019</v>
      </c>
      <c r="C4313" t="s">
        <v>6</v>
      </c>
      <c r="D4313">
        <v>4850.3</v>
      </c>
      <c r="E4313">
        <v>4607.66</v>
      </c>
      <c r="F4313">
        <v>39.08</v>
      </c>
      <c r="G4313">
        <v>1303.56</v>
      </c>
      <c r="H4313">
        <f>E4313*1000000/D4313</f>
        <v>949974.22839824331</v>
      </c>
      <c r="I4313" t="str">
        <f>IF(AND(B4313&gt;=2018, B4313&lt;=2021), "2018-2021", IF(AND(B4313&gt;=2022, B4313&lt;=2024), "2022-2024", "Other"))</f>
        <v>2018-2021</v>
      </c>
    </row>
    <row r="4314" spans="1:9" x14ac:dyDescent="0.3">
      <c r="A4314" t="s">
        <v>19</v>
      </c>
      <c r="B4314">
        <v>2020</v>
      </c>
      <c r="C4314" t="s">
        <v>2</v>
      </c>
      <c r="D4314">
        <v>12696.71</v>
      </c>
      <c r="E4314">
        <v>11643.15</v>
      </c>
      <c r="F4314">
        <v>112.93</v>
      </c>
      <c r="G4314">
        <v>1114.5899999999999</v>
      </c>
      <c r="H4314">
        <f>E4314*1000000/D4314</f>
        <v>917021.02355649625</v>
      </c>
      <c r="I4314" t="str">
        <f>IF(AND(B4314&gt;=2018, B4314&lt;=2021), "2018-2021", IF(AND(B4314&gt;=2022, B4314&lt;=2024), "2022-2024", "Other"))</f>
        <v>2018-2021</v>
      </c>
    </row>
    <row r="4315" spans="1:9" x14ac:dyDescent="0.3">
      <c r="A4315" t="s">
        <v>19</v>
      </c>
      <c r="B4315">
        <v>2024</v>
      </c>
      <c r="C4315" t="s">
        <v>0</v>
      </c>
      <c r="D4315">
        <v>44657.279999999999</v>
      </c>
      <c r="E4315">
        <v>35786.01</v>
      </c>
      <c r="F4315">
        <v>61.37</v>
      </c>
      <c r="G4315">
        <v>532.42999999999995</v>
      </c>
      <c r="H4315">
        <f>E4315*1000000/D4315</f>
        <v>801347.73098585499</v>
      </c>
      <c r="I4315" t="str">
        <f>IF(AND(B4315&gt;=2018, B4315&lt;=2021), "2018-2021", IF(AND(B4315&gt;=2022, B4315&lt;=2024), "2022-2024", "Other"))</f>
        <v>2022-2024</v>
      </c>
    </row>
    <row r="4316" spans="1:9" x14ac:dyDescent="0.3">
      <c r="A4316" t="s">
        <v>15</v>
      </c>
      <c r="B4316">
        <v>2018</v>
      </c>
      <c r="C4316" t="s">
        <v>6</v>
      </c>
      <c r="D4316">
        <v>33073.050000000003</v>
      </c>
      <c r="E4316">
        <v>27678.55</v>
      </c>
      <c r="F4316">
        <v>26.72</v>
      </c>
      <c r="G4316">
        <v>442.73</v>
      </c>
      <c r="H4316">
        <f>E4316*1000000/D4316</f>
        <v>836891.36623323208</v>
      </c>
      <c r="I4316" t="str">
        <f>IF(AND(B4316&gt;=2018, B4316&lt;=2021), "2018-2021", IF(AND(B4316&gt;=2022, B4316&lt;=2024), "2022-2024", "Other"))</f>
        <v>2018-2021</v>
      </c>
    </row>
    <row r="4317" spans="1:9" x14ac:dyDescent="0.3">
      <c r="A4317" t="s">
        <v>26</v>
      </c>
      <c r="B4317">
        <v>2024</v>
      </c>
      <c r="C4317" t="s">
        <v>12</v>
      </c>
      <c r="D4317">
        <v>6638.89</v>
      </c>
      <c r="E4317">
        <v>7472.43</v>
      </c>
      <c r="F4317">
        <v>190.81</v>
      </c>
      <c r="G4317">
        <v>859.16</v>
      </c>
      <c r="H4317">
        <f>E4317*1000000/D4317</f>
        <v>1125554.1212461721</v>
      </c>
      <c r="I4317" t="str">
        <f>IF(AND(B4317&gt;=2018, B4317&lt;=2021), "2018-2021", IF(AND(B4317&gt;=2022, B4317&lt;=2024), "2022-2024", "Other"))</f>
        <v>2022-2024</v>
      </c>
    </row>
    <row r="4318" spans="1:9" x14ac:dyDescent="0.3">
      <c r="A4318" t="s">
        <v>22</v>
      </c>
      <c r="B4318">
        <v>2019</v>
      </c>
      <c r="C4318" t="s">
        <v>6</v>
      </c>
      <c r="D4318">
        <v>29636.36</v>
      </c>
      <c r="E4318">
        <v>24638.240000000002</v>
      </c>
      <c r="F4318">
        <v>102.09</v>
      </c>
      <c r="G4318">
        <v>576.05999999999995</v>
      </c>
      <c r="H4318">
        <f>E4318*1000000/D4318</f>
        <v>831351.75844806852</v>
      </c>
      <c r="I4318" t="str">
        <f>IF(AND(B4318&gt;=2018, B4318&lt;=2021), "2018-2021", IF(AND(B4318&gt;=2022, B4318&lt;=2024), "2022-2024", "Other"))</f>
        <v>2018-2021</v>
      </c>
    </row>
    <row r="4319" spans="1:9" x14ac:dyDescent="0.3">
      <c r="A4319" t="s">
        <v>5</v>
      </c>
      <c r="B4319">
        <v>2022</v>
      </c>
      <c r="C4319" t="s">
        <v>2</v>
      </c>
      <c r="D4319">
        <v>3118.62</v>
      </c>
      <c r="E4319">
        <v>2909.39</v>
      </c>
      <c r="F4319">
        <v>53.67</v>
      </c>
      <c r="G4319">
        <v>718.13</v>
      </c>
      <c r="H4319">
        <f>E4319*1000000/D4319</f>
        <v>932909.42788797617</v>
      </c>
      <c r="I4319" t="str">
        <f>IF(AND(B4319&gt;=2018, B4319&lt;=2021), "2018-2021", IF(AND(B4319&gt;=2022, B4319&lt;=2024), "2022-2024", "Other"))</f>
        <v>2022-2024</v>
      </c>
    </row>
    <row r="4320" spans="1:9" x14ac:dyDescent="0.3">
      <c r="A4320" t="s">
        <v>1</v>
      </c>
      <c r="B4320">
        <v>2019</v>
      </c>
      <c r="C4320" t="s">
        <v>12</v>
      </c>
      <c r="D4320">
        <v>22247.62</v>
      </c>
      <c r="E4320">
        <v>20257.28</v>
      </c>
      <c r="F4320">
        <v>174.26</v>
      </c>
      <c r="G4320">
        <v>816.6</v>
      </c>
      <c r="H4320">
        <f>E4320*1000000/D4320</f>
        <v>910536.94732290471</v>
      </c>
      <c r="I4320" t="str">
        <f>IF(AND(B4320&gt;=2018, B4320&lt;=2021), "2018-2021", IF(AND(B4320&gt;=2022, B4320&lt;=2024), "2022-2024", "Other"))</f>
        <v>2018-2021</v>
      </c>
    </row>
    <row r="4321" spans="1:9" x14ac:dyDescent="0.3">
      <c r="A4321" t="s">
        <v>25</v>
      </c>
      <c r="B4321">
        <v>2024</v>
      </c>
      <c r="C4321" t="s">
        <v>9</v>
      </c>
      <c r="D4321">
        <v>21206.07</v>
      </c>
      <c r="E4321">
        <v>22699.83</v>
      </c>
      <c r="F4321">
        <v>122.95</v>
      </c>
      <c r="G4321">
        <v>828.48</v>
      </c>
      <c r="H4321">
        <f>E4321*1000000/D4321</f>
        <v>1070440.2088647261</v>
      </c>
      <c r="I4321" t="str">
        <f>IF(AND(B4321&gt;=2018, B4321&lt;=2021), "2018-2021", IF(AND(B4321&gt;=2022, B4321&lt;=2024), "2022-2024", "Other"))</f>
        <v>2022-2024</v>
      </c>
    </row>
    <row r="4322" spans="1:9" x14ac:dyDescent="0.3">
      <c r="A4322" t="s">
        <v>3</v>
      </c>
      <c r="B4322">
        <v>2019</v>
      </c>
      <c r="C4322" t="s">
        <v>2</v>
      </c>
      <c r="D4322">
        <v>1160.27</v>
      </c>
      <c r="E4322">
        <v>1158.3399999999999</v>
      </c>
      <c r="F4322">
        <v>162.82</v>
      </c>
      <c r="G4322">
        <v>862.09</v>
      </c>
      <c r="H4322">
        <f>E4322*1000000/D4322</f>
        <v>998336.59406862198</v>
      </c>
      <c r="I4322" t="str">
        <f>IF(AND(B4322&gt;=2018, B4322&lt;=2021), "2018-2021", IF(AND(B4322&gt;=2022, B4322&lt;=2024), "2022-2024", "Other"))</f>
        <v>2018-2021</v>
      </c>
    </row>
    <row r="4323" spans="1:9" x14ac:dyDescent="0.3">
      <c r="A4323" t="s">
        <v>24</v>
      </c>
      <c r="B4323">
        <v>2018</v>
      </c>
      <c r="C4323" t="s">
        <v>2</v>
      </c>
      <c r="D4323">
        <v>20437.009999999998</v>
      </c>
      <c r="E4323">
        <v>18175.82</v>
      </c>
      <c r="F4323">
        <v>141.35</v>
      </c>
      <c r="G4323">
        <v>1218.82</v>
      </c>
      <c r="H4323">
        <f>E4323*1000000/D4323</f>
        <v>889358.08124574006</v>
      </c>
      <c r="I4323" t="str">
        <f>IF(AND(B4323&gt;=2018, B4323&lt;=2021), "2018-2021", IF(AND(B4323&gt;=2022, B4323&lt;=2024), "2022-2024", "Other"))</f>
        <v>2018-2021</v>
      </c>
    </row>
    <row r="4324" spans="1:9" x14ac:dyDescent="0.3">
      <c r="A4324" t="s">
        <v>25</v>
      </c>
      <c r="B4324">
        <v>2023</v>
      </c>
      <c r="C4324" t="s">
        <v>6</v>
      </c>
      <c r="D4324">
        <v>26977.56</v>
      </c>
      <c r="E4324">
        <v>24530.02</v>
      </c>
      <c r="F4324">
        <v>193.92</v>
      </c>
      <c r="G4324">
        <v>341.15</v>
      </c>
      <c r="H4324">
        <f>E4324*1000000/D4324</f>
        <v>909274.96778804308</v>
      </c>
      <c r="I4324" t="str">
        <f>IF(AND(B4324&gt;=2018, B4324&lt;=2021), "2018-2021", IF(AND(B4324&gt;=2022, B4324&lt;=2024), "2022-2024", "Other"))</f>
        <v>2022-2024</v>
      </c>
    </row>
    <row r="4325" spans="1:9" x14ac:dyDescent="0.3">
      <c r="A4325" t="s">
        <v>17</v>
      </c>
      <c r="B4325">
        <v>2022</v>
      </c>
      <c r="C4325" t="s">
        <v>6</v>
      </c>
      <c r="D4325">
        <v>25659.439999999999</v>
      </c>
      <c r="E4325">
        <v>27457.72</v>
      </c>
      <c r="F4325">
        <v>59.04</v>
      </c>
      <c r="G4325">
        <v>560.91</v>
      </c>
      <c r="H4325">
        <f>E4325*1000000/D4325</f>
        <v>1070082.5894875338</v>
      </c>
      <c r="I4325" t="str">
        <f>IF(AND(B4325&gt;=2018, B4325&lt;=2021), "2018-2021", IF(AND(B4325&gt;=2022, B4325&lt;=2024), "2022-2024", "Other"))</f>
        <v>2022-2024</v>
      </c>
    </row>
    <row r="4326" spans="1:9" x14ac:dyDescent="0.3">
      <c r="A4326" t="s">
        <v>27</v>
      </c>
      <c r="B4326">
        <v>2022</v>
      </c>
      <c r="C4326" t="s">
        <v>4</v>
      </c>
      <c r="D4326">
        <v>30588.9</v>
      </c>
      <c r="E4326">
        <v>31101.57</v>
      </c>
      <c r="F4326">
        <v>21.56</v>
      </c>
      <c r="G4326">
        <v>964.88</v>
      </c>
      <c r="H4326">
        <f>E4326*1000000/D4326</f>
        <v>1016760.0011768974</v>
      </c>
      <c r="I4326" t="str">
        <f>IF(AND(B4326&gt;=2018, B4326&lt;=2021), "2018-2021", IF(AND(B4326&gt;=2022, B4326&lt;=2024), "2022-2024", "Other"))</f>
        <v>2022-2024</v>
      </c>
    </row>
    <row r="4327" spans="1:9" x14ac:dyDescent="0.3">
      <c r="A4327" t="s">
        <v>17</v>
      </c>
      <c r="B4327">
        <v>2022</v>
      </c>
      <c r="C4327" t="s">
        <v>14</v>
      </c>
      <c r="D4327">
        <v>42054.559999999998</v>
      </c>
      <c r="E4327">
        <v>40586.17</v>
      </c>
      <c r="F4327">
        <v>164.65</v>
      </c>
      <c r="G4327">
        <v>677.49</v>
      </c>
      <c r="H4327">
        <f>E4327*1000000/D4327</f>
        <v>965083.69128104066</v>
      </c>
      <c r="I4327" t="str">
        <f>IF(AND(B4327&gt;=2018, B4327&lt;=2021), "2018-2021", IF(AND(B4327&gt;=2022, B4327&lt;=2024), "2022-2024", "Other"))</f>
        <v>2022-2024</v>
      </c>
    </row>
    <row r="4328" spans="1:9" x14ac:dyDescent="0.3">
      <c r="A4328" t="s">
        <v>25</v>
      </c>
      <c r="B4328">
        <v>2019</v>
      </c>
      <c r="C4328" t="s">
        <v>12</v>
      </c>
      <c r="D4328">
        <v>20333.88</v>
      </c>
      <c r="E4328">
        <v>19202.66</v>
      </c>
      <c r="F4328">
        <v>29.37</v>
      </c>
      <c r="G4328">
        <v>694.96</v>
      </c>
      <c r="H4328">
        <f>E4328*1000000/D4328</f>
        <v>944367.72519558482</v>
      </c>
      <c r="I4328" t="str">
        <f>IF(AND(B4328&gt;=2018, B4328&lt;=2021), "2018-2021", IF(AND(B4328&gt;=2022, B4328&lt;=2024), "2022-2024", "Other"))</f>
        <v>2018-2021</v>
      </c>
    </row>
    <row r="4329" spans="1:9" x14ac:dyDescent="0.3">
      <c r="A4329" t="s">
        <v>18</v>
      </c>
      <c r="B4329">
        <v>2018</v>
      </c>
      <c r="C4329" t="s">
        <v>6</v>
      </c>
      <c r="D4329">
        <v>3695.8</v>
      </c>
      <c r="E4329">
        <v>3320.68</v>
      </c>
      <c r="F4329">
        <v>167.39</v>
      </c>
      <c r="G4329">
        <v>385.12</v>
      </c>
      <c r="H4329">
        <f>E4329*1000000/D4329</f>
        <v>898501.00113642507</v>
      </c>
      <c r="I4329" t="str">
        <f>IF(AND(B4329&gt;=2018, B4329&lt;=2021), "2018-2021", IF(AND(B4329&gt;=2022, B4329&lt;=2024), "2022-2024", "Other"))</f>
        <v>2018-2021</v>
      </c>
    </row>
    <row r="4330" spans="1:9" x14ac:dyDescent="0.3">
      <c r="A4330" t="s">
        <v>27</v>
      </c>
      <c r="B4330">
        <v>2024</v>
      </c>
      <c r="C4330" t="s">
        <v>12</v>
      </c>
      <c r="D4330">
        <v>5443.2</v>
      </c>
      <c r="E4330">
        <v>6472.66</v>
      </c>
      <c r="F4330">
        <v>91.07</v>
      </c>
      <c r="G4330">
        <v>781.44</v>
      </c>
      <c r="H4330">
        <f>E4330*1000000/D4330</f>
        <v>1189127.7189888302</v>
      </c>
      <c r="I4330" t="str">
        <f>IF(AND(B4330&gt;=2018, B4330&lt;=2021), "2018-2021", IF(AND(B4330&gt;=2022, B4330&lt;=2024), "2022-2024", "Other"))</f>
        <v>2022-2024</v>
      </c>
    </row>
    <row r="4331" spans="1:9" x14ac:dyDescent="0.3">
      <c r="A4331" t="s">
        <v>24</v>
      </c>
      <c r="B4331">
        <v>2024</v>
      </c>
      <c r="C4331" t="s">
        <v>9</v>
      </c>
      <c r="D4331">
        <v>27555.01</v>
      </c>
      <c r="E4331">
        <v>32211.96</v>
      </c>
      <c r="F4331">
        <v>198.85</v>
      </c>
      <c r="G4331">
        <v>879.18</v>
      </c>
      <c r="H4331">
        <f>E4331*1000000/D4331</f>
        <v>1169005.5637795087</v>
      </c>
      <c r="I4331" t="str">
        <f>IF(AND(B4331&gt;=2018, B4331&lt;=2021), "2018-2021", IF(AND(B4331&gt;=2022, B4331&lt;=2024), "2022-2024", "Other"))</f>
        <v>2022-2024</v>
      </c>
    </row>
    <row r="4332" spans="1:9" x14ac:dyDescent="0.3">
      <c r="A4332" t="s">
        <v>1</v>
      </c>
      <c r="B4332">
        <v>2023</v>
      </c>
      <c r="C4332" t="s">
        <v>14</v>
      </c>
      <c r="D4332">
        <v>17163.86</v>
      </c>
      <c r="E4332">
        <v>15214.37</v>
      </c>
      <c r="F4332">
        <v>93.25</v>
      </c>
      <c r="G4332">
        <v>795.91</v>
      </c>
      <c r="H4332">
        <f>E4332*1000000/D4332</f>
        <v>886418.90577061335</v>
      </c>
      <c r="I4332" t="str">
        <f>IF(AND(B4332&gt;=2018, B4332&lt;=2021), "2018-2021", IF(AND(B4332&gt;=2022, B4332&lt;=2024), "2022-2024", "Other"))</f>
        <v>2022-2024</v>
      </c>
    </row>
    <row r="4333" spans="1:9" x14ac:dyDescent="0.3">
      <c r="A4333" t="s">
        <v>24</v>
      </c>
      <c r="B4333">
        <v>2018</v>
      </c>
      <c r="C4333" t="s">
        <v>9</v>
      </c>
      <c r="D4333">
        <v>20127.91</v>
      </c>
      <c r="E4333">
        <v>23658.57</v>
      </c>
      <c r="F4333">
        <v>23.63</v>
      </c>
      <c r="G4333">
        <v>1318.56</v>
      </c>
      <c r="H4333">
        <f>E4333*1000000/D4333</f>
        <v>1175411.1579393987</v>
      </c>
      <c r="I4333" t="str">
        <f>IF(AND(B4333&gt;=2018, B4333&lt;=2021), "2018-2021", IF(AND(B4333&gt;=2022, B4333&lt;=2024), "2022-2024", "Other"))</f>
        <v>2018-2021</v>
      </c>
    </row>
    <row r="4334" spans="1:9" x14ac:dyDescent="0.3">
      <c r="A4334" t="s">
        <v>27</v>
      </c>
      <c r="B4334">
        <v>2019</v>
      </c>
      <c r="C4334" t="s">
        <v>6</v>
      </c>
      <c r="D4334">
        <v>33616.769999999997</v>
      </c>
      <c r="E4334">
        <v>37461.32</v>
      </c>
      <c r="F4334">
        <v>96.66</v>
      </c>
      <c r="G4334">
        <v>793.41</v>
      </c>
      <c r="H4334">
        <f>E4334*1000000/D4334</f>
        <v>1114364.0510376222</v>
      </c>
      <c r="I4334" t="str">
        <f>IF(AND(B4334&gt;=2018, B4334&lt;=2021), "2018-2021", IF(AND(B4334&gt;=2022, B4334&lt;=2024), "2022-2024", "Other"))</f>
        <v>2018-2021</v>
      </c>
    </row>
    <row r="4335" spans="1:9" x14ac:dyDescent="0.3">
      <c r="A4335" t="s">
        <v>23</v>
      </c>
      <c r="B4335">
        <v>2021</v>
      </c>
      <c r="C4335" t="s">
        <v>8</v>
      </c>
      <c r="D4335">
        <v>24828.02</v>
      </c>
      <c r="E4335">
        <v>28575.73</v>
      </c>
      <c r="F4335">
        <v>127.59</v>
      </c>
      <c r="G4335">
        <v>84.87</v>
      </c>
      <c r="H4335">
        <f>E4335*1000000/D4335</f>
        <v>1150946.7931796415</v>
      </c>
      <c r="I4335" t="str">
        <f>IF(AND(B4335&gt;=2018, B4335&lt;=2021), "2018-2021", IF(AND(B4335&gt;=2022, B4335&lt;=2024), "2022-2024", "Other"))</f>
        <v>2018-2021</v>
      </c>
    </row>
    <row r="4336" spans="1:9" x14ac:dyDescent="0.3">
      <c r="A4336" t="s">
        <v>5</v>
      </c>
      <c r="B4336">
        <v>2018</v>
      </c>
      <c r="C4336" t="s">
        <v>12</v>
      </c>
      <c r="D4336">
        <v>39189.879999999997</v>
      </c>
      <c r="E4336">
        <v>31790.93</v>
      </c>
      <c r="F4336">
        <v>130.79</v>
      </c>
      <c r="G4336">
        <v>81.489999999999995</v>
      </c>
      <c r="H4336">
        <f>E4336*1000000/D4336</f>
        <v>811202.53494014277</v>
      </c>
      <c r="I4336" t="str">
        <f>IF(AND(B4336&gt;=2018, B4336&lt;=2021), "2018-2021", IF(AND(B4336&gt;=2022, B4336&lt;=2024), "2022-2024", "Other"))</f>
        <v>2018-2021</v>
      </c>
    </row>
    <row r="4337" spans="1:9" x14ac:dyDescent="0.3">
      <c r="A4337" t="s">
        <v>3</v>
      </c>
      <c r="B4337">
        <v>2019</v>
      </c>
      <c r="C4337" t="s">
        <v>9</v>
      </c>
      <c r="D4337">
        <v>18656.62</v>
      </c>
      <c r="E4337">
        <v>18849.189999999999</v>
      </c>
      <c r="F4337">
        <v>124.85</v>
      </c>
      <c r="G4337">
        <v>851.83</v>
      </c>
      <c r="H4337">
        <f>E4337*1000000/D4337</f>
        <v>1010321.8053430901</v>
      </c>
      <c r="I4337" t="str">
        <f>IF(AND(B4337&gt;=2018, B4337&lt;=2021), "2018-2021", IF(AND(B4337&gt;=2022, B4337&lt;=2024), "2022-2024", "Other"))</f>
        <v>2018-2021</v>
      </c>
    </row>
    <row r="4338" spans="1:9" x14ac:dyDescent="0.3">
      <c r="A4338" t="s">
        <v>21</v>
      </c>
      <c r="B4338">
        <v>2020</v>
      </c>
      <c r="C4338" t="s">
        <v>6</v>
      </c>
      <c r="D4338">
        <v>41121.47</v>
      </c>
      <c r="E4338">
        <v>43606.7</v>
      </c>
      <c r="F4338">
        <v>79.56</v>
      </c>
      <c r="G4338">
        <v>644.19000000000005</v>
      </c>
      <c r="H4338">
        <f>E4338*1000000/D4338</f>
        <v>1060436.312223274</v>
      </c>
      <c r="I4338" t="str">
        <f>IF(AND(B4338&gt;=2018, B4338&lt;=2021), "2018-2021", IF(AND(B4338&gt;=2022, B4338&lt;=2024), "2022-2024", "Other"))</f>
        <v>2018-2021</v>
      </c>
    </row>
    <row r="4339" spans="1:9" x14ac:dyDescent="0.3">
      <c r="A4339" t="s">
        <v>3</v>
      </c>
      <c r="B4339">
        <v>2023</v>
      </c>
      <c r="C4339" t="s">
        <v>14</v>
      </c>
      <c r="D4339">
        <v>37510.620000000003</v>
      </c>
      <c r="E4339">
        <v>39567.06</v>
      </c>
      <c r="F4339">
        <v>163.63999999999999</v>
      </c>
      <c r="G4339">
        <v>483.55</v>
      </c>
      <c r="H4339">
        <f>E4339*1000000/D4339</f>
        <v>1054822.8741620372</v>
      </c>
      <c r="I4339" t="str">
        <f>IF(AND(B4339&gt;=2018, B4339&lt;=2021), "2018-2021", IF(AND(B4339&gt;=2022, B4339&lt;=2024), "2022-2024", "Other"))</f>
        <v>2022-2024</v>
      </c>
    </row>
    <row r="4340" spans="1:9" x14ac:dyDescent="0.3">
      <c r="A4340" t="s">
        <v>5</v>
      </c>
      <c r="B4340">
        <v>2018</v>
      </c>
      <c r="C4340" t="s">
        <v>4</v>
      </c>
      <c r="D4340">
        <v>12159.07</v>
      </c>
      <c r="E4340">
        <v>10518.83</v>
      </c>
      <c r="F4340">
        <v>82.6</v>
      </c>
      <c r="G4340">
        <v>660.32</v>
      </c>
      <c r="H4340">
        <f>E4340*1000000/D4340</f>
        <v>865101.52503439819</v>
      </c>
      <c r="I4340" t="str">
        <f>IF(AND(B4340&gt;=2018, B4340&lt;=2021), "2018-2021", IF(AND(B4340&gt;=2022, B4340&lt;=2024), "2022-2024", "Other"))</f>
        <v>2018-2021</v>
      </c>
    </row>
    <row r="4341" spans="1:9" x14ac:dyDescent="0.3">
      <c r="A4341" t="s">
        <v>17</v>
      </c>
      <c r="B4341">
        <v>2024</v>
      </c>
      <c r="C4341" t="s">
        <v>8</v>
      </c>
      <c r="D4341">
        <v>34569.480000000003</v>
      </c>
      <c r="E4341">
        <v>40686.83</v>
      </c>
      <c r="F4341">
        <v>139.97999999999999</v>
      </c>
      <c r="G4341">
        <v>1130.72</v>
      </c>
      <c r="H4341">
        <f>E4341*1000000/D4341</f>
        <v>1176958.1144986849</v>
      </c>
      <c r="I4341" t="str">
        <f>IF(AND(B4341&gt;=2018, B4341&lt;=2021), "2018-2021", IF(AND(B4341&gt;=2022, B4341&lt;=2024), "2022-2024", "Other"))</f>
        <v>2022-2024</v>
      </c>
    </row>
    <row r="4342" spans="1:9" x14ac:dyDescent="0.3">
      <c r="A4342" t="s">
        <v>15</v>
      </c>
      <c r="B4342">
        <v>2020</v>
      </c>
      <c r="C4342" t="s">
        <v>14</v>
      </c>
      <c r="D4342">
        <v>30427.46</v>
      </c>
      <c r="E4342">
        <v>33884</v>
      </c>
      <c r="F4342">
        <v>54.92</v>
      </c>
      <c r="G4342">
        <v>515.99</v>
      </c>
      <c r="H4342">
        <f>E4342*1000000/D4342</f>
        <v>1113599.3605775835</v>
      </c>
      <c r="I4342" t="str">
        <f>IF(AND(B4342&gt;=2018, B4342&lt;=2021), "2018-2021", IF(AND(B4342&gt;=2022, B4342&lt;=2024), "2022-2024", "Other"))</f>
        <v>2018-2021</v>
      </c>
    </row>
    <row r="4343" spans="1:9" x14ac:dyDescent="0.3">
      <c r="A4343" t="s">
        <v>16</v>
      </c>
      <c r="B4343">
        <v>2023</v>
      </c>
      <c r="C4343" t="s">
        <v>0</v>
      </c>
      <c r="D4343">
        <v>4743.07</v>
      </c>
      <c r="E4343">
        <v>4114.13</v>
      </c>
      <c r="F4343">
        <v>114.16</v>
      </c>
      <c r="G4343">
        <v>344.64</v>
      </c>
      <c r="H4343">
        <f>E4343*1000000/D4343</f>
        <v>867398.11978317844</v>
      </c>
      <c r="I4343" t="str">
        <f>IF(AND(B4343&gt;=2018, B4343&lt;=2021), "2018-2021", IF(AND(B4343&gt;=2022, B4343&lt;=2024), "2022-2024", "Other"))</f>
        <v>2022-2024</v>
      </c>
    </row>
    <row r="4344" spans="1:9" x14ac:dyDescent="0.3">
      <c r="A4344" t="s">
        <v>18</v>
      </c>
      <c r="B4344">
        <v>2021</v>
      </c>
      <c r="C4344" t="s">
        <v>6</v>
      </c>
      <c r="D4344">
        <v>43200.15</v>
      </c>
      <c r="E4344">
        <v>41602.230000000003</v>
      </c>
      <c r="F4344">
        <v>156.1</v>
      </c>
      <c r="G4344">
        <v>73.260000000000005</v>
      </c>
      <c r="H4344">
        <f>E4344*1000000/D4344</f>
        <v>963011.23954430711</v>
      </c>
      <c r="I4344" t="str">
        <f>IF(AND(B4344&gt;=2018, B4344&lt;=2021), "2018-2021", IF(AND(B4344&gt;=2022, B4344&lt;=2024), "2022-2024", "Other"))</f>
        <v>2018-2021</v>
      </c>
    </row>
    <row r="4345" spans="1:9" x14ac:dyDescent="0.3">
      <c r="A4345" t="s">
        <v>15</v>
      </c>
      <c r="B4345">
        <v>2020</v>
      </c>
      <c r="C4345" t="s">
        <v>8</v>
      </c>
      <c r="D4345">
        <v>15846.89</v>
      </c>
      <c r="E4345">
        <v>15977.17</v>
      </c>
      <c r="F4345">
        <v>29.66</v>
      </c>
      <c r="G4345">
        <v>14.29</v>
      </c>
      <c r="H4345">
        <f>E4345*1000000/D4345</f>
        <v>1008221.1714727622</v>
      </c>
      <c r="I4345" t="str">
        <f>IF(AND(B4345&gt;=2018, B4345&lt;=2021), "2018-2021", IF(AND(B4345&gt;=2022, B4345&lt;=2024), "2022-2024", "Other"))</f>
        <v>2018-2021</v>
      </c>
    </row>
    <row r="4346" spans="1:9" x14ac:dyDescent="0.3">
      <c r="A4346" t="s">
        <v>5</v>
      </c>
      <c r="B4346">
        <v>2021</v>
      </c>
      <c r="C4346" t="s">
        <v>6</v>
      </c>
      <c r="D4346">
        <v>31604.43</v>
      </c>
      <c r="E4346">
        <v>26619.06</v>
      </c>
      <c r="F4346">
        <v>94.24</v>
      </c>
      <c r="G4346">
        <v>1041.21</v>
      </c>
      <c r="H4346">
        <f>E4346*1000000/D4346</f>
        <v>842257.24051976262</v>
      </c>
      <c r="I4346" t="str">
        <f>IF(AND(B4346&gt;=2018, B4346&lt;=2021), "2018-2021", IF(AND(B4346&gt;=2022, B4346&lt;=2024), "2022-2024", "Other"))</f>
        <v>2018-2021</v>
      </c>
    </row>
    <row r="4347" spans="1:9" x14ac:dyDescent="0.3">
      <c r="A4347" t="s">
        <v>22</v>
      </c>
      <c r="B4347">
        <v>2021</v>
      </c>
      <c r="C4347" t="s">
        <v>2</v>
      </c>
      <c r="D4347">
        <v>16371.07</v>
      </c>
      <c r="E4347">
        <v>14569.73</v>
      </c>
      <c r="F4347">
        <v>47.48</v>
      </c>
      <c r="G4347">
        <v>750.16</v>
      </c>
      <c r="H4347">
        <f>E4347*1000000/D4347</f>
        <v>889968.09615987225</v>
      </c>
      <c r="I4347" t="str">
        <f>IF(AND(B4347&gt;=2018, B4347&lt;=2021), "2018-2021", IF(AND(B4347&gt;=2022, B4347&lt;=2024), "2022-2024", "Other"))</f>
        <v>2018-2021</v>
      </c>
    </row>
    <row r="4348" spans="1:9" x14ac:dyDescent="0.3">
      <c r="A4348" t="s">
        <v>24</v>
      </c>
      <c r="B4348">
        <v>2024</v>
      </c>
      <c r="C4348" t="s">
        <v>4</v>
      </c>
      <c r="D4348">
        <v>46119.45</v>
      </c>
      <c r="E4348">
        <v>49919.74</v>
      </c>
      <c r="F4348">
        <v>167.45</v>
      </c>
      <c r="G4348">
        <v>74.180000000000007</v>
      </c>
      <c r="H4348">
        <f>E4348*1000000/D4348</f>
        <v>1082401.0260313165</v>
      </c>
      <c r="I4348" t="str">
        <f>IF(AND(B4348&gt;=2018, B4348&lt;=2021), "2018-2021", IF(AND(B4348&gt;=2022, B4348&lt;=2024), "2022-2024", "Other"))</f>
        <v>2022-2024</v>
      </c>
    </row>
    <row r="4349" spans="1:9" x14ac:dyDescent="0.3">
      <c r="A4349" t="s">
        <v>25</v>
      </c>
      <c r="B4349">
        <v>2018</v>
      </c>
      <c r="C4349" t="s">
        <v>14</v>
      </c>
      <c r="D4349">
        <v>45091.91</v>
      </c>
      <c r="E4349">
        <v>49126.26</v>
      </c>
      <c r="F4349">
        <v>25.51</v>
      </c>
      <c r="G4349">
        <v>1153.08</v>
      </c>
      <c r="H4349">
        <f>E4349*1000000/D4349</f>
        <v>1089469.4857680679</v>
      </c>
      <c r="I4349" t="str">
        <f>IF(AND(B4349&gt;=2018, B4349&lt;=2021), "2018-2021", IF(AND(B4349&gt;=2022, B4349&lt;=2024), "2022-2024", "Other"))</f>
        <v>2018-2021</v>
      </c>
    </row>
    <row r="4350" spans="1:9" x14ac:dyDescent="0.3">
      <c r="A4350" t="s">
        <v>7</v>
      </c>
      <c r="B4350">
        <v>2024</v>
      </c>
      <c r="C4350" t="s">
        <v>12</v>
      </c>
      <c r="D4350">
        <v>19489.91</v>
      </c>
      <c r="E4350">
        <v>16282.94</v>
      </c>
      <c r="F4350">
        <v>74.42</v>
      </c>
      <c r="G4350">
        <v>741.77</v>
      </c>
      <c r="H4350">
        <f>E4350*1000000/D4350</f>
        <v>835454.85843700659</v>
      </c>
      <c r="I4350" t="str">
        <f>IF(AND(B4350&gt;=2018, B4350&lt;=2021), "2018-2021", IF(AND(B4350&gt;=2022, B4350&lt;=2024), "2022-2024", "Other"))</f>
        <v>2022-2024</v>
      </c>
    </row>
    <row r="4351" spans="1:9" x14ac:dyDescent="0.3">
      <c r="A4351" t="s">
        <v>10</v>
      </c>
      <c r="B4351">
        <v>2022</v>
      </c>
      <c r="C4351" t="s">
        <v>12</v>
      </c>
      <c r="D4351">
        <v>23277.06</v>
      </c>
      <c r="E4351">
        <v>22356.43</v>
      </c>
      <c r="F4351">
        <v>46.29</v>
      </c>
      <c r="G4351">
        <v>629.91</v>
      </c>
      <c r="H4351">
        <f>E4351*1000000/D4351</f>
        <v>960449.04296332947</v>
      </c>
      <c r="I4351" t="str">
        <f>IF(AND(B4351&gt;=2018, B4351&lt;=2021), "2018-2021", IF(AND(B4351&gt;=2022, B4351&lt;=2024), "2022-2024", "Other"))</f>
        <v>2022-2024</v>
      </c>
    </row>
    <row r="4352" spans="1:9" x14ac:dyDescent="0.3">
      <c r="A4352" t="s">
        <v>5</v>
      </c>
      <c r="B4352">
        <v>2020</v>
      </c>
      <c r="C4352" t="s">
        <v>6</v>
      </c>
      <c r="D4352">
        <v>24031.22</v>
      </c>
      <c r="E4352">
        <v>23043.58</v>
      </c>
      <c r="F4352">
        <v>126.36</v>
      </c>
      <c r="G4352">
        <v>266.97000000000003</v>
      </c>
      <c r="H4352">
        <f>E4352*1000000/D4352</f>
        <v>958901.79524801485</v>
      </c>
      <c r="I4352" t="str">
        <f>IF(AND(B4352&gt;=2018, B4352&lt;=2021), "2018-2021", IF(AND(B4352&gt;=2022, B4352&lt;=2024), "2022-2024", "Other"))</f>
        <v>2018-2021</v>
      </c>
    </row>
    <row r="4353" spans="1:9" x14ac:dyDescent="0.3">
      <c r="A4353" t="s">
        <v>15</v>
      </c>
      <c r="B4353">
        <v>2020</v>
      </c>
      <c r="C4353" t="s">
        <v>2</v>
      </c>
      <c r="D4353">
        <v>5422.74</v>
      </c>
      <c r="E4353">
        <v>5240.92</v>
      </c>
      <c r="F4353">
        <v>162.21</v>
      </c>
      <c r="G4353">
        <v>961.64</v>
      </c>
      <c r="H4353">
        <f>E4353*1000000/D4353</f>
        <v>966470.82471223036</v>
      </c>
      <c r="I4353" t="str">
        <f>IF(AND(B4353&gt;=2018, B4353&lt;=2021), "2018-2021", IF(AND(B4353&gt;=2022, B4353&lt;=2024), "2022-2024", "Other"))</f>
        <v>2018-2021</v>
      </c>
    </row>
    <row r="4354" spans="1:9" x14ac:dyDescent="0.3">
      <c r="A4354" t="s">
        <v>24</v>
      </c>
      <c r="B4354">
        <v>2018</v>
      </c>
      <c r="C4354" t="s">
        <v>0</v>
      </c>
      <c r="D4354">
        <v>21948.76</v>
      </c>
      <c r="E4354">
        <v>21902.54</v>
      </c>
      <c r="F4354">
        <v>30.5</v>
      </c>
      <c r="G4354">
        <v>31.37</v>
      </c>
      <c r="H4354">
        <f>E4354*1000000/D4354</f>
        <v>997894.1862774936</v>
      </c>
      <c r="I4354" t="str">
        <f>IF(AND(B4354&gt;=2018, B4354&lt;=2021), "2018-2021", IF(AND(B4354&gt;=2022, B4354&lt;=2024), "2022-2024", "Other"))</f>
        <v>2018-2021</v>
      </c>
    </row>
    <row r="4355" spans="1:9" x14ac:dyDescent="0.3">
      <c r="A4355" t="s">
        <v>10</v>
      </c>
      <c r="B4355">
        <v>2020</v>
      </c>
      <c r="C4355" t="s">
        <v>8</v>
      </c>
      <c r="D4355">
        <v>1081.28</v>
      </c>
      <c r="E4355">
        <v>1229.69</v>
      </c>
      <c r="F4355">
        <v>61.13</v>
      </c>
      <c r="G4355">
        <v>223.81</v>
      </c>
      <c r="H4355">
        <f>E4355*1000000/D4355</f>
        <v>1137253.9952648713</v>
      </c>
      <c r="I4355" t="str">
        <f>IF(AND(B4355&gt;=2018, B4355&lt;=2021), "2018-2021", IF(AND(B4355&gt;=2022, B4355&lt;=2024), "2022-2024", "Other"))</f>
        <v>2018-2021</v>
      </c>
    </row>
    <row r="4356" spans="1:9" x14ac:dyDescent="0.3">
      <c r="A4356" t="s">
        <v>10</v>
      </c>
      <c r="B4356">
        <v>2022</v>
      </c>
      <c r="C4356" t="s">
        <v>6</v>
      </c>
      <c r="D4356">
        <v>14430.76</v>
      </c>
      <c r="E4356">
        <v>16888.060000000001</v>
      </c>
      <c r="F4356">
        <v>144.34</v>
      </c>
      <c r="G4356">
        <v>963.08</v>
      </c>
      <c r="H4356">
        <f>E4356*1000000/D4356</f>
        <v>1170282.0918648776</v>
      </c>
      <c r="I4356" t="str">
        <f>IF(AND(B4356&gt;=2018, B4356&lt;=2021), "2018-2021", IF(AND(B4356&gt;=2022, B4356&lt;=2024), "2022-2024", "Other"))</f>
        <v>2022-2024</v>
      </c>
    </row>
    <row r="4357" spans="1:9" x14ac:dyDescent="0.3">
      <c r="A4357" t="s">
        <v>23</v>
      </c>
      <c r="B4357">
        <v>2021</v>
      </c>
      <c r="C4357" t="s">
        <v>6</v>
      </c>
      <c r="D4357">
        <v>44576.73</v>
      </c>
      <c r="E4357">
        <v>43740.2</v>
      </c>
      <c r="F4357">
        <v>197.32</v>
      </c>
      <c r="G4357">
        <v>901.66</v>
      </c>
      <c r="H4357">
        <f>E4357*1000000/D4357</f>
        <v>981233.93079752591</v>
      </c>
      <c r="I4357" t="str">
        <f>IF(AND(B4357&gt;=2018, B4357&lt;=2021), "2018-2021", IF(AND(B4357&gt;=2022, B4357&lt;=2024), "2022-2024", "Other"))</f>
        <v>2018-2021</v>
      </c>
    </row>
    <row r="4358" spans="1:9" x14ac:dyDescent="0.3">
      <c r="A4358" t="s">
        <v>20</v>
      </c>
      <c r="B4358">
        <v>2021</v>
      </c>
      <c r="C4358" t="s">
        <v>9</v>
      </c>
      <c r="D4358">
        <v>46520.88</v>
      </c>
      <c r="E4358">
        <v>39478.68</v>
      </c>
      <c r="F4358">
        <v>151.88</v>
      </c>
      <c r="G4358">
        <v>999.48</v>
      </c>
      <c r="H4358">
        <f>E4358*1000000/D4358</f>
        <v>848622.81195024692</v>
      </c>
      <c r="I4358" t="str">
        <f>IF(AND(B4358&gt;=2018, B4358&lt;=2021), "2018-2021", IF(AND(B4358&gt;=2022, B4358&lt;=2024), "2022-2024", "Other"))</f>
        <v>2018-2021</v>
      </c>
    </row>
    <row r="4359" spans="1:9" x14ac:dyDescent="0.3">
      <c r="A4359" t="s">
        <v>10</v>
      </c>
      <c r="B4359">
        <v>2022</v>
      </c>
      <c r="C4359" t="s">
        <v>6</v>
      </c>
      <c r="D4359">
        <v>31463.73</v>
      </c>
      <c r="E4359">
        <v>28077.99</v>
      </c>
      <c r="F4359">
        <v>132.09</v>
      </c>
      <c r="G4359">
        <v>726.58</v>
      </c>
      <c r="H4359">
        <f>E4359*1000000/D4359</f>
        <v>892392.28788195166</v>
      </c>
      <c r="I4359" t="str">
        <f>IF(AND(B4359&gt;=2018, B4359&lt;=2021), "2018-2021", IF(AND(B4359&gt;=2022, B4359&lt;=2024), "2022-2024", "Other"))</f>
        <v>2022-2024</v>
      </c>
    </row>
    <row r="4360" spans="1:9" x14ac:dyDescent="0.3">
      <c r="A4360" t="s">
        <v>20</v>
      </c>
      <c r="B4360">
        <v>2021</v>
      </c>
      <c r="C4360" t="s">
        <v>9</v>
      </c>
      <c r="D4360">
        <v>3453.37</v>
      </c>
      <c r="E4360">
        <v>3784.44</v>
      </c>
      <c r="F4360">
        <v>192.15</v>
      </c>
      <c r="G4360">
        <v>1086.8800000000001</v>
      </c>
      <c r="H4360">
        <f>E4360*1000000/D4360</f>
        <v>1095868.6732090684</v>
      </c>
      <c r="I4360" t="str">
        <f>IF(AND(B4360&gt;=2018, B4360&lt;=2021), "2018-2021", IF(AND(B4360&gt;=2022, B4360&lt;=2024), "2022-2024", "Other"))</f>
        <v>2018-2021</v>
      </c>
    </row>
    <row r="4361" spans="1:9" x14ac:dyDescent="0.3">
      <c r="A4361" t="s">
        <v>5</v>
      </c>
      <c r="B4361">
        <v>2022</v>
      </c>
      <c r="C4361" t="s">
        <v>4</v>
      </c>
      <c r="D4361">
        <v>26277.31</v>
      </c>
      <c r="E4361">
        <v>30674.720000000001</v>
      </c>
      <c r="F4361">
        <v>20.75</v>
      </c>
      <c r="G4361">
        <v>656.63</v>
      </c>
      <c r="H4361">
        <f>E4361*1000000/D4361</f>
        <v>1167346.277073262</v>
      </c>
      <c r="I4361" t="str">
        <f>IF(AND(B4361&gt;=2018, B4361&lt;=2021), "2018-2021", IF(AND(B4361&gt;=2022, B4361&lt;=2024), "2022-2024", "Other"))</f>
        <v>2022-2024</v>
      </c>
    </row>
    <row r="4362" spans="1:9" x14ac:dyDescent="0.3">
      <c r="A4362" t="s">
        <v>25</v>
      </c>
      <c r="B4362">
        <v>2018</v>
      </c>
      <c r="C4362" t="s">
        <v>14</v>
      </c>
      <c r="D4362">
        <v>41442.17</v>
      </c>
      <c r="E4362">
        <v>49120.49</v>
      </c>
      <c r="F4362">
        <v>143.82</v>
      </c>
      <c r="G4362">
        <v>88.96</v>
      </c>
      <c r="H4362">
        <f>E4362*1000000/D4362</f>
        <v>1185277.9427332112</v>
      </c>
      <c r="I4362" t="str">
        <f>IF(AND(B4362&gt;=2018, B4362&lt;=2021), "2018-2021", IF(AND(B4362&gt;=2022, B4362&lt;=2024), "2022-2024", "Other"))</f>
        <v>2018-2021</v>
      </c>
    </row>
    <row r="4363" spans="1:9" x14ac:dyDescent="0.3">
      <c r="A4363" t="s">
        <v>25</v>
      </c>
      <c r="B4363">
        <v>2018</v>
      </c>
      <c r="C4363" t="s">
        <v>0</v>
      </c>
      <c r="D4363">
        <v>7407.11</v>
      </c>
      <c r="E4363">
        <v>8434.11</v>
      </c>
      <c r="F4363">
        <v>65.06</v>
      </c>
      <c r="G4363">
        <v>946.68</v>
      </c>
      <c r="H4363">
        <f>E4363*1000000/D4363</f>
        <v>1138650.566820258</v>
      </c>
      <c r="I4363" t="str">
        <f>IF(AND(B4363&gt;=2018, B4363&lt;=2021), "2018-2021", IF(AND(B4363&gt;=2022, B4363&lt;=2024), "2022-2024", "Other"))</f>
        <v>2018-2021</v>
      </c>
    </row>
    <row r="4364" spans="1:9" x14ac:dyDescent="0.3">
      <c r="A4364" t="s">
        <v>13</v>
      </c>
      <c r="B4364">
        <v>2021</v>
      </c>
      <c r="C4364" t="s">
        <v>6</v>
      </c>
      <c r="D4364">
        <v>7622.58</v>
      </c>
      <c r="E4364">
        <v>6157.83</v>
      </c>
      <c r="F4364">
        <v>134.33000000000001</v>
      </c>
      <c r="G4364">
        <v>432.37</v>
      </c>
      <c r="H4364">
        <f>E4364*1000000/D4364</f>
        <v>807840.65237754153</v>
      </c>
      <c r="I4364" t="str">
        <f>IF(AND(B4364&gt;=2018, B4364&lt;=2021), "2018-2021", IF(AND(B4364&gt;=2022, B4364&lt;=2024), "2022-2024", "Other"))</f>
        <v>2018-2021</v>
      </c>
    </row>
    <row r="4365" spans="1:9" x14ac:dyDescent="0.3">
      <c r="A4365" t="s">
        <v>13</v>
      </c>
      <c r="B4365">
        <v>2022</v>
      </c>
      <c r="C4365" t="s">
        <v>2</v>
      </c>
      <c r="D4365">
        <v>30652.52</v>
      </c>
      <c r="E4365">
        <v>26069.74</v>
      </c>
      <c r="F4365">
        <v>76.599999999999994</v>
      </c>
      <c r="G4365">
        <v>112.13</v>
      </c>
      <c r="H4365">
        <f>E4365*1000000/D4365</f>
        <v>850492.55330393719</v>
      </c>
      <c r="I4365" t="str">
        <f>IF(AND(B4365&gt;=2018, B4365&lt;=2021), "2018-2021", IF(AND(B4365&gt;=2022, B4365&lt;=2024), "2022-2024", "Other"))</f>
        <v>2022-2024</v>
      </c>
    </row>
    <row r="4366" spans="1:9" x14ac:dyDescent="0.3">
      <c r="A4366" t="s">
        <v>21</v>
      </c>
      <c r="B4366">
        <v>2020</v>
      </c>
      <c r="C4366" t="s">
        <v>4</v>
      </c>
      <c r="D4366">
        <v>36153.21</v>
      </c>
      <c r="E4366">
        <v>36870.870000000003</v>
      </c>
      <c r="F4366">
        <v>176.39</v>
      </c>
      <c r="G4366">
        <v>1120.5899999999999</v>
      </c>
      <c r="H4366">
        <f>E4366*1000000/D4366</f>
        <v>1019850.5194974388</v>
      </c>
      <c r="I4366" t="str">
        <f>IF(AND(B4366&gt;=2018, B4366&lt;=2021), "2018-2021", IF(AND(B4366&gt;=2022, B4366&lt;=2024), "2022-2024", "Other"))</f>
        <v>2018-2021</v>
      </c>
    </row>
    <row r="4367" spans="1:9" x14ac:dyDescent="0.3">
      <c r="A4367" t="s">
        <v>25</v>
      </c>
      <c r="B4367">
        <v>2023</v>
      </c>
      <c r="C4367" t="s">
        <v>12</v>
      </c>
      <c r="D4367">
        <v>11603.07</v>
      </c>
      <c r="E4367">
        <v>11644.19</v>
      </c>
      <c r="F4367">
        <v>26.14</v>
      </c>
      <c r="G4367">
        <v>140.02000000000001</v>
      </c>
      <c r="H4367">
        <f>E4367*1000000/D4367</f>
        <v>1003543.8896774733</v>
      </c>
      <c r="I4367" t="str">
        <f>IF(AND(B4367&gt;=2018, B4367&lt;=2021), "2018-2021", IF(AND(B4367&gt;=2022, B4367&lt;=2024), "2022-2024", "Other"))</f>
        <v>2022-2024</v>
      </c>
    </row>
    <row r="4368" spans="1:9" x14ac:dyDescent="0.3">
      <c r="A4368" t="s">
        <v>19</v>
      </c>
      <c r="B4368">
        <v>2019</v>
      </c>
      <c r="C4368" t="s">
        <v>4</v>
      </c>
      <c r="D4368">
        <v>33343.15</v>
      </c>
      <c r="E4368">
        <v>26737.93</v>
      </c>
      <c r="F4368">
        <v>167.41</v>
      </c>
      <c r="G4368">
        <v>795.46</v>
      </c>
      <c r="H4368">
        <f>E4368*1000000/D4368</f>
        <v>801901.73993758834</v>
      </c>
      <c r="I4368" t="str">
        <f>IF(AND(B4368&gt;=2018, B4368&lt;=2021), "2018-2021", IF(AND(B4368&gt;=2022, B4368&lt;=2024), "2022-2024", "Other"))</f>
        <v>2018-2021</v>
      </c>
    </row>
    <row r="4369" spans="1:9" x14ac:dyDescent="0.3">
      <c r="A4369" t="s">
        <v>7</v>
      </c>
      <c r="B4369">
        <v>2023</v>
      </c>
      <c r="C4369" t="s">
        <v>0</v>
      </c>
      <c r="D4369">
        <v>11475.82</v>
      </c>
      <c r="E4369">
        <v>12885.65</v>
      </c>
      <c r="F4369">
        <v>136.27000000000001</v>
      </c>
      <c r="G4369">
        <v>20.81</v>
      </c>
      <c r="H4369">
        <f>E4369*1000000/D4369</f>
        <v>1122852.2231962509</v>
      </c>
      <c r="I4369" t="str">
        <f>IF(AND(B4369&gt;=2018, B4369&lt;=2021), "2018-2021", IF(AND(B4369&gt;=2022, B4369&lt;=2024), "2022-2024", "Other"))</f>
        <v>2022-2024</v>
      </c>
    </row>
    <row r="4370" spans="1:9" x14ac:dyDescent="0.3">
      <c r="A4370" t="s">
        <v>19</v>
      </c>
      <c r="B4370">
        <v>2024</v>
      </c>
      <c r="C4370" t="s">
        <v>8</v>
      </c>
      <c r="D4370">
        <v>10072.959999999999</v>
      </c>
      <c r="E4370">
        <v>9513.0400000000009</v>
      </c>
      <c r="F4370">
        <v>181.16</v>
      </c>
      <c r="G4370">
        <v>27.82</v>
      </c>
      <c r="H4370">
        <f>E4370*1000000/D4370</f>
        <v>944413.55867590068</v>
      </c>
      <c r="I4370" t="str">
        <f>IF(AND(B4370&gt;=2018, B4370&lt;=2021), "2018-2021", IF(AND(B4370&gt;=2022, B4370&lt;=2024), "2022-2024", "Other"))</f>
        <v>2022-2024</v>
      </c>
    </row>
    <row r="4371" spans="1:9" x14ac:dyDescent="0.3">
      <c r="A4371" t="s">
        <v>23</v>
      </c>
      <c r="B4371">
        <v>2024</v>
      </c>
      <c r="C4371" t="s">
        <v>6</v>
      </c>
      <c r="D4371">
        <v>34364.949999999997</v>
      </c>
      <c r="E4371">
        <v>32364.26</v>
      </c>
      <c r="F4371">
        <v>80.989999999999995</v>
      </c>
      <c r="G4371">
        <v>117.11</v>
      </c>
      <c r="H4371">
        <f>E4371*1000000/D4371</f>
        <v>941781.08799809113</v>
      </c>
      <c r="I4371" t="str">
        <f>IF(AND(B4371&gt;=2018, B4371&lt;=2021), "2018-2021", IF(AND(B4371&gt;=2022, B4371&lt;=2024), "2022-2024", "Other"))</f>
        <v>2022-2024</v>
      </c>
    </row>
    <row r="4372" spans="1:9" x14ac:dyDescent="0.3">
      <c r="A4372" t="s">
        <v>20</v>
      </c>
      <c r="B4372">
        <v>2019</v>
      </c>
      <c r="C4372" t="s">
        <v>2</v>
      </c>
      <c r="D4372">
        <v>14796.52</v>
      </c>
      <c r="E4372">
        <v>16707.61</v>
      </c>
      <c r="F4372">
        <v>92.42</v>
      </c>
      <c r="G4372">
        <v>703.18</v>
      </c>
      <c r="H4372">
        <f>E4372*1000000/D4372</f>
        <v>1129158.0723034875</v>
      </c>
      <c r="I4372" t="str">
        <f>IF(AND(B4372&gt;=2018, B4372&lt;=2021), "2018-2021", IF(AND(B4372&gt;=2022, B4372&lt;=2024), "2022-2024", "Other"))</f>
        <v>2018-2021</v>
      </c>
    </row>
    <row r="4373" spans="1:9" x14ac:dyDescent="0.3">
      <c r="A4373" t="s">
        <v>11</v>
      </c>
      <c r="B4373">
        <v>2020</v>
      </c>
      <c r="C4373" t="s">
        <v>0</v>
      </c>
      <c r="D4373">
        <v>23360.75</v>
      </c>
      <c r="E4373">
        <v>22195.26</v>
      </c>
      <c r="F4373">
        <v>180.18</v>
      </c>
      <c r="G4373">
        <v>362.85</v>
      </c>
      <c r="H4373">
        <f>E4373*1000000/D4373</f>
        <v>950109.05043716496</v>
      </c>
      <c r="I4373" t="str">
        <f>IF(AND(B4373&gt;=2018, B4373&lt;=2021), "2018-2021", IF(AND(B4373&gt;=2022, B4373&lt;=2024), "2022-2024", "Other"))</f>
        <v>2018-2021</v>
      </c>
    </row>
    <row r="4374" spans="1:9" x14ac:dyDescent="0.3">
      <c r="A4374" t="s">
        <v>5</v>
      </c>
      <c r="B4374">
        <v>2022</v>
      </c>
      <c r="C4374" t="s">
        <v>4</v>
      </c>
      <c r="D4374">
        <v>1011.68</v>
      </c>
      <c r="E4374">
        <v>919.94</v>
      </c>
      <c r="F4374">
        <v>37.25</v>
      </c>
      <c r="G4374">
        <v>956.73</v>
      </c>
      <c r="H4374">
        <f>E4374*1000000/D4374</f>
        <v>909319.1523011229</v>
      </c>
      <c r="I4374" t="str">
        <f>IF(AND(B4374&gt;=2018, B4374&lt;=2021), "2018-2021", IF(AND(B4374&gt;=2022, B4374&lt;=2024), "2022-2024", "Other"))</f>
        <v>2022-2024</v>
      </c>
    </row>
    <row r="4375" spans="1:9" x14ac:dyDescent="0.3">
      <c r="A4375" t="s">
        <v>7</v>
      </c>
      <c r="B4375">
        <v>2018</v>
      </c>
      <c r="C4375" t="s">
        <v>2</v>
      </c>
      <c r="D4375">
        <v>27660.959999999999</v>
      </c>
      <c r="E4375">
        <v>27545.69</v>
      </c>
      <c r="F4375">
        <v>74.290000000000006</v>
      </c>
      <c r="G4375">
        <v>471.86</v>
      </c>
      <c r="H4375">
        <f>E4375*1000000/D4375</f>
        <v>995832.75490076991</v>
      </c>
      <c r="I4375" t="str">
        <f>IF(AND(B4375&gt;=2018, B4375&lt;=2021), "2018-2021", IF(AND(B4375&gt;=2022, B4375&lt;=2024), "2022-2024", "Other"))</f>
        <v>2018-2021</v>
      </c>
    </row>
    <row r="4376" spans="1:9" x14ac:dyDescent="0.3">
      <c r="A4376" t="s">
        <v>5</v>
      </c>
      <c r="B4376">
        <v>2020</v>
      </c>
      <c r="C4376" t="s">
        <v>4</v>
      </c>
      <c r="D4376">
        <v>37063.699999999997</v>
      </c>
      <c r="E4376">
        <v>38958.870000000003</v>
      </c>
      <c r="F4376">
        <v>65.78</v>
      </c>
      <c r="G4376">
        <v>970.37</v>
      </c>
      <c r="H4376">
        <f>E4376*1000000/D4376</f>
        <v>1051132.7795120294</v>
      </c>
      <c r="I4376" t="str">
        <f>IF(AND(B4376&gt;=2018, B4376&lt;=2021), "2018-2021", IF(AND(B4376&gt;=2022, B4376&lt;=2024), "2022-2024", "Other"))</f>
        <v>2018-2021</v>
      </c>
    </row>
    <row r="4377" spans="1:9" x14ac:dyDescent="0.3">
      <c r="A4377" t="s">
        <v>21</v>
      </c>
      <c r="B4377">
        <v>2024</v>
      </c>
      <c r="C4377" t="s">
        <v>8</v>
      </c>
      <c r="D4377">
        <v>9529.0300000000007</v>
      </c>
      <c r="E4377">
        <v>7712.48</v>
      </c>
      <c r="F4377">
        <v>29.71</v>
      </c>
      <c r="G4377">
        <v>205.53</v>
      </c>
      <c r="H4377">
        <f>E4377*1000000/D4377</f>
        <v>809366.74561838922</v>
      </c>
      <c r="I4377" t="str">
        <f>IF(AND(B4377&gt;=2018, B4377&lt;=2021), "2018-2021", IF(AND(B4377&gt;=2022, B4377&lt;=2024), "2022-2024", "Other"))</f>
        <v>2022-2024</v>
      </c>
    </row>
    <row r="4378" spans="1:9" x14ac:dyDescent="0.3">
      <c r="A4378" t="s">
        <v>25</v>
      </c>
      <c r="B4378">
        <v>2023</v>
      </c>
      <c r="C4378" t="s">
        <v>6</v>
      </c>
      <c r="D4378">
        <v>37980.82</v>
      </c>
      <c r="E4378">
        <v>40452.6</v>
      </c>
      <c r="F4378">
        <v>28.37</v>
      </c>
      <c r="G4378">
        <v>1076.3900000000001</v>
      </c>
      <c r="H4378">
        <f>E4378*1000000/D4378</f>
        <v>1065079.6902225914</v>
      </c>
      <c r="I4378" t="str">
        <f>IF(AND(B4378&gt;=2018, B4378&lt;=2021), "2018-2021", IF(AND(B4378&gt;=2022, B4378&lt;=2024), "2022-2024", "Other"))</f>
        <v>2022-2024</v>
      </c>
    </row>
    <row r="4379" spans="1:9" x14ac:dyDescent="0.3">
      <c r="A4379" t="s">
        <v>15</v>
      </c>
      <c r="B4379">
        <v>2021</v>
      </c>
      <c r="C4379" t="s">
        <v>6</v>
      </c>
      <c r="D4379">
        <v>16122.55</v>
      </c>
      <c r="E4379">
        <v>16004.94</v>
      </c>
      <c r="F4379">
        <v>99.02</v>
      </c>
      <c r="G4379">
        <v>974.12</v>
      </c>
      <c r="H4379">
        <f>E4379*1000000/D4379</f>
        <v>992705.24823926738</v>
      </c>
      <c r="I4379" t="str">
        <f>IF(AND(B4379&gt;=2018, B4379&lt;=2021), "2018-2021", IF(AND(B4379&gt;=2022, B4379&lt;=2024), "2022-2024", "Other"))</f>
        <v>2018-2021</v>
      </c>
    </row>
    <row r="4380" spans="1:9" x14ac:dyDescent="0.3">
      <c r="A4380" t="s">
        <v>15</v>
      </c>
      <c r="B4380">
        <v>2019</v>
      </c>
      <c r="C4380" t="s">
        <v>0</v>
      </c>
      <c r="D4380">
        <v>20978.66</v>
      </c>
      <c r="E4380">
        <v>21563.279999999999</v>
      </c>
      <c r="F4380">
        <v>44.01</v>
      </c>
      <c r="G4380">
        <v>384.7</v>
      </c>
      <c r="H4380">
        <f>E4380*1000000/D4380</f>
        <v>1027867.3661711472</v>
      </c>
      <c r="I4380" t="str">
        <f>IF(AND(B4380&gt;=2018, B4380&lt;=2021), "2018-2021", IF(AND(B4380&gt;=2022, B4380&lt;=2024), "2022-2024", "Other"))</f>
        <v>2018-2021</v>
      </c>
    </row>
    <row r="4381" spans="1:9" x14ac:dyDescent="0.3">
      <c r="A4381" t="s">
        <v>17</v>
      </c>
      <c r="B4381">
        <v>2023</v>
      </c>
      <c r="C4381" t="s">
        <v>2</v>
      </c>
      <c r="D4381">
        <v>22494.61</v>
      </c>
      <c r="E4381">
        <v>22123.439999999999</v>
      </c>
      <c r="F4381">
        <v>110.24</v>
      </c>
      <c r="G4381">
        <v>907.33</v>
      </c>
      <c r="H4381">
        <f>E4381*1000000/D4381</f>
        <v>983499.60279373592</v>
      </c>
      <c r="I4381" t="str">
        <f>IF(AND(B4381&gt;=2018, B4381&lt;=2021), "2018-2021", IF(AND(B4381&gt;=2022, B4381&lt;=2024), "2022-2024", "Other"))</f>
        <v>2022-2024</v>
      </c>
    </row>
    <row r="4382" spans="1:9" x14ac:dyDescent="0.3">
      <c r="A4382" t="s">
        <v>1</v>
      </c>
      <c r="B4382">
        <v>2023</v>
      </c>
      <c r="C4382" t="s">
        <v>8</v>
      </c>
      <c r="D4382">
        <v>21227.75</v>
      </c>
      <c r="E4382">
        <v>17377.689999999999</v>
      </c>
      <c r="F4382">
        <v>20.51</v>
      </c>
      <c r="G4382">
        <v>538.55999999999995</v>
      </c>
      <c r="H4382">
        <f>E4382*1000000/D4382</f>
        <v>818630.8016629176</v>
      </c>
      <c r="I4382" t="str">
        <f>IF(AND(B4382&gt;=2018, B4382&lt;=2021), "2018-2021", IF(AND(B4382&gt;=2022, B4382&lt;=2024), "2022-2024", "Other"))</f>
        <v>2022-2024</v>
      </c>
    </row>
    <row r="4383" spans="1:9" x14ac:dyDescent="0.3">
      <c r="A4383" t="s">
        <v>10</v>
      </c>
      <c r="B4383">
        <v>2021</v>
      </c>
      <c r="C4383" t="s">
        <v>6</v>
      </c>
      <c r="D4383">
        <v>39111.74</v>
      </c>
      <c r="E4383">
        <v>39806.89</v>
      </c>
      <c r="F4383">
        <v>51.92</v>
      </c>
      <c r="G4383">
        <v>863.99</v>
      </c>
      <c r="H4383">
        <f>E4383*1000000/D4383</f>
        <v>1017773.4358021403</v>
      </c>
      <c r="I4383" t="str">
        <f>IF(AND(B4383&gt;=2018, B4383&lt;=2021), "2018-2021", IF(AND(B4383&gt;=2022, B4383&lt;=2024), "2022-2024", "Other"))</f>
        <v>2018-2021</v>
      </c>
    </row>
    <row r="4384" spans="1:9" x14ac:dyDescent="0.3">
      <c r="A4384" t="s">
        <v>26</v>
      </c>
      <c r="B4384">
        <v>2020</v>
      </c>
      <c r="C4384" t="s">
        <v>4</v>
      </c>
      <c r="D4384">
        <v>16164.38</v>
      </c>
      <c r="E4384">
        <v>17607.22</v>
      </c>
      <c r="F4384">
        <v>151.09</v>
      </c>
      <c r="G4384">
        <v>920.06</v>
      </c>
      <c r="H4384">
        <f>E4384*1000000/D4384</f>
        <v>1089260.4603455253</v>
      </c>
      <c r="I4384" t="str">
        <f>IF(AND(B4384&gt;=2018, B4384&lt;=2021), "2018-2021", IF(AND(B4384&gt;=2022, B4384&lt;=2024), "2022-2024", "Other"))</f>
        <v>2018-2021</v>
      </c>
    </row>
    <row r="4385" spans="1:9" x14ac:dyDescent="0.3">
      <c r="A4385" t="s">
        <v>24</v>
      </c>
      <c r="B4385">
        <v>2023</v>
      </c>
      <c r="C4385" t="s">
        <v>2</v>
      </c>
      <c r="D4385">
        <v>15736.94</v>
      </c>
      <c r="E4385">
        <v>18485.23</v>
      </c>
      <c r="F4385">
        <v>42.93</v>
      </c>
      <c r="G4385">
        <v>675.35</v>
      </c>
      <c r="H4385">
        <f>E4385*1000000/D4385</f>
        <v>1174639.4152865806</v>
      </c>
      <c r="I4385" t="str">
        <f>IF(AND(B4385&gt;=2018, B4385&lt;=2021), "2018-2021", IF(AND(B4385&gt;=2022, B4385&lt;=2024), "2022-2024", "Other"))</f>
        <v>2022-2024</v>
      </c>
    </row>
    <row r="4386" spans="1:9" x14ac:dyDescent="0.3">
      <c r="A4386" t="s">
        <v>21</v>
      </c>
      <c r="B4386">
        <v>2019</v>
      </c>
      <c r="C4386" t="s">
        <v>2</v>
      </c>
      <c r="D4386">
        <v>43821.86</v>
      </c>
      <c r="E4386">
        <v>39412.04</v>
      </c>
      <c r="F4386">
        <v>46.19</v>
      </c>
      <c r="G4386">
        <v>425.07</v>
      </c>
      <c r="H4386">
        <f>E4386*1000000/D4386</f>
        <v>899369.40148136113</v>
      </c>
      <c r="I4386" t="str">
        <f>IF(AND(B4386&gt;=2018, B4386&lt;=2021), "2018-2021", IF(AND(B4386&gt;=2022, B4386&lt;=2024), "2022-2024", "Other"))</f>
        <v>2018-2021</v>
      </c>
    </row>
    <row r="4387" spans="1:9" x14ac:dyDescent="0.3">
      <c r="A4387" t="s">
        <v>27</v>
      </c>
      <c r="B4387">
        <v>2022</v>
      </c>
      <c r="C4387" t="s">
        <v>2</v>
      </c>
      <c r="D4387">
        <v>37480.14</v>
      </c>
      <c r="E4387">
        <v>30030.39</v>
      </c>
      <c r="F4387">
        <v>167.72</v>
      </c>
      <c r="G4387">
        <v>498.14</v>
      </c>
      <c r="H4387">
        <f>E4387*1000000/D4387</f>
        <v>801234.73391508148</v>
      </c>
      <c r="I4387" t="str">
        <f>IF(AND(B4387&gt;=2018, B4387&lt;=2021), "2018-2021", IF(AND(B4387&gt;=2022, B4387&lt;=2024), "2022-2024", "Other"))</f>
        <v>2022-2024</v>
      </c>
    </row>
    <row r="4388" spans="1:9" x14ac:dyDescent="0.3">
      <c r="A4388" t="s">
        <v>5</v>
      </c>
      <c r="B4388">
        <v>2019</v>
      </c>
      <c r="C4388" t="s">
        <v>12</v>
      </c>
      <c r="D4388">
        <v>3823.85</v>
      </c>
      <c r="E4388">
        <v>4044.24</v>
      </c>
      <c r="F4388">
        <v>86.78</v>
      </c>
      <c r="G4388">
        <v>1173.69</v>
      </c>
      <c r="H4388">
        <f>E4388*1000000/D4388</f>
        <v>1057635.6290126443</v>
      </c>
      <c r="I4388" t="str">
        <f>IF(AND(B4388&gt;=2018, B4388&lt;=2021), "2018-2021", IF(AND(B4388&gt;=2022, B4388&lt;=2024), "2022-2024", "Other"))</f>
        <v>2018-2021</v>
      </c>
    </row>
    <row r="4389" spans="1:9" x14ac:dyDescent="0.3">
      <c r="A4389" t="s">
        <v>11</v>
      </c>
      <c r="B4389">
        <v>2022</v>
      </c>
      <c r="C4389" t="s">
        <v>12</v>
      </c>
      <c r="D4389">
        <v>21318.41</v>
      </c>
      <c r="E4389">
        <v>25152.62</v>
      </c>
      <c r="F4389">
        <v>179.31</v>
      </c>
      <c r="G4389">
        <v>1114.25</v>
      </c>
      <c r="H4389">
        <f>E4389*1000000/D4389</f>
        <v>1179854.4075285164</v>
      </c>
      <c r="I4389" t="str">
        <f>IF(AND(B4389&gt;=2018, B4389&lt;=2021), "2018-2021", IF(AND(B4389&gt;=2022, B4389&lt;=2024), "2022-2024", "Other"))</f>
        <v>2022-2024</v>
      </c>
    </row>
    <row r="4390" spans="1:9" x14ac:dyDescent="0.3">
      <c r="A4390" t="s">
        <v>27</v>
      </c>
      <c r="B4390">
        <v>2021</v>
      </c>
      <c r="C4390" t="s">
        <v>12</v>
      </c>
      <c r="D4390">
        <v>42859.72</v>
      </c>
      <c r="E4390">
        <v>50711.06</v>
      </c>
      <c r="F4390">
        <v>127.01</v>
      </c>
      <c r="G4390">
        <v>24.58</v>
      </c>
      <c r="H4390">
        <f>E4390*1000000/D4390</f>
        <v>1183186.9176933493</v>
      </c>
      <c r="I4390" t="str">
        <f>IF(AND(B4390&gt;=2018, B4390&lt;=2021), "2018-2021", IF(AND(B4390&gt;=2022, B4390&lt;=2024), "2022-2024", "Other"))</f>
        <v>2018-2021</v>
      </c>
    </row>
    <row r="4391" spans="1:9" x14ac:dyDescent="0.3">
      <c r="A4391" t="s">
        <v>23</v>
      </c>
      <c r="B4391">
        <v>2018</v>
      </c>
      <c r="C4391" t="s">
        <v>6</v>
      </c>
      <c r="D4391">
        <v>43304.58</v>
      </c>
      <c r="E4391">
        <v>41725.589999999997</v>
      </c>
      <c r="F4391">
        <v>85</v>
      </c>
      <c r="G4391">
        <v>1108.78</v>
      </c>
      <c r="H4391">
        <f>E4391*1000000/D4391</f>
        <v>963537.57500938699</v>
      </c>
      <c r="I4391" t="str">
        <f>IF(AND(B4391&gt;=2018, B4391&lt;=2021), "2018-2021", IF(AND(B4391&gt;=2022, B4391&lt;=2024), "2022-2024", "Other"))</f>
        <v>2018-2021</v>
      </c>
    </row>
    <row r="4392" spans="1:9" x14ac:dyDescent="0.3">
      <c r="A4392" t="s">
        <v>24</v>
      </c>
      <c r="B4392">
        <v>2020</v>
      </c>
      <c r="C4392" t="s">
        <v>0</v>
      </c>
      <c r="D4392">
        <v>28093.54</v>
      </c>
      <c r="E4392">
        <v>27792.33</v>
      </c>
      <c r="F4392">
        <v>109.11</v>
      </c>
      <c r="G4392">
        <v>1386.45</v>
      </c>
      <c r="H4392">
        <f>E4392*1000000/D4392</f>
        <v>989278.31807597051</v>
      </c>
      <c r="I4392" t="str">
        <f>IF(AND(B4392&gt;=2018, B4392&lt;=2021), "2018-2021", IF(AND(B4392&gt;=2022, B4392&lt;=2024), "2022-2024", "Other"))</f>
        <v>2018-2021</v>
      </c>
    </row>
    <row r="4393" spans="1:9" x14ac:dyDescent="0.3">
      <c r="A4393" t="s">
        <v>19</v>
      </c>
      <c r="B4393">
        <v>2018</v>
      </c>
      <c r="C4393" t="s">
        <v>2</v>
      </c>
      <c r="D4393">
        <v>26293.200000000001</v>
      </c>
      <c r="E4393">
        <v>25146.6</v>
      </c>
      <c r="F4393">
        <v>105.94</v>
      </c>
      <c r="G4393">
        <v>1373.66</v>
      </c>
      <c r="H4393">
        <f>E4393*1000000/D4393</f>
        <v>956391.76669252885</v>
      </c>
      <c r="I4393" t="str">
        <f>IF(AND(B4393&gt;=2018, B4393&lt;=2021), "2018-2021", IF(AND(B4393&gt;=2022, B4393&lt;=2024), "2022-2024", "Other"))</f>
        <v>2018-2021</v>
      </c>
    </row>
    <row r="4394" spans="1:9" x14ac:dyDescent="0.3">
      <c r="A4394" t="s">
        <v>7</v>
      </c>
      <c r="B4394">
        <v>2020</v>
      </c>
      <c r="C4394" t="s">
        <v>2</v>
      </c>
      <c r="D4394">
        <v>21236.93</v>
      </c>
      <c r="E4394">
        <v>23525.599999999999</v>
      </c>
      <c r="F4394">
        <v>124.11</v>
      </c>
      <c r="G4394">
        <v>666.37</v>
      </c>
      <c r="H4394">
        <f>E4394*1000000/D4394</f>
        <v>1107768.4015533319</v>
      </c>
      <c r="I4394" t="str">
        <f>IF(AND(B4394&gt;=2018, B4394&lt;=2021), "2018-2021", IF(AND(B4394&gt;=2022, B4394&lt;=2024), "2022-2024", "Other"))</f>
        <v>2018-2021</v>
      </c>
    </row>
    <row r="4395" spans="1:9" x14ac:dyDescent="0.3">
      <c r="A4395" t="s">
        <v>16</v>
      </c>
      <c r="B4395">
        <v>2023</v>
      </c>
      <c r="C4395" t="s">
        <v>9</v>
      </c>
      <c r="D4395">
        <v>7047.63</v>
      </c>
      <c r="E4395">
        <v>7770.09</v>
      </c>
      <c r="F4395">
        <v>192.1</v>
      </c>
      <c r="G4395">
        <v>1066.28</v>
      </c>
      <c r="H4395">
        <f>E4395*1000000/D4395</f>
        <v>1102511.0569084927</v>
      </c>
      <c r="I4395" t="str">
        <f>IF(AND(B4395&gt;=2018, B4395&lt;=2021), "2018-2021", IF(AND(B4395&gt;=2022, B4395&lt;=2024), "2022-2024", "Other"))</f>
        <v>2022-2024</v>
      </c>
    </row>
    <row r="4396" spans="1:9" x14ac:dyDescent="0.3">
      <c r="A4396" t="s">
        <v>21</v>
      </c>
      <c r="B4396">
        <v>2019</v>
      </c>
      <c r="C4396" t="s">
        <v>0</v>
      </c>
      <c r="D4396">
        <v>26444.57</v>
      </c>
      <c r="E4396">
        <v>21751.45</v>
      </c>
      <c r="F4396">
        <v>122.56</v>
      </c>
      <c r="G4396">
        <v>831.79</v>
      </c>
      <c r="H4396">
        <f>E4396*1000000/D4396</f>
        <v>822529.9182403041</v>
      </c>
      <c r="I4396" t="str">
        <f>IF(AND(B4396&gt;=2018, B4396&lt;=2021), "2018-2021", IF(AND(B4396&gt;=2022, B4396&lt;=2024), "2022-2024", "Other"))</f>
        <v>2018-2021</v>
      </c>
    </row>
    <row r="4397" spans="1:9" x14ac:dyDescent="0.3">
      <c r="A4397" t="s">
        <v>21</v>
      </c>
      <c r="B4397">
        <v>2021</v>
      </c>
      <c r="C4397" t="s">
        <v>6</v>
      </c>
      <c r="D4397">
        <v>38866.800000000003</v>
      </c>
      <c r="E4397">
        <v>41263.43</v>
      </c>
      <c r="F4397">
        <v>24.9</v>
      </c>
      <c r="G4397">
        <v>644.33000000000004</v>
      </c>
      <c r="H4397">
        <f>E4397*1000000/D4397</f>
        <v>1061662.6529583088</v>
      </c>
      <c r="I4397" t="str">
        <f>IF(AND(B4397&gt;=2018, B4397&lt;=2021), "2018-2021", IF(AND(B4397&gt;=2022, B4397&lt;=2024), "2022-2024", "Other"))</f>
        <v>2018-2021</v>
      </c>
    </row>
    <row r="4398" spans="1:9" x14ac:dyDescent="0.3">
      <c r="A4398" t="s">
        <v>11</v>
      </c>
      <c r="B4398">
        <v>2020</v>
      </c>
      <c r="C4398" t="s">
        <v>9</v>
      </c>
      <c r="D4398">
        <v>49872.89</v>
      </c>
      <c r="E4398">
        <v>52126.46</v>
      </c>
      <c r="F4398">
        <v>149.75</v>
      </c>
      <c r="G4398">
        <v>970.59</v>
      </c>
      <c r="H4398">
        <f>E4398*1000000/D4398</f>
        <v>1045186.2725420564</v>
      </c>
      <c r="I4398" t="str">
        <f>IF(AND(B4398&gt;=2018, B4398&lt;=2021), "2018-2021", IF(AND(B4398&gt;=2022, B4398&lt;=2024), "2022-2024", "Other"))</f>
        <v>2018-2021</v>
      </c>
    </row>
    <row r="4399" spans="1:9" x14ac:dyDescent="0.3">
      <c r="A4399" t="s">
        <v>18</v>
      </c>
      <c r="B4399">
        <v>2022</v>
      </c>
      <c r="C4399" t="s">
        <v>0</v>
      </c>
      <c r="D4399">
        <v>574.78</v>
      </c>
      <c r="E4399">
        <v>680.3</v>
      </c>
      <c r="F4399">
        <v>75.400000000000006</v>
      </c>
      <c r="G4399">
        <v>1104.8699999999999</v>
      </c>
      <c r="H4399">
        <f>E4399*1000000/D4399</f>
        <v>1183583.2840391106</v>
      </c>
      <c r="I4399" t="str">
        <f>IF(AND(B4399&gt;=2018, B4399&lt;=2021), "2018-2021", IF(AND(B4399&gt;=2022, B4399&lt;=2024), "2022-2024", "Other"))</f>
        <v>2022-2024</v>
      </c>
    </row>
    <row r="4400" spans="1:9" x14ac:dyDescent="0.3">
      <c r="A4400" t="s">
        <v>16</v>
      </c>
      <c r="B4400">
        <v>2022</v>
      </c>
      <c r="C4400" t="s">
        <v>6</v>
      </c>
      <c r="D4400">
        <v>6744.99</v>
      </c>
      <c r="E4400">
        <v>6123.36</v>
      </c>
      <c r="F4400">
        <v>28.23</v>
      </c>
      <c r="G4400">
        <v>1308.31</v>
      </c>
      <c r="H4400">
        <f>E4400*1000000/D4400</f>
        <v>907838.26217681565</v>
      </c>
      <c r="I4400" t="str">
        <f>IF(AND(B4400&gt;=2018, B4400&lt;=2021), "2018-2021", IF(AND(B4400&gt;=2022, B4400&lt;=2024), "2022-2024", "Other"))</f>
        <v>2022-2024</v>
      </c>
    </row>
    <row r="4401" spans="1:9" x14ac:dyDescent="0.3">
      <c r="A4401" t="s">
        <v>26</v>
      </c>
      <c r="B4401">
        <v>2023</v>
      </c>
      <c r="C4401" t="s">
        <v>2</v>
      </c>
      <c r="D4401">
        <v>25544.81</v>
      </c>
      <c r="E4401">
        <v>20534.78</v>
      </c>
      <c r="F4401">
        <v>83.1</v>
      </c>
      <c r="G4401">
        <v>254.13</v>
      </c>
      <c r="H4401">
        <f>E4401*1000000/D4401</f>
        <v>803872.88063602743</v>
      </c>
      <c r="I4401" t="str">
        <f>IF(AND(B4401&gt;=2018, B4401&lt;=2021), "2018-2021", IF(AND(B4401&gt;=2022, B4401&lt;=2024), "2022-2024", "Other"))</f>
        <v>2022-2024</v>
      </c>
    </row>
    <row r="4402" spans="1:9" x14ac:dyDescent="0.3">
      <c r="A4402" t="s">
        <v>5</v>
      </c>
      <c r="B4402">
        <v>2023</v>
      </c>
      <c r="C4402" t="s">
        <v>4</v>
      </c>
      <c r="D4402">
        <v>31227.83</v>
      </c>
      <c r="E4402">
        <v>27531.759999999998</v>
      </c>
      <c r="F4402">
        <v>175.43</v>
      </c>
      <c r="G4402">
        <v>426.57</v>
      </c>
      <c r="H4402">
        <f>E4402*1000000/D4402</f>
        <v>881641.79195288301</v>
      </c>
      <c r="I4402" t="str">
        <f>IF(AND(B4402&gt;=2018, B4402&lt;=2021), "2018-2021", IF(AND(B4402&gt;=2022, B4402&lt;=2024), "2022-2024", "Other"))</f>
        <v>2022-2024</v>
      </c>
    </row>
    <row r="4403" spans="1:9" x14ac:dyDescent="0.3">
      <c r="A4403" t="s">
        <v>16</v>
      </c>
      <c r="B4403">
        <v>2021</v>
      </c>
      <c r="C4403" t="s">
        <v>12</v>
      </c>
      <c r="D4403">
        <v>30956.74</v>
      </c>
      <c r="E4403">
        <v>31992.48</v>
      </c>
      <c r="F4403">
        <v>137.76</v>
      </c>
      <c r="G4403">
        <v>776.66</v>
      </c>
      <c r="H4403">
        <f>E4403*1000000/D4403</f>
        <v>1033457.6573631461</v>
      </c>
      <c r="I4403" t="str">
        <f>IF(AND(B4403&gt;=2018, B4403&lt;=2021), "2018-2021", IF(AND(B4403&gt;=2022, B4403&lt;=2024), "2022-2024", "Other"))</f>
        <v>2018-2021</v>
      </c>
    </row>
    <row r="4404" spans="1:9" x14ac:dyDescent="0.3">
      <c r="A4404" t="s">
        <v>11</v>
      </c>
      <c r="B4404">
        <v>2023</v>
      </c>
      <c r="C4404" t="s">
        <v>0</v>
      </c>
      <c r="D4404">
        <v>34812.379999999997</v>
      </c>
      <c r="E4404">
        <v>40287.24</v>
      </c>
      <c r="F4404">
        <v>113.55</v>
      </c>
      <c r="G4404">
        <v>948.77</v>
      </c>
      <c r="H4404">
        <f>E4404*1000000/D4404</f>
        <v>1157267.6157160182</v>
      </c>
      <c r="I4404" t="str">
        <f>IF(AND(B4404&gt;=2018, B4404&lt;=2021), "2018-2021", IF(AND(B4404&gt;=2022, B4404&lt;=2024), "2022-2024", "Other"))</f>
        <v>2022-2024</v>
      </c>
    </row>
    <row r="4405" spans="1:9" x14ac:dyDescent="0.3">
      <c r="A4405" t="s">
        <v>11</v>
      </c>
      <c r="B4405">
        <v>2024</v>
      </c>
      <c r="C4405" t="s">
        <v>14</v>
      </c>
      <c r="D4405">
        <v>6165.28</v>
      </c>
      <c r="E4405">
        <v>6649.18</v>
      </c>
      <c r="F4405">
        <v>59.55</v>
      </c>
      <c r="G4405">
        <v>587.30999999999995</v>
      </c>
      <c r="H4405">
        <f>E4405*1000000/D4405</f>
        <v>1078487.91944567</v>
      </c>
      <c r="I4405" t="str">
        <f>IF(AND(B4405&gt;=2018, B4405&lt;=2021), "2018-2021", IF(AND(B4405&gt;=2022, B4405&lt;=2024), "2022-2024", "Other"))</f>
        <v>2022-2024</v>
      </c>
    </row>
    <row r="4406" spans="1:9" x14ac:dyDescent="0.3">
      <c r="A4406" t="s">
        <v>10</v>
      </c>
      <c r="B4406">
        <v>2023</v>
      </c>
      <c r="C4406" t="s">
        <v>6</v>
      </c>
      <c r="D4406">
        <v>7564.96</v>
      </c>
      <c r="E4406">
        <v>8080.02</v>
      </c>
      <c r="F4406">
        <v>84.93</v>
      </c>
      <c r="G4406">
        <v>622.85</v>
      </c>
      <c r="H4406">
        <f>E4406*1000000/D4406</f>
        <v>1068084.960131977</v>
      </c>
      <c r="I4406" t="str">
        <f>IF(AND(B4406&gt;=2018, B4406&lt;=2021), "2018-2021", IF(AND(B4406&gt;=2022, B4406&lt;=2024), "2022-2024", "Other"))</f>
        <v>2022-2024</v>
      </c>
    </row>
    <row r="4407" spans="1:9" x14ac:dyDescent="0.3">
      <c r="A4407" t="s">
        <v>16</v>
      </c>
      <c r="B4407">
        <v>2021</v>
      </c>
      <c r="C4407" t="s">
        <v>12</v>
      </c>
      <c r="D4407">
        <v>39467.81</v>
      </c>
      <c r="E4407">
        <v>44238.51</v>
      </c>
      <c r="F4407">
        <v>160.81</v>
      </c>
      <c r="G4407">
        <v>1064.83</v>
      </c>
      <c r="H4407">
        <f>E4407*1000000/D4407</f>
        <v>1120875.721252332</v>
      </c>
      <c r="I4407" t="str">
        <f>IF(AND(B4407&gt;=2018, B4407&lt;=2021), "2018-2021", IF(AND(B4407&gt;=2022, B4407&lt;=2024), "2022-2024", "Other"))</f>
        <v>2018-2021</v>
      </c>
    </row>
    <row r="4408" spans="1:9" x14ac:dyDescent="0.3">
      <c r="A4408" t="s">
        <v>15</v>
      </c>
      <c r="B4408">
        <v>2021</v>
      </c>
      <c r="C4408" t="s">
        <v>14</v>
      </c>
      <c r="D4408">
        <v>2575.08</v>
      </c>
      <c r="E4408">
        <v>2948.07</v>
      </c>
      <c r="F4408">
        <v>144.91999999999999</v>
      </c>
      <c r="G4408">
        <v>761.84</v>
      </c>
      <c r="H4408">
        <f>E4408*1000000/D4408</f>
        <v>1144845.985367445</v>
      </c>
      <c r="I4408" t="str">
        <f>IF(AND(B4408&gt;=2018, B4408&lt;=2021), "2018-2021", IF(AND(B4408&gt;=2022, B4408&lt;=2024), "2022-2024", "Other"))</f>
        <v>2018-2021</v>
      </c>
    </row>
    <row r="4409" spans="1:9" x14ac:dyDescent="0.3">
      <c r="A4409" t="s">
        <v>1</v>
      </c>
      <c r="B4409">
        <v>2018</v>
      </c>
      <c r="C4409" t="s">
        <v>4</v>
      </c>
      <c r="D4409">
        <v>29641.32</v>
      </c>
      <c r="E4409">
        <v>30420.81</v>
      </c>
      <c r="F4409">
        <v>178.31</v>
      </c>
      <c r="G4409">
        <v>153.55000000000001</v>
      </c>
      <c r="H4409">
        <f>E4409*1000000/D4409</f>
        <v>1026297.4118561521</v>
      </c>
      <c r="I4409" t="str">
        <f>IF(AND(B4409&gt;=2018, B4409&lt;=2021), "2018-2021", IF(AND(B4409&gt;=2022, B4409&lt;=2024), "2022-2024", "Other"))</f>
        <v>2018-2021</v>
      </c>
    </row>
    <row r="4410" spans="1:9" x14ac:dyDescent="0.3">
      <c r="A4410" t="s">
        <v>23</v>
      </c>
      <c r="B4410">
        <v>2024</v>
      </c>
      <c r="C4410" t="s">
        <v>4</v>
      </c>
      <c r="D4410">
        <v>44974.080000000002</v>
      </c>
      <c r="E4410">
        <v>51881.79</v>
      </c>
      <c r="F4410">
        <v>35.979999999999997</v>
      </c>
      <c r="G4410">
        <v>309.36</v>
      </c>
      <c r="H4410">
        <f>E4410*1000000/D4410</f>
        <v>1153593.136313183</v>
      </c>
      <c r="I4410" t="str">
        <f>IF(AND(B4410&gt;=2018, B4410&lt;=2021), "2018-2021", IF(AND(B4410&gt;=2022, B4410&lt;=2024), "2022-2024", "Other"))</f>
        <v>2022-2024</v>
      </c>
    </row>
    <row r="4411" spans="1:9" x14ac:dyDescent="0.3">
      <c r="A4411" t="s">
        <v>19</v>
      </c>
      <c r="B4411">
        <v>2019</v>
      </c>
      <c r="C4411" t="s">
        <v>14</v>
      </c>
      <c r="D4411">
        <v>49647.16</v>
      </c>
      <c r="E4411">
        <v>56893.55</v>
      </c>
      <c r="F4411">
        <v>144.88</v>
      </c>
      <c r="G4411">
        <v>884.84</v>
      </c>
      <c r="H4411">
        <f>E4411*1000000/D4411</f>
        <v>1145957.7949675268</v>
      </c>
      <c r="I4411" t="str">
        <f>IF(AND(B4411&gt;=2018, B4411&lt;=2021), "2018-2021", IF(AND(B4411&gt;=2022, B4411&lt;=2024), "2022-2024", "Other"))</f>
        <v>2018-2021</v>
      </c>
    </row>
    <row r="4412" spans="1:9" x14ac:dyDescent="0.3">
      <c r="A4412" t="s">
        <v>10</v>
      </c>
      <c r="B4412">
        <v>2024</v>
      </c>
      <c r="C4412" t="s">
        <v>8</v>
      </c>
      <c r="D4412">
        <v>19391.400000000001</v>
      </c>
      <c r="E4412">
        <v>22473.119999999999</v>
      </c>
      <c r="F4412">
        <v>145.34</v>
      </c>
      <c r="G4412">
        <v>954.1</v>
      </c>
      <c r="H4412">
        <f>E4412*1000000/D4412</f>
        <v>1158921.9963488968</v>
      </c>
      <c r="I4412" t="str">
        <f>IF(AND(B4412&gt;=2018, B4412&lt;=2021), "2018-2021", IF(AND(B4412&gt;=2022, B4412&lt;=2024), "2022-2024", "Other"))</f>
        <v>2022-2024</v>
      </c>
    </row>
    <row r="4413" spans="1:9" x14ac:dyDescent="0.3">
      <c r="A4413" t="s">
        <v>3</v>
      </c>
      <c r="B4413">
        <v>2024</v>
      </c>
      <c r="C4413" t="s">
        <v>12</v>
      </c>
      <c r="D4413">
        <v>22251.13</v>
      </c>
      <c r="E4413">
        <v>22714.85</v>
      </c>
      <c r="F4413">
        <v>64.89</v>
      </c>
      <c r="G4413">
        <v>1289.83</v>
      </c>
      <c r="H4413">
        <f>E4413*1000000/D4413</f>
        <v>1020840.289908872</v>
      </c>
      <c r="I4413" t="str">
        <f>IF(AND(B4413&gt;=2018, B4413&lt;=2021), "2018-2021", IF(AND(B4413&gt;=2022, B4413&lt;=2024), "2022-2024", "Other"))</f>
        <v>2022-2024</v>
      </c>
    </row>
    <row r="4414" spans="1:9" x14ac:dyDescent="0.3">
      <c r="A4414" t="s">
        <v>3</v>
      </c>
      <c r="B4414">
        <v>2021</v>
      </c>
      <c r="C4414" t="s">
        <v>9</v>
      </c>
      <c r="D4414">
        <v>7127.97</v>
      </c>
      <c r="E4414">
        <v>6705.08</v>
      </c>
      <c r="F4414">
        <v>20.71</v>
      </c>
      <c r="G4414">
        <v>697.57</v>
      </c>
      <c r="H4414">
        <f>E4414*1000000/D4414</f>
        <v>940671.74805730104</v>
      </c>
      <c r="I4414" t="str">
        <f>IF(AND(B4414&gt;=2018, B4414&lt;=2021), "2018-2021", IF(AND(B4414&gt;=2022, B4414&lt;=2024), "2022-2024", "Other"))</f>
        <v>2018-2021</v>
      </c>
    </row>
    <row r="4415" spans="1:9" x14ac:dyDescent="0.3">
      <c r="A4415" t="s">
        <v>25</v>
      </c>
      <c r="B4415">
        <v>2023</v>
      </c>
      <c r="C4415" t="s">
        <v>9</v>
      </c>
      <c r="D4415">
        <v>2719.91</v>
      </c>
      <c r="E4415">
        <v>2582.0100000000002</v>
      </c>
      <c r="F4415">
        <v>27.85</v>
      </c>
      <c r="G4415">
        <v>361.98</v>
      </c>
      <c r="H4415">
        <f>E4415*1000000/D4415</f>
        <v>949299.79300785693</v>
      </c>
      <c r="I4415" t="str">
        <f>IF(AND(B4415&gt;=2018, B4415&lt;=2021), "2018-2021", IF(AND(B4415&gt;=2022, B4415&lt;=2024), "2022-2024", "Other"))</f>
        <v>2022-2024</v>
      </c>
    </row>
    <row r="4416" spans="1:9" x14ac:dyDescent="0.3">
      <c r="A4416" t="s">
        <v>17</v>
      </c>
      <c r="B4416">
        <v>2024</v>
      </c>
      <c r="C4416" t="s">
        <v>9</v>
      </c>
      <c r="D4416">
        <v>43993.85</v>
      </c>
      <c r="E4416">
        <v>51377.53</v>
      </c>
      <c r="F4416">
        <v>93.19</v>
      </c>
      <c r="G4416">
        <v>827.64</v>
      </c>
      <c r="H4416">
        <f>E4416*1000000/D4416</f>
        <v>1167834.3677582208</v>
      </c>
      <c r="I4416" t="str">
        <f>IF(AND(B4416&gt;=2018, B4416&lt;=2021), "2018-2021", IF(AND(B4416&gt;=2022, B4416&lt;=2024), "2022-2024", "Other"))</f>
        <v>2022-2024</v>
      </c>
    </row>
    <row r="4417" spans="1:9" x14ac:dyDescent="0.3">
      <c r="A4417" t="s">
        <v>23</v>
      </c>
      <c r="B4417">
        <v>2019</v>
      </c>
      <c r="C4417" t="s">
        <v>6</v>
      </c>
      <c r="D4417">
        <v>20260.04</v>
      </c>
      <c r="E4417">
        <v>18393.599999999999</v>
      </c>
      <c r="F4417">
        <v>116.36</v>
      </c>
      <c r="G4417">
        <v>1054</v>
      </c>
      <c r="H4417">
        <f>E4417*1000000/D4417</f>
        <v>907875.79886318091</v>
      </c>
      <c r="I4417" t="str">
        <f>IF(AND(B4417&gt;=2018, B4417&lt;=2021), "2018-2021", IF(AND(B4417&gt;=2022, B4417&lt;=2024), "2022-2024", "Other"))</f>
        <v>2018-2021</v>
      </c>
    </row>
    <row r="4418" spans="1:9" x14ac:dyDescent="0.3">
      <c r="A4418" t="s">
        <v>26</v>
      </c>
      <c r="B4418">
        <v>2024</v>
      </c>
      <c r="C4418" t="s">
        <v>9</v>
      </c>
      <c r="D4418">
        <v>36252.86</v>
      </c>
      <c r="E4418">
        <v>40806</v>
      </c>
      <c r="F4418">
        <v>124.33</v>
      </c>
      <c r="G4418">
        <v>948.36</v>
      </c>
      <c r="H4418">
        <f>E4418*1000000/D4418</f>
        <v>1125593.9531391454</v>
      </c>
      <c r="I4418" t="str">
        <f>IF(AND(B4418&gt;=2018, B4418&lt;=2021), "2018-2021", IF(AND(B4418&gt;=2022, B4418&lt;=2024), "2022-2024", "Other"))</f>
        <v>2022-2024</v>
      </c>
    </row>
    <row r="4419" spans="1:9" x14ac:dyDescent="0.3">
      <c r="A4419" t="s">
        <v>15</v>
      </c>
      <c r="B4419">
        <v>2022</v>
      </c>
      <c r="C4419" t="s">
        <v>8</v>
      </c>
      <c r="D4419">
        <v>29993.64</v>
      </c>
      <c r="E4419">
        <v>26143.71</v>
      </c>
      <c r="F4419">
        <v>170.9</v>
      </c>
      <c r="G4419">
        <v>1395.33</v>
      </c>
      <c r="H4419">
        <f>E4419*1000000/D4419</f>
        <v>871641.78805906849</v>
      </c>
      <c r="I4419" t="str">
        <f>IF(AND(B4419&gt;=2018, B4419&lt;=2021), "2018-2021", IF(AND(B4419&gt;=2022, B4419&lt;=2024), "2022-2024", "Other"))</f>
        <v>2022-2024</v>
      </c>
    </row>
    <row r="4420" spans="1:9" x14ac:dyDescent="0.3">
      <c r="A4420" t="s">
        <v>19</v>
      </c>
      <c r="B4420">
        <v>2023</v>
      </c>
      <c r="C4420" t="s">
        <v>4</v>
      </c>
      <c r="D4420">
        <v>35565.43</v>
      </c>
      <c r="E4420">
        <v>32461.74</v>
      </c>
      <c r="F4420">
        <v>165.87</v>
      </c>
      <c r="G4420">
        <v>286.81</v>
      </c>
      <c r="H4420">
        <f>E4420*1000000/D4420</f>
        <v>912732.95444480772</v>
      </c>
      <c r="I4420" t="str">
        <f>IF(AND(B4420&gt;=2018, B4420&lt;=2021), "2018-2021", IF(AND(B4420&gt;=2022, B4420&lt;=2024), "2022-2024", "Other"))</f>
        <v>2022-2024</v>
      </c>
    </row>
    <row r="4421" spans="1:9" x14ac:dyDescent="0.3">
      <c r="A4421" t="s">
        <v>7</v>
      </c>
      <c r="B4421">
        <v>2021</v>
      </c>
      <c r="C4421" t="s">
        <v>12</v>
      </c>
      <c r="D4421">
        <v>22829.41</v>
      </c>
      <c r="E4421">
        <v>24110.26</v>
      </c>
      <c r="F4421">
        <v>40.64</v>
      </c>
      <c r="G4421">
        <v>900.54</v>
      </c>
      <c r="H4421">
        <f>E4421*1000000/D4421</f>
        <v>1056105.2607141403</v>
      </c>
      <c r="I4421" t="str">
        <f>IF(AND(B4421&gt;=2018, B4421&lt;=2021), "2018-2021", IF(AND(B4421&gt;=2022, B4421&lt;=2024), "2022-2024", "Other"))</f>
        <v>2018-2021</v>
      </c>
    </row>
    <row r="4422" spans="1:9" x14ac:dyDescent="0.3">
      <c r="A4422" t="s">
        <v>13</v>
      </c>
      <c r="B4422">
        <v>2024</v>
      </c>
      <c r="C4422" t="s">
        <v>4</v>
      </c>
      <c r="D4422">
        <v>42109.96</v>
      </c>
      <c r="E4422">
        <v>38051.03</v>
      </c>
      <c r="F4422">
        <v>121.87</v>
      </c>
      <c r="G4422">
        <v>153.07</v>
      </c>
      <c r="H4422">
        <f>E4422*1000000/D4422</f>
        <v>903611.16467458056</v>
      </c>
      <c r="I4422" t="str">
        <f>IF(AND(B4422&gt;=2018, B4422&lt;=2021), "2018-2021", IF(AND(B4422&gt;=2022, B4422&lt;=2024), "2022-2024", "Other"))</f>
        <v>2022-2024</v>
      </c>
    </row>
    <row r="4423" spans="1:9" x14ac:dyDescent="0.3">
      <c r="A4423" t="s">
        <v>11</v>
      </c>
      <c r="B4423">
        <v>2019</v>
      </c>
      <c r="C4423" t="s">
        <v>8</v>
      </c>
      <c r="D4423">
        <v>22940.7</v>
      </c>
      <c r="E4423">
        <v>26488.41</v>
      </c>
      <c r="F4423">
        <v>25.23</v>
      </c>
      <c r="G4423">
        <v>74.819999999999993</v>
      </c>
      <c r="H4423">
        <f>E4423*1000000/D4423</f>
        <v>1154646.9811296081</v>
      </c>
      <c r="I4423" t="str">
        <f>IF(AND(B4423&gt;=2018, B4423&lt;=2021), "2018-2021", IF(AND(B4423&gt;=2022, B4423&lt;=2024), "2022-2024", "Other"))</f>
        <v>2018-2021</v>
      </c>
    </row>
    <row r="4424" spans="1:9" x14ac:dyDescent="0.3">
      <c r="A4424" t="s">
        <v>11</v>
      </c>
      <c r="B4424">
        <v>2021</v>
      </c>
      <c r="C4424" t="s">
        <v>0</v>
      </c>
      <c r="D4424">
        <v>47715.07</v>
      </c>
      <c r="E4424">
        <v>47347.02</v>
      </c>
      <c r="F4424">
        <v>29.42</v>
      </c>
      <c r="G4424">
        <v>689.62</v>
      </c>
      <c r="H4424">
        <f>E4424*1000000/D4424</f>
        <v>992286.5040332122</v>
      </c>
      <c r="I4424" t="str">
        <f>IF(AND(B4424&gt;=2018, B4424&lt;=2021), "2018-2021", IF(AND(B4424&gt;=2022, B4424&lt;=2024), "2022-2024", "Other"))</f>
        <v>2018-2021</v>
      </c>
    </row>
    <row r="4425" spans="1:9" x14ac:dyDescent="0.3">
      <c r="A4425" t="s">
        <v>15</v>
      </c>
      <c r="B4425">
        <v>2018</v>
      </c>
      <c r="C4425" t="s">
        <v>2</v>
      </c>
      <c r="D4425">
        <v>11103.8</v>
      </c>
      <c r="E4425">
        <v>10173.77</v>
      </c>
      <c r="F4425">
        <v>70.209999999999994</v>
      </c>
      <c r="G4425">
        <v>490.84</v>
      </c>
      <c r="H4425">
        <f>E4425*1000000/D4425</f>
        <v>916242.18735928251</v>
      </c>
      <c r="I4425" t="str">
        <f>IF(AND(B4425&gt;=2018, B4425&lt;=2021), "2018-2021", IF(AND(B4425&gt;=2022, B4425&lt;=2024), "2022-2024", "Other"))</f>
        <v>2018-2021</v>
      </c>
    </row>
    <row r="4426" spans="1:9" x14ac:dyDescent="0.3">
      <c r="A4426" t="s">
        <v>17</v>
      </c>
      <c r="B4426">
        <v>2018</v>
      </c>
      <c r="C4426" t="s">
        <v>14</v>
      </c>
      <c r="D4426">
        <v>1114.54</v>
      </c>
      <c r="E4426">
        <v>1314.03</v>
      </c>
      <c r="F4426">
        <v>109.34</v>
      </c>
      <c r="G4426">
        <v>68.91</v>
      </c>
      <c r="H4426">
        <f>E4426*1000000/D4426</f>
        <v>1178988.6410537083</v>
      </c>
      <c r="I4426" t="str">
        <f>IF(AND(B4426&gt;=2018, B4426&lt;=2021), "2018-2021", IF(AND(B4426&gt;=2022, B4426&lt;=2024), "2022-2024", "Other"))</f>
        <v>2018-2021</v>
      </c>
    </row>
    <row r="4427" spans="1:9" x14ac:dyDescent="0.3">
      <c r="A4427" t="s">
        <v>27</v>
      </c>
      <c r="B4427">
        <v>2021</v>
      </c>
      <c r="C4427" t="s">
        <v>14</v>
      </c>
      <c r="D4427">
        <v>5460.86</v>
      </c>
      <c r="E4427">
        <v>5639.52</v>
      </c>
      <c r="F4427">
        <v>53.64</v>
      </c>
      <c r="G4427">
        <v>187.44</v>
      </c>
      <c r="H4427">
        <f>E4427*1000000/D4427</f>
        <v>1032716.4585797841</v>
      </c>
      <c r="I4427" t="str">
        <f>IF(AND(B4427&gt;=2018, B4427&lt;=2021), "2018-2021", IF(AND(B4427&gt;=2022, B4427&lt;=2024), "2022-2024", "Other"))</f>
        <v>2018-2021</v>
      </c>
    </row>
    <row r="4428" spans="1:9" x14ac:dyDescent="0.3">
      <c r="A4428" t="s">
        <v>13</v>
      </c>
      <c r="B4428">
        <v>2018</v>
      </c>
      <c r="C4428" t="s">
        <v>0</v>
      </c>
      <c r="D4428">
        <v>35406.82</v>
      </c>
      <c r="E4428">
        <v>38643.839999999997</v>
      </c>
      <c r="F4428">
        <v>104.87</v>
      </c>
      <c r="G4428">
        <v>154.72999999999999</v>
      </c>
      <c r="H4428">
        <f>E4428*1000000/D4428</f>
        <v>1091423.6296849025</v>
      </c>
      <c r="I4428" t="str">
        <f>IF(AND(B4428&gt;=2018, B4428&lt;=2021), "2018-2021", IF(AND(B4428&gt;=2022, B4428&lt;=2024), "2022-2024", "Other"))</f>
        <v>2018-2021</v>
      </c>
    </row>
    <row r="4429" spans="1:9" x14ac:dyDescent="0.3">
      <c r="A4429" t="s">
        <v>18</v>
      </c>
      <c r="B4429">
        <v>2024</v>
      </c>
      <c r="C4429" t="s">
        <v>14</v>
      </c>
      <c r="D4429">
        <v>36311.050000000003</v>
      </c>
      <c r="E4429">
        <v>37535.07</v>
      </c>
      <c r="F4429">
        <v>153.46</v>
      </c>
      <c r="G4429">
        <v>255.12</v>
      </c>
      <c r="H4429">
        <f>E4429*1000000/D4429</f>
        <v>1033709.2978583653</v>
      </c>
      <c r="I4429" t="str">
        <f>IF(AND(B4429&gt;=2018, B4429&lt;=2021), "2018-2021", IF(AND(B4429&gt;=2022, B4429&lt;=2024), "2022-2024", "Other"))</f>
        <v>2022-2024</v>
      </c>
    </row>
    <row r="4430" spans="1:9" x14ac:dyDescent="0.3">
      <c r="A4430" t="s">
        <v>1</v>
      </c>
      <c r="B4430">
        <v>2018</v>
      </c>
      <c r="C4430" t="s">
        <v>2</v>
      </c>
      <c r="D4430">
        <v>47669.1</v>
      </c>
      <c r="E4430">
        <v>41733.57</v>
      </c>
      <c r="F4430">
        <v>64.36</v>
      </c>
      <c r="G4430">
        <v>477.47</v>
      </c>
      <c r="H4430">
        <f>E4430*1000000/D4430</f>
        <v>875484.74798139674</v>
      </c>
      <c r="I4430" t="str">
        <f>IF(AND(B4430&gt;=2018, B4430&lt;=2021), "2018-2021", IF(AND(B4430&gt;=2022, B4430&lt;=2024), "2022-2024", "Other"))</f>
        <v>2018-2021</v>
      </c>
    </row>
    <row r="4431" spans="1:9" x14ac:dyDescent="0.3">
      <c r="A4431" t="s">
        <v>5</v>
      </c>
      <c r="B4431">
        <v>2018</v>
      </c>
      <c r="C4431" t="s">
        <v>0</v>
      </c>
      <c r="D4431">
        <v>10004.35</v>
      </c>
      <c r="E4431">
        <v>11998.56</v>
      </c>
      <c r="F4431">
        <v>118.36</v>
      </c>
      <c r="G4431">
        <v>1362.29</v>
      </c>
      <c r="H4431">
        <f>E4431*1000000/D4431</f>
        <v>1199334.2895840309</v>
      </c>
      <c r="I4431" t="str">
        <f>IF(AND(B4431&gt;=2018, B4431&lt;=2021), "2018-2021", IF(AND(B4431&gt;=2022, B4431&lt;=2024), "2022-2024", "Other"))</f>
        <v>2018-2021</v>
      </c>
    </row>
    <row r="4432" spans="1:9" x14ac:dyDescent="0.3">
      <c r="A4432" t="s">
        <v>5</v>
      </c>
      <c r="B4432">
        <v>2019</v>
      </c>
      <c r="C4432" t="s">
        <v>4</v>
      </c>
      <c r="D4432">
        <v>10809.83</v>
      </c>
      <c r="E4432">
        <v>9014.74</v>
      </c>
      <c r="F4432">
        <v>34.659999999999997</v>
      </c>
      <c r="G4432">
        <v>121.14</v>
      </c>
      <c r="H4432">
        <f>E4432*1000000/D4432</f>
        <v>833939.1091256754</v>
      </c>
      <c r="I4432" t="str">
        <f>IF(AND(B4432&gt;=2018, B4432&lt;=2021), "2018-2021", IF(AND(B4432&gt;=2022, B4432&lt;=2024), "2022-2024", "Other"))</f>
        <v>2018-2021</v>
      </c>
    </row>
    <row r="4433" spans="1:9" x14ac:dyDescent="0.3">
      <c r="A4433" t="s">
        <v>26</v>
      </c>
      <c r="B4433">
        <v>2019</v>
      </c>
      <c r="C4433" t="s">
        <v>9</v>
      </c>
      <c r="D4433">
        <v>4275.46</v>
      </c>
      <c r="E4433">
        <v>4274.4799999999996</v>
      </c>
      <c r="F4433">
        <v>137.01</v>
      </c>
      <c r="G4433">
        <v>96.67</v>
      </c>
      <c r="H4433">
        <f>E4433*1000000/D4433</f>
        <v>999770.78489799914</v>
      </c>
      <c r="I4433" t="str">
        <f>IF(AND(B4433&gt;=2018, B4433&lt;=2021), "2018-2021", IF(AND(B4433&gt;=2022, B4433&lt;=2024), "2022-2024", "Other"))</f>
        <v>2018-2021</v>
      </c>
    </row>
    <row r="4434" spans="1:9" x14ac:dyDescent="0.3">
      <c r="A4434" t="s">
        <v>25</v>
      </c>
      <c r="B4434">
        <v>2022</v>
      </c>
      <c r="C4434" t="s">
        <v>14</v>
      </c>
      <c r="D4434">
        <v>1993.1</v>
      </c>
      <c r="E4434">
        <v>1653.46</v>
      </c>
      <c r="F4434">
        <v>149.71</v>
      </c>
      <c r="G4434">
        <v>1042.48</v>
      </c>
      <c r="H4434">
        <f>E4434*1000000/D4434</f>
        <v>829592.09271988366</v>
      </c>
      <c r="I4434" t="str">
        <f>IF(AND(B4434&gt;=2018, B4434&lt;=2021), "2018-2021", IF(AND(B4434&gt;=2022, B4434&lt;=2024), "2022-2024", "Other"))</f>
        <v>2022-2024</v>
      </c>
    </row>
    <row r="4435" spans="1:9" x14ac:dyDescent="0.3">
      <c r="A4435" t="s">
        <v>16</v>
      </c>
      <c r="B4435">
        <v>2023</v>
      </c>
      <c r="C4435" t="s">
        <v>9</v>
      </c>
      <c r="D4435">
        <v>37300.19</v>
      </c>
      <c r="E4435">
        <v>34241.74</v>
      </c>
      <c r="F4435">
        <v>117.96</v>
      </c>
      <c r="G4435">
        <v>1162.68</v>
      </c>
      <c r="H4435">
        <f>E4435*1000000/D4435</f>
        <v>918004.4391194788</v>
      </c>
      <c r="I4435" t="str">
        <f>IF(AND(B4435&gt;=2018, B4435&lt;=2021), "2018-2021", IF(AND(B4435&gt;=2022, B4435&lt;=2024), "2022-2024", "Other"))</f>
        <v>2022-2024</v>
      </c>
    </row>
    <row r="4436" spans="1:9" x14ac:dyDescent="0.3">
      <c r="A4436" t="s">
        <v>1</v>
      </c>
      <c r="B4436">
        <v>2022</v>
      </c>
      <c r="C4436" t="s">
        <v>6</v>
      </c>
      <c r="D4436">
        <v>5117.99</v>
      </c>
      <c r="E4436">
        <v>4340.83</v>
      </c>
      <c r="F4436">
        <v>148.16999999999999</v>
      </c>
      <c r="G4436">
        <v>860.14</v>
      </c>
      <c r="H4436">
        <f>E4436*1000000/D4436</f>
        <v>848151.32503189729</v>
      </c>
      <c r="I4436" t="str">
        <f>IF(AND(B4436&gt;=2018, B4436&lt;=2021), "2018-2021", IF(AND(B4436&gt;=2022, B4436&lt;=2024), "2022-2024", "Other"))</f>
        <v>2022-2024</v>
      </c>
    </row>
    <row r="4437" spans="1:9" x14ac:dyDescent="0.3">
      <c r="A4437" t="s">
        <v>11</v>
      </c>
      <c r="B4437">
        <v>2019</v>
      </c>
      <c r="C4437" t="s">
        <v>14</v>
      </c>
      <c r="D4437">
        <v>12616.07</v>
      </c>
      <c r="E4437">
        <v>13450.5</v>
      </c>
      <c r="F4437">
        <v>123.63</v>
      </c>
      <c r="G4437">
        <v>410.18</v>
      </c>
      <c r="H4437">
        <f>E4437*1000000/D4437</f>
        <v>1066140.24811213</v>
      </c>
      <c r="I4437" t="str">
        <f>IF(AND(B4437&gt;=2018, B4437&lt;=2021), "2018-2021", IF(AND(B4437&gt;=2022, B4437&lt;=2024), "2022-2024", "Other"))</f>
        <v>2018-2021</v>
      </c>
    </row>
    <row r="4438" spans="1:9" x14ac:dyDescent="0.3">
      <c r="A4438" t="s">
        <v>17</v>
      </c>
      <c r="B4438">
        <v>2022</v>
      </c>
      <c r="C4438" t="s">
        <v>9</v>
      </c>
      <c r="D4438">
        <v>22874.2</v>
      </c>
      <c r="E4438">
        <v>19013.91</v>
      </c>
      <c r="F4438">
        <v>128.93</v>
      </c>
      <c r="G4438">
        <v>952.95</v>
      </c>
      <c r="H4438">
        <f>E4438*1000000/D4438</f>
        <v>831238.25095522462</v>
      </c>
      <c r="I4438" t="str">
        <f>IF(AND(B4438&gt;=2018, B4438&lt;=2021), "2018-2021", IF(AND(B4438&gt;=2022, B4438&lt;=2024), "2022-2024", "Other"))</f>
        <v>2022-2024</v>
      </c>
    </row>
    <row r="4439" spans="1:9" x14ac:dyDescent="0.3">
      <c r="A4439" t="s">
        <v>17</v>
      </c>
      <c r="B4439">
        <v>2024</v>
      </c>
      <c r="C4439" t="s">
        <v>9</v>
      </c>
      <c r="D4439">
        <v>34920.22</v>
      </c>
      <c r="E4439">
        <v>41297.31</v>
      </c>
      <c r="F4439">
        <v>119.51</v>
      </c>
      <c r="G4439">
        <v>166.78</v>
      </c>
      <c r="H4439">
        <f>E4439*1000000/D4439</f>
        <v>1182618.8380256481</v>
      </c>
      <c r="I4439" t="str">
        <f>IF(AND(B4439&gt;=2018, B4439&lt;=2021), "2018-2021", IF(AND(B4439&gt;=2022, B4439&lt;=2024), "2022-2024", "Other"))</f>
        <v>2022-2024</v>
      </c>
    </row>
    <row r="4440" spans="1:9" x14ac:dyDescent="0.3">
      <c r="A4440" t="s">
        <v>1</v>
      </c>
      <c r="B4440">
        <v>2018</v>
      </c>
      <c r="C4440" t="s">
        <v>2</v>
      </c>
      <c r="D4440">
        <v>6088.35</v>
      </c>
      <c r="E4440">
        <v>6794.92</v>
      </c>
      <c r="F4440">
        <v>101.67</v>
      </c>
      <c r="G4440">
        <v>1149.02</v>
      </c>
      <c r="H4440">
        <f>E4440*1000000/D4440</f>
        <v>1116052.7893435822</v>
      </c>
      <c r="I4440" t="str">
        <f>IF(AND(B4440&gt;=2018, B4440&lt;=2021), "2018-2021", IF(AND(B4440&gt;=2022, B4440&lt;=2024), "2022-2024", "Other"))</f>
        <v>2018-2021</v>
      </c>
    </row>
    <row r="4441" spans="1:9" x14ac:dyDescent="0.3">
      <c r="A4441" t="s">
        <v>3</v>
      </c>
      <c r="B4441">
        <v>2023</v>
      </c>
      <c r="C4441" t="s">
        <v>14</v>
      </c>
      <c r="D4441">
        <v>20112.72</v>
      </c>
      <c r="E4441">
        <v>23111.23</v>
      </c>
      <c r="F4441">
        <v>182.53</v>
      </c>
      <c r="G4441">
        <v>397.74</v>
      </c>
      <c r="H4441">
        <f>E4441*1000000/D4441</f>
        <v>1149085.2555000018</v>
      </c>
      <c r="I4441" t="str">
        <f>IF(AND(B4441&gt;=2018, B4441&lt;=2021), "2018-2021", IF(AND(B4441&gt;=2022, B4441&lt;=2024), "2022-2024", "Other"))</f>
        <v>2022-2024</v>
      </c>
    </row>
    <row r="4442" spans="1:9" x14ac:dyDescent="0.3">
      <c r="A4442" t="s">
        <v>13</v>
      </c>
      <c r="B4442">
        <v>2024</v>
      </c>
      <c r="C4442" t="s">
        <v>2</v>
      </c>
      <c r="D4442">
        <v>7001.67</v>
      </c>
      <c r="E4442">
        <v>6253.55</v>
      </c>
      <c r="F4442">
        <v>115.35</v>
      </c>
      <c r="G4442">
        <v>506.46</v>
      </c>
      <c r="H4442">
        <f>E4442*1000000/D4442</f>
        <v>893151.20535529382</v>
      </c>
      <c r="I4442" t="str">
        <f>IF(AND(B4442&gt;=2018, B4442&lt;=2021), "2018-2021", IF(AND(B4442&gt;=2022, B4442&lt;=2024), "2022-2024", "Other"))</f>
        <v>2022-2024</v>
      </c>
    </row>
    <row r="4443" spans="1:9" x14ac:dyDescent="0.3">
      <c r="A4443" t="s">
        <v>5</v>
      </c>
      <c r="B4443">
        <v>2022</v>
      </c>
      <c r="C4443" t="s">
        <v>2</v>
      </c>
      <c r="D4443">
        <v>25815.31</v>
      </c>
      <c r="E4443">
        <v>29076.17</v>
      </c>
      <c r="F4443">
        <v>192.98</v>
      </c>
      <c r="G4443">
        <v>173.91</v>
      </c>
      <c r="H4443">
        <f>E4443*1000000/D4443</f>
        <v>1126314.9658090489</v>
      </c>
      <c r="I4443" t="str">
        <f>IF(AND(B4443&gt;=2018, B4443&lt;=2021), "2018-2021", IF(AND(B4443&gt;=2022, B4443&lt;=2024), "2022-2024", "Other"))</f>
        <v>2022-2024</v>
      </c>
    </row>
    <row r="4444" spans="1:9" x14ac:dyDescent="0.3">
      <c r="A4444" t="s">
        <v>21</v>
      </c>
      <c r="B4444">
        <v>2024</v>
      </c>
      <c r="C4444" t="s">
        <v>6</v>
      </c>
      <c r="D4444">
        <v>9741.44</v>
      </c>
      <c r="E4444">
        <v>10923.48</v>
      </c>
      <c r="F4444">
        <v>120.83</v>
      </c>
      <c r="G4444">
        <v>1136.78</v>
      </c>
      <c r="H4444">
        <f>E4444*1000000/D4444</f>
        <v>1121341.4033243544</v>
      </c>
      <c r="I4444" t="str">
        <f>IF(AND(B4444&gt;=2018, B4444&lt;=2021), "2018-2021", IF(AND(B4444&gt;=2022, B4444&lt;=2024), "2022-2024", "Other"))</f>
        <v>2022-2024</v>
      </c>
    </row>
    <row r="4445" spans="1:9" x14ac:dyDescent="0.3">
      <c r="A4445" t="s">
        <v>23</v>
      </c>
      <c r="B4445">
        <v>2021</v>
      </c>
      <c r="C4445" t="s">
        <v>9</v>
      </c>
      <c r="D4445">
        <v>41721.49</v>
      </c>
      <c r="E4445">
        <v>41115.120000000003</v>
      </c>
      <c r="F4445">
        <v>24.6</v>
      </c>
      <c r="G4445">
        <v>567.16</v>
      </c>
      <c r="H4445">
        <f>E4445*1000000/D4445</f>
        <v>985466.24293619429</v>
      </c>
      <c r="I4445" t="str">
        <f>IF(AND(B4445&gt;=2018, B4445&lt;=2021), "2018-2021", IF(AND(B4445&gt;=2022, B4445&lt;=2024), "2022-2024", "Other"))</f>
        <v>2018-2021</v>
      </c>
    </row>
    <row r="4446" spans="1:9" x14ac:dyDescent="0.3">
      <c r="A4446" t="s">
        <v>11</v>
      </c>
      <c r="B4446">
        <v>2021</v>
      </c>
      <c r="C4446" t="s">
        <v>2</v>
      </c>
      <c r="D4446">
        <v>49192.28</v>
      </c>
      <c r="E4446">
        <v>59029.87</v>
      </c>
      <c r="F4446">
        <v>28.54</v>
      </c>
      <c r="G4446">
        <v>1290.93</v>
      </c>
      <c r="H4446">
        <f>E4446*1000000/D4446</f>
        <v>1199982.3956116692</v>
      </c>
      <c r="I4446" t="str">
        <f>IF(AND(B4446&gt;=2018, B4446&lt;=2021), "2018-2021", IF(AND(B4446&gt;=2022, B4446&lt;=2024), "2022-2024", "Other"))</f>
        <v>2018-2021</v>
      </c>
    </row>
    <row r="4447" spans="1:9" x14ac:dyDescent="0.3">
      <c r="A4447" t="s">
        <v>7</v>
      </c>
      <c r="B4447">
        <v>2021</v>
      </c>
      <c r="C4447" t="s">
        <v>14</v>
      </c>
      <c r="D4447">
        <v>46625.67</v>
      </c>
      <c r="E4447">
        <v>48880.59</v>
      </c>
      <c r="F4447">
        <v>121.33</v>
      </c>
      <c r="G4447">
        <v>914.66</v>
      </c>
      <c r="H4447">
        <f>E4447*1000000/D4447</f>
        <v>1048362.200478835</v>
      </c>
      <c r="I4447" t="str">
        <f>IF(AND(B4447&gt;=2018, B4447&lt;=2021), "2018-2021", IF(AND(B4447&gt;=2022, B4447&lt;=2024), "2022-2024", "Other"))</f>
        <v>2018-2021</v>
      </c>
    </row>
    <row r="4448" spans="1:9" x14ac:dyDescent="0.3">
      <c r="A4448" t="s">
        <v>25</v>
      </c>
      <c r="B4448">
        <v>2020</v>
      </c>
      <c r="C4448" t="s">
        <v>6</v>
      </c>
      <c r="D4448">
        <v>8909.19</v>
      </c>
      <c r="E4448">
        <v>8804.1299999999992</v>
      </c>
      <c r="F4448">
        <v>159.94</v>
      </c>
      <c r="G4448">
        <v>1036.76</v>
      </c>
      <c r="H4448">
        <f>E4448*1000000/D4448</f>
        <v>988207.68217986147</v>
      </c>
      <c r="I4448" t="str">
        <f>IF(AND(B4448&gt;=2018, B4448&lt;=2021), "2018-2021", IF(AND(B4448&gt;=2022, B4448&lt;=2024), "2022-2024", "Other"))</f>
        <v>2018-2021</v>
      </c>
    </row>
    <row r="4449" spans="1:9" x14ac:dyDescent="0.3">
      <c r="A4449" t="s">
        <v>20</v>
      </c>
      <c r="B4449">
        <v>2018</v>
      </c>
      <c r="C4449" t="s">
        <v>4</v>
      </c>
      <c r="D4449">
        <v>16809.82</v>
      </c>
      <c r="E4449">
        <v>18628.91</v>
      </c>
      <c r="F4449">
        <v>20.83</v>
      </c>
      <c r="G4449">
        <v>1337.61</v>
      </c>
      <c r="H4449">
        <f>E4449*1000000/D4449</f>
        <v>1108215.9118895978</v>
      </c>
      <c r="I4449" t="str">
        <f>IF(AND(B4449&gt;=2018, B4449&lt;=2021), "2018-2021", IF(AND(B4449&gt;=2022, B4449&lt;=2024), "2022-2024", "Other"))</f>
        <v>2018-2021</v>
      </c>
    </row>
    <row r="4450" spans="1:9" x14ac:dyDescent="0.3">
      <c r="A4450" t="s">
        <v>1</v>
      </c>
      <c r="B4450">
        <v>2023</v>
      </c>
      <c r="C4450" t="s">
        <v>14</v>
      </c>
      <c r="D4450">
        <v>40463.949999999997</v>
      </c>
      <c r="E4450">
        <v>38574.46</v>
      </c>
      <c r="F4450">
        <v>197.39</v>
      </c>
      <c r="G4450">
        <v>725.6</v>
      </c>
      <c r="H4450">
        <f>E4450*1000000/D4450</f>
        <v>953304.36104235996</v>
      </c>
      <c r="I4450" t="str">
        <f>IF(AND(B4450&gt;=2018, B4450&lt;=2021), "2018-2021", IF(AND(B4450&gt;=2022, B4450&lt;=2024), "2022-2024", "Other"))</f>
        <v>2022-2024</v>
      </c>
    </row>
    <row r="4451" spans="1:9" x14ac:dyDescent="0.3">
      <c r="A4451" t="s">
        <v>25</v>
      </c>
      <c r="B4451">
        <v>2020</v>
      </c>
      <c r="C4451" t="s">
        <v>4</v>
      </c>
      <c r="D4451">
        <v>11109.1</v>
      </c>
      <c r="E4451">
        <v>12458.95</v>
      </c>
      <c r="F4451">
        <v>71.05</v>
      </c>
      <c r="G4451">
        <v>1050.53</v>
      </c>
      <c r="H4451">
        <f>E4451*1000000/D4451</f>
        <v>1121508.4930372396</v>
      </c>
      <c r="I4451" t="str">
        <f>IF(AND(B4451&gt;=2018, B4451&lt;=2021), "2018-2021", IF(AND(B4451&gt;=2022, B4451&lt;=2024), "2022-2024", "Other"))</f>
        <v>2018-2021</v>
      </c>
    </row>
    <row r="4452" spans="1:9" x14ac:dyDescent="0.3">
      <c r="A4452" t="s">
        <v>22</v>
      </c>
      <c r="B4452">
        <v>2019</v>
      </c>
      <c r="C4452" t="s">
        <v>0</v>
      </c>
      <c r="D4452">
        <v>3050.44</v>
      </c>
      <c r="E4452">
        <v>3309.9</v>
      </c>
      <c r="F4452">
        <v>27.19</v>
      </c>
      <c r="G4452">
        <v>749.25</v>
      </c>
      <c r="H4452">
        <f>E4452*1000000/D4452</f>
        <v>1085056.5820012849</v>
      </c>
      <c r="I4452" t="str">
        <f>IF(AND(B4452&gt;=2018, B4452&lt;=2021), "2018-2021", IF(AND(B4452&gt;=2022, B4452&lt;=2024), "2022-2024", "Other"))</f>
        <v>2018-2021</v>
      </c>
    </row>
    <row r="4453" spans="1:9" x14ac:dyDescent="0.3">
      <c r="A4453" t="s">
        <v>1</v>
      </c>
      <c r="B4453">
        <v>2019</v>
      </c>
      <c r="C4453" t="s">
        <v>14</v>
      </c>
      <c r="D4453">
        <v>40180.370000000003</v>
      </c>
      <c r="E4453">
        <v>36904.959999999999</v>
      </c>
      <c r="F4453">
        <v>144.18</v>
      </c>
      <c r="G4453">
        <v>1353.6</v>
      </c>
      <c r="H4453">
        <f>E4453*1000000/D4453</f>
        <v>918482.33353749593</v>
      </c>
      <c r="I4453" t="str">
        <f>IF(AND(B4453&gt;=2018, B4453&lt;=2021), "2018-2021", IF(AND(B4453&gt;=2022, B4453&lt;=2024), "2022-2024", "Other"))</f>
        <v>2018-2021</v>
      </c>
    </row>
    <row r="4454" spans="1:9" x14ac:dyDescent="0.3">
      <c r="A4454" t="s">
        <v>5</v>
      </c>
      <c r="B4454">
        <v>2021</v>
      </c>
      <c r="C4454" t="s">
        <v>9</v>
      </c>
      <c r="D4454">
        <v>39804.76</v>
      </c>
      <c r="E4454">
        <v>38327.61</v>
      </c>
      <c r="F4454">
        <v>122.11</v>
      </c>
      <c r="G4454">
        <v>730.23</v>
      </c>
      <c r="H4454">
        <f>E4454*1000000/D4454</f>
        <v>962890.11665941461</v>
      </c>
      <c r="I4454" t="str">
        <f>IF(AND(B4454&gt;=2018, B4454&lt;=2021), "2018-2021", IF(AND(B4454&gt;=2022, B4454&lt;=2024), "2022-2024", "Other"))</f>
        <v>2018-2021</v>
      </c>
    </row>
    <row r="4455" spans="1:9" x14ac:dyDescent="0.3">
      <c r="A4455" t="s">
        <v>10</v>
      </c>
      <c r="B4455">
        <v>2018</v>
      </c>
      <c r="C4455" t="s">
        <v>6</v>
      </c>
      <c r="D4455">
        <v>12236.96</v>
      </c>
      <c r="E4455">
        <v>11797.57</v>
      </c>
      <c r="F4455">
        <v>169.76</v>
      </c>
      <c r="G4455">
        <v>257.61</v>
      </c>
      <c r="H4455">
        <f>E4455*1000000/D4455</f>
        <v>964093.20615577733</v>
      </c>
      <c r="I4455" t="str">
        <f>IF(AND(B4455&gt;=2018, B4455&lt;=2021), "2018-2021", IF(AND(B4455&gt;=2022, B4455&lt;=2024), "2022-2024", "Other"))</f>
        <v>2018-2021</v>
      </c>
    </row>
    <row r="4456" spans="1:9" x14ac:dyDescent="0.3">
      <c r="A4456" t="s">
        <v>13</v>
      </c>
      <c r="B4456">
        <v>2023</v>
      </c>
      <c r="C4456" t="s">
        <v>14</v>
      </c>
      <c r="D4456">
        <v>39089.47</v>
      </c>
      <c r="E4456">
        <v>43319.68</v>
      </c>
      <c r="F4456">
        <v>146</v>
      </c>
      <c r="G4456">
        <v>1208.04</v>
      </c>
      <c r="H4456">
        <f>E4456*1000000/D4456</f>
        <v>1108218.6583752607</v>
      </c>
      <c r="I4456" t="str">
        <f>IF(AND(B4456&gt;=2018, B4456&lt;=2021), "2018-2021", IF(AND(B4456&gt;=2022, B4456&lt;=2024), "2022-2024", "Other"))</f>
        <v>2022-2024</v>
      </c>
    </row>
    <row r="4457" spans="1:9" x14ac:dyDescent="0.3">
      <c r="A4457" t="s">
        <v>18</v>
      </c>
      <c r="B4457">
        <v>2019</v>
      </c>
      <c r="C4457" t="s">
        <v>8</v>
      </c>
      <c r="D4457">
        <v>6050.53</v>
      </c>
      <c r="E4457">
        <v>5040.95</v>
      </c>
      <c r="F4457">
        <v>124.6</v>
      </c>
      <c r="G4457">
        <v>1083.6199999999999</v>
      </c>
      <c r="H4457">
        <f>E4457*1000000/D4457</f>
        <v>833141.89004930155</v>
      </c>
      <c r="I4457" t="str">
        <f>IF(AND(B4457&gt;=2018, B4457&lt;=2021), "2018-2021", IF(AND(B4457&gt;=2022, B4457&lt;=2024), "2022-2024", "Other"))</f>
        <v>2018-2021</v>
      </c>
    </row>
    <row r="4458" spans="1:9" x14ac:dyDescent="0.3">
      <c r="A4458" t="s">
        <v>11</v>
      </c>
      <c r="B4458">
        <v>2023</v>
      </c>
      <c r="C4458" t="s">
        <v>2</v>
      </c>
      <c r="D4458">
        <v>16404.78</v>
      </c>
      <c r="E4458">
        <v>16488.93</v>
      </c>
      <c r="F4458">
        <v>144.96</v>
      </c>
      <c r="G4458">
        <v>1258.6500000000001</v>
      </c>
      <c r="H4458">
        <f>E4458*1000000/D4458</f>
        <v>1005129.6024695243</v>
      </c>
      <c r="I4458" t="str">
        <f>IF(AND(B4458&gt;=2018, B4458&lt;=2021), "2018-2021", IF(AND(B4458&gt;=2022, B4458&lt;=2024), "2022-2024", "Other"))</f>
        <v>2022-2024</v>
      </c>
    </row>
    <row r="4459" spans="1:9" x14ac:dyDescent="0.3">
      <c r="A4459" t="s">
        <v>3</v>
      </c>
      <c r="B4459">
        <v>2018</v>
      </c>
      <c r="C4459" t="s">
        <v>0</v>
      </c>
      <c r="D4459">
        <v>1098.79</v>
      </c>
      <c r="E4459">
        <v>1258.1300000000001</v>
      </c>
      <c r="F4459">
        <v>113.71</v>
      </c>
      <c r="G4459">
        <v>51.71</v>
      </c>
      <c r="H4459">
        <f>E4459*1000000/D4459</f>
        <v>1145014.0609215591</v>
      </c>
      <c r="I4459" t="str">
        <f>IF(AND(B4459&gt;=2018, B4459&lt;=2021), "2018-2021", IF(AND(B4459&gt;=2022, B4459&lt;=2024), "2022-2024", "Other"))</f>
        <v>2018-2021</v>
      </c>
    </row>
    <row r="4460" spans="1:9" x14ac:dyDescent="0.3">
      <c r="A4460" t="s">
        <v>13</v>
      </c>
      <c r="B4460">
        <v>2019</v>
      </c>
      <c r="C4460" t="s">
        <v>14</v>
      </c>
      <c r="D4460">
        <v>13413.85</v>
      </c>
      <c r="E4460">
        <v>16060.04</v>
      </c>
      <c r="F4460">
        <v>153.19</v>
      </c>
      <c r="G4460">
        <v>1365.68</v>
      </c>
      <c r="H4460">
        <f>E4460*1000000/D4460</f>
        <v>1197272.9678653034</v>
      </c>
      <c r="I4460" t="str">
        <f>IF(AND(B4460&gt;=2018, B4460&lt;=2021), "2018-2021", IF(AND(B4460&gt;=2022, B4460&lt;=2024), "2022-2024", "Other"))</f>
        <v>2018-2021</v>
      </c>
    </row>
    <row r="4461" spans="1:9" x14ac:dyDescent="0.3">
      <c r="A4461" t="s">
        <v>10</v>
      </c>
      <c r="B4461">
        <v>2023</v>
      </c>
      <c r="C4461" t="s">
        <v>2</v>
      </c>
      <c r="D4461">
        <v>18477.47</v>
      </c>
      <c r="E4461">
        <v>16169.26</v>
      </c>
      <c r="F4461">
        <v>189.68</v>
      </c>
      <c r="G4461">
        <v>116.27</v>
      </c>
      <c r="H4461">
        <f>E4461*1000000/D4461</f>
        <v>875079.75929605076</v>
      </c>
      <c r="I4461" t="str">
        <f>IF(AND(B4461&gt;=2018, B4461&lt;=2021), "2018-2021", IF(AND(B4461&gt;=2022, B4461&lt;=2024), "2022-2024", "Other"))</f>
        <v>2022-2024</v>
      </c>
    </row>
    <row r="4462" spans="1:9" x14ac:dyDescent="0.3">
      <c r="A4462" t="s">
        <v>21</v>
      </c>
      <c r="B4462">
        <v>2024</v>
      </c>
      <c r="C4462" t="s">
        <v>6</v>
      </c>
      <c r="D4462">
        <v>23781.08</v>
      </c>
      <c r="E4462">
        <v>20518.47</v>
      </c>
      <c r="F4462">
        <v>95.72</v>
      </c>
      <c r="G4462">
        <v>220.58</v>
      </c>
      <c r="H4462">
        <f>E4462*1000000/D4462</f>
        <v>862806.48313701479</v>
      </c>
      <c r="I4462" t="str">
        <f>IF(AND(B4462&gt;=2018, B4462&lt;=2021), "2018-2021", IF(AND(B4462&gt;=2022, B4462&lt;=2024), "2022-2024", "Other"))</f>
        <v>2022-2024</v>
      </c>
    </row>
    <row r="4463" spans="1:9" x14ac:dyDescent="0.3">
      <c r="A4463" t="s">
        <v>13</v>
      </c>
      <c r="B4463">
        <v>2021</v>
      </c>
      <c r="C4463" t="s">
        <v>8</v>
      </c>
      <c r="D4463">
        <v>24407.25</v>
      </c>
      <c r="E4463">
        <v>23085.93</v>
      </c>
      <c r="F4463">
        <v>27.03</v>
      </c>
      <c r="G4463">
        <v>965.22</v>
      </c>
      <c r="H4463">
        <f>E4463*1000000/D4463</f>
        <v>945863.6265863626</v>
      </c>
      <c r="I4463" t="str">
        <f>IF(AND(B4463&gt;=2018, B4463&lt;=2021), "2018-2021", IF(AND(B4463&gt;=2022, B4463&lt;=2024), "2022-2024", "Other"))</f>
        <v>2018-2021</v>
      </c>
    </row>
    <row r="4464" spans="1:9" x14ac:dyDescent="0.3">
      <c r="A4464" t="s">
        <v>23</v>
      </c>
      <c r="B4464">
        <v>2018</v>
      </c>
      <c r="C4464" t="s">
        <v>4</v>
      </c>
      <c r="D4464">
        <v>10143.42</v>
      </c>
      <c r="E4464">
        <v>8282.51</v>
      </c>
      <c r="F4464">
        <v>122.22</v>
      </c>
      <c r="G4464">
        <v>835.71</v>
      </c>
      <c r="H4464">
        <f>E4464*1000000/D4464</f>
        <v>816540.18072799908</v>
      </c>
      <c r="I4464" t="str">
        <f>IF(AND(B4464&gt;=2018, B4464&lt;=2021), "2018-2021", IF(AND(B4464&gt;=2022, B4464&lt;=2024), "2022-2024", "Other"))</f>
        <v>2018-2021</v>
      </c>
    </row>
    <row r="4465" spans="1:9" x14ac:dyDescent="0.3">
      <c r="A4465" t="s">
        <v>16</v>
      </c>
      <c r="B4465">
        <v>2023</v>
      </c>
      <c r="C4465" t="s">
        <v>6</v>
      </c>
      <c r="D4465">
        <v>42517.89</v>
      </c>
      <c r="E4465">
        <v>45806.9</v>
      </c>
      <c r="F4465">
        <v>40.380000000000003</v>
      </c>
      <c r="G4465">
        <v>1119.79</v>
      </c>
      <c r="H4465">
        <f>E4465*1000000/D4465</f>
        <v>1077355.9083011881</v>
      </c>
      <c r="I4465" t="str">
        <f>IF(AND(B4465&gt;=2018, B4465&lt;=2021), "2018-2021", IF(AND(B4465&gt;=2022, B4465&lt;=2024), "2022-2024", "Other"))</f>
        <v>2022-2024</v>
      </c>
    </row>
    <row r="4466" spans="1:9" x14ac:dyDescent="0.3">
      <c r="A4466" t="s">
        <v>16</v>
      </c>
      <c r="B4466">
        <v>2021</v>
      </c>
      <c r="C4466" t="s">
        <v>8</v>
      </c>
      <c r="D4466">
        <v>24957.79</v>
      </c>
      <c r="E4466">
        <v>23552.71</v>
      </c>
      <c r="F4466">
        <v>44.93</v>
      </c>
      <c r="G4466">
        <v>734.5</v>
      </c>
      <c r="H4466">
        <f>E4466*1000000/D4466</f>
        <v>943701.74602799362</v>
      </c>
      <c r="I4466" t="str">
        <f>IF(AND(B4466&gt;=2018, B4466&lt;=2021), "2018-2021", IF(AND(B4466&gt;=2022, B4466&lt;=2024), "2022-2024", "Other"))</f>
        <v>2018-2021</v>
      </c>
    </row>
    <row r="4467" spans="1:9" x14ac:dyDescent="0.3">
      <c r="A4467" t="s">
        <v>10</v>
      </c>
      <c r="B4467">
        <v>2022</v>
      </c>
      <c r="C4467" t="s">
        <v>12</v>
      </c>
      <c r="D4467">
        <v>37787.32</v>
      </c>
      <c r="E4467">
        <v>41231.550000000003</v>
      </c>
      <c r="F4467">
        <v>83.06</v>
      </c>
      <c r="G4467">
        <v>222.81</v>
      </c>
      <c r="H4467">
        <f>E4467*1000000/D4467</f>
        <v>1091147.7712629528</v>
      </c>
      <c r="I4467" t="str">
        <f>IF(AND(B4467&gt;=2018, B4467&lt;=2021), "2018-2021", IF(AND(B4467&gt;=2022, B4467&lt;=2024), "2022-2024", "Other"))</f>
        <v>2022-2024</v>
      </c>
    </row>
    <row r="4468" spans="1:9" x14ac:dyDescent="0.3">
      <c r="A4468" t="s">
        <v>15</v>
      </c>
      <c r="B4468">
        <v>2018</v>
      </c>
      <c r="C4468" t="s">
        <v>2</v>
      </c>
      <c r="D4468">
        <v>15418.31</v>
      </c>
      <c r="E4468">
        <v>14446.9</v>
      </c>
      <c r="F4468">
        <v>85.5</v>
      </c>
      <c r="G4468">
        <v>17.79</v>
      </c>
      <c r="H4468">
        <f>E4468*1000000/D4468</f>
        <v>936996.33747148688</v>
      </c>
      <c r="I4468" t="str">
        <f>IF(AND(B4468&gt;=2018, B4468&lt;=2021), "2018-2021", IF(AND(B4468&gt;=2022, B4468&lt;=2024), "2022-2024", "Other"))</f>
        <v>2018-2021</v>
      </c>
    </row>
    <row r="4469" spans="1:9" x14ac:dyDescent="0.3">
      <c r="A4469" t="s">
        <v>19</v>
      </c>
      <c r="B4469">
        <v>2023</v>
      </c>
      <c r="C4469" t="s">
        <v>14</v>
      </c>
      <c r="D4469">
        <v>23820.09</v>
      </c>
      <c r="E4469">
        <v>22406.26</v>
      </c>
      <c r="F4469">
        <v>123.31</v>
      </c>
      <c r="G4469">
        <v>1363.28</v>
      </c>
      <c r="H4469">
        <f>E4469*1000000/D4469</f>
        <v>940645.48034873081</v>
      </c>
      <c r="I4469" t="str">
        <f>IF(AND(B4469&gt;=2018, B4469&lt;=2021), "2018-2021", IF(AND(B4469&gt;=2022, B4469&lt;=2024), "2022-2024", "Other"))</f>
        <v>2022-2024</v>
      </c>
    </row>
    <row r="4470" spans="1:9" x14ac:dyDescent="0.3">
      <c r="A4470" t="s">
        <v>22</v>
      </c>
      <c r="B4470">
        <v>2023</v>
      </c>
      <c r="C4470" t="s">
        <v>14</v>
      </c>
      <c r="D4470">
        <v>38824.25</v>
      </c>
      <c r="E4470">
        <v>31165.16</v>
      </c>
      <c r="F4470">
        <v>89.32</v>
      </c>
      <c r="G4470">
        <v>1155.79</v>
      </c>
      <c r="H4470">
        <f>E4470*1000000/D4470</f>
        <v>802724.070651719</v>
      </c>
      <c r="I4470" t="str">
        <f>IF(AND(B4470&gt;=2018, B4470&lt;=2021), "2018-2021", IF(AND(B4470&gt;=2022, B4470&lt;=2024), "2022-2024", "Other"))</f>
        <v>2022-2024</v>
      </c>
    </row>
    <row r="4471" spans="1:9" x14ac:dyDescent="0.3">
      <c r="A4471" t="s">
        <v>18</v>
      </c>
      <c r="B4471">
        <v>2023</v>
      </c>
      <c r="C4471" t="s">
        <v>14</v>
      </c>
      <c r="D4471">
        <v>38384.300000000003</v>
      </c>
      <c r="E4471">
        <v>41110.120000000003</v>
      </c>
      <c r="F4471">
        <v>155.28</v>
      </c>
      <c r="G4471">
        <v>301.83</v>
      </c>
      <c r="H4471">
        <f>E4471*1000000/D4471</f>
        <v>1071013.9301745766</v>
      </c>
      <c r="I4471" t="str">
        <f>IF(AND(B4471&gt;=2018, B4471&lt;=2021), "2018-2021", IF(AND(B4471&gt;=2022, B4471&lt;=2024), "2022-2024", "Other"))</f>
        <v>2022-2024</v>
      </c>
    </row>
    <row r="4472" spans="1:9" x14ac:dyDescent="0.3">
      <c r="A4472" t="s">
        <v>18</v>
      </c>
      <c r="B4472">
        <v>2020</v>
      </c>
      <c r="C4472" t="s">
        <v>4</v>
      </c>
      <c r="D4472">
        <v>44864.56</v>
      </c>
      <c r="E4472">
        <v>46271.11</v>
      </c>
      <c r="F4472">
        <v>46.66</v>
      </c>
      <c r="G4472">
        <v>762.99</v>
      </c>
      <c r="H4472">
        <f>E4472*1000000/D4472</f>
        <v>1031351.0262889016</v>
      </c>
      <c r="I4472" t="str">
        <f>IF(AND(B4472&gt;=2018, B4472&lt;=2021), "2018-2021", IF(AND(B4472&gt;=2022, B4472&lt;=2024), "2022-2024", "Other"))</f>
        <v>2018-2021</v>
      </c>
    </row>
    <row r="4473" spans="1:9" x14ac:dyDescent="0.3">
      <c r="A4473" t="s">
        <v>16</v>
      </c>
      <c r="B4473">
        <v>2023</v>
      </c>
      <c r="C4473" t="s">
        <v>12</v>
      </c>
      <c r="D4473">
        <v>26493.15</v>
      </c>
      <c r="E4473">
        <v>24338.43</v>
      </c>
      <c r="F4473">
        <v>68.05</v>
      </c>
      <c r="G4473">
        <v>893.81</v>
      </c>
      <c r="H4473">
        <f>E4473*1000000/D4473</f>
        <v>918668.78796972043</v>
      </c>
      <c r="I4473" t="str">
        <f>IF(AND(B4473&gt;=2018, B4473&lt;=2021), "2018-2021", IF(AND(B4473&gt;=2022, B4473&lt;=2024), "2022-2024", "Other"))</f>
        <v>2022-2024</v>
      </c>
    </row>
    <row r="4474" spans="1:9" x14ac:dyDescent="0.3">
      <c r="A4474" t="s">
        <v>23</v>
      </c>
      <c r="B4474">
        <v>2023</v>
      </c>
      <c r="C4474" t="s">
        <v>8</v>
      </c>
      <c r="D4474">
        <v>22081.35</v>
      </c>
      <c r="E4474">
        <v>21954.34</v>
      </c>
      <c r="F4474">
        <v>64.900000000000006</v>
      </c>
      <c r="G4474">
        <v>417.68</v>
      </c>
      <c r="H4474">
        <f>E4474*1000000/D4474</f>
        <v>994248.08718669834</v>
      </c>
      <c r="I4474" t="str">
        <f>IF(AND(B4474&gt;=2018, B4474&lt;=2021), "2018-2021", IF(AND(B4474&gt;=2022, B4474&lt;=2024), "2022-2024", "Other"))</f>
        <v>2022-2024</v>
      </c>
    </row>
    <row r="4475" spans="1:9" x14ac:dyDescent="0.3">
      <c r="A4475" t="s">
        <v>20</v>
      </c>
      <c r="B4475">
        <v>2022</v>
      </c>
      <c r="C4475" t="s">
        <v>4</v>
      </c>
      <c r="D4475">
        <v>5754.96</v>
      </c>
      <c r="E4475">
        <v>5176.17</v>
      </c>
      <c r="F4475">
        <v>138.03</v>
      </c>
      <c r="G4475">
        <v>876.07</v>
      </c>
      <c r="H4475">
        <f>E4475*1000000/D4475</f>
        <v>899427.6241711498</v>
      </c>
      <c r="I4475" t="str">
        <f>IF(AND(B4475&gt;=2018, B4475&lt;=2021), "2018-2021", IF(AND(B4475&gt;=2022, B4475&lt;=2024), "2022-2024", "Other"))</f>
        <v>2022-2024</v>
      </c>
    </row>
    <row r="4476" spans="1:9" x14ac:dyDescent="0.3">
      <c r="A4476" t="s">
        <v>13</v>
      </c>
      <c r="B4476">
        <v>2024</v>
      </c>
      <c r="C4476" t="s">
        <v>14</v>
      </c>
      <c r="D4476">
        <v>48061.2</v>
      </c>
      <c r="E4476">
        <v>40348.26</v>
      </c>
      <c r="F4476">
        <v>102.55</v>
      </c>
      <c r="G4476">
        <v>148.08000000000001</v>
      </c>
      <c r="H4476">
        <f>E4476*1000000/D4476</f>
        <v>839518.3640857907</v>
      </c>
      <c r="I4476" t="str">
        <f>IF(AND(B4476&gt;=2018, B4476&lt;=2021), "2018-2021", IF(AND(B4476&gt;=2022, B4476&lt;=2024), "2022-2024", "Other"))</f>
        <v>2022-2024</v>
      </c>
    </row>
    <row r="4477" spans="1:9" x14ac:dyDescent="0.3">
      <c r="A4477" t="s">
        <v>25</v>
      </c>
      <c r="B4477">
        <v>2019</v>
      </c>
      <c r="C4477" t="s">
        <v>14</v>
      </c>
      <c r="D4477">
        <v>22082.54</v>
      </c>
      <c r="E4477">
        <v>26283.89</v>
      </c>
      <c r="F4477">
        <v>146.74</v>
      </c>
      <c r="G4477">
        <v>1093.49</v>
      </c>
      <c r="H4477">
        <f>E4477*1000000/D4477</f>
        <v>1190256.6462010257</v>
      </c>
      <c r="I4477" t="str">
        <f>IF(AND(B4477&gt;=2018, B4477&lt;=2021), "2018-2021", IF(AND(B4477&gt;=2022, B4477&lt;=2024), "2022-2024", "Other"))</f>
        <v>2018-2021</v>
      </c>
    </row>
    <row r="4478" spans="1:9" x14ac:dyDescent="0.3">
      <c r="A4478" t="s">
        <v>11</v>
      </c>
      <c r="B4478">
        <v>2024</v>
      </c>
      <c r="C4478" t="s">
        <v>12</v>
      </c>
      <c r="D4478">
        <v>14884.47</v>
      </c>
      <c r="E4478">
        <v>16805.560000000001</v>
      </c>
      <c r="F4478">
        <v>33.18</v>
      </c>
      <c r="G4478">
        <v>427.48</v>
      </c>
      <c r="H4478">
        <f>E4478*1000000/D4478</f>
        <v>1129066.7386880422</v>
      </c>
      <c r="I4478" t="str">
        <f>IF(AND(B4478&gt;=2018, B4478&lt;=2021), "2018-2021", IF(AND(B4478&gt;=2022, B4478&lt;=2024), "2022-2024", "Other"))</f>
        <v>2022-2024</v>
      </c>
    </row>
    <row r="4479" spans="1:9" x14ac:dyDescent="0.3">
      <c r="A4479" t="s">
        <v>7</v>
      </c>
      <c r="B4479">
        <v>2023</v>
      </c>
      <c r="C4479" t="s">
        <v>14</v>
      </c>
      <c r="D4479">
        <v>6932.17</v>
      </c>
      <c r="E4479">
        <v>5755.96</v>
      </c>
      <c r="F4479">
        <v>98.51</v>
      </c>
      <c r="G4479">
        <v>862.35</v>
      </c>
      <c r="H4479">
        <f>E4479*1000000/D4479</f>
        <v>830325.85755975405</v>
      </c>
      <c r="I4479" t="str">
        <f>IF(AND(B4479&gt;=2018, B4479&lt;=2021), "2018-2021", IF(AND(B4479&gt;=2022, B4479&lt;=2024), "2022-2024", "Other"))</f>
        <v>2022-2024</v>
      </c>
    </row>
    <row r="4480" spans="1:9" x14ac:dyDescent="0.3">
      <c r="A4480" t="s">
        <v>23</v>
      </c>
      <c r="B4480">
        <v>2018</v>
      </c>
      <c r="C4480" t="s">
        <v>9</v>
      </c>
      <c r="D4480">
        <v>41164.11</v>
      </c>
      <c r="E4480">
        <v>44860.98</v>
      </c>
      <c r="F4480">
        <v>118.7</v>
      </c>
      <c r="G4480">
        <v>1045.49</v>
      </c>
      <c r="H4480">
        <f>E4480*1000000/D4480</f>
        <v>1089808.0876763763</v>
      </c>
      <c r="I4480" t="str">
        <f>IF(AND(B4480&gt;=2018, B4480&lt;=2021), "2018-2021", IF(AND(B4480&gt;=2022, B4480&lt;=2024), "2022-2024", "Other"))</f>
        <v>2018-2021</v>
      </c>
    </row>
    <row r="4481" spans="1:9" x14ac:dyDescent="0.3">
      <c r="A4481" t="s">
        <v>21</v>
      </c>
      <c r="B4481">
        <v>2022</v>
      </c>
      <c r="C4481" t="s">
        <v>9</v>
      </c>
      <c r="D4481">
        <v>13640.73</v>
      </c>
      <c r="E4481">
        <v>12172.06</v>
      </c>
      <c r="F4481">
        <v>193.59</v>
      </c>
      <c r="G4481">
        <v>879.77</v>
      </c>
      <c r="H4481">
        <f>E4481*1000000/D4481</f>
        <v>892332.00862417195</v>
      </c>
      <c r="I4481" t="str">
        <f>IF(AND(B4481&gt;=2018, B4481&lt;=2021), "2018-2021", IF(AND(B4481&gt;=2022, B4481&lt;=2024), "2022-2024", "Other"))</f>
        <v>2022-2024</v>
      </c>
    </row>
    <row r="4482" spans="1:9" x14ac:dyDescent="0.3">
      <c r="A4482" t="s">
        <v>11</v>
      </c>
      <c r="B4482">
        <v>2021</v>
      </c>
      <c r="C4482" t="s">
        <v>12</v>
      </c>
      <c r="D4482">
        <v>21081.25</v>
      </c>
      <c r="E4482">
        <v>21851.24</v>
      </c>
      <c r="F4482">
        <v>52.68</v>
      </c>
      <c r="G4482">
        <v>492.72</v>
      </c>
      <c r="H4482">
        <f>E4482*1000000/D4482</f>
        <v>1036524.873999407</v>
      </c>
      <c r="I4482" t="str">
        <f>IF(AND(B4482&gt;=2018, B4482&lt;=2021), "2018-2021", IF(AND(B4482&gt;=2022, B4482&lt;=2024), "2022-2024", "Other"))</f>
        <v>2018-2021</v>
      </c>
    </row>
    <row r="4483" spans="1:9" x14ac:dyDescent="0.3">
      <c r="A4483" t="s">
        <v>17</v>
      </c>
      <c r="B4483">
        <v>2022</v>
      </c>
      <c r="C4483" t="s">
        <v>9</v>
      </c>
      <c r="D4483">
        <v>43266.7</v>
      </c>
      <c r="E4483">
        <v>45722.33</v>
      </c>
      <c r="F4483">
        <v>56.36</v>
      </c>
      <c r="G4483">
        <v>1289.02</v>
      </c>
      <c r="H4483">
        <f>E4483*1000000/D4483</f>
        <v>1056755.6573531146</v>
      </c>
      <c r="I4483" t="str">
        <f>IF(AND(B4483&gt;=2018, B4483&lt;=2021), "2018-2021", IF(AND(B4483&gt;=2022, B4483&lt;=2024), "2022-2024", "Other"))</f>
        <v>2022-2024</v>
      </c>
    </row>
    <row r="4484" spans="1:9" x14ac:dyDescent="0.3">
      <c r="A4484" t="s">
        <v>18</v>
      </c>
      <c r="B4484">
        <v>2020</v>
      </c>
      <c r="C4484" t="s">
        <v>2</v>
      </c>
      <c r="D4484">
        <v>44297.88</v>
      </c>
      <c r="E4484">
        <v>49936.7</v>
      </c>
      <c r="F4484">
        <v>57.61</v>
      </c>
      <c r="G4484">
        <v>828.54</v>
      </c>
      <c r="H4484">
        <f>E4484*1000000/D4484</f>
        <v>1127293.2248676461</v>
      </c>
      <c r="I4484" t="str">
        <f>IF(AND(B4484&gt;=2018, B4484&lt;=2021), "2018-2021", IF(AND(B4484&gt;=2022, B4484&lt;=2024), "2022-2024", "Other"))</f>
        <v>2018-2021</v>
      </c>
    </row>
    <row r="4485" spans="1:9" x14ac:dyDescent="0.3">
      <c r="A4485" t="s">
        <v>15</v>
      </c>
      <c r="B4485">
        <v>2021</v>
      </c>
      <c r="C4485" t="s">
        <v>0</v>
      </c>
      <c r="D4485">
        <v>16844.8</v>
      </c>
      <c r="E4485">
        <v>14205.02</v>
      </c>
      <c r="F4485">
        <v>104.13</v>
      </c>
      <c r="G4485">
        <v>726.49</v>
      </c>
      <c r="H4485">
        <f>E4485*1000000/D4485</f>
        <v>843288.13639817631</v>
      </c>
      <c r="I4485" t="str">
        <f>IF(AND(B4485&gt;=2018, B4485&lt;=2021), "2018-2021", IF(AND(B4485&gt;=2022, B4485&lt;=2024), "2022-2024", "Other"))</f>
        <v>2018-2021</v>
      </c>
    </row>
    <row r="4486" spans="1:9" x14ac:dyDescent="0.3">
      <c r="A4486" t="s">
        <v>3</v>
      </c>
      <c r="B4486">
        <v>2022</v>
      </c>
      <c r="C4486" t="s">
        <v>8</v>
      </c>
      <c r="D4486">
        <v>23374.75</v>
      </c>
      <c r="E4486">
        <v>20755.29</v>
      </c>
      <c r="F4486">
        <v>88.6</v>
      </c>
      <c r="G4486">
        <v>1282.72</v>
      </c>
      <c r="H4486">
        <f>E4486*1000000/D4486</f>
        <v>887936.34156515042</v>
      </c>
      <c r="I4486" t="str">
        <f>IF(AND(B4486&gt;=2018, B4486&lt;=2021), "2018-2021", IF(AND(B4486&gt;=2022, B4486&lt;=2024), "2022-2024", "Other"))</f>
        <v>2022-2024</v>
      </c>
    </row>
    <row r="4487" spans="1:9" x14ac:dyDescent="0.3">
      <c r="A4487" t="s">
        <v>15</v>
      </c>
      <c r="B4487">
        <v>2024</v>
      </c>
      <c r="C4487" t="s">
        <v>4</v>
      </c>
      <c r="D4487">
        <v>15446.96</v>
      </c>
      <c r="E4487">
        <v>14357.89</v>
      </c>
      <c r="F4487">
        <v>184.54</v>
      </c>
      <c r="G4487">
        <v>807.79</v>
      </c>
      <c r="H4487">
        <f>E4487*1000000/D4487</f>
        <v>929496.15976217983</v>
      </c>
      <c r="I4487" t="str">
        <f>IF(AND(B4487&gt;=2018, B4487&lt;=2021), "2018-2021", IF(AND(B4487&gt;=2022, B4487&lt;=2024), "2022-2024", "Other"))</f>
        <v>2022-2024</v>
      </c>
    </row>
    <row r="4488" spans="1:9" x14ac:dyDescent="0.3">
      <c r="A4488" t="s">
        <v>19</v>
      </c>
      <c r="B4488">
        <v>2023</v>
      </c>
      <c r="C4488" t="s">
        <v>0</v>
      </c>
      <c r="D4488">
        <v>38768.71</v>
      </c>
      <c r="E4488">
        <v>42416.9</v>
      </c>
      <c r="F4488">
        <v>164.11</v>
      </c>
      <c r="G4488">
        <v>228.2</v>
      </c>
      <c r="H4488">
        <f>E4488*1000000/D4488</f>
        <v>1094101.4029097178</v>
      </c>
      <c r="I4488" t="str">
        <f>IF(AND(B4488&gt;=2018, B4488&lt;=2021), "2018-2021", IF(AND(B4488&gt;=2022, B4488&lt;=2024), "2022-2024", "Other"))</f>
        <v>2022-2024</v>
      </c>
    </row>
    <row r="4489" spans="1:9" x14ac:dyDescent="0.3">
      <c r="A4489" t="s">
        <v>10</v>
      </c>
      <c r="B4489">
        <v>2023</v>
      </c>
      <c r="C4489" t="s">
        <v>2</v>
      </c>
      <c r="D4489">
        <v>8414.7999999999993</v>
      </c>
      <c r="E4489">
        <v>9984.14</v>
      </c>
      <c r="F4489">
        <v>158.88</v>
      </c>
      <c r="G4489">
        <v>25.39</v>
      </c>
      <c r="H4489">
        <f>E4489*1000000/D4489</f>
        <v>1186497.5994676049</v>
      </c>
      <c r="I4489" t="str">
        <f>IF(AND(B4489&gt;=2018, B4489&lt;=2021), "2018-2021", IF(AND(B4489&gt;=2022, B4489&lt;=2024), "2022-2024", "Other"))</f>
        <v>2022-2024</v>
      </c>
    </row>
    <row r="4490" spans="1:9" x14ac:dyDescent="0.3">
      <c r="A4490" t="s">
        <v>17</v>
      </c>
      <c r="B4490">
        <v>2023</v>
      </c>
      <c r="C4490" t="s">
        <v>2</v>
      </c>
      <c r="D4490">
        <v>44969.56</v>
      </c>
      <c r="E4490">
        <v>48115.31</v>
      </c>
      <c r="F4490">
        <v>178.15</v>
      </c>
      <c r="G4490">
        <v>330.28</v>
      </c>
      <c r="H4490">
        <f>E4490*1000000/D4490</f>
        <v>1069952.8747890797</v>
      </c>
      <c r="I4490" t="str">
        <f>IF(AND(B4490&gt;=2018, B4490&lt;=2021), "2018-2021", IF(AND(B4490&gt;=2022, B4490&lt;=2024), "2022-2024", "Other"))</f>
        <v>2022-2024</v>
      </c>
    </row>
    <row r="4491" spans="1:9" x14ac:dyDescent="0.3">
      <c r="A4491" t="s">
        <v>17</v>
      </c>
      <c r="B4491">
        <v>2019</v>
      </c>
      <c r="C4491" t="s">
        <v>4</v>
      </c>
      <c r="D4491">
        <v>42832.47</v>
      </c>
      <c r="E4491">
        <v>39205.910000000003</v>
      </c>
      <c r="F4491">
        <v>172.02</v>
      </c>
      <c r="G4491">
        <v>1292.03</v>
      </c>
      <c r="H4491">
        <f>E4491*1000000/D4491</f>
        <v>915331.52302447183</v>
      </c>
      <c r="I4491" t="str">
        <f>IF(AND(B4491&gt;=2018, B4491&lt;=2021), "2018-2021", IF(AND(B4491&gt;=2022, B4491&lt;=2024), "2022-2024", "Other"))</f>
        <v>2018-2021</v>
      </c>
    </row>
    <row r="4492" spans="1:9" x14ac:dyDescent="0.3">
      <c r="A4492" t="s">
        <v>10</v>
      </c>
      <c r="B4492">
        <v>2020</v>
      </c>
      <c r="C4492" t="s">
        <v>14</v>
      </c>
      <c r="D4492">
        <v>15700.61</v>
      </c>
      <c r="E4492">
        <v>18354.830000000002</v>
      </c>
      <c r="F4492">
        <v>145.93</v>
      </c>
      <c r="G4492">
        <v>1318.08</v>
      </c>
      <c r="H4492">
        <f>E4492*1000000/D4492</f>
        <v>1169052.0304625107</v>
      </c>
      <c r="I4492" t="str">
        <f>IF(AND(B4492&gt;=2018, B4492&lt;=2021), "2018-2021", IF(AND(B4492&gt;=2022, B4492&lt;=2024), "2022-2024", "Other"))</f>
        <v>2018-2021</v>
      </c>
    </row>
    <row r="4493" spans="1:9" x14ac:dyDescent="0.3">
      <c r="A4493" t="s">
        <v>22</v>
      </c>
      <c r="B4493">
        <v>2018</v>
      </c>
      <c r="C4493" t="s">
        <v>0</v>
      </c>
      <c r="D4493">
        <v>19268.21</v>
      </c>
      <c r="E4493">
        <v>17241.57</v>
      </c>
      <c r="F4493">
        <v>47.39</v>
      </c>
      <c r="G4493">
        <v>755.37</v>
      </c>
      <c r="H4493">
        <f>E4493*1000000/D4493</f>
        <v>894819.49802290928</v>
      </c>
      <c r="I4493" t="str">
        <f>IF(AND(B4493&gt;=2018, B4493&lt;=2021), "2018-2021", IF(AND(B4493&gt;=2022, B4493&lt;=2024), "2022-2024", "Other"))</f>
        <v>2018-2021</v>
      </c>
    </row>
    <row r="4494" spans="1:9" x14ac:dyDescent="0.3">
      <c r="A4494" t="s">
        <v>15</v>
      </c>
      <c r="B4494">
        <v>2018</v>
      </c>
      <c r="C4494" t="s">
        <v>4</v>
      </c>
      <c r="D4494">
        <v>25412.81</v>
      </c>
      <c r="E4494">
        <v>24517.81</v>
      </c>
      <c r="F4494">
        <v>53.13</v>
      </c>
      <c r="G4494">
        <v>905.82</v>
      </c>
      <c r="H4494">
        <f>E4494*1000000/D4494</f>
        <v>964781.5412778043</v>
      </c>
      <c r="I4494" t="str">
        <f>IF(AND(B4494&gt;=2018, B4494&lt;=2021), "2018-2021", IF(AND(B4494&gt;=2022, B4494&lt;=2024), "2022-2024", "Other"))</f>
        <v>2018-2021</v>
      </c>
    </row>
    <row r="4495" spans="1:9" x14ac:dyDescent="0.3">
      <c r="A4495" t="s">
        <v>3</v>
      </c>
      <c r="B4495">
        <v>2023</v>
      </c>
      <c r="C4495" t="s">
        <v>9</v>
      </c>
      <c r="D4495">
        <v>24491.1</v>
      </c>
      <c r="E4495">
        <v>28821.19</v>
      </c>
      <c r="F4495">
        <v>153.93</v>
      </c>
      <c r="G4495">
        <v>320</v>
      </c>
      <c r="H4495">
        <f>E4495*1000000/D4495</f>
        <v>1176802.5935952244</v>
      </c>
      <c r="I4495" t="str">
        <f>IF(AND(B4495&gt;=2018, B4495&lt;=2021), "2018-2021", IF(AND(B4495&gt;=2022, B4495&lt;=2024), "2022-2024", "Other"))</f>
        <v>2022-2024</v>
      </c>
    </row>
    <row r="4496" spans="1:9" x14ac:dyDescent="0.3">
      <c r="A4496" t="s">
        <v>5</v>
      </c>
      <c r="B4496">
        <v>2018</v>
      </c>
      <c r="C4496" t="s">
        <v>9</v>
      </c>
      <c r="D4496">
        <v>3072.05</v>
      </c>
      <c r="E4496">
        <v>3486.72</v>
      </c>
      <c r="F4496">
        <v>93.1</v>
      </c>
      <c r="G4496">
        <v>509.61</v>
      </c>
      <c r="H4496">
        <f>E4496*1000000/D4496</f>
        <v>1134981.5269933757</v>
      </c>
      <c r="I4496" t="str">
        <f>IF(AND(B4496&gt;=2018, B4496&lt;=2021), "2018-2021", IF(AND(B4496&gt;=2022, B4496&lt;=2024), "2022-2024", "Other"))</f>
        <v>2018-2021</v>
      </c>
    </row>
    <row r="4497" spans="1:9" x14ac:dyDescent="0.3">
      <c r="A4497" t="s">
        <v>1</v>
      </c>
      <c r="B4497">
        <v>2019</v>
      </c>
      <c r="C4497" t="s">
        <v>2</v>
      </c>
      <c r="D4497">
        <v>18698.62</v>
      </c>
      <c r="E4497">
        <v>20495.740000000002</v>
      </c>
      <c r="F4497">
        <v>199.8</v>
      </c>
      <c r="G4497">
        <v>245.4</v>
      </c>
      <c r="H4497">
        <f>E4497*1000000/D4497</f>
        <v>1096109.7663891774</v>
      </c>
      <c r="I4497" t="str">
        <f>IF(AND(B4497&gt;=2018, B4497&lt;=2021), "2018-2021", IF(AND(B4497&gt;=2022, B4497&lt;=2024), "2022-2024", "Other"))</f>
        <v>2018-2021</v>
      </c>
    </row>
    <row r="4498" spans="1:9" x14ac:dyDescent="0.3">
      <c r="A4498" t="s">
        <v>27</v>
      </c>
      <c r="B4498">
        <v>2020</v>
      </c>
      <c r="C4498" t="s">
        <v>4</v>
      </c>
      <c r="D4498">
        <v>33887.03</v>
      </c>
      <c r="E4498">
        <v>32310.06</v>
      </c>
      <c r="F4498">
        <v>104.43</v>
      </c>
      <c r="G4498">
        <v>426.96</v>
      </c>
      <c r="H4498">
        <f>E4498*1000000/D4498</f>
        <v>953463.90639722638</v>
      </c>
      <c r="I4498" t="str">
        <f>IF(AND(B4498&gt;=2018, B4498&lt;=2021), "2018-2021", IF(AND(B4498&gt;=2022, B4498&lt;=2024), "2022-2024", "Other"))</f>
        <v>2018-2021</v>
      </c>
    </row>
    <row r="4499" spans="1:9" x14ac:dyDescent="0.3">
      <c r="A4499" t="s">
        <v>24</v>
      </c>
      <c r="B4499">
        <v>2024</v>
      </c>
      <c r="C4499" t="s">
        <v>2</v>
      </c>
      <c r="D4499">
        <v>12211.81</v>
      </c>
      <c r="E4499">
        <v>11994.85</v>
      </c>
      <c r="F4499">
        <v>66.66</v>
      </c>
      <c r="G4499">
        <v>1324.92</v>
      </c>
      <c r="H4499">
        <f>E4499*1000000/D4499</f>
        <v>982233.59190816106</v>
      </c>
      <c r="I4499" t="str">
        <f>IF(AND(B4499&gt;=2018, B4499&lt;=2021), "2018-2021", IF(AND(B4499&gt;=2022, B4499&lt;=2024), "2022-2024", "Other"))</f>
        <v>2022-2024</v>
      </c>
    </row>
    <row r="4500" spans="1:9" x14ac:dyDescent="0.3">
      <c r="A4500" t="s">
        <v>16</v>
      </c>
      <c r="B4500">
        <v>2022</v>
      </c>
      <c r="C4500" t="s">
        <v>9</v>
      </c>
      <c r="D4500">
        <v>38347.96</v>
      </c>
      <c r="E4500">
        <v>41285.160000000003</v>
      </c>
      <c r="F4500">
        <v>72.47</v>
      </c>
      <c r="G4500">
        <v>506.24</v>
      </c>
      <c r="H4500">
        <f>E4500*1000000/D4500</f>
        <v>1076593.3833246932</v>
      </c>
      <c r="I4500" t="str">
        <f>IF(AND(B4500&gt;=2018, B4500&lt;=2021), "2018-2021", IF(AND(B4500&gt;=2022, B4500&lt;=2024), "2022-2024", "Other"))</f>
        <v>2022-2024</v>
      </c>
    </row>
    <row r="4501" spans="1:9" x14ac:dyDescent="0.3">
      <c r="A4501" t="s">
        <v>24</v>
      </c>
      <c r="B4501">
        <v>2018</v>
      </c>
      <c r="C4501" t="s">
        <v>9</v>
      </c>
      <c r="D4501">
        <v>21201.55</v>
      </c>
      <c r="E4501">
        <v>19115.21</v>
      </c>
      <c r="F4501">
        <v>52.05</v>
      </c>
      <c r="G4501">
        <v>542.78</v>
      </c>
      <c r="H4501">
        <f>E4501*1000000/D4501</f>
        <v>901594.93055932235</v>
      </c>
      <c r="I4501" t="str">
        <f>IF(AND(B4501&gt;=2018, B4501&lt;=2021), "2018-2021", IF(AND(B4501&gt;=2022, B4501&lt;=2024), "2022-2024", "Other"))</f>
        <v>2018-2021</v>
      </c>
    </row>
    <row r="4502" spans="1:9" x14ac:dyDescent="0.3">
      <c r="A4502" t="s">
        <v>11</v>
      </c>
      <c r="B4502">
        <v>2021</v>
      </c>
      <c r="C4502" t="s">
        <v>14</v>
      </c>
      <c r="D4502">
        <v>607.89</v>
      </c>
      <c r="E4502">
        <v>612.11</v>
      </c>
      <c r="F4502">
        <v>136.62</v>
      </c>
      <c r="G4502">
        <v>129.37</v>
      </c>
      <c r="H4502">
        <f>E4502*1000000/D4502</f>
        <v>1006942.0454358519</v>
      </c>
      <c r="I4502" t="str">
        <f>IF(AND(B4502&gt;=2018, B4502&lt;=2021), "2018-2021", IF(AND(B4502&gt;=2022, B4502&lt;=2024), "2022-2024", "Other"))</f>
        <v>2018-2021</v>
      </c>
    </row>
    <row r="4503" spans="1:9" x14ac:dyDescent="0.3">
      <c r="A4503" t="s">
        <v>26</v>
      </c>
      <c r="B4503">
        <v>2020</v>
      </c>
      <c r="C4503" t="s">
        <v>14</v>
      </c>
      <c r="D4503">
        <v>35936.68</v>
      </c>
      <c r="E4503">
        <v>30314.9</v>
      </c>
      <c r="F4503">
        <v>140.07</v>
      </c>
      <c r="G4503">
        <v>78.16</v>
      </c>
      <c r="H4503">
        <f>E4503*1000000/D4503</f>
        <v>843564.29141478846</v>
      </c>
      <c r="I4503" t="str">
        <f>IF(AND(B4503&gt;=2018, B4503&lt;=2021), "2018-2021", IF(AND(B4503&gt;=2022, B4503&lt;=2024), "2022-2024", "Other"))</f>
        <v>2018-2021</v>
      </c>
    </row>
    <row r="4504" spans="1:9" x14ac:dyDescent="0.3">
      <c r="A4504" t="s">
        <v>15</v>
      </c>
      <c r="B4504">
        <v>2020</v>
      </c>
      <c r="C4504" t="s">
        <v>6</v>
      </c>
      <c r="D4504">
        <v>19452.21</v>
      </c>
      <c r="E4504">
        <v>23192.66</v>
      </c>
      <c r="F4504">
        <v>175.7</v>
      </c>
      <c r="G4504">
        <v>445.83</v>
      </c>
      <c r="H4504">
        <f>E4504*1000000/D4504</f>
        <v>1192289.2051854264</v>
      </c>
      <c r="I4504" t="str">
        <f>IF(AND(B4504&gt;=2018, B4504&lt;=2021), "2018-2021", IF(AND(B4504&gt;=2022, B4504&lt;=2024), "2022-2024", "Other"))</f>
        <v>2018-2021</v>
      </c>
    </row>
    <row r="4505" spans="1:9" x14ac:dyDescent="0.3">
      <c r="A4505" t="s">
        <v>16</v>
      </c>
      <c r="B4505">
        <v>2023</v>
      </c>
      <c r="C4505" t="s">
        <v>14</v>
      </c>
      <c r="D4505">
        <v>37128.769999999997</v>
      </c>
      <c r="E4505">
        <v>31765.22</v>
      </c>
      <c r="F4505">
        <v>93.57</v>
      </c>
      <c r="G4505">
        <v>671.42</v>
      </c>
      <c r="H4505">
        <f>E4505*1000000/D4505</f>
        <v>855541.94227279827</v>
      </c>
      <c r="I4505" t="str">
        <f>IF(AND(B4505&gt;=2018, B4505&lt;=2021), "2018-2021", IF(AND(B4505&gt;=2022, B4505&lt;=2024), "2022-2024", "Other"))</f>
        <v>2022-2024</v>
      </c>
    </row>
    <row r="4506" spans="1:9" x14ac:dyDescent="0.3">
      <c r="A4506" t="s">
        <v>23</v>
      </c>
      <c r="B4506">
        <v>2019</v>
      </c>
      <c r="C4506" t="s">
        <v>12</v>
      </c>
      <c r="D4506">
        <v>45845.58</v>
      </c>
      <c r="E4506">
        <v>43305.89</v>
      </c>
      <c r="F4506">
        <v>53.95</v>
      </c>
      <c r="G4506">
        <v>1280.0899999999999</v>
      </c>
      <c r="H4506">
        <f>E4506*1000000/D4506</f>
        <v>944603.38379403204</v>
      </c>
      <c r="I4506" t="str">
        <f>IF(AND(B4506&gt;=2018, B4506&lt;=2021), "2018-2021", IF(AND(B4506&gt;=2022, B4506&lt;=2024), "2022-2024", "Other"))</f>
        <v>2018-2021</v>
      </c>
    </row>
    <row r="4507" spans="1:9" x14ac:dyDescent="0.3">
      <c r="A4507" t="s">
        <v>24</v>
      </c>
      <c r="B4507">
        <v>2023</v>
      </c>
      <c r="C4507" t="s">
        <v>4</v>
      </c>
      <c r="D4507">
        <v>8534.59</v>
      </c>
      <c r="E4507">
        <v>8703.64</v>
      </c>
      <c r="F4507">
        <v>43.65</v>
      </c>
      <c r="G4507">
        <v>487.73</v>
      </c>
      <c r="H4507">
        <f>E4507*1000000/D4507</f>
        <v>1019807.6298920042</v>
      </c>
      <c r="I4507" t="str">
        <f>IF(AND(B4507&gt;=2018, B4507&lt;=2021), "2018-2021", IF(AND(B4507&gt;=2022, B4507&lt;=2024), "2022-2024", "Other"))</f>
        <v>2022-2024</v>
      </c>
    </row>
    <row r="4508" spans="1:9" x14ac:dyDescent="0.3">
      <c r="A4508" t="s">
        <v>21</v>
      </c>
      <c r="B4508">
        <v>2021</v>
      </c>
      <c r="C4508" t="s">
        <v>14</v>
      </c>
      <c r="D4508">
        <v>20087.93</v>
      </c>
      <c r="E4508">
        <v>23773.4</v>
      </c>
      <c r="F4508">
        <v>59.64</v>
      </c>
      <c r="G4508">
        <v>957.49</v>
      </c>
      <c r="H4508">
        <f>E4508*1000000/D4508</f>
        <v>1183466.8878276655</v>
      </c>
      <c r="I4508" t="str">
        <f>IF(AND(B4508&gt;=2018, B4508&lt;=2021), "2018-2021", IF(AND(B4508&gt;=2022, B4508&lt;=2024), "2022-2024", "Other"))</f>
        <v>2018-2021</v>
      </c>
    </row>
    <row r="4509" spans="1:9" x14ac:dyDescent="0.3">
      <c r="A4509" t="s">
        <v>18</v>
      </c>
      <c r="B4509">
        <v>2018</v>
      </c>
      <c r="C4509" t="s">
        <v>8</v>
      </c>
      <c r="D4509">
        <v>15663.37</v>
      </c>
      <c r="E4509">
        <v>12969.3</v>
      </c>
      <c r="F4509">
        <v>45.44</v>
      </c>
      <c r="G4509">
        <v>1120.22</v>
      </c>
      <c r="H4509">
        <f>E4509*1000000/D4509</f>
        <v>828001.89231308457</v>
      </c>
      <c r="I4509" t="str">
        <f>IF(AND(B4509&gt;=2018, B4509&lt;=2021), "2018-2021", IF(AND(B4509&gt;=2022, B4509&lt;=2024), "2022-2024", "Other"))</f>
        <v>2018-2021</v>
      </c>
    </row>
    <row r="4510" spans="1:9" x14ac:dyDescent="0.3">
      <c r="A4510" t="s">
        <v>25</v>
      </c>
      <c r="B4510">
        <v>2019</v>
      </c>
      <c r="C4510" t="s">
        <v>9</v>
      </c>
      <c r="D4510">
        <v>21755.05</v>
      </c>
      <c r="E4510">
        <v>19070.82</v>
      </c>
      <c r="F4510">
        <v>145.69999999999999</v>
      </c>
      <c r="G4510">
        <v>1224.2</v>
      </c>
      <c r="H4510">
        <f>E4510*1000000/D4510</f>
        <v>876615.77426850318</v>
      </c>
      <c r="I4510" t="str">
        <f>IF(AND(B4510&gt;=2018, B4510&lt;=2021), "2018-2021", IF(AND(B4510&gt;=2022, B4510&lt;=2024), "2022-2024", "Other"))</f>
        <v>2018-2021</v>
      </c>
    </row>
    <row r="4511" spans="1:9" x14ac:dyDescent="0.3">
      <c r="A4511" t="s">
        <v>17</v>
      </c>
      <c r="B4511">
        <v>2024</v>
      </c>
      <c r="C4511" t="s">
        <v>12</v>
      </c>
      <c r="D4511">
        <v>17611.63</v>
      </c>
      <c r="E4511">
        <v>18603.78</v>
      </c>
      <c r="F4511">
        <v>142.77000000000001</v>
      </c>
      <c r="G4511">
        <v>154.37</v>
      </c>
      <c r="H4511">
        <f>E4511*1000000/D4511</f>
        <v>1056334.9332231032</v>
      </c>
      <c r="I4511" t="str">
        <f>IF(AND(B4511&gt;=2018, B4511&lt;=2021), "2018-2021", IF(AND(B4511&gt;=2022, B4511&lt;=2024), "2022-2024", "Other"))</f>
        <v>2022-2024</v>
      </c>
    </row>
    <row r="4512" spans="1:9" x14ac:dyDescent="0.3">
      <c r="A4512" t="s">
        <v>24</v>
      </c>
      <c r="B4512">
        <v>2022</v>
      </c>
      <c r="C4512" t="s">
        <v>0</v>
      </c>
      <c r="D4512">
        <v>22620.3</v>
      </c>
      <c r="E4512">
        <v>21652.05</v>
      </c>
      <c r="F4512">
        <v>138.18</v>
      </c>
      <c r="G4512">
        <v>665.27</v>
      </c>
      <c r="H4512">
        <f>E4512*1000000/D4512</f>
        <v>957195.5279107705</v>
      </c>
      <c r="I4512" t="str">
        <f>IF(AND(B4512&gt;=2018, B4512&lt;=2021), "2018-2021", IF(AND(B4512&gt;=2022, B4512&lt;=2024), "2022-2024", "Other"))</f>
        <v>2022-2024</v>
      </c>
    </row>
    <row r="4513" spans="1:9" x14ac:dyDescent="0.3">
      <c r="A4513" t="s">
        <v>16</v>
      </c>
      <c r="B4513">
        <v>2023</v>
      </c>
      <c r="C4513" t="s">
        <v>12</v>
      </c>
      <c r="D4513">
        <v>16001.7</v>
      </c>
      <c r="E4513">
        <v>17823.32</v>
      </c>
      <c r="F4513">
        <v>107.75</v>
      </c>
      <c r="G4513">
        <v>755.37</v>
      </c>
      <c r="H4513">
        <f>E4513*1000000/D4513</f>
        <v>1113839.1545898248</v>
      </c>
      <c r="I4513" t="str">
        <f>IF(AND(B4513&gt;=2018, B4513&lt;=2021), "2018-2021", IF(AND(B4513&gt;=2022, B4513&lt;=2024), "2022-2024", "Other"))</f>
        <v>2022-2024</v>
      </c>
    </row>
    <row r="4514" spans="1:9" x14ac:dyDescent="0.3">
      <c r="A4514" t="s">
        <v>25</v>
      </c>
      <c r="B4514">
        <v>2018</v>
      </c>
      <c r="C4514" t="s">
        <v>14</v>
      </c>
      <c r="D4514">
        <v>2912.85</v>
      </c>
      <c r="E4514">
        <v>2730</v>
      </c>
      <c r="F4514">
        <v>143.47</v>
      </c>
      <c r="G4514">
        <v>368.9</v>
      </c>
      <c r="H4514">
        <f>E4514*1000000/D4514</f>
        <v>937226.42772542359</v>
      </c>
      <c r="I4514" t="str">
        <f>IF(AND(B4514&gt;=2018, B4514&lt;=2021), "2018-2021", IF(AND(B4514&gt;=2022, B4514&lt;=2024), "2022-2024", "Other"))</f>
        <v>2018-2021</v>
      </c>
    </row>
    <row r="4515" spans="1:9" x14ac:dyDescent="0.3">
      <c r="A4515" t="s">
        <v>24</v>
      </c>
      <c r="B4515">
        <v>2021</v>
      </c>
      <c r="C4515" t="s">
        <v>12</v>
      </c>
      <c r="D4515">
        <v>24341.89</v>
      </c>
      <c r="E4515">
        <v>20010.29</v>
      </c>
      <c r="F4515">
        <v>79.66</v>
      </c>
      <c r="G4515">
        <v>1122.45</v>
      </c>
      <c r="H4515">
        <f>E4515*1000000/D4515</f>
        <v>822051.61554834072</v>
      </c>
      <c r="I4515" t="str">
        <f>IF(AND(B4515&gt;=2018, B4515&lt;=2021), "2018-2021", IF(AND(B4515&gt;=2022, B4515&lt;=2024), "2022-2024", "Other"))</f>
        <v>2018-2021</v>
      </c>
    </row>
    <row r="4516" spans="1:9" x14ac:dyDescent="0.3">
      <c r="A4516" t="s">
        <v>10</v>
      </c>
      <c r="B4516">
        <v>2022</v>
      </c>
      <c r="C4516" t="s">
        <v>2</v>
      </c>
      <c r="D4516">
        <v>21153.26</v>
      </c>
      <c r="E4516">
        <v>21898.79</v>
      </c>
      <c r="F4516">
        <v>144.72</v>
      </c>
      <c r="G4516">
        <v>1168.57</v>
      </c>
      <c r="H4516">
        <f>E4516*1000000/D4516</f>
        <v>1035244.2129487371</v>
      </c>
      <c r="I4516" t="str">
        <f>IF(AND(B4516&gt;=2018, B4516&lt;=2021), "2018-2021", IF(AND(B4516&gt;=2022, B4516&lt;=2024), "2022-2024", "Other"))</f>
        <v>2022-2024</v>
      </c>
    </row>
    <row r="4517" spans="1:9" x14ac:dyDescent="0.3">
      <c r="A4517" t="s">
        <v>22</v>
      </c>
      <c r="B4517">
        <v>2021</v>
      </c>
      <c r="C4517" t="s">
        <v>12</v>
      </c>
      <c r="D4517">
        <v>16980.14</v>
      </c>
      <c r="E4517">
        <v>14139.82</v>
      </c>
      <c r="F4517">
        <v>156.05000000000001</v>
      </c>
      <c r="G4517">
        <v>1005.22</v>
      </c>
      <c r="H4517">
        <f>E4517*1000000/D4517</f>
        <v>832726.93864714901</v>
      </c>
      <c r="I4517" t="str">
        <f>IF(AND(B4517&gt;=2018, B4517&lt;=2021), "2018-2021", IF(AND(B4517&gt;=2022, B4517&lt;=2024), "2022-2024", "Other"))</f>
        <v>2018-2021</v>
      </c>
    </row>
    <row r="4518" spans="1:9" x14ac:dyDescent="0.3">
      <c r="A4518" t="s">
        <v>20</v>
      </c>
      <c r="B4518">
        <v>2021</v>
      </c>
      <c r="C4518" t="s">
        <v>4</v>
      </c>
      <c r="D4518">
        <v>39094.080000000002</v>
      </c>
      <c r="E4518">
        <v>37554.85</v>
      </c>
      <c r="F4518">
        <v>60.22</v>
      </c>
      <c r="G4518">
        <v>782.57</v>
      </c>
      <c r="H4518">
        <f>E4518*1000000/D4518</f>
        <v>960627.54258445266</v>
      </c>
      <c r="I4518" t="str">
        <f>IF(AND(B4518&gt;=2018, B4518&lt;=2021), "2018-2021", IF(AND(B4518&gt;=2022, B4518&lt;=2024), "2022-2024", "Other"))</f>
        <v>2018-2021</v>
      </c>
    </row>
    <row r="4519" spans="1:9" x14ac:dyDescent="0.3">
      <c r="A4519" t="s">
        <v>23</v>
      </c>
      <c r="B4519">
        <v>2022</v>
      </c>
      <c r="C4519" t="s">
        <v>9</v>
      </c>
      <c r="D4519">
        <v>10883.89</v>
      </c>
      <c r="E4519">
        <v>12004.85</v>
      </c>
      <c r="F4519">
        <v>77.59</v>
      </c>
      <c r="G4519">
        <v>687.98</v>
      </c>
      <c r="H4519">
        <f>E4519*1000000/D4519</f>
        <v>1102992.5881279579</v>
      </c>
      <c r="I4519" t="str">
        <f>IF(AND(B4519&gt;=2018, B4519&lt;=2021), "2018-2021", IF(AND(B4519&gt;=2022, B4519&lt;=2024), "2022-2024", "Other"))</f>
        <v>2022-2024</v>
      </c>
    </row>
    <row r="4520" spans="1:9" x14ac:dyDescent="0.3">
      <c r="A4520" t="s">
        <v>17</v>
      </c>
      <c r="B4520">
        <v>2020</v>
      </c>
      <c r="C4520" t="s">
        <v>12</v>
      </c>
      <c r="D4520">
        <v>33202.629999999997</v>
      </c>
      <c r="E4520">
        <v>31071.35</v>
      </c>
      <c r="F4520">
        <v>177.83</v>
      </c>
      <c r="G4520">
        <v>446.38</v>
      </c>
      <c r="H4520">
        <f>E4520*1000000/D4520</f>
        <v>935809.9042154192</v>
      </c>
      <c r="I4520" t="str">
        <f>IF(AND(B4520&gt;=2018, B4520&lt;=2021), "2018-2021", IF(AND(B4520&gt;=2022, B4520&lt;=2024), "2022-2024", "Other"))</f>
        <v>2018-2021</v>
      </c>
    </row>
    <row r="4521" spans="1:9" x14ac:dyDescent="0.3">
      <c r="A4521" t="s">
        <v>25</v>
      </c>
      <c r="B4521">
        <v>2022</v>
      </c>
      <c r="C4521" t="s">
        <v>6</v>
      </c>
      <c r="D4521">
        <v>17404.36</v>
      </c>
      <c r="E4521">
        <v>16904.52</v>
      </c>
      <c r="F4521">
        <v>94.17</v>
      </c>
      <c r="G4521">
        <v>825.6</v>
      </c>
      <c r="H4521">
        <f>E4521*1000000/D4521</f>
        <v>971280.75953381788</v>
      </c>
      <c r="I4521" t="str">
        <f>IF(AND(B4521&gt;=2018, B4521&lt;=2021), "2018-2021", IF(AND(B4521&gt;=2022, B4521&lt;=2024), "2022-2024", "Other"))</f>
        <v>2022-2024</v>
      </c>
    </row>
    <row r="4522" spans="1:9" x14ac:dyDescent="0.3">
      <c r="A4522" t="s">
        <v>20</v>
      </c>
      <c r="B4522">
        <v>2018</v>
      </c>
      <c r="C4522" t="s">
        <v>8</v>
      </c>
      <c r="D4522">
        <v>33314.43</v>
      </c>
      <c r="E4522">
        <v>27333.06</v>
      </c>
      <c r="F4522">
        <v>145.56</v>
      </c>
      <c r="G4522">
        <v>1053.5899999999999</v>
      </c>
      <c r="H4522">
        <f>E4522*1000000/D4522</f>
        <v>820457.08121075458</v>
      </c>
      <c r="I4522" t="str">
        <f>IF(AND(B4522&gt;=2018, B4522&lt;=2021), "2018-2021", IF(AND(B4522&gt;=2022, B4522&lt;=2024), "2022-2024", "Other"))</f>
        <v>2018-2021</v>
      </c>
    </row>
    <row r="4523" spans="1:9" x14ac:dyDescent="0.3">
      <c r="A4523" t="s">
        <v>16</v>
      </c>
      <c r="B4523">
        <v>2020</v>
      </c>
      <c r="C4523" t="s">
        <v>8</v>
      </c>
      <c r="D4523">
        <v>21911.61</v>
      </c>
      <c r="E4523">
        <v>21742.45</v>
      </c>
      <c r="F4523">
        <v>31.31</v>
      </c>
      <c r="G4523">
        <v>637.73</v>
      </c>
      <c r="H4523">
        <f>E4523*1000000/D4523</f>
        <v>992279.89180165215</v>
      </c>
      <c r="I4523" t="str">
        <f>IF(AND(B4523&gt;=2018, B4523&lt;=2021), "2018-2021", IF(AND(B4523&gt;=2022, B4523&lt;=2024), "2022-2024", "Other"))</f>
        <v>2018-2021</v>
      </c>
    </row>
    <row r="4524" spans="1:9" x14ac:dyDescent="0.3">
      <c r="A4524" t="s">
        <v>22</v>
      </c>
      <c r="B4524">
        <v>2020</v>
      </c>
      <c r="C4524" t="s">
        <v>14</v>
      </c>
      <c r="D4524">
        <v>38769.449999999997</v>
      </c>
      <c r="E4524">
        <v>39650.620000000003</v>
      </c>
      <c r="F4524">
        <v>32.619999999999997</v>
      </c>
      <c r="G4524">
        <v>1091.58</v>
      </c>
      <c r="H4524">
        <f>E4524*1000000/D4524</f>
        <v>1022728.4627457961</v>
      </c>
      <c r="I4524" t="str">
        <f>IF(AND(B4524&gt;=2018, B4524&lt;=2021), "2018-2021", IF(AND(B4524&gt;=2022, B4524&lt;=2024), "2022-2024", "Other"))</f>
        <v>2018-2021</v>
      </c>
    </row>
    <row r="4525" spans="1:9" x14ac:dyDescent="0.3">
      <c r="A4525" t="s">
        <v>17</v>
      </c>
      <c r="B4525">
        <v>2023</v>
      </c>
      <c r="C4525" t="s">
        <v>9</v>
      </c>
      <c r="D4525">
        <v>20356.45</v>
      </c>
      <c r="E4525">
        <v>21635.279999999999</v>
      </c>
      <c r="F4525">
        <v>32.200000000000003</v>
      </c>
      <c r="G4525">
        <v>928.58</v>
      </c>
      <c r="H4525">
        <f>E4525*1000000/D4525</f>
        <v>1062821.8574456745</v>
      </c>
      <c r="I4525" t="str">
        <f>IF(AND(B4525&gt;=2018, B4525&lt;=2021), "2018-2021", IF(AND(B4525&gt;=2022, B4525&lt;=2024), "2022-2024", "Other"))</f>
        <v>2022-2024</v>
      </c>
    </row>
    <row r="4526" spans="1:9" x14ac:dyDescent="0.3">
      <c r="A4526" t="s">
        <v>7</v>
      </c>
      <c r="B4526">
        <v>2020</v>
      </c>
      <c r="C4526" t="s">
        <v>4</v>
      </c>
      <c r="D4526">
        <v>2485.8000000000002</v>
      </c>
      <c r="E4526">
        <v>2257.38</v>
      </c>
      <c r="F4526">
        <v>196.31</v>
      </c>
      <c r="G4526">
        <v>930.59</v>
      </c>
      <c r="H4526">
        <f>E4526*1000000/D4526</f>
        <v>908110.06517016643</v>
      </c>
      <c r="I4526" t="str">
        <f>IF(AND(B4526&gt;=2018, B4526&lt;=2021), "2018-2021", IF(AND(B4526&gt;=2022, B4526&lt;=2024), "2022-2024", "Other"))</f>
        <v>2018-2021</v>
      </c>
    </row>
    <row r="4527" spans="1:9" x14ac:dyDescent="0.3">
      <c r="A4527" t="s">
        <v>22</v>
      </c>
      <c r="B4527">
        <v>2019</v>
      </c>
      <c r="C4527" t="s">
        <v>14</v>
      </c>
      <c r="D4527">
        <v>17005.27</v>
      </c>
      <c r="E4527">
        <v>16808.36</v>
      </c>
      <c r="F4527">
        <v>79.33</v>
      </c>
      <c r="G4527">
        <v>665.99</v>
      </c>
      <c r="H4527">
        <f>E4527*1000000/D4527</f>
        <v>988420.6484225184</v>
      </c>
      <c r="I4527" t="str">
        <f>IF(AND(B4527&gt;=2018, B4527&lt;=2021), "2018-2021", IF(AND(B4527&gt;=2022, B4527&lt;=2024), "2022-2024", "Other"))</f>
        <v>2018-2021</v>
      </c>
    </row>
    <row r="4528" spans="1:9" x14ac:dyDescent="0.3">
      <c r="A4528" t="s">
        <v>19</v>
      </c>
      <c r="B4528">
        <v>2024</v>
      </c>
      <c r="C4528" t="s">
        <v>12</v>
      </c>
      <c r="D4528">
        <v>30718.53</v>
      </c>
      <c r="E4528">
        <v>30692.35</v>
      </c>
      <c r="F4528">
        <v>71.42</v>
      </c>
      <c r="G4528">
        <v>131.66999999999999</v>
      </c>
      <c r="H4528">
        <f>E4528*1000000/D4528</f>
        <v>999147.74567663239</v>
      </c>
      <c r="I4528" t="str">
        <f>IF(AND(B4528&gt;=2018, B4528&lt;=2021), "2018-2021", IF(AND(B4528&gt;=2022, B4528&lt;=2024), "2022-2024", "Other"))</f>
        <v>2022-2024</v>
      </c>
    </row>
    <row r="4529" spans="1:9" x14ac:dyDescent="0.3">
      <c r="A4529" t="s">
        <v>19</v>
      </c>
      <c r="B4529">
        <v>2021</v>
      </c>
      <c r="C4529" t="s">
        <v>2</v>
      </c>
      <c r="D4529">
        <v>14187.7</v>
      </c>
      <c r="E4529">
        <v>12177.46</v>
      </c>
      <c r="F4529">
        <v>182.9</v>
      </c>
      <c r="G4529">
        <v>571.63</v>
      </c>
      <c r="H4529">
        <f>E4529*1000000/D4529</f>
        <v>858311.07226682268</v>
      </c>
      <c r="I4529" t="str">
        <f>IF(AND(B4529&gt;=2018, B4529&lt;=2021), "2018-2021", IF(AND(B4529&gt;=2022, B4529&lt;=2024), "2022-2024", "Other"))</f>
        <v>2018-2021</v>
      </c>
    </row>
    <row r="4530" spans="1:9" x14ac:dyDescent="0.3">
      <c r="A4530" t="s">
        <v>7</v>
      </c>
      <c r="B4530">
        <v>2023</v>
      </c>
      <c r="C4530" t="s">
        <v>2</v>
      </c>
      <c r="D4530">
        <v>23321.82</v>
      </c>
      <c r="E4530">
        <v>26952.6</v>
      </c>
      <c r="F4530">
        <v>133.44</v>
      </c>
      <c r="G4530">
        <v>735.15</v>
      </c>
      <c r="H4530">
        <f>E4530*1000000/D4530</f>
        <v>1155681.6749293152</v>
      </c>
      <c r="I4530" t="str">
        <f>IF(AND(B4530&gt;=2018, B4530&lt;=2021), "2018-2021", IF(AND(B4530&gt;=2022, B4530&lt;=2024), "2022-2024", "Other"))</f>
        <v>2022-2024</v>
      </c>
    </row>
    <row r="4531" spans="1:9" x14ac:dyDescent="0.3">
      <c r="A4531" t="s">
        <v>27</v>
      </c>
      <c r="B4531">
        <v>2022</v>
      </c>
      <c r="C4531" t="s">
        <v>12</v>
      </c>
      <c r="D4531">
        <v>20115.810000000001</v>
      </c>
      <c r="E4531">
        <v>21021.75</v>
      </c>
      <c r="F4531">
        <v>124.74</v>
      </c>
      <c r="G4531">
        <v>33.520000000000003</v>
      </c>
      <c r="H4531">
        <f>E4531*1000000/D4531</f>
        <v>1045036.2177809394</v>
      </c>
      <c r="I4531" t="str">
        <f>IF(AND(B4531&gt;=2018, B4531&lt;=2021), "2018-2021", IF(AND(B4531&gt;=2022, B4531&lt;=2024), "2022-2024", "Other"))</f>
        <v>2022-2024</v>
      </c>
    </row>
    <row r="4532" spans="1:9" x14ac:dyDescent="0.3">
      <c r="A4532" t="s">
        <v>11</v>
      </c>
      <c r="B4532">
        <v>2020</v>
      </c>
      <c r="C4532" t="s">
        <v>2</v>
      </c>
      <c r="D4532">
        <v>32024.639999999999</v>
      </c>
      <c r="E4532">
        <v>30790.83</v>
      </c>
      <c r="F4532">
        <v>84.91</v>
      </c>
      <c r="G4532">
        <v>1389.61</v>
      </c>
      <c r="H4532">
        <f>E4532*1000000/D4532</f>
        <v>961473.10321052792</v>
      </c>
      <c r="I4532" t="str">
        <f>IF(AND(B4532&gt;=2018, B4532&lt;=2021), "2018-2021", IF(AND(B4532&gt;=2022, B4532&lt;=2024), "2022-2024", "Other"))</f>
        <v>2018-2021</v>
      </c>
    </row>
    <row r="4533" spans="1:9" x14ac:dyDescent="0.3">
      <c r="A4533" t="s">
        <v>13</v>
      </c>
      <c r="B4533">
        <v>2023</v>
      </c>
      <c r="C4533" t="s">
        <v>0</v>
      </c>
      <c r="D4533">
        <v>48787.45</v>
      </c>
      <c r="E4533">
        <v>57469.17</v>
      </c>
      <c r="F4533">
        <v>111.93</v>
      </c>
      <c r="G4533">
        <v>919.52</v>
      </c>
      <c r="H4533">
        <f>E4533*1000000/D4533</f>
        <v>1177949.8621059309</v>
      </c>
      <c r="I4533" t="str">
        <f>IF(AND(B4533&gt;=2018, B4533&lt;=2021), "2018-2021", IF(AND(B4533&gt;=2022, B4533&lt;=2024), "2022-2024", "Other"))</f>
        <v>2022-2024</v>
      </c>
    </row>
    <row r="4534" spans="1:9" x14ac:dyDescent="0.3">
      <c r="A4534" t="s">
        <v>13</v>
      </c>
      <c r="B4534">
        <v>2020</v>
      </c>
      <c r="C4534" t="s">
        <v>0</v>
      </c>
      <c r="D4534">
        <v>36925.480000000003</v>
      </c>
      <c r="E4534">
        <v>31807.4</v>
      </c>
      <c r="F4534">
        <v>196.65</v>
      </c>
      <c r="G4534">
        <v>383.31</v>
      </c>
      <c r="H4534">
        <f>E4534*1000000/D4534</f>
        <v>861394.3542507774</v>
      </c>
      <c r="I4534" t="str">
        <f>IF(AND(B4534&gt;=2018, B4534&lt;=2021), "2018-2021", IF(AND(B4534&gt;=2022, B4534&lt;=2024), "2022-2024", "Other"))</f>
        <v>2018-2021</v>
      </c>
    </row>
    <row r="4535" spans="1:9" x14ac:dyDescent="0.3">
      <c r="A4535" t="s">
        <v>26</v>
      </c>
      <c r="B4535">
        <v>2020</v>
      </c>
      <c r="C4535" t="s">
        <v>9</v>
      </c>
      <c r="D4535">
        <v>43274.46</v>
      </c>
      <c r="E4535">
        <v>44367.94</v>
      </c>
      <c r="F4535">
        <v>107.63</v>
      </c>
      <c r="G4535">
        <v>339.88</v>
      </c>
      <c r="H4535">
        <f>E4535*1000000/D4535</f>
        <v>1025268.4839972585</v>
      </c>
      <c r="I4535" t="str">
        <f>IF(AND(B4535&gt;=2018, B4535&lt;=2021), "2018-2021", IF(AND(B4535&gt;=2022, B4535&lt;=2024), "2022-2024", "Other"))</f>
        <v>2018-2021</v>
      </c>
    </row>
    <row r="4536" spans="1:9" x14ac:dyDescent="0.3">
      <c r="A4536" t="s">
        <v>23</v>
      </c>
      <c r="B4536">
        <v>2020</v>
      </c>
      <c r="C4536" t="s">
        <v>12</v>
      </c>
      <c r="D4536">
        <v>35824.19</v>
      </c>
      <c r="E4536">
        <v>39183.410000000003</v>
      </c>
      <c r="F4536">
        <v>169.7</v>
      </c>
      <c r="G4536">
        <v>1180.32</v>
      </c>
      <c r="H4536">
        <f>E4536*1000000/D4536</f>
        <v>1093769.600931661</v>
      </c>
      <c r="I4536" t="str">
        <f>IF(AND(B4536&gt;=2018, B4536&lt;=2021), "2018-2021", IF(AND(B4536&gt;=2022, B4536&lt;=2024), "2022-2024", "Other"))</f>
        <v>2018-2021</v>
      </c>
    </row>
    <row r="4537" spans="1:9" x14ac:dyDescent="0.3">
      <c r="A4537" t="s">
        <v>24</v>
      </c>
      <c r="B4537">
        <v>2024</v>
      </c>
      <c r="C4537" t="s">
        <v>2</v>
      </c>
      <c r="D4537">
        <v>42070.19</v>
      </c>
      <c r="E4537">
        <v>44375.44</v>
      </c>
      <c r="F4537">
        <v>103.24</v>
      </c>
      <c r="G4537">
        <v>1127.8599999999999</v>
      </c>
      <c r="H4537">
        <f>E4537*1000000/D4537</f>
        <v>1054795.331326053</v>
      </c>
      <c r="I4537" t="str">
        <f>IF(AND(B4537&gt;=2018, B4537&lt;=2021), "2018-2021", IF(AND(B4537&gt;=2022, B4537&lt;=2024), "2022-2024", "Other"))</f>
        <v>2022-2024</v>
      </c>
    </row>
    <row r="4538" spans="1:9" x14ac:dyDescent="0.3">
      <c r="A4538" t="s">
        <v>26</v>
      </c>
      <c r="B4538">
        <v>2021</v>
      </c>
      <c r="C4538" t="s">
        <v>6</v>
      </c>
      <c r="D4538">
        <v>1947.27</v>
      </c>
      <c r="E4538">
        <v>1969.97</v>
      </c>
      <c r="F4538">
        <v>176.55</v>
      </c>
      <c r="G4538">
        <v>637.49</v>
      </c>
      <c r="H4538">
        <f>E4538*1000000/D4538</f>
        <v>1011657.3459253211</v>
      </c>
      <c r="I4538" t="str">
        <f>IF(AND(B4538&gt;=2018, B4538&lt;=2021), "2018-2021", IF(AND(B4538&gt;=2022, B4538&lt;=2024), "2022-2024", "Other"))</f>
        <v>2018-2021</v>
      </c>
    </row>
    <row r="4539" spans="1:9" x14ac:dyDescent="0.3">
      <c r="A4539" t="s">
        <v>3</v>
      </c>
      <c r="B4539">
        <v>2019</v>
      </c>
      <c r="C4539" t="s">
        <v>9</v>
      </c>
      <c r="D4539">
        <v>24548.23</v>
      </c>
      <c r="E4539">
        <v>22927.99</v>
      </c>
      <c r="F4539">
        <v>23.63</v>
      </c>
      <c r="G4539">
        <v>256.24</v>
      </c>
      <c r="H4539">
        <f>E4539*1000000/D4539</f>
        <v>933997.68537283549</v>
      </c>
      <c r="I4539" t="str">
        <f>IF(AND(B4539&gt;=2018, B4539&lt;=2021), "2018-2021", IF(AND(B4539&gt;=2022, B4539&lt;=2024), "2022-2024", "Other"))</f>
        <v>2018-2021</v>
      </c>
    </row>
    <row r="4540" spans="1:9" x14ac:dyDescent="0.3">
      <c r="A4540" t="s">
        <v>25</v>
      </c>
      <c r="B4540">
        <v>2021</v>
      </c>
      <c r="C4540" t="s">
        <v>0</v>
      </c>
      <c r="D4540">
        <v>19627.11</v>
      </c>
      <c r="E4540">
        <v>17656.79</v>
      </c>
      <c r="F4540">
        <v>146.52000000000001</v>
      </c>
      <c r="G4540">
        <v>126.74</v>
      </c>
      <c r="H4540">
        <f>E4540*1000000/D4540</f>
        <v>899612.32193634205</v>
      </c>
      <c r="I4540" t="str">
        <f>IF(AND(B4540&gt;=2018, B4540&lt;=2021), "2018-2021", IF(AND(B4540&gt;=2022, B4540&lt;=2024), "2022-2024", "Other"))</f>
        <v>2018-2021</v>
      </c>
    </row>
    <row r="4541" spans="1:9" x14ac:dyDescent="0.3">
      <c r="A4541" t="s">
        <v>1</v>
      </c>
      <c r="B4541">
        <v>2023</v>
      </c>
      <c r="C4541" t="s">
        <v>12</v>
      </c>
      <c r="D4541">
        <v>15155.89</v>
      </c>
      <c r="E4541">
        <v>17812.77</v>
      </c>
      <c r="F4541">
        <v>95.41</v>
      </c>
      <c r="G4541">
        <v>1243.55</v>
      </c>
      <c r="H4541">
        <f>E4541*1000000/D4541</f>
        <v>1175303.4628781285</v>
      </c>
      <c r="I4541" t="str">
        <f>IF(AND(B4541&gt;=2018, B4541&lt;=2021), "2018-2021", IF(AND(B4541&gt;=2022, B4541&lt;=2024), "2022-2024", "Other"))</f>
        <v>2022-2024</v>
      </c>
    </row>
    <row r="4542" spans="1:9" x14ac:dyDescent="0.3">
      <c r="A4542" t="s">
        <v>20</v>
      </c>
      <c r="B4542">
        <v>2019</v>
      </c>
      <c r="C4542" t="s">
        <v>9</v>
      </c>
      <c r="D4542">
        <v>6031.18</v>
      </c>
      <c r="E4542">
        <v>5410.01</v>
      </c>
      <c r="F4542">
        <v>31.36</v>
      </c>
      <c r="G4542">
        <v>273.19</v>
      </c>
      <c r="H4542">
        <f>E4542*1000000/D4542</f>
        <v>897006.88754107815</v>
      </c>
      <c r="I4542" t="str">
        <f>IF(AND(B4542&gt;=2018, B4542&lt;=2021), "2018-2021", IF(AND(B4542&gt;=2022, B4542&lt;=2024), "2022-2024", "Other"))</f>
        <v>2018-2021</v>
      </c>
    </row>
    <row r="4543" spans="1:9" x14ac:dyDescent="0.3">
      <c r="A4543" t="s">
        <v>19</v>
      </c>
      <c r="B4543">
        <v>2019</v>
      </c>
      <c r="C4543" t="s">
        <v>2</v>
      </c>
      <c r="D4543">
        <v>37390.07</v>
      </c>
      <c r="E4543">
        <v>36986.97</v>
      </c>
      <c r="F4543">
        <v>53.46</v>
      </c>
      <c r="G4543">
        <v>928.69</v>
      </c>
      <c r="H4543">
        <f>E4543*1000000/D4543</f>
        <v>989219.06270836084</v>
      </c>
      <c r="I4543" t="str">
        <f>IF(AND(B4543&gt;=2018, B4543&lt;=2021), "2018-2021", IF(AND(B4543&gt;=2022, B4543&lt;=2024), "2022-2024", "Other"))</f>
        <v>2018-2021</v>
      </c>
    </row>
    <row r="4544" spans="1:9" x14ac:dyDescent="0.3">
      <c r="A4544" t="s">
        <v>27</v>
      </c>
      <c r="B4544">
        <v>2019</v>
      </c>
      <c r="C4544" t="s">
        <v>12</v>
      </c>
      <c r="D4544">
        <v>11625.88</v>
      </c>
      <c r="E4544">
        <v>11305.18</v>
      </c>
      <c r="F4544">
        <v>27.81</v>
      </c>
      <c r="G4544">
        <v>17.45</v>
      </c>
      <c r="H4544">
        <f>E4544*1000000/D4544</f>
        <v>972414.9913812977</v>
      </c>
      <c r="I4544" t="str">
        <f>IF(AND(B4544&gt;=2018, B4544&lt;=2021), "2018-2021", IF(AND(B4544&gt;=2022, B4544&lt;=2024), "2022-2024", "Other"))</f>
        <v>2018-2021</v>
      </c>
    </row>
    <row r="4545" spans="1:9" x14ac:dyDescent="0.3">
      <c r="A4545" t="s">
        <v>17</v>
      </c>
      <c r="B4545">
        <v>2022</v>
      </c>
      <c r="C4545" t="s">
        <v>14</v>
      </c>
      <c r="D4545">
        <v>31844.6</v>
      </c>
      <c r="E4545">
        <v>28277.58</v>
      </c>
      <c r="F4545">
        <v>168.62</v>
      </c>
      <c r="G4545">
        <v>779.34</v>
      </c>
      <c r="H4545">
        <f>E4545*1000000/D4545</f>
        <v>887986.66021868703</v>
      </c>
      <c r="I4545" t="str">
        <f>IF(AND(B4545&gt;=2018, B4545&lt;=2021), "2018-2021", IF(AND(B4545&gt;=2022, B4545&lt;=2024), "2022-2024", "Other"))</f>
        <v>2022-2024</v>
      </c>
    </row>
    <row r="4546" spans="1:9" x14ac:dyDescent="0.3">
      <c r="A4546" t="s">
        <v>17</v>
      </c>
      <c r="B4546">
        <v>2022</v>
      </c>
      <c r="C4546" t="s">
        <v>6</v>
      </c>
      <c r="D4546">
        <v>29791.77</v>
      </c>
      <c r="E4546">
        <v>34363.629999999997</v>
      </c>
      <c r="F4546">
        <v>170.28</v>
      </c>
      <c r="G4546">
        <v>639.17999999999995</v>
      </c>
      <c r="H4546">
        <f>E4546*1000000/D4546</f>
        <v>1153460.5026824523</v>
      </c>
      <c r="I4546" t="str">
        <f>IF(AND(B4546&gt;=2018, B4546&lt;=2021), "2018-2021", IF(AND(B4546&gt;=2022, B4546&lt;=2024), "2022-2024", "Other"))</f>
        <v>2022-2024</v>
      </c>
    </row>
    <row r="4547" spans="1:9" x14ac:dyDescent="0.3">
      <c r="A4547" t="s">
        <v>26</v>
      </c>
      <c r="B4547">
        <v>2022</v>
      </c>
      <c r="C4547" t="s">
        <v>2</v>
      </c>
      <c r="D4547">
        <v>2849.62</v>
      </c>
      <c r="E4547">
        <v>2986.54</v>
      </c>
      <c r="F4547">
        <v>20.21</v>
      </c>
      <c r="G4547">
        <v>177.3</v>
      </c>
      <c r="H4547">
        <f>E4547*1000000/D4547</f>
        <v>1048048.5117313887</v>
      </c>
      <c r="I4547" t="str">
        <f>IF(AND(B4547&gt;=2018, B4547&lt;=2021), "2018-2021", IF(AND(B4547&gt;=2022, B4547&lt;=2024), "2022-2024", "Other"))</f>
        <v>2022-2024</v>
      </c>
    </row>
    <row r="4548" spans="1:9" x14ac:dyDescent="0.3">
      <c r="A4548" t="s">
        <v>17</v>
      </c>
      <c r="B4548">
        <v>2023</v>
      </c>
      <c r="C4548" t="s">
        <v>4</v>
      </c>
      <c r="D4548">
        <v>16834.41</v>
      </c>
      <c r="E4548">
        <v>19328.03</v>
      </c>
      <c r="F4548">
        <v>50.06</v>
      </c>
      <c r="G4548">
        <v>1187.4000000000001</v>
      </c>
      <c r="H4548">
        <f>E4548*1000000/D4548</f>
        <v>1148126.367363038</v>
      </c>
      <c r="I4548" t="str">
        <f>IF(AND(B4548&gt;=2018, B4548&lt;=2021), "2018-2021", IF(AND(B4548&gt;=2022, B4548&lt;=2024), "2022-2024", "Other"))</f>
        <v>2022-2024</v>
      </c>
    </row>
    <row r="4549" spans="1:9" x14ac:dyDescent="0.3">
      <c r="A4549" t="s">
        <v>23</v>
      </c>
      <c r="B4549">
        <v>2023</v>
      </c>
      <c r="C4549" t="s">
        <v>6</v>
      </c>
      <c r="D4549">
        <v>23852.66</v>
      </c>
      <c r="E4549">
        <v>27457.11</v>
      </c>
      <c r="F4549">
        <v>41.4</v>
      </c>
      <c r="G4549">
        <v>170.52</v>
      </c>
      <c r="H4549">
        <f>E4549*1000000/D4549</f>
        <v>1151113.1253285797</v>
      </c>
      <c r="I4549" t="str">
        <f>IF(AND(B4549&gt;=2018, B4549&lt;=2021), "2018-2021", IF(AND(B4549&gt;=2022, B4549&lt;=2024), "2022-2024", "Other"))</f>
        <v>2022-2024</v>
      </c>
    </row>
    <row r="4550" spans="1:9" x14ac:dyDescent="0.3">
      <c r="A4550" t="s">
        <v>17</v>
      </c>
      <c r="B4550">
        <v>2018</v>
      </c>
      <c r="C4550" t="s">
        <v>2</v>
      </c>
      <c r="D4550">
        <v>41121.800000000003</v>
      </c>
      <c r="E4550">
        <v>37089.42</v>
      </c>
      <c r="F4550">
        <v>134.05000000000001</v>
      </c>
      <c r="G4550">
        <v>494.02</v>
      </c>
      <c r="H4550">
        <f>E4550*1000000/D4550</f>
        <v>901940.57653118286</v>
      </c>
      <c r="I4550" t="str">
        <f>IF(AND(B4550&gt;=2018, B4550&lt;=2021), "2018-2021", IF(AND(B4550&gt;=2022, B4550&lt;=2024), "2022-2024", "Other"))</f>
        <v>2018-2021</v>
      </c>
    </row>
    <row r="4551" spans="1:9" x14ac:dyDescent="0.3">
      <c r="A4551" t="s">
        <v>5</v>
      </c>
      <c r="B4551">
        <v>2021</v>
      </c>
      <c r="C4551" t="s">
        <v>8</v>
      </c>
      <c r="D4551">
        <v>15544.31</v>
      </c>
      <c r="E4551">
        <v>14550.89</v>
      </c>
      <c r="F4551">
        <v>104.67</v>
      </c>
      <c r="G4551">
        <v>378.06</v>
      </c>
      <c r="H4551">
        <f>E4551*1000000/D4551</f>
        <v>936091.08413303643</v>
      </c>
      <c r="I4551" t="str">
        <f>IF(AND(B4551&gt;=2018, B4551&lt;=2021), "2018-2021", IF(AND(B4551&gt;=2022, B4551&lt;=2024), "2022-2024", "Other"))</f>
        <v>2018-2021</v>
      </c>
    </row>
    <row r="4552" spans="1:9" x14ac:dyDescent="0.3">
      <c r="A4552" t="s">
        <v>20</v>
      </c>
      <c r="B4552">
        <v>2019</v>
      </c>
      <c r="C4552" t="s">
        <v>12</v>
      </c>
      <c r="D4552">
        <v>47699.32</v>
      </c>
      <c r="E4552">
        <v>50363.8</v>
      </c>
      <c r="F4552">
        <v>198.64</v>
      </c>
      <c r="G4552">
        <v>300.52</v>
      </c>
      <c r="H4552">
        <f>E4552*1000000/D4552</f>
        <v>1055859.9158226994</v>
      </c>
      <c r="I4552" t="str">
        <f>IF(AND(B4552&gt;=2018, B4552&lt;=2021), "2018-2021", IF(AND(B4552&gt;=2022, B4552&lt;=2024), "2022-2024", "Other"))</f>
        <v>2018-2021</v>
      </c>
    </row>
    <row r="4553" spans="1:9" x14ac:dyDescent="0.3">
      <c r="A4553" t="s">
        <v>25</v>
      </c>
      <c r="B4553">
        <v>2020</v>
      </c>
      <c r="C4553" t="s">
        <v>12</v>
      </c>
      <c r="D4553">
        <v>1204.73</v>
      </c>
      <c r="E4553">
        <v>1259.67</v>
      </c>
      <c r="F4553">
        <v>135.47</v>
      </c>
      <c r="G4553">
        <v>495.6</v>
      </c>
      <c r="H4553">
        <f>E4553*1000000/D4553</f>
        <v>1045603.5792252206</v>
      </c>
      <c r="I4553" t="str">
        <f>IF(AND(B4553&gt;=2018, B4553&lt;=2021), "2018-2021", IF(AND(B4553&gt;=2022, B4553&lt;=2024), "2022-2024", "Other"))</f>
        <v>2018-2021</v>
      </c>
    </row>
    <row r="4554" spans="1:9" x14ac:dyDescent="0.3">
      <c r="A4554" t="s">
        <v>5</v>
      </c>
      <c r="B4554">
        <v>2020</v>
      </c>
      <c r="C4554" t="s">
        <v>6</v>
      </c>
      <c r="D4554">
        <v>8043.25</v>
      </c>
      <c r="E4554">
        <v>9336.34</v>
      </c>
      <c r="F4554">
        <v>41.03</v>
      </c>
      <c r="G4554">
        <v>1208.6199999999999</v>
      </c>
      <c r="H4554">
        <f>E4554*1000000/D4554</f>
        <v>1160767.102850216</v>
      </c>
      <c r="I4554" t="str">
        <f>IF(AND(B4554&gt;=2018, B4554&lt;=2021), "2018-2021", IF(AND(B4554&gt;=2022, B4554&lt;=2024), "2022-2024", "Other"))</f>
        <v>2018-2021</v>
      </c>
    </row>
    <row r="4555" spans="1:9" x14ac:dyDescent="0.3">
      <c r="A4555" t="s">
        <v>27</v>
      </c>
      <c r="B4555">
        <v>2022</v>
      </c>
      <c r="C4555" t="s">
        <v>9</v>
      </c>
      <c r="D4555">
        <v>1035.72</v>
      </c>
      <c r="E4555">
        <v>984.88</v>
      </c>
      <c r="F4555">
        <v>37.01</v>
      </c>
      <c r="G4555">
        <v>1166.98</v>
      </c>
      <c r="H4555">
        <f>E4555*1000000/D4555</f>
        <v>950913.37427103845</v>
      </c>
      <c r="I4555" t="str">
        <f>IF(AND(B4555&gt;=2018, B4555&lt;=2021), "2018-2021", IF(AND(B4555&gt;=2022, B4555&lt;=2024), "2022-2024", "Other"))</f>
        <v>2022-2024</v>
      </c>
    </row>
    <row r="4556" spans="1:9" x14ac:dyDescent="0.3">
      <c r="A4556" t="s">
        <v>21</v>
      </c>
      <c r="B4556">
        <v>2021</v>
      </c>
      <c r="C4556" t="s">
        <v>8</v>
      </c>
      <c r="D4556">
        <v>9253.3799999999992</v>
      </c>
      <c r="E4556">
        <v>8607.67</v>
      </c>
      <c r="F4556">
        <v>48.57</v>
      </c>
      <c r="G4556">
        <v>569.01</v>
      </c>
      <c r="H4556">
        <f>E4556*1000000/D4556</f>
        <v>930219.01186377311</v>
      </c>
      <c r="I4556" t="str">
        <f>IF(AND(B4556&gt;=2018, B4556&lt;=2021), "2018-2021", IF(AND(B4556&gt;=2022, B4556&lt;=2024), "2022-2024", "Other"))</f>
        <v>2018-2021</v>
      </c>
    </row>
    <row r="4557" spans="1:9" x14ac:dyDescent="0.3">
      <c r="A4557" t="s">
        <v>11</v>
      </c>
      <c r="B4557">
        <v>2024</v>
      </c>
      <c r="C4557" t="s">
        <v>4</v>
      </c>
      <c r="D4557">
        <v>33622.660000000003</v>
      </c>
      <c r="E4557">
        <v>37639.57</v>
      </c>
      <c r="F4557">
        <v>150.86000000000001</v>
      </c>
      <c r="G4557">
        <v>76.83</v>
      </c>
      <c r="H4557">
        <f>E4557*1000000/D4557</f>
        <v>1119470.3215034145</v>
      </c>
      <c r="I4557" t="str">
        <f>IF(AND(B4557&gt;=2018, B4557&lt;=2021), "2018-2021", IF(AND(B4557&gt;=2022, B4557&lt;=2024), "2022-2024", "Other"))</f>
        <v>2022-2024</v>
      </c>
    </row>
    <row r="4558" spans="1:9" x14ac:dyDescent="0.3">
      <c r="A4558" t="s">
        <v>3</v>
      </c>
      <c r="B4558">
        <v>2022</v>
      </c>
      <c r="C4558" t="s">
        <v>6</v>
      </c>
      <c r="D4558">
        <v>31651.360000000001</v>
      </c>
      <c r="E4558">
        <v>26405.59</v>
      </c>
      <c r="F4558">
        <v>67.599999999999994</v>
      </c>
      <c r="G4558">
        <v>884.79</v>
      </c>
      <c r="H4558">
        <f>E4558*1000000/D4558</f>
        <v>834263.99371148658</v>
      </c>
      <c r="I4558" t="str">
        <f>IF(AND(B4558&gt;=2018, B4558&lt;=2021), "2018-2021", IF(AND(B4558&gt;=2022, B4558&lt;=2024), "2022-2024", "Other"))</f>
        <v>2022-2024</v>
      </c>
    </row>
    <row r="4559" spans="1:9" x14ac:dyDescent="0.3">
      <c r="A4559" t="s">
        <v>13</v>
      </c>
      <c r="B4559">
        <v>2020</v>
      </c>
      <c r="C4559" t="s">
        <v>9</v>
      </c>
      <c r="D4559">
        <v>17989.060000000001</v>
      </c>
      <c r="E4559">
        <v>20475.61</v>
      </c>
      <c r="F4559">
        <v>195.8</v>
      </c>
      <c r="G4559">
        <v>400.75</v>
      </c>
      <c r="H4559">
        <f>E4559*1000000/D4559</f>
        <v>1138225.6771615637</v>
      </c>
      <c r="I4559" t="str">
        <f>IF(AND(B4559&gt;=2018, B4559&lt;=2021), "2018-2021", IF(AND(B4559&gt;=2022, B4559&lt;=2024), "2022-2024", "Other"))</f>
        <v>2018-2021</v>
      </c>
    </row>
    <row r="4560" spans="1:9" x14ac:dyDescent="0.3">
      <c r="A4560" t="s">
        <v>15</v>
      </c>
      <c r="B4560">
        <v>2018</v>
      </c>
      <c r="C4560" t="s">
        <v>4</v>
      </c>
      <c r="D4560">
        <v>18095.43</v>
      </c>
      <c r="E4560">
        <v>21226.57</v>
      </c>
      <c r="F4560">
        <v>166.18</v>
      </c>
      <c r="G4560">
        <v>1100.6099999999999</v>
      </c>
      <c r="H4560">
        <f>E4560*1000000/D4560</f>
        <v>1173034.8491304158</v>
      </c>
      <c r="I4560" t="str">
        <f>IF(AND(B4560&gt;=2018, B4560&lt;=2021), "2018-2021", IF(AND(B4560&gt;=2022, B4560&lt;=2024), "2022-2024", "Other"))</f>
        <v>2018-2021</v>
      </c>
    </row>
    <row r="4561" spans="1:9" x14ac:dyDescent="0.3">
      <c r="A4561" t="s">
        <v>25</v>
      </c>
      <c r="B4561">
        <v>2022</v>
      </c>
      <c r="C4561" t="s">
        <v>0</v>
      </c>
      <c r="D4561">
        <v>22099.49</v>
      </c>
      <c r="E4561">
        <v>18873.66</v>
      </c>
      <c r="F4561">
        <v>175.5</v>
      </c>
      <c r="G4561">
        <v>1277.99</v>
      </c>
      <c r="H4561">
        <f>E4561*1000000/D4561</f>
        <v>854031.47312449291</v>
      </c>
      <c r="I4561" t="str">
        <f>IF(AND(B4561&gt;=2018, B4561&lt;=2021), "2018-2021", IF(AND(B4561&gt;=2022, B4561&lt;=2024), "2022-2024", "Other"))</f>
        <v>2022-2024</v>
      </c>
    </row>
    <row r="4562" spans="1:9" x14ac:dyDescent="0.3">
      <c r="A4562" t="s">
        <v>3</v>
      </c>
      <c r="B4562">
        <v>2024</v>
      </c>
      <c r="C4562" t="s">
        <v>0</v>
      </c>
      <c r="D4562">
        <v>48239.94</v>
      </c>
      <c r="E4562">
        <v>50223.97</v>
      </c>
      <c r="F4562">
        <v>158.19999999999999</v>
      </c>
      <c r="G4562">
        <v>1032.5999999999999</v>
      </c>
      <c r="H4562">
        <f>E4562*1000000/D4562</f>
        <v>1041128.3679042718</v>
      </c>
      <c r="I4562" t="str">
        <f>IF(AND(B4562&gt;=2018, B4562&lt;=2021), "2018-2021", IF(AND(B4562&gt;=2022, B4562&lt;=2024), "2022-2024", "Other"))</f>
        <v>2022-2024</v>
      </c>
    </row>
    <row r="4563" spans="1:9" x14ac:dyDescent="0.3">
      <c r="A4563" t="s">
        <v>3</v>
      </c>
      <c r="B4563">
        <v>2019</v>
      </c>
      <c r="C4563" t="s">
        <v>9</v>
      </c>
      <c r="D4563">
        <v>49902.879999999997</v>
      </c>
      <c r="E4563">
        <v>53795.1</v>
      </c>
      <c r="F4563">
        <v>114.38</v>
      </c>
      <c r="G4563">
        <v>1286.43</v>
      </c>
      <c r="H4563">
        <f>E4563*1000000/D4563</f>
        <v>1077995.8992346735</v>
      </c>
      <c r="I4563" t="str">
        <f>IF(AND(B4563&gt;=2018, B4563&lt;=2021), "2018-2021", IF(AND(B4563&gt;=2022, B4563&lt;=2024), "2022-2024", "Other"))</f>
        <v>2018-2021</v>
      </c>
    </row>
    <row r="4564" spans="1:9" x14ac:dyDescent="0.3">
      <c r="A4564" t="s">
        <v>27</v>
      </c>
      <c r="B4564">
        <v>2021</v>
      </c>
      <c r="C4564" t="s">
        <v>6</v>
      </c>
      <c r="D4564">
        <v>13833.6</v>
      </c>
      <c r="E4564">
        <v>14947.19</v>
      </c>
      <c r="F4564">
        <v>193.72</v>
      </c>
      <c r="G4564">
        <v>762.08</v>
      </c>
      <c r="H4564">
        <f>E4564*1000000/D4564</f>
        <v>1080498.9301411058</v>
      </c>
      <c r="I4564" t="str">
        <f>IF(AND(B4564&gt;=2018, B4564&lt;=2021), "2018-2021", IF(AND(B4564&gt;=2022, B4564&lt;=2024), "2022-2024", "Other"))</f>
        <v>2018-2021</v>
      </c>
    </row>
    <row r="4565" spans="1:9" x14ac:dyDescent="0.3">
      <c r="A4565" t="s">
        <v>16</v>
      </c>
      <c r="B4565">
        <v>2020</v>
      </c>
      <c r="C4565" t="s">
        <v>6</v>
      </c>
      <c r="D4565">
        <v>28246.37</v>
      </c>
      <c r="E4565">
        <v>27153.02</v>
      </c>
      <c r="F4565">
        <v>93.73</v>
      </c>
      <c r="G4565">
        <v>1265.1600000000001</v>
      </c>
      <c r="H4565">
        <f>E4565*1000000/D4565</f>
        <v>961292.37137373758</v>
      </c>
      <c r="I4565" t="str">
        <f>IF(AND(B4565&gt;=2018, B4565&lt;=2021), "2018-2021", IF(AND(B4565&gt;=2022, B4565&lt;=2024), "2022-2024", "Other"))</f>
        <v>2018-2021</v>
      </c>
    </row>
    <row r="4566" spans="1:9" x14ac:dyDescent="0.3">
      <c r="A4566" t="s">
        <v>3</v>
      </c>
      <c r="B4566">
        <v>2023</v>
      </c>
      <c r="C4566" t="s">
        <v>12</v>
      </c>
      <c r="D4566">
        <v>24162.400000000001</v>
      </c>
      <c r="E4566">
        <v>19831.43</v>
      </c>
      <c r="F4566">
        <v>177.6</v>
      </c>
      <c r="G4566">
        <v>1092.6300000000001</v>
      </c>
      <c r="H4566">
        <f>E4566*1000000/D4566</f>
        <v>820755.80240373465</v>
      </c>
      <c r="I4566" t="str">
        <f>IF(AND(B4566&gt;=2018, B4566&lt;=2021), "2018-2021", IF(AND(B4566&gt;=2022, B4566&lt;=2024), "2022-2024", "Other"))</f>
        <v>2022-2024</v>
      </c>
    </row>
    <row r="4567" spans="1:9" x14ac:dyDescent="0.3">
      <c r="A4567" t="s">
        <v>26</v>
      </c>
      <c r="B4567">
        <v>2020</v>
      </c>
      <c r="C4567" t="s">
        <v>9</v>
      </c>
      <c r="D4567">
        <v>40155.35</v>
      </c>
      <c r="E4567">
        <v>47142.53</v>
      </c>
      <c r="F4567">
        <v>156.69999999999999</v>
      </c>
      <c r="G4567">
        <v>78.319999999999993</v>
      </c>
      <c r="H4567">
        <f>E4567*1000000/D4567</f>
        <v>1174003.7130793282</v>
      </c>
      <c r="I4567" t="str">
        <f>IF(AND(B4567&gt;=2018, B4567&lt;=2021), "2018-2021", IF(AND(B4567&gt;=2022, B4567&lt;=2024), "2022-2024", "Other"))</f>
        <v>2018-2021</v>
      </c>
    </row>
    <row r="4568" spans="1:9" x14ac:dyDescent="0.3">
      <c r="A4568" t="s">
        <v>10</v>
      </c>
      <c r="B4568">
        <v>2018</v>
      </c>
      <c r="C4568" t="s">
        <v>9</v>
      </c>
      <c r="D4568">
        <v>26004.03</v>
      </c>
      <c r="E4568">
        <v>25273.67</v>
      </c>
      <c r="F4568">
        <v>67.069999999999993</v>
      </c>
      <c r="G4568">
        <v>166.31</v>
      </c>
      <c r="H4568">
        <f>E4568*1000000/D4568</f>
        <v>971913.58416368545</v>
      </c>
      <c r="I4568" t="str">
        <f>IF(AND(B4568&gt;=2018, B4568&lt;=2021), "2018-2021", IF(AND(B4568&gt;=2022, B4568&lt;=2024), "2022-2024", "Other"))</f>
        <v>2018-2021</v>
      </c>
    </row>
    <row r="4569" spans="1:9" x14ac:dyDescent="0.3">
      <c r="A4569" t="s">
        <v>26</v>
      </c>
      <c r="B4569">
        <v>2024</v>
      </c>
      <c r="C4569" t="s">
        <v>9</v>
      </c>
      <c r="D4569">
        <v>9049.1200000000008</v>
      </c>
      <c r="E4569">
        <v>7668.69</v>
      </c>
      <c r="F4569">
        <v>52.21</v>
      </c>
      <c r="G4569">
        <v>1111.26</v>
      </c>
      <c r="H4569">
        <f>E4569*1000000/D4569</f>
        <v>847451.46489382384</v>
      </c>
      <c r="I4569" t="str">
        <f>IF(AND(B4569&gt;=2018, B4569&lt;=2021), "2018-2021", IF(AND(B4569&gt;=2022, B4569&lt;=2024), "2022-2024", "Other"))</f>
        <v>2022-2024</v>
      </c>
    </row>
    <row r="4570" spans="1:9" x14ac:dyDescent="0.3">
      <c r="A4570" t="s">
        <v>13</v>
      </c>
      <c r="B4570">
        <v>2024</v>
      </c>
      <c r="C4570" t="s">
        <v>0</v>
      </c>
      <c r="D4570">
        <v>10519.94</v>
      </c>
      <c r="E4570">
        <v>11336.34</v>
      </c>
      <c r="F4570">
        <v>134.36000000000001</v>
      </c>
      <c r="G4570">
        <v>1201.6300000000001</v>
      </c>
      <c r="H4570">
        <f>E4570*1000000/D4570</f>
        <v>1077605.0053517416</v>
      </c>
      <c r="I4570" t="str">
        <f>IF(AND(B4570&gt;=2018, B4570&lt;=2021), "2018-2021", IF(AND(B4570&gt;=2022, B4570&lt;=2024), "2022-2024", "Other"))</f>
        <v>2022-2024</v>
      </c>
    </row>
    <row r="4571" spans="1:9" x14ac:dyDescent="0.3">
      <c r="A4571" t="s">
        <v>25</v>
      </c>
      <c r="B4571">
        <v>2020</v>
      </c>
      <c r="C4571" t="s">
        <v>14</v>
      </c>
      <c r="D4571">
        <v>46663.86</v>
      </c>
      <c r="E4571">
        <v>45252.87</v>
      </c>
      <c r="F4571">
        <v>151.36000000000001</v>
      </c>
      <c r="G4571">
        <v>1020.74</v>
      </c>
      <c r="H4571">
        <f>E4571*1000000/D4571</f>
        <v>969762.68144126958</v>
      </c>
      <c r="I4571" t="str">
        <f>IF(AND(B4571&gt;=2018, B4571&lt;=2021), "2018-2021", IF(AND(B4571&gt;=2022, B4571&lt;=2024), "2022-2024", "Other"))</f>
        <v>2018-2021</v>
      </c>
    </row>
    <row r="4572" spans="1:9" x14ac:dyDescent="0.3">
      <c r="A4572" t="s">
        <v>19</v>
      </c>
      <c r="B4572">
        <v>2021</v>
      </c>
      <c r="C4572" t="s">
        <v>9</v>
      </c>
      <c r="D4572">
        <v>16288.16</v>
      </c>
      <c r="E4572">
        <v>18370.07</v>
      </c>
      <c r="F4572">
        <v>186.26</v>
      </c>
      <c r="G4572">
        <v>1369.24</v>
      </c>
      <c r="H4572">
        <f>E4572*1000000/D4572</f>
        <v>1127817.3839156786</v>
      </c>
      <c r="I4572" t="str">
        <f>IF(AND(B4572&gt;=2018, B4572&lt;=2021), "2018-2021", IF(AND(B4572&gt;=2022, B4572&lt;=2024), "2022-2024", "Other"))</f>
        <v>2018-2021</v>
      </c>
    </row>
    <row r="4573" spans="1:9" x14ac:dyDescent="0.3">
      <c r="A4573" t="s">
        <v>19</v>
      </c>
      <c r="B4573">
        <v>2020</v>
      </c>
      <c r="C4573" t="s">
        <v>14</v>
      </c>
      <c r="D4573">
        <v>47786.37</v>
      </c>
      <c r="E4573">
        <v>40743.03</v>
      </c>
      <c r="F4573">
        <v>72.819999999999993</v>
      </c>
      <c r="G4573">
        <v>510.3</v>
      </c>
      <c r="H4573">
        <f>E4573*1000000/D4573</f>
        <v>852607.76242263219</v>
      </c>
      <c r="I4573" t="str">
        <f>IF(AND(B4573&gt;=2018, B4573&lt;=2021), "2018-2021", IF(AND(B4573&gt;=2022, B4573&lt;=2024), "2022-2024", "Other"))</f>
        <v>2018-2021</v>
      </c>
    </row>
    <row r="4574" spans="1:9" x14ac:dyDescent="0.3">
      <c r="A4574" t="s">
        <v>5</v>
      </c>
      <c r="B4574">
        <v>2024</v>
      </c>
      <c r="C4574" t="s">
        <v>6</v>
      </c>
      <c r="D4574">
        <v>34744.9</v>
      </c>
      <c r="E4574">
        <v>30622.04</v>
      </c>
      <c r="F4574">
        <v>98.46</v>
      </c>
      <c r="G4574">
        <v>546.29999999999995</v>
      </c>
      <c r="H4574">
        <f>E4574*1000000/D4574</f>
        <v>881339.13178624772</v>
      </c>
      <c r="I4574" t="str">
        <f>IF(AND(B4574&gt;=2018, B4574&lt;=2021), "2018-2021", IF(AND(B4574&gt;=2022, B4574&lt;=2024), "2022-2024", "Other"))</f>
        <v>2022-2024</v>
      </c>
    </row>
    <row r="4575" spans="1:9" x14ac:dyDescent="0.3">
      <c r="A4575" t="s">
        <v>1</v>
      </c>
      <c r="B4575">
        <v>2024</v>
      </c>
      <c r="C4575" t="s">
        <v>14</v>
      </c>
      <c r="D4575">
        <v>19279.87</v>
      </c>
      <c r="E4575">
        <v>20683.87</v>
      </c>
      <c r="F4575">
        <v>107.37</v>
      </c>
      <c r="G4575">
        <v>164.65</v>
      </c>
      <c r="H4575">
        <f>E4575*1000000/D4575</f>
        <v>1072822.0677836521</v>
      </c>
      <c r="I4575" t="str">
        <f>IF(AND(B4575&gt;=2018, B4575&lt;=2021), "2018-2021", IF(AND(B4575&gt;=2022, B4575&lt;=2024), "2022-2024", "Other"))</f>
        <v>2022-2024</v>
      </c>
    </row>
    <row r="4576" spans="1:9" x14ac:dyDescent="0.3">
      <c r="A4576" t="s">
        <v>5</v>
      </c>
      <c r="B4576">
        <v>2021</v>
      </c>
      <c r="C4576" t="s">
        <v>2</v>
      </c>
      <c r="D4576">
        <v>31951.48</v>
      </c>
      <c r="E4576">
        <v>36597.78</v>
      </c>
      <c r="F4576">
        <v>79.03</v>
      </c>
      <c r="G4576">
        <v>1359.78</v>
      </c>
      <c r="H4576">
        <f>E4576*1000000/D4576</f>
        <v>1145417.3640782838</v>
      </c>
      <c r="I4576" t="str">
        <f>IF(AND(B4576&gt;=2018, B4576&lt;=2021), "2018-2021", IF(AND(B4576&gt;=2022, B4576&lt;=2024), "2022-2024", "Other"))</f>
        <v>2018-2021</v>
      </c>
    </row>
    <row r="4577" spans="1:9" x14ac:dyDescent="0.3">
      <c r="A4577" t="s">
        <v>5</v>
      </c>
      <c r="B4577">
        <v>2022</v>
      </c>
      <c r="C4577" t="s">
        <v>12</v>
      </c>
      <c r="D4577">
        <v>32986.36</v>
      </c>
      <c r="E4577">
        <v>34639.82</v>
      </c>
      <c r="F4577">
        <v>60.94</v>
      </c>
      <c r="G4577">
        <v>873.46</v>
      </c>
      <c r="H4577">
        <f>E4577*1000000/D4577</f>
        <v>1050125.5670525634</v>
      </c>
      <c r="I4577" t="str">
        <f>IF(AND(B4577&gt;=2018, B4577&lt;=2021), "2018-2021", IF(AND(B4577&gt;=2022, B4577&lt;=2024), "2022-2024", "Other"))</f>
        <v>2022-2024</v>
      </c>
    </row>
    <row r="4578" spans="1:9" x14ac:dyDescent="0.3">
      <c r="A4578" t="s">
        <v>24</v>
      </c>
      <c r="B4578">
        <v>2019</v>
      </c>
      <c r="C4578" t="s">
        <v>8</v>
      </c>
      <c r="D4578">
        <v>20510.13</v>
      </c>
      <c r="E4578">
        <v>17424.62</v>
      </c>
      <c r="F4578">
        <v>100.61</v>
      </c>
      <c r="G4578">
        <v>176.55</v>
      </c>
      <c r="H4578">
        <f>E4578*1000000/D4578</f>
        <v>849561.65563065663</v>
      </c>
      <c r="I4578" t="str">
        <f>IF(AND(B4578&gt;=2018, B4578&lt;=2021), "2018-2021", IF(AND(B4578&gt;=2022, B4578&lt;=2024), "2022-2024", "Other"))</f>
        <v>2018-2021</v>
      </c>
    </row>
    <row r="4579" spans="1:9" x14ac:dyDescent="0.3">
      <c r="A4579" t="s">
        <v>3</v>
      </c>
      <c r="B4579">
        <v>2022</v>
      </c>
      <c r="C4579" t="s">
        <v>12</v>
      </c>
      <c r="D4579">
        <v>40051.480000000003</v>
      </c>
      <c r="E4579">
        <v>39577.85</v>
      </c>
      <c r="F4579">
        <v>145.96</v>
      </c>
      <c r="G4579">
        <v>1369.91</v>
      </c>
      <c r="H4579">
        <f>E4579*1000000/D4579</f>
        <v>988174.46945780772</v>
      </c>
      <c r="I4579" t="str">
        <f>IF(AND(B4579&gt;=2018, B4579&lt;=2021), "2018-2021", IF(AND(B4579&gt;=2022, B4579&lt;=2024), "2022-2024", "Other"))</f>
        <v>2022-2024</v>
      </c>
    </row>
    <row r="4580" spans="1:9" x14ac:dyDescent="0.3">
      <c r="A4580" t="s">
        <v>27</v>
      </c>
      <c r="B4580">
        <v>2022</v>
      </c>
      <c r="C4580" t="s">
        <v>9</v>
      </c>
      <c r="D4580">
        <v>40755.53</v>
      </c>
      <c r="E4580">
        <v>45348.62</v>
      </c>
      <c r="F4580">
        <v>123.59</v>
      </c>
      <c r="G4580">
        <v>271.64999999999998</v>
      </c>
      <c r="H4580">
        <f>E4580*1000000/D4580</f>
        <v>1112698.5712122994</v>
      </c>
      <c r="I4580" t="str">
        <f>IF(AND(B4580&gt;=2018, B4580&lt;=2021), "2018-2021", IF(AND(B4580&gt;=2022, B4580&lt;=2024), "2022-2024", "Other"))</f>
        <v>2022-2024</v>
      </c>
    </row>
    <row r="4581" spans="1:9" x14ac:dyDescent="0.3">
      <c r="A4581" t="s">
        <v>20</v>
      </c>
      <c r="B4581">
        <v>2021</v>
      </c>
      <c r="C4581" t="s">
        <v>12</v>
      </c>
      <c r="D4581">
        <v>4995.3599999999997</v>
      </c>
      <c r="E4581">
        <v>4604.68</v>
      </c>
      <c r="F4581">
        <v>58.01</v>
      </c>
      <c r="G4581">
        <v>1197.3</v>
      </c>
      <c r="H4581">
        <f>E4581*1000000/D4581</f>
        <v>921791.42244002444</v>
      </c>
      <c r="I4581" t="str">
        <f>IF(AND(B4581&gt;=2018, B4581&lt;=2021), "2018-2021", IF(AND(B4581&gt;=2022, B4581&lt;=2024), "2022-2024", "Other"))</f>
        <v>2018-2021</v>
      </c>
    </row>
    <row r="4582" spans="1:9" x14ac:dyDescent="0.3">
      <c r="A4582" t="s">
        <v>21</v>
      </c>
      <c r="B4582">
        <v>2024</v>
      </c>
      <c r="C4582" t="s">
        <v>0</v>
      </c>
      <c r="D4582">
        <v>39454.31</v>
      </c>
      <c r="E4582">
        <v>39951.72</v>
      </c>
      <c r="F4582">
        <v>104.91</v>
      </c>
      <c r="G4582">
        <v>1200.1500000000001</v>
      </c>
      <c r="H4582">
        <f>E4582*1000000/D4582</f>
        <v>1012607.2411353792</v>
      </c>
      <c r="I4582" t="str">
        <f>IF(AND(B4582&gt;=2018, B4582&lt;=2021), "2018-2021", IF(AND(B4582&gt;=2022, B4582&lt;=2024), "2022-2024", "Other"))</f>
        <v>2022-2024</v>
      </c>
    </row>
    <row r="4583" spans="1:9" x14ac:dyDescent="0.3">
      <c r="A4583" t="s">
        <v>13</v>
      </c>
      <c r="B4583">
        <v>2018</v>
      </c>
      <c r="C4583" t="s">
        <v>6</v>
      </c>
      <c r="D4583">
        <v>38507.89</v>
      </c>
      <c r="E4583">
        <v>40945.620000000003</v>
      </c>
      <c r="F4583">
        <v>21.23</v>
      </c>
      <c r="G4583">
        <v>1350.85</v>
      </c>
      <c r="H4583">
        <f>E4583*1000000/D4583</f>
        <v>1063304.688987114</v>
      </c>
      <c r="I4583" t="str">
        <f>IF(AND(B4583&gt;=2018, B4583&lt;=2021), "2018-2021", IF(AND(B4583&gt;=2022, B4583&lt;=2024), "2022-2024", "Other"))</f>
        <v>2018-2021</v>
      </c>
    </row>
    <row r="4584" spans="1:9" x14ac:dyDescent="0.3">
      <c r="A4584" t="s">
        <v>15</v>
      </c>
      <c r="B4584">
        <v>2022</v>
      </c>
      <c r="C4584" t="s">
        <v>12</v>
      </c>
      <c r="D4584">
        <v>14359.43</v>
      </c>
      <c r="E4584">
        <v>15849.56</v>
      </c>
      <c r="F4584">
        <v>127.62</v>
      </c>
      <c r="G4584">
        <v>468.67</v>
      </c>
      <c r="H4584">
        <f>E4584*1000000/D4584</f>
        <v>1103773.6177550224</v>
      </c>
      <c r="I4584" t="str">
        <f>IF(AND(B4584&gt;=2018, B4584&lt;=2021), "2018-2021", IF(AND(B4584&gt;=2022, B4584&lt;=2024), "2022-2024", "Other"))</f>
        <v>2022-2024</v>
      </c>
    </row>
    <row r="4585" spans="1:9" x14ac:dyDescent="0.3">
      <c r="A4585" t="s">
        <v>22</v>
      </c>
      <c r="B4585">
        <v>2019</v>
      </c>
      <c r="C4585" t="s">
        <v>0</v>
      </c>
      <c r="D4585">
        <v>13810.52</v>
      </c>
      <c r="E4585">
        <v>14005.96</v>
      </c>
      <c r="F4585">
        <v>93.6</v>
      </c>
      <c r="G4585">
        <v>651.87</v>
      </c>
      <c r="H4585">
        <f>E4585*1000000/D4585</f>
        <v>1014151.5308619805</v>
      </c>
      <c r="I4585" t="str">
        <f>IF(AND(B4585&gt;=2018, B4585&lt;=2021), "2018-2021", IF(AND(B4585&gt;=2022, B4585&lt;=2024), "2022-2024", "Other"))</f>
        <v>2018-2021</v>
      </c>
    </row>
    <row r="4586" spans="1:9" x14ac:dyDescent="0.3">
      <c r="A4586" t="s">
        <v>26</v>
      </c>
      <c r="B4586">
        <v>2018</v>
      </c>
      <c r="C4586" t="s">
        <v>8</v>
      </c>
      <c r="D4586">
        <v>7791.46</v>
      </c>
      <c r="E4586">
        <v>8600.1</v>
      </c>
      <c r="F4586">
        <v>39.49</v>
      </c>
      <c r="G4586">
        <v>206.86</v>
      </c>
      <c r="H4586">
        <f>E4586*1000000/D4586</f>
        <v>1103785.4266081068</v>
      </c>
      <c r="I4586" t="str">
        <f>IF(AND(B4586&gt;=2018, B4586&lt;=2021), "2018-2021", IF(AND(B4586&gt;=2022, B4586&lt;=2024), "2022-2024", "Other"))</f>
        <v>2018-2021</v>
      </c>
    </row>
    <row r="4587" spans="1:9" x14ac:dyDescent="0.3">
      <c r="A4587" t="s">
        <v>7</v>
      </c>
      <c r="B4587">
        <v>2024</v>
      </c>
      <c r="C4587" t="s">
        <v>4</v>
      </c>
      <c r="D4587">
        <v>10487.16</v>
      </c>
      <c r="E4587">
        <v>10653.06</v>
      </c>
      <c r="F4587">
        <v>57.36</v>
      </c>
      <c r="G4587">
        <v>1054.81</v>
      </c>
      <c r="H4587">
        <f>E4587*1000000/D4587</f>
        <v>1015819.3447987825</v>
      </c>
      <c r="I4587" t="str">
        <f>IF(AND(B4587&gt;=2018, B4587&lt;=2021), "2018-2021", IF(AND(B4587&gt;=2022, B4587&lt;=2024), "2022-2024", "Other"))</f>
        <v>2022-2024</v>
      </c>
    </row>
    <row r="4588" spans="1:9" x14ac:dyDescent="0.3">
      <c r="A4588" t="s">
        <v>21</v>
      </c>
      <c r="B4588">
        <v>2019</v>
      </c>
      <c r="C4588" t="s">
        <v>12</v>
      </c>
      <c r="D4588">
        <v>21160.880000000001</v>
      </c>
      <c r="E4588">
        <v>23556.19</v>
      </c>
      <c r="F4588">
        <v>101.92</v>
      </c>
      <c r="G4588">
        <v>575.84</v>
      </c>
      <c r="H4588">
        <f>E4588*1000000/D4588</f>
        <v>1113195.1979312769</v>
      </c>
      <c r="I4588" t="str">
        <f>IF(AND(B4588&gt;=2018, B4588&lt;=2021), "2018-2021", IF(AND(B4588&gt;=2022, B4588&lt;=2024), "2022-2024", "Other"))</f>
        <v>2018-2021</v>
      </c>
    </row>
    <row r="4589" spans="1:9" x14ac:dyDescent="0.3">
      <c r="A4589" t="s">
        <v>13</v>
      </c>
      <c r="B4589">
        <v>2019</v>
      </c>
      <c r="C4589" t="s">
        <v>2</v>
      </c>
      <c r="D4589">
        <v>20939.650000000001</v>
      </c>
      <c r="E4589">
        <v>22387.48</v>
      </c>
      <c r="F4589">
        <v>157.21</v>
      </c>
      <c r="G4589">
        <v>555.88</v>
      </c>
      <c r="H4589">
        <f>E4589*1000000/D4589</f>
        <v>1069142.9894960038</v>
      </c>
      <c r="I4589" t="str">
        <f>IF(AND(B4589&gt;=2018, B4589&lt;=2021), "2018-2021", IF(AND(B4589&gt;=2022, B4589&lt;=2024), "2022-2024", "Other"))</f>
        <v>2018-2021</v>
      </c>
    </row>
    <row r="4590" spans="1:9" x14ac:dyDescent="0.3">
      <c r="A4590" t="s">
        <v>17</v>
      </c>
      <c r="B4590">
        <v>2024</v>
      </c>
      <c r="C4590" t="s">
        <v>9</v>
      </c>
      <c r="D4590">
        <v>5223.1400000000003</v>
      </c>
      <c r="E4590">
        <v>5743.53</v>
      </c>
      <c r="F4590">
        <v>48.44</v>
      </c>
      <c r="G4590">
        <v>1135.58</v>
      </c>
      <c r="H4590">
        <f>E4590*1000000/D4590</f>
        <v>1099631.6392055354</v>
      </c>
      <c r="I4590" t="str">
        <f>IF(AND(B4590&gt;=2018, B4590&lt;=2021), "2018-2021", IF(AND(B4590&gt;=2022, B4590&lt;=2024), "2022-2024", "Other"))</f>
        <v>2022-2024</v>
      </c>
    </row>
    <row r="4591" spans="1:9" x14ac:dyDescent="0.3">
      <c r="A4591" t="s">
        <v>26</v>
      </c>
      <c r="B4591">
        <v>2019</v>
      </c>
      <c r="C4591" t="s">
        <v>12</v>
      </c>
      <c r="D4591">
        <v>35504.92</v>
      </c>
      <c r="E4591">
        <v>31774.81</v>
      </c>
      <c r="F4591">
        <v>146.69</v>
      </c>
      <c r="G4591">
        <v>200.15</v>
      </c>
      <c r="H4591">
        <f>E4591*1000000/D4591</f>
        <v>894941.03915739001</v>
      </c>
      <c r="I4591" t="str">
        <f>IF(AND(B4591&gt;=2018, B4591&lt;=2021), "2018-2021", IF(AND(B4591&gt;=2022, B4591&lt;=2024), "2022-2024", "Other"))</f>
        <v>2018-2021</v>
      </c>
    </row>
    <row r="4592" spans="1:9" x14ac:dyDescent="0.3">
      <c r="A4592" t="s">
        <v>22</v>
      </c>
      <c r="B4592">
        <v>2020</v>
      </c>
      <c r="C4592" t="s">
        <v>12</v>
      </c>
      <c r="D4592">
        <v>23158.51</v>
      </c>
      <c r="E4592">
        <v>22429.61</v>
      </c>
      <c r="F4592">
        <v>91.93</v>
      </c>
      <c r="G4592">
        <v>1278.8800000000001</v>
      </c>
      <c r="H4592">
        <f>E4592*1000000/D4592</f>
        <v>968525.60894461698</v>
      </c>
      <c r="I4592" t="str">
        <f>IF(AND(B4592&gt;=2018, B4592&lt;=2021), "2018-2021", IF(AND(B4592&gt;=2022, B4592&lt;=2024), "2022-2024", "Other"))</f>
        <v>2018-2021</v>
      </c>
    </row>
    <row r="4593" spans="1:9" x14ac:dyDescent="0.3">
      <c r="A4593" t="s">
        <v>3</v>
      </c>
      <c r="B4593">
        <v>2023</v>
      </c>
      <c r="C4593" t="s">
        <v>0</v>
      </c>
      <c r="D4593">
        <v>42006.8</v>
      </c>
      <c r="E4593">
        <v>42368.02</v>
      </c>
      <c r="F4593">
        <v>33.380000000000003</v>
      </c>
      <c r="G4593">
        <v>636.91999999999996</v>
      </c>
      <c r="H4593">
        <f>E4593*1000000/D4593</f>
        <v>1008599.0839578353</v>
      </c>
      <c r="I4593" t="str">
        <f>IF(AND(B4593&gt;=2018, B4593&lt;=2021), "2018-2021", IF(AND(B4593&gt;=2022, B4593&lt;=2024), "2022-2024", "Other"))</f>
        <v>2022-2024</v>
      </c>
    </row>
    <row r="4594" spans="1:9" x14ac:dyDescent="0.3">
      <c r="A4594" t="s">
        <v>13</v>
      </c>
      <c r="B4594">
        <v>2018</v>
      </c>
      <c r="C4594" t="s">
        <v>12</v>
      </c>
      <c r="D4594">
        <v>43258.42</v>
      </c>
      <c r="E4594">
        <v>37950.980000000003</v>
      </c>
      <c r="F4594">
        <v>56.35</v>
      </c>
      <c r="G4594">
        <v>1339.74</v>
      </c>
      <c r="H4594">
        <f>E4594*1000000/D4594</f>
        <v>877308.51011201984</v>
      </c>
      <c r="I4594" t="str">
        <f>IF(AND(B4594&gt;=2018, B4594&lt;=2021), "2018-2021", IF(AND(B4594&gt;=2022, B4594&lt;=2024), "2022-2024", "Other"))</f>
        <v>2018-2021</v>
      </c>
    </row>
    <row r="4595" spans="1:9" x14ac:dyDescent="0.3">
      <c r="A4595" t="s">
        <v>15</v>
      </c>
      <c r="B4595">
        <v>2018</v>
      </c>
      <c r="C4595" t="s">
        <v>8</v>
      </c>
      <c r="D4595">
        <v>35962.339999999997</v>
      </c>
      <c r="E4595">
        <v>34399.03</v>
      </c>
      <c r="F4595">
        <v>160.46</v>
      </c>
      <c r="G4595">
        <v>371.69</v>
      </c>
      <c r="H4595">
        <f>E4595*1000000/D4595</f>
        <v>956529.24698448437</v>
      </c>
      <c r="I4595" t="str">
        <f>IF(AND(B4595&gt;=2018, B4595&lt;=2021), "2018-2021", IF(AND(B4595&gt;=2022, B4595&lt;=2024), "2022-2024", "Other"))</f>
        <v>2018-2021</v>
      </c>
    </row>
    <row r="4596" spans="1:9" x14ac:dyDescent="0.3">
      <c r="A4596" t="s">
        <v>19</v>
      </c>
      <c r="B4596">
        <v>2021</v>
      </c>
      <c r="C4596" t="s">
        <v>0</v>
      </c>
      <c r="D4596">
        <v>30280.23</v>
      </c>
      <c r="E4596">
        <v>31631.33</v>
      </c>
      <c r="F4596">
        <v>43.98</v>
      </c>
      <c r="G4596">
        <v>1197.03</v>
      </c>
      <c r="H4596">
        <f>E4596*1000000/D4596</f>
        <v>1044619.8724382212</v>
      </c>
      <c r="I4596" t="str">
        <f>IF(AND(B4596&gt;=2018, B4596&lt;=2021), "2018-2021", IF(AND(B4596&gt;=2022, B4596&lt;=2024), "2022-2024", "Other"))</f>
        <v>2018-2021</v>
      </c>
    </row>
    <row r="4597" spans="1:9" x14ac:dyDescent="0.3">
      <c r="A4597" t="s">
        <v>3</v>
      </c>
      <c r="B4597">
        <v>2019</v>
      </c>
      <c r="C4597" t="s">
        <v>0</v>
      </c>
      <c r="D4597">
        <v>45488.89</v>
      </c>
      <c r="E4597">
        <v>52569.21</v>
      </c>
      <c r="F4597">
        <v>126.53</v>
      </c>
      <c r="G4597">
        <v>1278.17</v>
      </c>
      <c r="H4597">
        <f>E4597*1000000/D4597</f>
        <v>1155649.4344003559</v>
      </c>
      <c r="I4597" t="str">
        <f>IF(AND(B4597&gt;=2018, B4597&lt;=2021), "2018-2021", IF(AND(B4597&gt;=2022, B4597&lt;=2024), "2022-2024", "Other"))</f>
        <v>2018-2021</v>
      </c>
    </row>
    <row r="4598" spans="1:9" x14ac:dyDescent="0.3">
      <c r="A4598" t="s">
        <v>27</v>
      </c>
      <c r="B4598">
        <v>2020</v>
      </c>
      <c r="C4598" t="s">
        <v>4</v>
      </c>
      <c r="D4598">
        <v>672.51</v>
      </c>
      <c r="E4598">
        <v>741.07</v>
      </c>
      <c r="F4598">
        <v>142.08000000000001</v>
      </c>
      <c r="G4598">
        <v>94.3</v>
      </c>
      <c r="H4598">
        <f>E4598*1000000/D4598</f>
        <v>1101946.4394581493</v>
      </c>
      <c r="I4598" t="str">
        <f>IF(AND(B4598&gt;=2018, B4598&lt;=2021), "2018-2021", IF(AND(B4598&gt;=2022, B4598&lt;=2024), "2022-2024", "Other"))</f>
        <v>2018-2021</v>
      </c>
    </row>
    <row r="4599" spans="1:9" x14ac:dyDescent="0.3">
      <c r="A4599" t="s">
        <v>17</v>
      </c>
      <c r="B4599">
        <v>2023</v>
      </c>
      <c r="C4599" t="s">
        <v>6</v>
      </c>
      <c r="D4599">
        <v>10355.42</v>
      </c>
      <c r="E4599">
        <v>9724.6299999999992</v>
      </c>
      <c r="F4599">
        <v>182.31</v>
      </c>
      <c r="G4599">
        <v>38.82</v>
      </c>
      <c r="H4599">
        <f>E4599*1000000/D4599</f>
        <v>939086.00520307245</v>
      </c>
      <c r="I4599" t="str">
        <f>IF(AND(B4599&gt;=2018, B4599&lt;=2021), "2018-2021", IF(AND(B4599&gt;=2022, B4599&lt;=2024), "2022-2024", "Other"))</f>
        <v>2022-2024</v>
      </c>
    </row>
    <row r="4600" spans="1:9" x14ac:dyDescent="0.3">
      <c r="A4600" t="s">
        <v>15</v>
      </c>
      <c r="B4600">
        <v>2021</v>
      </c>
      <c r="C4600" t="s">
        <v>12</v>
      </c>
      <c r="D4600">
        <v>16837.169999999998</v>
      </c>
      <c r="E4600">
        <v>14297.95</v>
      </c>
      <c r="F4600">
        <v>112.62</v>
      </c>
      <c r="G4600">
        <v>501.37</v>
      </c>
      <c r="H4600">
        <f>E4600*1000000/D4600</f>
        <v>849189.62034593709</v>
      </c>
      <c r="I4600" t="str">
        <f>IF(AND(B4600&gt;=2018, B4600&lt;=2021), "2018-2021", IF(AND(B4600&gt;=2022, B4600&lt;=2024), "2022-2024", "Other"))</f>
        <v>2018-2021</v>
      </c>
    </row>
    <row r="4601" spans="1:9" x14ac:dyDescent="0.3">
      <c r="A4601" t="s">
        <v>1</v>
      </c>
      <c r="B4601">
        <v>2020</v>
      </c>
      <c r="C4601" t="s">
        <v>6</v>
      </c>
      <c r="D4601">
        <v>46265.68</v>
      </c>
      <c r="E4601">
        <v>38294.97</v>
      </c>
      <c r="F4601">
        <v>148.31</v>
      </c>
      <c r="G4601">
        <v>1120.6600000000001</v>
      </c>
      <c r="H4601">
        <f>E4601*1000000/D4601</f>
        <v>827718.73233031482</v>
      </c>
      <c r="I4601" t="str">
        <f>IF(AND(B4601&gt;=2018, B4601&lt;=2021), "2018-2021", IF(AND(B4601&gt;=2022, B4601&lt;=2024), "2022-2024", "Other"))</f>
        <v>2018-2021</v>
      </c>
    </row>
    <row r="4602" spans="1:9" x14ac:dyDescent="0.3">
      <c r="A4602" t="s">
        <v>17</v>
      </c>
      <c r="B4602">
        <v>2019</v>
      </c>
      <c r="C4602" t="s">
        <v>9</v>
      </c>
      <c r="D4602">
        <v>29303.89</v>
      </c>
      <c r="E4602">
        <v>31878.38</v>
      </c>
      <c r="F4602">
        <v>29.79</v>
      </c>
      <c r="G4602">
        <v>1115.4000000000001</v>
      </c>
      <c r="H4602">
        <f>E4602*1000000/D4602</f>
        <v>1087854.8888901782</v>
      </c>
      <c r="I4602" t="str">
        <f>IF(AND(B4602&gt;=2018, B4602&lt;=2021), "2018-2021", IF(AND(B4602&gt;=2022, B4602&lt;=2024), "2022-2024", "Other"))</f>
        <v>2018-2021</v>
      </c>
    </row>
    <row r="4603" spans="1:9" x14ac:dyDescent="0.3">
      <c r="A4603" t="s">
        <v>11</v>
      </c>
      <c r="B4603">
        <v>2018</v>
      </c>
      <c r="C4603" t="s">
        <v>12</v>
      </c>
      <c r="D4603">
        <v>18642.509999999998</v>
      </c>
      <c r="E4603">
        <v>16976.66</v>
      </c>
      <c r="F4603">
        <v>116.01</v>
      </c>
      <c r="G4603">
        <v>300.13</v>
      </c>
      <c r="H4603">
        <f>E4603*1000000/D4603</f>
        <v>910642.39740249573</v>
      </c>
      <c r="I4603" t="str">
        <f>IF(AND(B4603&gt;=2018, B4603&lt;=2021), "2018-2021", IF(AND(B4603&gt;=2022, B4603&lt;=2024), "2022-2024", "Other"))</f>
        <v>2018-2021</v>
      </c>
    </row>
    <row r="4604" spans="1:9" x14ac:dyDescent="0.3">
      <c r="A4604" t="s">
        <v>10</v>
      </c>
      <c r="B4604">
        <v>2024</v>
      </c>
      <c r="C4604" t="s">
        <v>6</v>
      </c>
      <c r="D4604">
        <v>20177.39</v>
      </c>
      <c r="E4604">
        <v>19881.84</v>
      </c>
      <c r="F4604">
        <v>64.67</v>
      </c>
      <c r="G4604">
        <v>191.53</v>
      </c>
      <c r="H4604">
        <f>E4604*1000000/D4604</f>
        <v>985352.41673972702</v>
      </c>
      <c r="I4604" t="str">
        <f>IF(AND(B4604&gt;=2018, B4604&lt;=2021), "2018-2021", IF(AND(B4604&gt;=2022, B4604&lt;=2024), "2022-2024", "Other"))</f>
        <v>2022-2024</v>
      </c>
    </row>
    <row r="4605" spans="1:9" x14ac:dyDescent="0.3">
      <c r="A4605" t="s">
        <v>7</v>
      </c>
      <c r="B4605">
        <v>2019</v>
      </c>
      <c r="C4605" t="s">
        <v>2</v>
      </c>
      <c r="D4605">
        <v>4497.26</v>
      </c>
      <c r="E4605">
        <v>4340.2</v>
      </c>
      <c r="F4605">
        <v>58.48</v>
      </c>
      <c r="G4605">
        <v>1173.18</v>
      </c>
      <c r="H4605">
        <f>E4605*1000000/D4605</f>
        <v>965076.51325473725</v>
      </c>
      <c r="I4605" t="str">
        <f>IF(AND(B4605&gt;=2018, B4605&lt;=2021), "2018-2021", IF(AND(B4605&gt;=2022, B4605&lt;=2024), "2022-2024", "Other"))</f>
        <v>2018-2021</v>
      </c>
    </row>
    <row r="4606" spans="1:9" x14ac:dyDescent="0.3">
      <c r="A4606" t="s">
        <v>24</v>
      </c>
      <c r="B4606">
        <v>2021</v>
      </c>
      <c r="C4606" t="s">
        <v>0</v>
      </c>
      <c r="D4606">
        <v>26319.97</v>
      </c>
      <c r="E4606">
        <v>25169.7</v>
      </c>
      <c r="F4606">
        <v>112.48</v>
      </c>
      <c r="G4606">
        <v>425.19</v>
      </c>
      <c r="H4606">
        <f>E4606*1000000/D4606</f>
        <v>956296.68270898482</v>
      </c>
      <c r="I4606" t="str">
        <f>IF(AND(B4606&gt;=2018, B4606&lt;=2021), "2018-2021", IF(AND(B4606&gt;=2022, B4606&lt;=2024), "2022-2024", "Other"))</f>
        <v>2018-2021</v>
      </c>
    </row>
    <row r="4607" spans="1:9" x14ac:dyDescent="0.3">
      <c r="A4607" t="s">
        <v>23</v>
      </c>
      <c r="B4607">
        <v>2019</v>
      </c>
      <c r="C4607" t="s">
        <v>14</v>
      </c>
      <c r="D4607">
        <v>6677.64</v>
      </c>
      <c r="E4607">
        <v>7070.94</v>
      </c>
      <c r="F4607">
        <v>69.98</v>
      </c>
      <c r="G4607">
        <v>932.08</v>
      </c>
      <c r="H4607">
        <f>E4607*1000000/D4607</f>
        <v>1058898.0538034395</v>
      </c>
      <c r="I4607" t="str">
        <f>IF(AND(B4607&gt;=2018, B4607&lt;=2021), "2018-2021", IF(AND(B4607&gt;=2022, B4607&lt;=2024), "2022-2024", "Other"))</f>
        <v>2018-2021</v>
      </c>
    </row>
    <row r="4608" spans="1:9" x14ac:dyDescent="0.3">
      <c r="A4608" t="s">
        <v>22</v>
      </c>
      <c r="B4608">
        <v>2024</v>
      </c>
      <c r="C4608" t="s">
        <v>0</v>
      </c>
      <c r="D4608">
        <v>14744.2</v>
      </c>
      <c r="E4608">
        <v>12073.93</v>
      </c>
      <c r="F4608">
        <v>162.52000000000001</v>
      </c>
      <c r="G4608">
        <v>414.5</v>
      </c>
      <c r="H4608">
        <f>E4608*1000000/D4608</f>
        <v>818893.53101558576</v>
      </c>
      <c r="I4608" t="str">
        <f>IF(AND(B4608&gt;=2018, B4608&lt;=2021), "2018-2021", IF(AND(B4608&gt;=2022, B4608&lt;=2024), "2022-2024", "Other"))</f>
        <v>2022-2024</v>
      </c>
    </row>
    <row r="4609" spans="1:9" x14ac:dyDescent="0.3">
      <c r="A4609" t="s">
        <v>11</v>
      </c>
      <c r="B4609">
        <v>2021</v>
      </c>
      <c r="C4609" t="s">
        <v>14</v>
      </c>
      <c r="D4609">
        <v>3330.42</v>
      </c>
      <c r="E4609">
        <v>2790.97</v>
      </c>
      <c r="F4609">
        <v>147.03</v>
      </c>
      <c r="G4609">
        <v>33.53</v>
      </c>
      <c r="H4609">
        <f>E4609*1000000/D4609</f>
        <v>838023.4324799875</v>
      </c>
      <c r="I4609" t="str">
        <f>IF(AND(B4609&gt;=2018, B4609&lt;=2021), "2018-2021", IF(AND(B4609&gt;=2022, B4609&lt;=2024), "2022-2024", "Other"))</f>
        <v>2018-2021</v>
      </c>
    </row>
    <row r="4610" spans="1:9" x14ac:dyDescent="0.3">
      <c r="A4610" t="s">
        <v>10</v>
      </c>
      <c r="B4610">
        <v>2022</v>
      </c>
      <c r="C4610" t="s">
        <v>14</v>
      </c>
      <c r="D4610">
        <v>22836.46</v>
      </c>
      <c r="E4610">
        <v>20920.04</v>
      </c>
      <c r="F4610">
        <v>64.959999999999994</v>
      </c>
      <c r="G4610">
        <v>820.66</v>
      </c>
      <c r="H4610">
        <f>E4610*1000000/D4610</f>
        <v>916080.68851301831</v>
      </c>
      <c r="I4610" t="str">
        <f>IF(AND(B4610&gt;=2018, B4610&lt;=2021), "2018-2021", IF(AND(B4610&gt;=2022, B4610&lt;=2024), "2022-2024", "Other"))</f>
        <v>2022-2024</v>
      </c>
    </row>
    <row r="4611" spans="1:9" x14ac:dyDescent="0.3">
      <c r="A4611" t="s">
        <v>16</v>
      </c>
      <c r="B4611">
        <v>2019</v>
      </c>
      <c r="C4611" t="s">
        <v>0</v>
      </c>
      <c r="D4611">
        <v>23264.75</v>
      </c>
      <c r="E4611">
        <v>25238.78</v>
      </c>
      <c r="F4611">
        <v>96.73</v>
      </c>
      <c r="G4611">
        <v>1064.52</v>
      </c>
      <c r="H4611">
        <f>E4611*1000000/D4611</f>
        <v>1084850.6861238568</v>
      </c>
      <c r="I4611" t="str">
        <f>IF(AND(B4611&gt;=2018, B4611&lt;=2021), "2018-2021", IF(AND(B4611&gt;=2022, B4611&lt;=2024), "2022-2024", "Other"))</f>
        <v>2018-2021</v>
      </c>
    </row>
    <row r="4612" spans="1:9" x14ac:dyDescent="0.3">
      <c r="A4612" t="s">
        <v>27</v>
      </c>
      <c r="B4612">
        <v>2018</v>
      </c>
      <c r="C4612" t="s">
        <v>2</v>
      </c>
      <c r="D4612">
        <v>37820.839999999997</v>
      </c>
      <c r="E4612">
        <v>31751.279999999999</v>
      </c>
      <c r="F4612">
        <v>188.69</v>
      </c>
      <c r="G4612">
        <v>546.20000000000005</v>
      </c>
      <c r="H4612">
        <f>E4612*1000000/D4612</f>
        <v>839518.10694844439</v>
      </c>
      <c r="I4612" t="str">
        <f>IF(AND(B4612&gt;=2018, B4612&lt;=2021), "2018-2021", IF(AND(B4612&gt;=2022, B4612&lt;=2024), "2022-2024", "Other"))</f>
        <v>2018-2021</v>
      </c>
    </row>
    <row r="4613" spans="1:9" x14ac:dyDescent="0.3">
      <c r="A4613" t="s">
        <v>25</v>
      </c>
      <c r="B4613">
        <v>2022</v>
      </c>
      <c r="C4613" t="s">
        <v>2</v>
      </c>
      <c r="D4613">
        <v>42201.42</v>
      </c>
      <c r="E4613">
        <v>49235.91</v>
      </c>
      <c r="F4613">
        <v>84.23</v>
      </c>
      <c r="G4613">
        <v>205.94</v>
      </c>
      <c r="H4613">
        <f>E4613*1000000/D4613</f>
        <v>1166688.4668809723</v>
      </c>
      <c r="I4613" t="str">
        <f>IF(AND(B4613&gt;=2018, B4613&lt;=2021), "2018-2021", IF(AND(B4613&gt;=2022, B4613&lt;=2024), "2022-2024", "Other"))</f>
        <v>2022-2024</v>
      </c>
    </row>
    <row r="4614" spans="1:9" x14ac:dyDescent="0.3">
      <c r="A4614" t="s">
        <v>10</v>
      </c>
      <c r="B4614">
        <v>2024</v>
      </c>
      <c r="C4614" t="s">
        <v>12</v>
      </c>
      <c r="D4614">
        <v>22500.01</v>
      </c>
      <c r="E4614">
        <v>21129.02</v>
      </c>
      <c r="F4614">
        <v>52.15</v>
      </c>
      <c r="G4614">
        <v>737.52</v>
      </c>
      <c r="H4614">
        <f>E4614*1000000/D4614</f>
        <v>939067.13819238311</v>
      </c>
      <c r="I4614" t="str">
        <f>IF(AND(B4614&gt;=2018, B4614&lt;=2021), "2018-2021", IF(AND(B4614&gt;=2022, B4614&lt;=2024), "2022-2024", "Other"))</f>
        <v>2022-2024</v>
      </c>
    </row>
    <row r="4615" spans="1:9" x14ac:dyDescent="0.3">
      <c r="A4615" t="s">
        <v>5</v>
      </c>
      <c r="B4615">
        <v>2022</v>
      </c>
      <c r="C4615" t="s">
        <v>8</v>
      </c>
      <c r="D4615">
        <v>16867.830000000002</v>
      </c>
      <c r="E4615">
        <v>19455.59</v>
      </c>
      <c r="F4615">
        <v>124.35</v>
      </c>
      <c r="G4615">
        <v>214.15</v>
      </c>
      <c r="H4615">
        <f>E4615*1000000/D4615</f>
        <v>1153413.9246127093</v>
      </c>
      <c r="I4615" t="str">
        <f>IF(AND(B4615&gt;=2018, B4615&lt;=2021), "2018-2021", IF(AND(B4615&gt;=2022, B4615&lt;=2024), "2022-2024", "Other"))</f>
        <v>2022-2024</v>
      </c>
    </row>
    <row r="4616" spans="1:9" x14ac:dyDescent="0.3">
      <c r="A4616" t="s">
        <v>24</v>
      </c>
      <c r="B4616">
        <v>2021</v>
      </c>
      <c r="C4616" t="s">
        <v>6</v>
      </c>
      <c r="D4616">
        <v>43058.71</v>
      </c>
      <c r="E4616">
        <v>51219.63</v>
      </c>
      <c r="F4616">
        <v>31.1</v>
      </c>
      <c r="G4616">
        <v>961.1</v>
      </c>
      <c r="H4616">
        <f>E4616*1000000/D4616</f>
        <v>1189530.0625587716</v>
      </c>
      <c r="I4616" t="str">
        <f>IF(AND(B4616&gt;=2018, B4616&lt;=2021), "2018-2021", IF(AND(B4616&gt;=2022, B4616&lt;=2024), "2022-2024", "Other"))</f>
        <v>2018-2021</v>
      </c>
    </row>
    <row r="4617" spans="1:9" x14ac:dyDescent="0.3">
      <c r="A4617" t="s">
        <v>5</v>
      </c>
      <c r="B4617">
        <v>2024</v>
      </c>
      <c r="C4617" t="s">
        <v>4</v>
      </c>
      <c r="D4617">
        <v>28541.94</v>
      </c>
      <c r="E4617">
        <v>29937.14</v>
      </c>
      <c r="F4617">
        <v>38.07</v>
      </c>
      <c r="G4617">
        <v>311.81</v>
      </c>
      <c r="H4617">
        <f>E4617*1000000/D4617</f>
        <v>1048882.4515782739</v>
      </c>
      <c r="I4617" t="str">
        <f>IF(AND(B4617&gt;=2018, B4617&lt;=2021), "2018-2021", IF(AND(B4617&gt;=2022, B4617&lt;=2024), "2022-2024", "Other"))</f>
        <v>2022-2024</v>
      </c>
    </row>
    <row r="4618" spans="1:9" x14ac:dyDescent="0.3">
      <c r="A4618" t="s">
        <v>5</v>
      </c>
      <c r="B4618">
        <v>2023</v>
      </c>
      <c r="C4618" t="s">
        <v>9</v>
      </c>
      <c r="D4618">
        <v>5307.21</v>
      </c>
      <c r="E4618">
        <v>4368.62</v>
      </c>
      <c r="F4618">
        <v>82.8</v>
      </c>
      <c r="G4618">
        <v>967.12</v>
      </c>
      <c r="H4618">
        <f>E4618*1000000/D4618</f>
        <v>823148.13244623819</v>
      </c>
      <c r="I4618" t="str">
        <f>IF(AND(B4618&gt;=2018, B4618&lt;=2021), "2018-2021", IF(AND(B4618&gt;=2022, B4618&lt;=2024), "2022-2024", "Other"))</f>
        <v>2022-2024</v>
      </c>
    </row>
    <row r="4619" spans="1:9" x14ac:dyDescent="0.3">
      <c r="A4619" t="s">
        <v>18</v>
      </c>
      <c r="B4619">
        <v>2018</v>
      </c>
      <c r="C4619" t="s">
        <v>12</v>
      </c>
      <c r="D4619">
        <v>9322.17</v>
      </c>
      <c r="E4619">
        <v>11179.24</v>
      </c>
      <c r="F4619">
        <v>153.62</v>
      </c>
      <c r="G4619">
        <v>900.87</v>
      </c>
      <c r="H4619">
        <f>E4619*1000000/D4619</f>
        <v>1199210.0551695582</v>
      </c>
      <c r="I4619" t="str">
        <f>IF(AND(B4619&gt;=2018, B4619&lt;=2021), "2018-2021", IF(AND(B4619&gt;=2022, B4619&lt;=2024), "2022-2024", "Other"))</f>
        <v>2018-2021</v>
      </c>
    </row>
    <row r="4620" spans="1:9" x14ac:dyDescent="0.3">
      <c r="A4620" t="s">
        <v>26</v>
      </c>
      <c r="B4620">
        <v>2022</v>
      </c>
      <c r="C4620" t="s">
        <v>2</v>
      </c>
      <c r="D4620">
        <v>33284.79</v>
      </c>
      <c r="E4620">
        <v>28126.49</v>
      </c>
      <c r="F4620">
        <v>138.44999999999999</v>
      </c>
      <c r="G4620">
        <v>1113.8699999999999</v>
      </c>
      <c r="H4620">
        <f>E4620*1000000/D4620</f>
        <v>845025.31035947648</v>
      </c>
      <c r="I4620" t="str">
        <f>IF(AND(B4620&gt;=2018, B4620&lt;=2021), "2018-2021", IF(AND(B4620&gt;=2022, B4620&lt;=2024), "2022-2024", "Other"))</f>
        <v>2022-2024</v>
      </c>
    </row>
    <row r="4621" spans="1:9" x14ac:dyDescent="0.3">
      <c r="A4621" t="s">
        <v>7</v>
      </c>
      <c r="B4621">
        <v>2019</v>
      </c>
      <c r="C4621" t="s">
        <v>0</v>
      </c>
      <c r="D4621">
        <v>34680</v>
      </c>
      <c r="E4621">
        <v>28045.7</v>
      </c>
      <c r="F4621">
        <v>160.94</v>
      </c>
      <c r="G4621">
        <v>690.05</v>
      </c>
      <c r="H4621">
        <f>E4621*1000000/D4621</f>
        <v>808699.53863898502</v>
      </c>
      <c r="I4621" t="str">
        <f>IF(AND(B4621&gt;=2018, B4621&lt;=2021), "2018-2021", IF(AND(B4621&gt;=2022, B4621&lt;=2024), "2022-2024", "Other"))</f>
        <v>2018-2021</v>
      </c>
    </row>
    <row r="4622" spans="1:9" x14ac:dyDescent="0.3">
      <c r="A4622" t="s">
        <v>19</v>
      </c>
      <c r="B4622">
        <v>2019</v>
      </c>
      <c r="C4622" t="s">
        <v>0</v>
      </c>
      <c r="D4622">
        <v>42830.12</v>
      </c>
      <c r="E4622">
        <v>47766.01</v>
      </c>
      <c r="F4622">
        <v>162.33000000000001</v>
      </c>
      <c r="G4622">
        <v>207.39</v>
      </c>
      <c r="H4622">
        <f>E4622*1000000/D4622</f>
        <v>1115243.4314916697</v>
      </c>
      <c r="I4622" t="str">
        <f>IF(AND(B4622&gt;=2018, B4622&lt;=2021), "2018-2021", IF(AND(B4622&gt;=2022, B4622&lt;=2024), "2022-2024", "Other"))</f>
        <v>2018-2021</v>
      </c>
    </row>
    <row r="4623" spans="1:9" x14ac:dyDescent="0.3">
      <c r="A4623" t="s">
        <v>1</v>
      </c>
      <c r="B4623">
        <v>2021</v>
      </c>
      <c r="C4623" t="s">
        <v>8</v>
      </c>
      <c r="D4623">
        <v>11217.16</v>
      </c>
      <c r="E4623">
        <v>9051.7199999999993</v>
      </c>
      <c r="F4623">
        <v>138.97</v>
      </c>
      <c r="G4623">
        <v>1101.3699999999999</v>
      </c>
      <c r="H4623">
        <f>E4623*1000000/D4623</f>
        <v>806952.91856405721</v>
      </c>
      <c r="I4623" t="str">
        <f>IF(AND(B4623&gt;=2018, B4623&lt;=2021), "2018-2021", IF(AND(B4623&gt;=2022, B4623&lt;=2024), "2022-2024", "Other"))</f>
        <v>2018-2021</v>
      </c>
    </row>
    <row r="4624" spans="1:9" x14ac:dyDescent="0.3">
      <c r="A4624" t="s">
        <v>15</v>
      </c>
      <c r="B4624">
        <v>2021</v>
      </c>
      <c r="C4624" t="s">
        <v>9</v>
      </c>
      <c r="D4624">
        <v>7220.82</v>
      </c>
      <c r="E4624">
        <v>7643.14</v>
      </c>
      <c r="F4624">
        <v>116.18</v>
      </c>
      <c r="G4624">
        <v>969.65</v>
      </c>
      <c r="H4624">
        <f>E4624*1000000/D4624</f>
        <v>1058486.4322888537</v>
      </c>
      <c r="I4624" t="str">
        <f>IF(AND(B4624&gt;=2018, B4624&lt;=2021), "2018-2021", IF(AND(B4624&gt;=2022, B4624&lt;=2024), "2022-2024", "Other"))</f>
        <v>2018-2021</v>
      </c>
    </row>
    <row r="4625" spans="1:9" x14ac:dyDescent="0.3">
      <c r="A4625" t="s">
        <v>7</v>
      </c>
      <c r="B4625">
        <v>2022</v>
      </c>
      <c r="C4625" t="s">
        <v>14</v>
      </c>
      <c r="D4625">
        <v>35663.599999999999</v>
      </c>
      <c r="E4625">
        <v>38690.79</v>
      </c>
      <c r="F4625">
        <v>43.77</v>
      </c>
      <c r="G4625">
        <v>467.77</v>
      </c>
      <c r="H4625">
        <f>E4625*1000000/D4625</f>
        <v>1084881.7842281766</v>
      </c>
      <c r="I4625" t="str">
        <f>IF(AND(B4625&gt;=2018, B4625&lt;=2021), "2018-2021", IF(AND(B4625&gt;=2022, B4625&lt;=2024), "2022-2024", "Other"))</f>
        <v>2022-2024</v>
      </c>
    </row>
    <row r="4626" spans="1:9" x14ac:dyDescent="0.3">
      <c r="A4626" t="s">
        <v>1</v>
      </c>
      <c r="B4626">
        <v>2021</v>
      </c>
      <c r="C4626" t="s">
        <v>9</v>
      </c>
      <c r="D4626">
        <v>27667.38</v>
      </c>
      <c r="E4626">
        <v>28962.89</v>
      </c>
      <c r="F4626">
        <v>125.26</v>
      </c>
      <c r="G4626">
        <v>821.78</v>
      </c>
      <c r="H4626">
        <f>E4626*1000000/D4626</f>
        <v>1046824.4553694639</v>
      </c>
      <c r="I4626" t="str">
        <f>IF(AND(B4626&gt;=2018, B4626&lt;=2021), "2018-2021", IF(AND(B4626&gt;=2022, B4626&lt;=2024), "2022-2024", "Other"))</f>
        <v>2018-2021</v>
      </c>
    </row>
    <row r="4627" spans="1:9" x14ac:dyDescent="0.3">
      <c r="A4627" t="s">
        <v>1</v>
      </c>
      <c r="B4627">
        <v>2024</v>
      </c>
      <c r="C4627" t="s">
        <v>6</v>
      </c>
      <c r="D4627">
        <v>31850.76</v>
      </c>
      <c r="E4627">
        <v>37235.910000000003</v>
      </c>
      <c r="F4627">
        <v>166.61</v>
      </c>
      <c r="G4627">
        <v>397.67</v>
      </c>
      <c r="H4627">
        <f>E4627*1000000/D4627</f>
        <v>1169074.4585058568</v>
      </c>
      <c r="I4627" t="str">
        <f>IF(AND(B4627&gt;=2018, B4627&lt;=2021), "2018-2021", IF(AND(B4627&gt;=2022, B4627&lt;=2024), "2022-2024", "Other"))</f>
        <v>2022-2024</v>
      </c>
    </row>
    <row r="4628" spans="1:9" x14ac:dyDescent="0.3">
      <c r="A4628" t="s">
        <v>5</v>
      </c>
      <c r="B4628">
        <v>2021</v>
      </c>
      <c r="C4628" t="s">
        <v>12</v>
      </c>
      <c r="D4628">
        <v>2082.38</v>
      </c>
      <c r="E4628">
        <v>1845.54</v>
      </c>
      <c r="F4628">
        <v>85.73</v>
      </c>
      <c r="G4628">
        <v>333.79</v>
      </c>
      <c r="H4628">
        <f>E4628*1000000/D4628</f>
        <v>886264.75475177437</v>
      </c>
      <c r="I4628" t="str">
        <f>IF(AND(B4628&gt;=2018, B4628&lt;=2021), "2018-2021", IF(AND(B4628&gt;=2022, B4628&lt;=2024), "2022-2024", "Other"))</f>
        <v>2018-2021</v>
      </c>
    </row>
    <row r="4629" spans="1:9" x14ac:dyDescent="0.3">
      <c r="A4629" t="s">
        <v>1</v>
      </c>
      <c r="B4629">
        <v>2022</v>
      </c>
      <c r="C4629" t="s">
        <v>8</v>
      </c>
      <c r="D4629">
        <v>49249.34</v>
      </c>
      <c r="E4629">
        <v>46203.040000000001</v>
      </c>
      <c r="F4629">
        <v>130.9</v>
      </c>
      <c r="G4629">
        <v>554.41999999999996</v>
      </c>
      <c r="H4629">
        <f>E4629*1000000/D4629</f>
        <v>938145.36397848185</v>
      </c>
      <c r="I4629" t="str">
        <f>IF(AND(B4629&gt;=2018, B4629&lt;=2021), "2018-2021", IF(AND(B4629&gt;=2022, B4629&lt;=2024), "2022-2024", "Other"))</f>
        <v>2022-2024</v>
      </c>
    </row>
    <row r="4630" spans="1:9" x14ac:dyDescent="0.3">
      <c r="A4630" t="s">
        <v>3</v>
      </c>
      <c r="B4630">
        <v>2020</v>
      </c>
      <c r="C4630" t="s">
        <v>8</v>
      </c>
      <c r="D4630">
        <v>47066.77</v>
      </c>
      <c r="E4630">
        <v>42938.46</v>
      </c>
      <c r="F4630">
        <v>64.069999999999993</v>
      </c>
      <c r="G4630">
        <v>702.55</v>
      </c>
      <c r="H4630">
        <f>E4630*1000000/D4630</f>
        <v>912288.22372982046</v>
      </c>
      <c r="I4630" t="str">
        <f>IF(AND(B4630&gt;=2018, B4630&lt;=2021), "2018-2021", IF(AND(B4630&gt;=2022, B4630&lt;=2024), "2022-2024", "Other"))</f>
        <v>2018-2021</v>
      </c>
    </row>
    <row r="4631" spans="1:9" x14ac:dyDescent="0.3">
      <c r="A4631" t="s">
        <v>5</v>
      </c>
      <c r="B4631">
        <v>2021</v>
      </c>
      <c r="C4631" t="s">
        <v>2</v>
      </c>
      <c r="D4631">
        <v>20312.93</v>
      </c>
      <c r="E4631">
        <v>18227.93</v>
      </c>
      <c r="F4631">
        <v>100.56</v>
      </c>
      <c r="G4631">
        <v>1357.45</v>
      </c>
      <c r="H4631">
        <f>E4631*1000000/D4631</f>
        <v>897356.01904796599</v>
      </c>
      <c r="I4631" t="str">
        <f>IF(AND(B4631&gt;=2018, B4631&lt;=2021), "2018-2021", IF(AND(B4631&gt;=2022, B4631&lt;=2024), "2022-2024", "Other"))</f>
        <v>2018-2021</v>
      </c>
    </row>
    <row r="4632" spans="1:9" x14ac:dyDescent="0.3">
      <c r="A4632" t="s">
        <v>11</v>
      </c>
      <c r="B4632">
        <v>2021</v>
      </c>
      <c r="C4632" t="s">
        <v>4</v>
      </c>
      <c r="D4632">
        <v>17942.490000000002</v>
      </c>
      <c r="E4632">
        <v>15560.93</v>
      </c>
      <c r="F4632">
        <v>131.93</v>
      </c>
      <c r="G4632">
        <v>827.52</v>
      </c>
      <c r="H4632">
        <f>E4632*1000000/D4632</f>
        <v>867267.02926962753</v>
      </c>
      <c r="I4632" t="str">
        <f>IF(AND(B4632&gt;=2018, B4632&lt;=2021), "2018-2021", IF(AND(B4632&gt;=2022, B4632&lt;=2024), "2022-2024", "Other"))</f>
        <v>2018-2021</v>
      </c>
    </row>
    <row r="4633" spans="1:9" x14ac:dyDescent="0.3">
      <c r="A4633" t="s">
        <v>13</v>
      </c>
      <c r="B4633">
        <v>2021</v>
      </c>
      <c r="C4633" t="s">
        <v>12</v>
      </c>
      <c r="D4633">
        <v>4876.6499999999996</v>
      </c>
      <c r="E4633">
        <v>4178.05</v>
      </c>
      <c r="F4633">
        <v>35.1</v>
      </c>
      <c r="G4633">
        <v>752.3</v>
      </c>
      <c r="H4633">
        <f>E4633*1000000/D4633</f>
        <v>856745.92189310293</v>
      </c>
      <c r="I4633" t="str">
        <f>IF(AND(B4633&gt;=2018, B4633&lt;=2021), "2018-2021", IF(AND(B4633&gt;=2022, B4633&lt;=2024), "2022-2024", "Other"))</f>
        <v>2018-2021</v>
      </c>
    </row>
    <row r="4634" spans="1:9" x14ac:dyDescent="0.3">
      <c r="A4634" t="s">
        <v>27</v>
      </c>
      <c r="B4634">
        <v>2022</v>
      </c>
      <c r="C4634" t="s">
        <v>8</v>
      </c>
      <c r="D4634">
        <v>37365.339999999997</v>
      </c>
      <c r="E4634">
        <v>43081.43</v>
      </c>
      <c r="F4634">
        <v>150.77000000000001</v>
      </c>
      <c r="G4634">
        <v>237.06</v>
      </c>
      <c r="H4634">
        <f>E4634*1000000/D4634</f>
        <v>1152978.4019093632</v>
      </c>
      <c r="I4634" t="str">
        <f>IF(AND(B4634&gt;=2018, B4634&lt;=2021), "2018-2021", IF(AND(B4634&gt;=2022, B4634&lt;=2024), "2022-2024", "Other"))</f>
        <v>2022-2024</v>
      </c>
    </row>
    <row r="4635" spans="1:9" x14ac:dyDescent="0.3">
      <c r="A4635" t="s">
        <v>3</v>
      </c>
      <c r="B4635">
        <v>2023</v>
      </c>
      <c r="C4635" t="s">
        <v>0</v>
      </c>
      <c r="D4635">
        <v>4270.43</v>
      </c>
      <c r="E4635">
        <v>5040.7</v>
      </c>
      <c r="F4635">
        <v>69.09</v>
      </c>
      <c r="G4635">
        <v>637.62</v>
      </c>
      <c r="H4635">
        <f>E4635*1000000/D4635</f>
        <v>1180372.936683191</v>
      </c>
      <c r="I4635" t="str">
        <f>IF(AND(B4635&gt;=2018, B4635&lt;=2021), "2018-2021", IF(AND(B4635&gt;=2022, B4635&lt;=2024), "2022-2024", "Other"))</f>
        <v>2022-2024</v>
      </c>
    </row>
    <row r="4636" spans="1:9" x14ac:dyDescent="0.3">
      <c r="A4636" t="s">
        <v>15</v>
      </c>
      <c r="B4636">
        <v>2019</v>
      </c>
      <c r="C4636" t="s">
        <v>2</v>
      </c>
      <c r="D4636">
        <v>39853.72</v>
      </c>
      <c r="E4636">
        <v>45320.14</v>
      </c>
      <c r="F4636">
        <v>148.62</v>
      </c>
      <c r="G4636">
        <v>1192.75</v>
      </c>
      <c r="H4636">
        <f>E4636*1000000/D4636</f>
        <v>1137162.1018063056</v>
      </c>
      <c r="I4636" t="str">
        <f>IF(AND(B4636&gt;=2018, B4636&lt;=2021), "2018-2021", IF(AND(B4636&gt;=2022, B4636&lt;=2024), "2022-2024", "Other"))</f>
        <v>2018-2021</v>
      </c>
    </row>
    <row r="4637" spans="1:9" x14ac:dyDescent="0.3">
      <c r="A4637" t="s">
        <v>24</v>
      </c>
      <c r="B4637">
        <v>2023</v>
      </c>
      <c r="C4637" t="s">
        <v>14</v>
      </c>
      <c r="D4637">
        <v>47563.03</v>
      </c>
      <c r="E4637">
        <v>44152.92</v>
      </c>
      <c r="F4637">
        <v>50.81</v>
      </c>
      <c r="G4637">
        <v>1104.1500000000001</v>
      </c>
      <c r="H4637">
        <f>E4637*1000000/D4637</f>
        <v>928303.34820973349</v>
      </c>
      <c r="I4637" t="str">
        <f>IF(AND(B4637&gt;=2018, B4637&lt;=2021), "2018-2021", IF(AND(B4637&gt;=2022, B4637&lt;=2024), "2022-2024", "Other"))</f>
        <v>2022-2024</v>
      </c>
    </row>
    <row r="4638" spans="1:9" x14ac:dyDescent="0.3">
      <c r="A4638" t="s">
        <v>21</v>
      </c>
      <c r="B4638">
        <v>2023</v>
      </c>
      <c r="C4638" t="s">
        <v>9</v>
      </c>
      <c r="D4638">
        <v>29183.93</v>
      </c>
      <c r="E4638">
        <v>24719.3</v>
      </c>
      <c r="F4638">
        <v>182.49</v>
      </c>
      <c r="G4638">
        <v>156.88999999999999</v>
      </c>
      <c r="H4638">
        <f>E4638*1000000/D4638</f>
        <v>847017.51957327197</v>
      </c>
      <c r="I4638" t="str">
        <f>IF(AND(B4638&gt;=2018, B4638&lt;=2021), "2018-2021", IF(AND(B4638&gt;=2022, B4638&lt;=2024), "2022-2024", "Other"))</f>
        <v>2022-2024</v>
      </c>
    </row>
    <row r="4639" spans="1:9" x14ac:dyDescent="0.3">
      <c r="A4639" t="s">
        <v>22</v>
      </c>
      <c r="B4639">
        <v>2023</v>
      </c>
      <c r="C4639" t="s">
        <v>4</v>
      </c>
      <c r="D4639">
        <v>25255.13</v>
      </c>
      <c r="E4639">
        <v>21478.560000000001</v>
      </c>
      <c r="F4639">
        <v>128.32</v>
      </c>
      <c r="G4639">
        <v>458.67</v>
      </c>
      <c r="H4639">
        <f>E4639*1000000/D4639</f>
        <v>850463.2524164397</v>
      </c>
      <c r="I4639" t="str">
        <f>IF(AND(B4639&gt;=2018, B4639&lt;=2021), "2018-2021", IF(AND(B4639&gt;=2022, B4639&lt;=2024), "2022-2024", "Other"))</f>
        <v>2022-2024</v>
      </c>
    </row>
    <row r="4640" spans="1:9" x14ac:dyDescent="0.3">
      <c r="A4640" t="s">
        <v>15</v>
      </c>
      <c r="B4640">
        <v>2018</v>
      </c>
      <c r="C4640" t="s">
        <v>9</v>
      </c>
      <c r="D4640">
        <v>35026.379999999997</v>
      </c>
      <c r="E4640">
        <v>39926.44</v>
      </c>
      <c r="F4640">
        <v>190.84</v>
      </c>
      <c r="G4640">
        <v>453.26</v>
      </c>
      <c r="H4640">
        <f>E4640*1000000/D4640</f>
        <v>1139896.2724666381</v>
      </c>
      <c r="I4640" t="str">
        <f>IF(AND(B4640&gt;=2018, B4640&lt;=2021), "2018-2021", IF(AND(B4640&gt;=2022, B4640&lt;=2024), "2022-2024", "Other"))</f>
        <v>2018-2021</v>
      </c>
    </row>
    <row r="4641" spans="1:9" x14ac:dyDescent="0.3">
      <c r="A4641" t="s">
        <v>15</v>
      </c>
      <c r="B4641">
        <v>2023</v>
      </c>
      <c r="C4641" t="s">
        <v>12</v>
      </c>
      <c r="D4641">
        <v>4781.4399999999996</v>
      </c>
      <c r="E4641">
        <v>4913.99</v>
      </c>
      <c r="F4641">
        <v>174.3</v>
      </c>
      <c r="G4641">
        <v>677.87</v>
      </c>
      <c r="H4641">
        <f>E4641*1000000/D4641</f>
        <v>1027721.7741935485</v>
      </c>
      <c r="I4641" t="str">
        <f>IF(AND(B4641&gt;=2018, B4641&lt;=2021), "2018-2021", IF(AND(B4641&gt;=2022, B4641&lt;=2024), "2022-2024", "Other"))</f>
        <v>2022-2024</v>
      </c>
    </row>
    <row r="4642" spans="1:9" x14ac:dyDescent="0.3">
      <c r="A4642" t="s">
        <v>3</v>
      </c>
      <c r="B4642">
        <v>2018</v>
      </c>
      <c r="C4642" t="s">
        <v>14</v>
      </c>
      <c r="D4642">
        <v>25698.19</v>
      </c>
      <c r="E4642">
        <v>29519.119999999999</v>
      </c>
      <c r="F4642">
        <v>129.72</v>
      </c>
      <c r="G4642">
        <v>1215.2</v>
      </c>
      <c r="H4642">
        <f>E4642*1000000/D4642</f>
        <v>1148684.7906408974</v>
      </c>
      <c r="I4642" t="str">
        <f>IF(AND(B4642&gt;=2018, B4642&lt;=2021), "2018-2021", IF(AND(B4642&gt;=2022, B4642&lt;=2024), "2022-2024", "Other"))</f>
        <v>2018-2021</v>
      </c>
    </row>
    <row r="4643" spans="1:9" x14ac:dyDescent="0.3">
      <c r="A4643" t="s">
        <v>26</v>
      </c>
      <c r="B4643">
        <v>2022</v>
      </c>
      <c r="C4643" t="s">
        <v>6</v>
      </c>
      <c r="D4643">
        <v>4292.1899999999996</v>
      </c>
      <c r="E4643">
        <v>4940.03</v>
      </c>
      <c r="F4643">
        <v>198.75</v>
      </c>
      <c r="G4643">
        <v>1073.1600000000001</v>
      </c>
      <c r="H4643">
        <f>E4643*1000000/D4643</f>
        <v>1150934.6044792985</v>
      </c>
      <c r="I4643" t="str">
        <f>IF(AND(B4643&gt;=2018, B4643&lt;=2021), "2018-2021", IF(AND(B4643&gt;=2022, B4643&lt;=2024), "2022-2024", "Other"))</f>
        <v>2022-2024</v>
      </c>
    </row>
    <row r="4644" spans="1:9" x14ac:dyDescent="0.3">
      <c r="A4644" t="s">
        <v>15</v>
      </c>
      <c r="B4644">
        <v>2020</v>
      </c>
      <c r="C4644" t="s">
        <v>2</v>
      </c>
      <c r="D4644">
        <v>31178.13</v>
      </c>
      <c r="E4644">
        <v>27150.05</v>
      </c>
      <c r="F4644">
        <v>120.51</v>
      </c>
      <c r="G4644">
        <v>1065.1099999999999</v>
      </c>
      <c r="H4644">
        <f>E4644*1000000/D4644</f>
        <v>870804.31058565725</v>
      </c>
      <c r="I4644" t="str">
        <f>IF(AND(B4644&gt;=2018, B4644&lt;=2021), "2018-2021", IF(AND(B4644&gt;=2022, B4644&lt;=2024), "2022-2024", "Other"))</f>
        <v>2018-2021</v>
      </c>
    </row>
    <row r="4645" spans="1:9" x14ac:dyDescent="0.3">
      <c r="A4645" t="s">
        <v>13</v>
      </c>
      <c r="B4645">
        <v>2024</v>
      </c>
      <c r="C4645" t="s">
        <v>14</v>
      </c>
      <c r="D4645">
        <v>48884.83</v>
      </c>
      <c r="E4645">
        <v>49493.39</v>
      </c>
      <c r="F4645">
        <v>53.16</v>
      </c>
      <c r="G4645">
        <v>750.5</v>
      </c>
      <c r="H4645">
        <f>E4645*1000000/D4645</f>
        <v>1012448.8517194393</v>
      </c>
      <c r="I4645" t="str">
        <f>IF(AND(B4645&gt;=2018, B4645&lt;=2021), "2018-2021", IF(AND(B4645&gt;=2022, B4645&lt;=2024), "2022-2024", "Other"))</f>
        <v>2022-2024</v>
      </c>
    </row>
    <row r="4646" spans="1:9" x14ac:dyDescent="0.3">
      <c r="A4646" t="s">
        <v>5</v>
      </c>
      <c r="B4646">
        <v>2022</v>
      </c>
      <c r="C4646" t="s">
        <v>2</v>
      </c>
      <c r="D4646">
        <v>37990.58</v>
      </c>
      <c r="E4646">
        <v>41710.730000000003</v>
      </c>
      <c r="F4646">
        <v>38.29</v>
      </c>
      <c r="G4646">
        <v>627.03</v>
      </c>
      <c r="H4646">
        <f>E4646*1000000/D4646</f>
        <v>1097922.9587966281</v>
      </c>
      <c r="I4646" t="str">
        <f>IF(AND(B4646&gt;=2018, B4646&lt;=2021), "2018-2021", IF(AND(B4646&gt;=2022, B4646&lt;=2024), "2022-2024", "Other"))</f>
        <v>2022-2024</v>
      </c>
    </row>
    <row r="4647" spans="1:9" x14ac:dyDescent="0.3">
      <c r="A4647" t="s">
        <v>18</v>
      </c>
      <c r="B4647">
        <v>2022</v>
      </c>
      <c r="C4647" t="s">
        <v>9</v>
      </c>
      <c r="D4647">
        <v>31665.64</v>
      </c>
      <c r="E4647">
        <v>31253.42</v>
      </c>
      <c r="F4647">
        <v>107.86</v>
      </c>
      <c r="G4647">
        <v>315.01</v>
      </c>
      <c r="H4647">
        <f>E4647*1000000/D4647</f>
        <v>986982.10426190658</v>
      </c>
      <c r="I4647" t="str">
        <f>IF(AND(B4647&gt;=2018, B4647&lt;=2021), "2018-2021", IF(AND(B4647&gt;=2022, B4647&lt;=2024), "2022-2024", "Other"))</f>
        <v>2022-2024</v>
      </c>
    </row>
    <row r="4648" spans="1:9" x14ac:dyDescent="0.3">
      <c r="A4648" t="s">
        <v>26</v>
      </c>
      <c r="B4648">
        <v>2021</v>
      </c>
      <c r="C4648" t="s">
        <v>4</v>
      </c>
      <c r="D4648">
        <v>40014.07</v>
      </c>
      <c r="E4648">
        <v>38998.71</v>
      </c>
      <c r="F4648">
        <v>163.93</v>
      </c>
      <c r="G4648">
        <v>1084.75</v>
      </c>
      <c r="H4648">
        <f>E4648*1000000/D4648</f>
        <v>974624.92568239127</v>
      </c>
      <c r="I4648" t="str">
        <f>IF(AND(B4648&gt;=2018, B4648&lt;=2021), "2018-2021", IF(AND(B4648&gt;=2022, B4648&lt;=2024), "2022-2024", "Other"))</f>
        <v>2018-2021</v>
      </c>
    </row>
    <row r="4649" spans="1:9" x14ac:dyDescent="0.3">
      <c r="A4649" t="s">
        <v>19</v>
      </c>
      <c r="B4649">
        <v>2019</v>
      </c>
      <c r="C4649" t="s">
        <v>4</v>
      </c>
      <c r="D4649">
        <v>49545.19</v>
      </c>
      <c r="E4649">
        <v>52033.37</v>
      </c>
      <c r="F4649">
        <v>28.52</v>
      </c>
      <c r="G4649">
        <v>288.89999999999998</v>
      </c>
      <c r="H4649">
        <f>E4649*1000000/D4649</f>
        <v>1050220.4149383623</v>
      </c>
      <c r="I4649" t="str">
        <f>IF(AND(B4649&gt;=2018, B4649&lt;=2021), "2018-2021", IF(AND(B4649&gt;=2022, B4649&lt;=2024), "2022-2024", "Other"))</f>
        <v>2018-2021</v>
      </c>
    </row>
    <row r="4650" spans="1:9" x14ac:dyDescent="0.3">
      <c r="A4650" t="s">
        <v>7</v>
      </c>
      <c r="B4650">
        <v>2023</v>
      </c>
      <c r="C4650" t="s">
        <v>6</v>
      </c>
      <c r="D4650">
        <v>25607.05</v>
      </c>
      <c r="E4650">
        <v>26209.52</v>
      </c>
      <c r="F4650">
        <v>172.27</v>
      </c>
      <c r="G4650">
        <v>624.95000000000005</v>
      </c>
      <c r="H4650">
        <f>E4650*1000000/D4650</f>
        <v>1023527.5051206602</v>
      </c>
      <c r="I4650" t="str">
        <f>IF(AND(B4650&gt;=2018, B4650&lt;=2021), "2018-2021", IF(AND(B4650&gt;=2022, B4650&lt;=2024), "2022-2024", "Other"))</f>
        <v>2022-2024</v>
      </c>
    </row>
    <row r="4651" spans="1:9" x14ac:dyDescent="0.3">
      <c r="A4651" t="s">
        <v>15</v>
      </c>
      <c r="B4651">
        <v>2022</v>
      </c>
      <c r="C4651" t="s">
        <v>8</v>
      </c>
      <c r="D4651">
        <v>24563.9</v>
      </c>
      <c r="E4651">
        <v>20249.73</v>
      </c>
      <c r="F4651">
        <v>178.92</v>
      </c>
      <c r="G4651">
        <v>566.23</v>
      </c>
      <c r="H4651">
        <f>E4651*1000000/D4651</f>
        <v>824369.50158566015</v>
      </c>
      <c r="I4651" t="str">
        <f>IF(AND(B4651&gt;=2018, B4651&lt;=2021), "2018-2021", IF(AND(B4651&gt;=2022, B4651&lt;=2024), "2022-2024", "Other"))</f>
        <v>2022-2024</v>
      </c>
    </row>
    <row r="4652" spans="1:9" x14ac:dyDescent="0.3">
      <c r="A4652" t="s">
        <v>22</v>
      </c>
      <c r="B4652">
        <v>2023</v>
      </c>
      <c r="C4652" t="s">
        <v>6</v>
      </c>
      <c r="D4652">
        <v>7295.93</v>
      </c>
      <c r="E4652">
        <v>6657.76</v>
      </c>
      <c r="F4652">
        <v>166.02</v>
      </c>
      <c r="G4652">
        <v>366.41</v>
      </c>
      <c r="H4652">
        <f>E4652*1000000/D4652</f>
        <v>912530.68491611071</v>
      </c>
      <c r="I4652" t="str">
        <f>IF(AND(B4652&gt;=2018, B4652&lt;=2021), "2018-2021", IF(AND(B4652&gt;=2022, B4652&lt;=2024), "2022-2024", "Other"))</f>
        <v>2022-2024</v>
      </c>
    </row>
    <row r="4653" spans="1:9" x14ac:dyDescent="0.3">
      <c r="A4653" t="s">
        <v>23</v>
      </c>
      <c r="B4653">
        <v>2022</v>
      </c>
      <c r="C4653" t="s">
        <v>12</v>
      </c>
      <c r="D4653">
        <v>29204.959999999999</v>
      </c>
      <c r="E4653">
        <v>24683.22</v>
      </c>
      <c r="F4653">
        <v>85.66</v>
      </c>
      <c r="G4653">
        <v>870.28</v>
      </c>
      <c r="H4653">
        <f>E4653*1000000/D4653</f>
        <v>845172.18992938183</v>
      </c>
      <c r="I4653" t="str">
        <f>IF(AND(B4653&gt;=2018, B4653&lt;=2021), "2018-2021", IF(AND(B4653&gt;=2022, B4653&lt;=2024), "2022-2024", "Other"))</f>
        <v>2022-2024</v>
      </c>
    </row>
    <row r="4654" spans="1:9" x14ac:dyDescent="0.3">
      <c r="A4654" t="s">
        <v>16</v>
      </c>
      <c r="B4654">
        <v>2018</v>
      </c>
      <c r="C4654" t="s">
        <v>4</v>
      </c>
      <c r="D4654">
        <v>22938.77</v>
      </c>
      <c r="E4654">
        <v>26410.18</v>
      </c>
      <c r="F4654">
        <v>70.569999999999993</v>
      </c>
      <c r="G4654">
        <v>66.290000000000006</v>
      </c>
      <c r="H4654">
        <f>E4654*1000000/D4654</f>
        <v>1151333.7463168253</v>
      </c>
      <c r="I4654" t="str">
        <f>IF(AND(B4654&gt;=2018, B4654&lt;=2021), "2018-2021", IF(AND(B4654&gt;=2022, B4654&lt;=2024), "2022-2024", "Other"))</f>
        <v>2018-2021</v>
      </c>
    </row>
    <row r="4655" spans="1:9" x14ac:dyDescent="0.3">
      <c r="A4655" t="s">
        <v>19</v>
      </c>
      <c r="B4655">
        <v>2018</v>
      </c>
      <c r="C4655" t="s">
        <v>12</v>
      </c>
      <c r="D4655">
        <v>31680.84</v>
      </c>
      <c r="E4655">
        <v>33876.11</v>
      </c>
      <c r="F4655">
        <v>104.42</v>
      </c>
      <c r="G4655">
        <v>1016.87</v>
      </c>
      <c r="H4655">
        <f>E4655*1000000/D4655</f>
        <v>1069293.3015664988</v>
      </c>
      <c r="I4655" t="str">
        <f>IF(AND(B4655&gt;=2018, B4655&lt;=2021), "2018-2021", IF(AND(B4655&gt;=2022, B4655&lt;=2024), "2022-2024", "Other"))</f>
        <v>2018-2021</v>
      </c>
    </row>
    <row r="4656" spans="1:9" x14ac:dyDescent="0.3">
      <c r="A4656" t="s">
        <v>3</v>
      </c>
      <c r="B4656">
        <v>2023</v>
      </c>
      <c r="C4656" t="s">
        <v>8</v>
      </c>
      <c r="D4656">
        <v>35501.370000000003</v>
      </c>
      <c r="E4656">
        <v>36953.269999999997</v>
      </c>
      <c r="F4656">
        <v>198.19</v>
      </c>
      <c r="G4656">
        <v>1305.18</v>
      </c>
      <c r="H4656">
        <f>E4656*1000000/D4656</f>
        <v>1040897.0132701921</v>
      </c>
      <c r="I4656" t="str">
        <f>IF(AND(B4656&gt;=2018, B4656&lt;=2021), "2018-2021", IF(AND(B4656&gt;=2022, B4656&lt;=2024), "2022-2024", "Other"))</f>
        <v>2022-2024</v>
      </c>
    </row>
    <row r="4657" spans="1:9" x14ac:dyDescent="0.3">
      <c r="A4657" t="s">
        <v>22</v>
      </c>
      <c r="B4657">
        <v>2019</v>
      </c>
      <c r="C4657" t="s">
        <v>4</v>
      </c>
      <c r="D4657">
        <v>49471.83</v>
      </c>
      <c r="E4657">
        <v>56098.82</v>
      </c>
      <c r="F4657">
        <v>50.52</v>
      </c>
      <c r="G4657">
        <v>735.68</v>
      </c>
      <c r="H4657">
        <f>E4657*1000000/D4657</f>
        <v>1133954.8183279252</v>
      </c>
      <c r="I4657" t="str">
        <f>IF(AND(B4657&gt;=2018, B4657&lt;=2021), "2018-2021", IF(AND(B4657&gt;=2022, B4657&lt;=2024), "2022-2024", "Other"))</f>
        <v>2018-2021</v>
      </c>
    </row>
    <row r="4658" spans="1:9" x14ac:dyDescent="0.3">
      <c r="A4658" t="s">
        <v>17</v>
      </c>
      <c r="B4658">
        <v>2022</v>
      </c>
      <c r="C4658" t="s">
        <v>6</v>
      </c>
      <c r="D4658">
        <v>32441.69</v>
      </c>
      <c r="E4658">
        <v>30647.040000000001</v>
      </c>
      <c r="F4658">
        <v>116.98</v>
      </c>
      <c r="G4658">
        <v>585.25</v>
      </c>
      <c r="H4658">
        <f>E4658*1000000/D4658</f>
        <v>944680.7487526082</v>
      </c>
      <c r="I4658" t="str">
        <f>IF(AND(B4658&gt;=2018, B4658&lt;=2021), "2018-2021", IF(AND(B4658&gt;=2022, B4658&lt;=2024), "2022-2024", "Other"))</f>
        <v>2022-2024</v>
      </c>
    </row>
    <row r="4659" spans="1:9" x14ac:dyDescent="0.3">
      <c r="A4659" t="s">
        <v>15</v>
      </c>
      <c r="B4659">
        <v>2022</v>
      </c>
      <c r="C4659" t="s">
        <v>6</v>
      </c>
      <c r="D4659">
        <v>31959.38</v>
      </c>
      <c r="E4659">
        <v>32497.74</v>
      </c>
      <c r="F4659">
        <v>168.9</v>
      </c>
      <c r="G4659">
        <v>213.83</v>
      </c>
      <c r="H4659">
        <f>E4659*1000000/D4659</f>
        <v>1016845.1327904358</v>
      </c>
      <c r="I4659" t="str">
        <f>IF(AND(B4659&gt;=2018, B4659&lt;=2021), "2018-2021", IF(AND(B4659&gt;=2022, B4659&lt;=2024), "2022-2024", "Other"))</f>
        <v>2022-2024</v>
      </c>
    </row>
    <row r="4660" spans="1:9" x14ac:dyDescent="0.3">
      <c r="A4660" t="s">
        <v>22</v>
      </c>
      <c r="B4660">
        <v>2020</v>
      </c>
      <c r="C4660" t="s">
        <v>12</v>
      </c>
      <c r="D4660">
        <v>35838.42</v>
      </c>
      <c r="E4660">
        <v>31091.49</v>
      </c>
      <c r="F4660">
        <v>98.54</v>
      </c>
      <c r="G4660">
        <v>1226.47</v>
      </c>
      <c r="H4660">
        <f>E4660*1000000/D4660</f>
        <v>867546.33714321116</v>
      </c>
      <c r="I4660" t="str">
        <f>IF(AND(B4660&gt;=2018, B4660&lt;=2021), "2018-2021", IF(AND(B4660&gt;=2022, B4660&lt;=2024), "2022-2024", "Other"))</f>
        <v>2018-2021</v>
      </c>
    </row>
    <row r="4661" spans="1:9" x14ac:dyDescent="0.3">
      <c r="A4661" t="s">
        <v>19</v>
      </c>
      <c r="B4661">
        <v>2018</v>
      </c>
      <c r="C4661" t="s">
        <v>2</v>
      </c>
      <c r="D4661">
        <v>49068.87</v>
      </c>
      <c r="E4661">
        <v>47258.54</v>
      </c>
      <c r="F4661">
        <v>139.01</v>
      </c>
      <c r="G4661">
        <v>202.79</v>
      </c>
      <c r="H4661">
        <f>E4661*1000000/D4661</f>
        <v>963106.34420560324</v>
      </c>
      <c r="I4661" t="str">
        <f>IF(AND(B4661&gt;=2018, B4661&lt;=2021), "2018-2021", IF(AND(B4661&gt;=2022, B4661&lt;=2024), "2022-2024", "Other"))</f>
        <v>2018-2021</v>
      </c>
    </row>
    <row r="4662" spans="1:9" x14ac:dyDescent="0.3">
      <c r="A4662" t="s">
        <v>15</v>
      </c>
      <c r="B4662">
        <v>2024</v>
      </c>
      <c r="C4662" t="s">
        <v>12</v>
      </c>
      <c r="D4662">
        <v>29925.45</v>
      </c>
      <c r="E4662">
        <v>31118.14</v>
      </c>
      <c r="F4662">
        <v>95.47</v>
      </c>
      <c r="G4662">
        <v>1136.32</v>
      </c>
      <c r="H4662">
        <f>E4662*1000000/D4662</f>
        <v>1039855.3739375682</v>
      </c>
      <c r="I4662" t="str">
        <f>IF(AND(B4662&gt;=2018, B4662&lt;=2021), "2018-2021", IF(AND(B4662&gt;=2022, B4662&lt;=2024), "2022-2024", "Other"))</f>
        <v>2022-2024</v>
      </c>
    </row>
    <row r="4663" spans="1:9" x14ac:dyDescent="0.3">
      <c r="A4663" t="s">
        <v>16</v>
      </c>
      <c r="B4663">
        <v>2022</v>
      </c>
      <c r="C4663" t="s">
        <v>14</v>
      </c>
      <c r="D4663">
        <v>12152.83</v>
      </c>
      <c r="E4663">
        <v>13781.51</v>
      </c>
      <c r="F4663">
        <v>59.92</v>
      </c>
      <c r="G4663">
        <v>1186.71</v>
      </c>
      <c r="H4663">
        <f>E4663*1000000/D4663</f>
        <v>1134016.5212547202</v>
      </c>
      <c r="I4663" t="str">
        <f>IF(AND(B4663&gt;=2018, B4663&lt;=2021), "2018-2021", IF(AND(B4663&gt;=2022, B4663&lt;=2024), "2022-2024", "Other"))</f>
        <v>2022-2024</v>
      </c>
    </row>
    <row r="4664" spans="1:9" x14ac:dyDescent="0.3">
      <c r="A4664" t="s">
        <v>20</v>
      </c>
      <c r="B4664">
        <v>2020</v>
      </c>
      <c r="C4664" t="s">
        <v>12</v>
      </c>
      <c r="D4664">
        <v>47893.14</v>
      </c>
      <c r="E4664">
        <v>45240.33</v>
      </c>
      <c r="F4664">
        <v>166.14</v>
      </c>
      <c r="G4664">
        <v>314.39999999999998</v>
      </c>
      <c r="H4664">
        <f>E4664*1000000/D4664</f>
        <v>944609.81259529025</v>
      </c>
      <c r="I4664" t="str">
        <f>IF(AND(B4664&gt;=2018, B4664&lt;=2021), "2018-2021", IF(AND(B4664&gt;=2022, B4664&lt;=2024), "2022-2024", "Other"))</f>
        <v>2018-2021</v>
      </c>
    </row>
    <row r="4665" spans="1:9" x14ac:dyDescent="0.3">
      <c r="A4665" t="s">
        <v>21</v>
      </c>
      <c r="B4665">
        <v>2021</v>
      </c>
      <c r="C4665" t="s">
        <v>0</v>
      </c>
      <c r="D4665">
        <v>49782.61</v>
      </c>
      <c r="E4665">
        <v>57744.19</v>
      </c>
      <c r="F4665">
        <v>35.82</v>
      </c>
      <c r="G4665">
        <v>250.73</v>
      </c>
      <c r="H4665">
        <f>E4665*1000000/D4665</f>
        <v>1159926.9303075913</v>
      </c>
      <c r="I4665" t="str">
        <f>IF(AND(B4665&gt;=2018, B4665&lt;=2021), "2018-2021", IF(AND(B4665&gt;=2022, B4665&lt;=2024), "2022-2024", "Other"))</f>
        <v>2018-2021</v>
      </c>
    </row>
    <row r="4666" spans="1:9" x14ac:dyDescent="0.3">
      <c r="A4666" t="s">
        <v>7</v>
      </c>
      <c r="B4666">
        <v>2020</v>
      </c>
      <c r="C4666" t="s">
        <v>6</v>
      </c>
      <c r="D4666">
        <v>47003.82</v>
      </c>
      <c r="E4666">
        <v>46531.42</v>
      </c>
      <c r="F4666">
        <v>93.44</v>
      </c>
      <c r="G4666">
        <v>1258.97</v>
      </c>
      <c r="H4666">
        <f>E4666*1000000/D4666</f>
        <v>989949.75302007364</v>
      </c>
      <c r="I4666" t="str">
        <f>IF(AND(B4666&gt;=2018, B4666&lt;=2021), "2018-2021", IF(AND(B4666&gt;=2022, B4666&lt;=2024), "2022-2024", "Other"))</f>
        <v>2018-2021</v>
      </c>
    </row>
    <row r="4667" spans="1:9" x14ac:dyDescent="0.3">
      <c r="A4667" t="s">
        <v>19</v>
      </c>
      <c r="B4667">
        <v>2022</v>
      </c>
      <c r="C4667" t="s">
        <v>12</v>
      </c>
      <c r="D4667">
        <v>4052.81</v>
      </c>
      <c r="E4667">
        <v>3583.44</v>
      </c>
      <c r="F4667">
        <v>96.86</v>
      </c>
      <c r="G4667">
        <v>1363.66</v>
      </c>
      <c r="H4667">
        <f>E4667*1000000/D4667</f>
        <v>884186.5273723664</v>
      </c>
      <c r="I4667" t="str">
        <f>IF(AND(B4667&gt;=2018, B4667&lt;=2021), "2018-2021", IF(AND(B4667&gt;=2022, B4667&lt;=2024), "2022-2024", "Other"))</f>
        <v>2022-2024</v>
      </c>
    </row>
    <row r="4668" spans="1:9" x14ac:dyDescent="0.3">
      <c r="A4668" t="s">
        <v>26</v>
      </c>
      <c r="B4668">
        <v>2021</v>
      </c>
      <c r="C4668" t="s">
        <v>4</v>
      </c>
      <c r="D4668">
        <v>12756.11</v>
      </c>
      <c r="E4668">
        <v>13401.74</v>
      </c>
      <c r="F4668">
        <v>161.63999999999999</v>
      </c>
      <c r="G4668">
        <v>156.88999999999999</v>
      </c>
      <c r="H4668">
        <f>E4668*1000000/D4668</f>
        <v>1050613.3923272847</v>
      </c>
      <c r="I4668" t="str">
        <f>IF(AND(B4668&gt;=2018, B4668&lt;=2021), "2018-2021", IF(AND(B4668&gt;=2022, B4668&lt;=2024), "2022-2024", "Other"))</f>
        <v>2018-2021</v>
      </c>
    </row>
    <row r="4669" spans="1:9" x14ac:dyDescent="0.3">
      <c r="A4669" t="s">
        <v>13</v>
      </c>
      <c r="B4669">
        <v>2018</v>
      </c>
      <c r="C4669" t="s">
        <v>14</v>
      </c>
      <c r="D4669">
        <v>16279.53</v>
      </c>
      <c r="E4669">
        <v>19028.32</v>
      </c>
      <c r="F4669">
        <v>157.65</v>
      </c>
      <c r="G4669">
        <v>1294.76</v>
      </c>
      <c r="H4669">
        <f>E4669*1000000/D4669</f>
        <v>1168849.4692414338</v>
      </c>
      <c r="I4669" t="str">
        <f>IF(AND(B4669&gt;=2018, B4669&lt;=2021), "2018-2021", IF(AND(B4669&gt;=2022, B4669&lt;=2024), "2022-2024", "Other"))</f>
        <v>2018-2021</v>
      </c>
    </row>
    <row r="4670" spans="1:9" x14ac:dyDescent="0.3">
      <c r="A4670" t="s">
        <v>21</v>
      </c>
      <c r="B4670">
        <v>2019</v>
      </c>
      <c r="C4670" t="s">
        <v>8</v>
      </c>
      <c r="D4670">
        <v>4964.13</v>
      </c>
      <c r="E4670">
        <v>5528.95</v>
      </c>
      <c r="F4670">
        <v>179.26</v>
      </c>
      <c r="G4670">
        <v>1137.75</v>
      </c>
      <c r="H4670">
        <f>E4670*1000000/D4670</f>
        <v>1113780.2595822429</v>
      </c>
      <c r="I4670" t="str">
        <f>IF(AND(B4670&gt;=2018, B4670&lt;=2021), "2018-2021", IF(AND(B4670&gt;=2022, B4670&lt;=2024), "2022-2024", "Other"))</f>
        <v>2018-2021</v>
      </c>
    </row>
    <row r="4671" spans="1:9" x14ac:dyDescent="0.3">
      <c r="A4671" t="s">
        <v>19</v>
      </c>
      <c r="B4671">
        <v>2021</v>
      </c>
      <c r="C4671" t="s">
        <v>6</v>
      </c>
      <c r="D4671">
        <v>39301.42</v>
      </c>
      <c r="E4671">
        <v>40486.01</v>
      </c>
      <c r="F4671">
        <v>22.46</v>
      </c>
      <c r="G4671">
        <v>128.6</v>
      </c>
      <c r="H4671">
        <f>E4671*1000000/D4671</f>
        <v>1030141.1501162045</v>
      </c>
      <c r="I4671" t="str">
        <f>IF(AND(B4671&gt;=2018, B4671&lt;=2021), "2018-2021", IF(AND(B4671&gt;=2022, B4671&lt;=2024), "2022-2024", "Other"))</f>
        <v>2018-2021</v>
      </c>
    </row>
    <row r="4672" spans="1:9" x14ac:dyDescent="0.3">
      <c r="A4672" t="s">
        <v>17</v>
      </c>
      <c r="B4672">
        <v>2021</v>
      </c>
      <c r="C4672" t="s">
        <v>8</v>
      </c>
      <c r="D4672">
        <v>4707.93</v>
      </c>
      <c r="E4672">
        <v>4508</v>
      </c>
      <c r="F4672">
        <v>98.62</v>
      </c>
      <c r="G4672">
        <v>1379.34</v>
      </c>
      <c r="H4672">
        <f>E4672*1000000/D4672</f>
        <v>957533.35329964547</v>
      </c>
      <c r="I4672" t="str">
        <f>IF(AND(B4672&gt;=2018, B4672&lt;=2021), "2018-2021", IF(AND(B4672&gt;=2022, B4672&lt;=2024), "2022-2024", "Other"))</f>
        <v>2018-2021</v>
      </c>
    </row>
    <row r="4673" spans="1:9" x14ac:dyDescent="0.3">
      <c r="A4673" t="s">
        <v>21</v>
      </c>
      <c r="B4673">
        <v>2018</v>
      </c>
      <c r="C4673" t="s">
        <v>0</v>
      </c>
      <c r="D4673">
        <v>47313.98</v>
      </c>
      <c r="E4673">
        <v>47579.64</v>
      </c>
      <c r="F4673">
        <v>37.28</v>
      </c>
      <c r="G4673">
        <v>625.79</v>
      </c>
      <c r="H4673">
        <f>E4673*1000000/D4673</f>
        <v>1005614.8309653932</v>
      </c>
      <c r="I4673" t="str">
        <f>IF(AND(B4673&gt;=2018, B4673&lt;=2021), "2018-2021", IF(AND(B4673&gt;=2022, B4673&lt;=2024), "2022-2024", "Other"))</f>
        <v>2018-2021</v>
      </c>
    </row>
    <row r="4674" spans="1:9" x14ac:dyDescent="0.3">
      <c r="A4674" t="s">
        <v>7</v>
      </c>
      <c r="B4674">
        <v>2023</v>
      </c>
      <c r="C4674" t="s">
        <v>4</v>
      </c>
      <c r="D4674">
        <v>26834.02</v>
      </c>
      <c r="E4674">
        <v>28019.55</v>
      </c>
      <c r="F4674">
        <v>134.12</v>
      </c>
      <c r="G4674">
        <v>1106.6600000000001</v>
      </c>
      <c r="H4674">
        <f>E4674*1000000/D4674</f>
        <v>1044180.1116642233</v>
      </c>
      <c r="I4674" t="str">
        <f>IF(AND(B4674&gt;=2018, B4674&lt;=2021), "2018-2021", IF(AND(B4674&gt;=2022, B4674&lt;=2024), "2022-2024", "Other"))</f>
        <v>2022-2024</v>
      </c>
    </row>
    <row r="4675" spans="1:9" x14ac:dyDescent="0.3">
      <c r="A4675" t="s">
        <v>13</v>
      </c>
      <c r="B4675">
        <v>2018</v>
      </c>
      <c r="C4675" t="s">
        <v>9</v>
      </c>
      <c r="D4675">
        <v>10344.1</v>
      </c>
      <c r="E4675">
        <v>9857.6</v>
      </c>
      <c r="F4675">
        <v>105.41</v>
      </c>
      <c r="G4675">
        <v>1305.05</v>
      </c>
      <c r="H4675">
        <f>E4675*1000000/D4675</f>
        <v>952968.35877456714</v>
      </c>
      <c r="I4675" t="str">
        <f>IF(AND(B4675&gt;=2018, B4675&lt;=2021), "2018-2021", IF(AND(B4675&gt;=2022, B4675&lt;=2024), "2022-2024", "Other"))</f>
        <v>2018-2021</v>
      </c>
    </row>
    <row r="4676" spans="1:9" x14ac:dyDescent="0.3">
      <c r="A4676" t="s">
        <v>15</v>
      </c>
      <c r="B4676">
        <v>2023</v>
      </c>
      <c r="C4676" t="s">
        <v>8</v>
      </c>
      <c r="D4676">
        <v>45074.35</v>
      </c>
      <c r="E4676">
        <v>54083.25</v>
      </c>
      <c r="F4676">
        <v>177.56</v>
      </c>
      <c r="G4676">
        <v>537.67999999999995</v>
      </c>
      <c r="H4676">
        <f>E4676*1000000/D4676</f>
        <v>1199867.552166587</v>
      </c>
      <c r="I4676" t="str">
        <f>IF(AND(B4676&gt;=2018, B4676&lt;=2021), "2018-2021", IF(AND(B4676&gt;=2022, B4676&lt;=2024), "2022-2024", "Other"))</f>
        <v>2022-2024</v>
      </c>
    </row>
    <row r="4677" spans="1:9" x14ac:dyDescent="0.3">
      <c r="A4677" t="s">
        <v>15</v>
      </c>
      <c r="B4677">
        <v>2022</v>
      </c>
      <c r="C4677" t="s">
        <v>12</v>
      </c>
      <c r="D4677">
        <v>29670.13</v>
      </c>
      <c r="E4677">
        <v>30742.73</v>
      </c>
      <c r="F4677">
        <v>172.11</v>
      </c>
      <c r="G4677">
        <v>161.94</v>
      </c>
      <c r="H4677">
        <f>E4677*1000000/D4677</f>
        <v>1036150.8358743287</v>
      </c>
      <c r="I4677" t="str">
        <f>IF(AND(B4677&gt;=2018, B4677&lt;=2021), "2018-2021", IF(AND(B4677&gt;=2022, B4677&lt;=2024), "2022-2024", "Other"))</f>
        <v>2022-2024</v>
      </c>
    </row>
    <row r="4678" spans="1:9" x14ac:dyDescent="0.3">
      <c r="A4678" t="s">
        <v>27</v>
      </c>
      <c r="B4678">
        <v>2019</v>
      </c>
      <c r="C4678" t="s">
        <v>8</v>
      </c>
      <c r="D4678">
        <v>8062.96</v>
      </c>
      <c r="E4678">
        <v>6608.43</v>
      </c>
      <c r="F4678">
        <v>139.07</v>
      </c>
      <c r="G4678">
        <v>529.69000000000005</v>
      </c>
      <c r="H4678">
        <f>E4678*1000000/D4678</f>
        <v>819603.47068570356</v>
      </c>
      <c r="I4678" t="str">
        <f>IF(AND(B4678&gt;=2018, B4678&lt;=2021), "2018-2021", IF(AND(B4678&gt;=2022, B4678&lt;=2024), "2022-2024", "Other"))</f>
        <v>2018-2021</v>
      </c>
    </row>
    <row r="4679" spans="1:9" x14ac:dyDescent="0.3">
      <c r="A4679" t="s">
        <v>19</v>
      </c>
      <c r="B4679">
        <v>2024</v>
      </c>
      <c r="C4679" t="s">
        <v>6</v>
      </c>
      <c r="D4679">
        <v>9355.9699999999993</v>
      </c>
      <c r="E4679">
        <v>9822.33</v>
      </c>
      <c r="F4679">
        <v>86.16</v>
      </c>
      <c r="G4679">
        <v>1361.33</v>
      </c>
      <c r="H4679">
        <f>E4679*1000000/D4679</f>
        <v>1049846.2479037449</v>
      </c>
      <c r="I4679" t="str">
        <f>IF(AND(B4679&gt;=2018, B4679&lt;=2021), "2018-2021", IF(AND(B4679&gt;=2022, B4679&lt;=2024), "2022-2024", "Other"))</f>
        <v>2022-2024</v>
      </c>
    </row>
    <row r="4680" spans="1:9" x14ac:dyDescent="0.3">
      <c r="A4680" t="s">
        <v>13</v>
      </c>
      <c r="B4680">
        <v>2018</v>
      </c>
      <c r="C4680" t="s">
        <v>12</v>
      </c>
      <c r="D4680">
        <v>10249.280000000001</v>
      </c>
      <c r="E4680">
        <v>8745.2099999999991</v>
      </c>
      <c r="F4680">
        <v>23.77</v>
      </c>
      <c r="G4680">
        <v>1384.22</v>
      </c>
      <c r="H4680">
        <f>E4680*1000000/D4680</f>
        <v>853251.15520309715</v>
      </c>
      <c r="I4680" t="str">
        <f>IF(AND(B4680&gt;=2018, B4680&lt;=2021), "2018-2021", IF(AND(B4680&gt;=2022, B4680&lt;=2024), "2022-2024", "Other"))</f>
        <v>2018-2021</v>
      </c>
    </row>
    <row r="4681" spans="1:9" x14ac:dyDescent="0.3">
      <c r="A4681" t="s">
        <v>3</v>
      </c>
      <c r="B4681">
        <v>2022</v>
      </c>
      <c r="C4681" t="s">
        <v>9</v>
      </c>
      <c r="D4681">
        <v>47030.67</v>
      </c>
      <c r="E4681">
        <v>42346.44</v>
      </c>
      <c r="F4681">
        <v>192.88</v>
      </c>
      <c r="G4681">
        <v>883.32</v>
      </c>
      <c r="H4681">
        <f>E4681*1000000/D4681</f>
        <v>900400.52586960804</v>
      </c>
      <c r="I4681" t="str">
        <f>IF(AND(B4681&gt;=2018, B4681&lt;=2021), "2018-2021", IF(AND(B4681&gt;=2022, B4681&lt;=2024), "2022-2024", "Other"))</f>
        <v>2022-2024</v>
      </c>
    </row>
    <row r="4682" spans="1:9" x14ac:dyDescent="0.3">
      <c r="A4682" t="s">
        <v>7</v>
      </c>
      <c r="B4682">
        <v>2021</v>
      </c>
      <c r="C4682" t="s">
        <v>14</v>
      </c>
      <c r="D4682">
        <v>3365.39</v>
      </c>
      <c r="E4682">
        <v>3278.78</v>
      </c>
      <c r="F4682">
        <v>87.34</v>
      </c>
      <c r="G4682">
        <v>198.07</v>
      </c>
      <c r="H4682">
        <f>E4682*1000000/D4682</f>
        <v>974264.49831965985</v>
      </c>
      <c r="I4682" t="str">
        <f>IF(AND(B4682&gt;=2018, B4682&lt;=2021), "2018-2021", IF(AND(B4682&gt;=2022, B4682&lt;=2024), "2022-2024", "Other"))</f>
        <v>2018-2021</v>
      </c>
    </row>
    <row r="4683" spans="1:9" x14ac:dyDescent="0.3">
      <c r="A4683" t="s">
        <v>24</v>
      </c>
      <c r="B4683">
        <v>2024</v>
      </c>
      <c r="C4683" t="s">
        <v>14</v>
      </c>
      <c r="D4683">
        <v>11269.07</v>
      </c>
      <c r="E4683">
        <v>13498.84</v>
      </c>
      <c r="F4683">
        <v>38.35</v>
      </c>
      <c r="G4683">
        <v>1230.6500000000001</v>
      </c>
      <c r="H4683">
        <f>E4683*1000000/D4683</f>
        <v>1197866.372291591</v>
      </c>
      <c r="I4683" t="str">
        <f>IF(AND(B4683&gt;=2018, B4683&lt;=2021), "2018-2021", IF(AND(B4683&gt;=2022, B4683&lt;=2024), "2022-2024", "Other"))</f>
        <v>2022-2024</v>
      </c>
    </row>
    <row r="4684" spans="1:9" x14ac:dyDescent="0.3">
      <c r="A4684" t="s">
        <v>22</v>
      </c>
      <c r="B4684">
        <v>2024</v>
      </c>
      <c r="C4684" t="s">
        <v>9</v>
      </c>
      <c r="D4684">
        <v>17898.72</v>
      </c>
      <c r="E4684">
        <v>14550.68</v>
      </c>
      <c r="F4684">
        <v>75.37</v>
      </c>
      <c r="G4684">
        <v>545.64</v>
      </c>
      <c r="H4684">
        <f>E4684*1000000/D4684</f>
        <v>812945.28323813097</v>
      </c>
      <c r="I4684" t="str">
        <f>IF(AND(B4684&gt;=2018, B4684&lt;=2021), "2018-2021", IF(AND(B4684&gt;=2022, B4684&lt;=2024), "2022-2024", "Other"))</f>
        <v>2022-2024</v>
      </c>
    </row>
    <row r="4685" spans="1:9" x14ac:dyDescent="0.3">
      <c r="A4685" t="s">
        <v>7</v>
      </c>
      <c r="B4685">
        <v>2021</v>
      </c>
      <c r="C4685" t="s">
        <v>6</v>
      </c>
      <c r="D4685">
        <v>39451.22</v>
      </c>
      <c r="E4685">
        <v>41268.51</v>
      </c>
      <c r="F4685">
        <v>115.7</v>
      </c>
      <c r="G4685">
        <v>700.56</v>
      </c>
      <c r="H4685">
        <f>E4685*1000000/D4685</f>
        <v>1046064.2281784948</v>
      </c>
      <c r="I4685" t="str">
        <f>IF(AND(B4685&gt;=2018, B4685&lt;=2021), "2018-2021", IF(AND(B4685&gt;=2022, B4685&lt;=2024), "2022-2024", "Other"))</f>
        <v>2018-2021</v>
      </c>
    </row>
    <row r="4686" spans="1:9" x14ac:dyDescent="0.3">
      <c r="A4686" t="s">
        <v>21</v>
      </c>
      <c r="B4686">
        <v>2018</v>
      </c>
      <c r="C4686" t="s">
        <v>4</v>
      </c>
      <c r="D4686">
        <v>27169.14</v>
      </c>
      <c r="E4686">
        <v>22294.880000000001</v>
      </c>
      <c r="F4686">
        <v>83.93</v>
      </c>
      <c r="G4686">
        <v>534.94000000000005</v>
      </c>
      <c r="H4686">
        <f>E4686*1000000/D4686</f>
        <v>820595.71999702603</v>
      </c>
      <c r="I4686" t="str">
        <f>IF(AND(B4686&gt;=2018, B4686&lt;=2021), "2018-2021", IF(AND(B4686&gt;=2022, B4686&lt;=2024), "2022-2024", "Other"))</f>
        <v>2018-2021</v>
      </c>
    </row>
    <row r="4687" spans="1:9" x14ac:dyDescent="0.3">
      <c r="A4687" t="s">
        <v>26</v>
      </c>
      <c r="B4687">
        <v>2024</v>
      </c>
      <c r="C4687" t="s">
        <v>9</v>
      </c>
      <c r="D4687">
        <v>17975.330000000002</v>
      </c>
      <c r="E4687">
        <v>19843.900000000001</v>
      </c>
      <c r="F4687">
        <v>167.86</v>
      </c>
      <c r="G4687">
        <v>371.59</v>
      </c>
      <c r="H4687">
        <f>E4687*1000000/D4687</f>
        <v>1103951.9163208685</v>
      </c>
      <c r="I4687" t="str">
        <f>IF(AND(B4687&gt;=2018, B4687&lt;=2021), "2018-2021", IF(AND(B4687&gt;=2022, B4687&lt;=2024), "2022-2024", "Other"))</f>
        <v>2022-2024</v>
      </c>
    </row>
    <row r="4688" spans="1:9" x14ac:dyDescent="0.3">
      <c r="A4688" t="s">
        <v>3</v>
      </c>
      <c r="B4688">
        <v>2021</v>
      </c>
      <c r="C4688" t="s">
        <v>4</v>
      </c>
      <c r="D4688">
        <v>4529.47</v>
      </c>
      <c r="E4688">
        <v>3756.14</v>
      </c>
      <c r="F4688">
        <v>66.14</v>
      </c>
      <c r="G4688">
        <v>829.14</v>
      </c>
      <c r="H4688">
        <f>E4688*1000000/D4688</f>
        <v>829267.00033337227</v>
      </c>
      <c r="I4688" t="str">
        <f>IF(AND(B4688&gt;=2018, B4688&lt;=2021), "2018-2021", IF(AND(B4688&gt;=2022, B4688&lt;=2024), "2022-2024", "Other"))</f>
        <v>2018-2021</v>
      </c>
    </row>
    <row r="4689" spans="1:9" x14ac:dyDescent="0.3">
      <c r="A4689" t="s">
        <v>16</v>
      </c>
      <c r="B4689">
        <v>2024</v>
      </c>
      <c r="C4689" t="s">
        <v>14</v>
      </c>
      <c r="D4689">
        <v>46977.59</v>
      </c>
      <c r="E4689">
        <v>38449.129999999997</v>
      </c>
      <c r="F4689">
        <v>122.48</v>
      </c>
      <c r="G4689">
        <v>270.52</v>
      </c>
      <c r="H4689">
        <f>E4689*1000000/D4689</f>
        <v>818456.84293298156</v>
      </c>
      <c r="I4689" t="str">
        <f>IF(AND(B4689&gt;=2018, B4689&lt;=2021), "2018-2021", IF(AND(B4689&gt;=2022, B4689&lt;=2024), "2022-2024", "Other"))</f>
        <v>2022-2024</v>
      </c>
    </row>
    <row r="4690" spans="1:9" x14ac:dyDescent="0.3">
      <c r="A4690" t="s">
        <v>16</v>
      </c>
      <c r="B4690">
        <v>2023</v>
      </c>
      <c r="C4690" t="s">
        <v>2</v>
      </c>
      <c r="D4690">
        <v>36629.83</v>
      </c>
      <c r="E4690">
        <v>41345.519999999997</v>
      </c>
      <c r="F4690">
        <v>170.98</v>
      </c>
      <c r="G4690">
        <v>1394.89</v>
      </c>
      <c r="H4690">
        <f>E4690*1000000/D4690</f>
        <v>1128739.0632170555</v>
      </c>
      <c r="I4690" t="str">
        <f>IF(AND(B4690&gt;=2018, B4690&lt;=2021), "2018-2021", IF(AND(B4690&gt;=2022, B4690&lt;=2024), "2022-2024", "Other"))</f>
        <v>2022-2024</v>
      </c>
    </row>
    <row r="4691" spans="1:9" x14ac:dyDescent="0.3">
      <c r="A4691" t="s">
        <v>23</v>
      </c>
      <c r="B4691">
        <v>2023</v>
      </c>
      <c r="C4691" t="s">
        <v>6</v>
      </c>
      <c r="D4691">
        <v>44685.41</v>
      </c>
      <c r="E4691">
        <v>50697.78</v>
      </c>
      <c r="F4691">
        <v>31.08</v>
      </c>
      <c r="G4691">
        <v>666.22</v>
      </c>
      <c r="H4691">
        <f>E4691*1000000/D4691</f>
        <v>1134548.838200209</v>
      </c>
      <c r="I4691" t="str">
        <f>IF(AND(B4691&gt;=2018, B4691&lt;=2021), "2018-2021", IF(AND(B4691&gt;=2022, B4691&lt;=2024), "2022-2024", "Other"))</f>
        <v>2022-2024</v>
      </c>
    </row>
    <row r="4692" spans="1:9" x14ac:dyDescent="0.3">
      <c r="A4692" t="s">
        <v>19</v>
      </c>
      <c r="B4692">
        <v>2020</v>
      </c>
      <c r="C4692" t="s">
        <v>8</v>
      </c>
      <c r="D4692">
        <v>33797.33</v>
      </c>
      <c r="E4692">
        <v>36879.699999999997</v>
      </c>
      <c r="F4692">
        <v>128.13</v>
      </c>
      <c r="G4692">
        <v>1351.74</v>
      </c>
      <c r="H4692">
        <f>E4692*1000000/D4692</f>
        <v>1091201.583083634</v>
      </c>
      <c r="I4692" t="str">
        <f>IF(AND(B4692&gt;=2018, B4692&lt;=2021), "2018-2021", IF(AND(B4692&gt;=2022, B4692&lt;=2024), "2022-2024", "Other"))</f>
        <v>2018-2021</v>
      </c>
    </row>
    <row r="4693" spans="1:9" x14ac:dyDescent="0.3">
      <c r="A4693" t="s">
        <v>10</v>
      </c>
      <c r="B4693">
        <v>2021</v>
      </c>
      <c r="C4693" t="s">
        <v>8</v>
      </c>
      <c r="D4693">
        <v>33889.65</v>
      </c>
      <c r="E4693">
        <v>30737.74</v>
      </c>
      <c r="F4693">
        <v>31.08</v>
      </c>
      <c r="G4693">
        <v>1377.9</v>
      </c>
      <c r="H4693">
        <f>E4693*1000000/D4693</f>
        <v>906994.90847500635</v>
      </c>
      <c r="I4693" t="str">
        <f>IF(AND(B4693&gt;=2018, B4693&lt;=2021), "2018-2021", IF(AND(B4693&gt;=2022, B4693&lt;=2024), "2022-2024", "Other"))</f>
        <v>2018-2021</v>
      </c>
    </row>
    <row r="4694" spans="1:9" x14ac:dyDescent="0.3">
      <c r="A4694" t="s">
        <v>20</v>
      </c>
      <c r="B4694">
        <v>2019</v>
      </c>
      <c r="C4694" t="s">
        <v>8</v>
      </c>
      <c r="D4694">
        <v>32671.47</v>
      </c>
      <c r="E4694">
        <v>34088.46</v>
      </c>
      <c r="F4694">
        <v>50.48</v>
      </c>
      <c r="G4694">
        <v>715.63</v>
      </c>
      <c r="H4694">
        <f>E4694*1000000/D4694</f>
        <v>1043370.867610181</v>
      </c>
      <c r="I4694" t="str">
        <f>IF(AND(B4694&gt;=2018, B4694&lt;=2021), "2018-2021", IF(AND(B4694&gt;=2022, B4694&lt;=2024), "2022-2024", "Other"))</f>
        <v>2018-2021</v>
      </c>
    </row>
    <row r="4695" spans="1:9" x14ac:dyDescent="0.3">
      <c r="A4695" t="s">
        <v>13</v>
      </c>
      <c r="B4695">
        <v>2022</v>
      </c>
      <c r="C4695" t="s">
        <v>4</v>
      </c>
      <c r="D4695">
        <v>10015.200000000001</v>
      </c>
      <c r="E4695">
        <v>11946.25</v>
      </c>
      <c r="F4695">
        <v>23.9</v>
      </c>
      <c r="G4695">
        <v>1220.3900000000001</v>
      </c>
      <c r="H4695">
        <f>E4695*1000000/D4695</f>
        <v>1192811.9258726735</v>
      </c>
      <c r="I4695" t="str">
        <f>IF(AND(B4695&gt;=2018, B4695&lt;=2021), "2018-2021", IF(AND(B4695&gt;=2022, B4695&lt;=2024), "2022-2024", "Other"))</f>
        <v>2022-2024</v>
      </c>
    </row>
    <row r="4696" spans="1:9" x14ac:dyDescent="0.3">
      <c r="A4696" t="s">
        <v>25</v>
      </c>
      <c r="B4696">
        <v>2018</v>
      </c>
      <c r="C4696" t="s">
        <v>12</v>
      </c>
      <c r="D4696">
        <v>4019.68</v>
      </c>
      <c r="E4696">
        <v>3411.2</v>
      </c>
      <c r="F4696">
        <v>133.12</v>
      </c>
      <c r="G4696">
        <v>402.95</v>
      </c>
      <c r="H4696">
        <f>E4696*1000000/D4696</f>
        <v>848624.76615053939</v>
      </c>
      <c r="I4696" t="str">
        <f>IF(AND(B4696&gt;=2018, B4696&lt;=2021), "2018-2021", IF(AND(B4696&gt;=2022, B4696&lt;=2024), "2022-2024", "Other"))</f>
        <v>2018-2021</v>
      </c>
    </row>
    <row r="4697" spans="1:9" x14ac:dyDescent="0.3">
      <c r="A4697" t="s">
        <v>17</v>
      </c>
      <c r="B4697">
        <v>2022</v>
      </c>
      <c r="C4697" t="s">
        <v>4</v>
      </c>
      <c r="D4697">
        <v>2912.45</v>
      </c>
      <c r="E4697">
        <v>3297.05</v>
      </c>
      <c r="F4697">
        <v>140.49</v>
      </c>
      <c r="G4697">
        <v>819.3</v>
      </c>
      <c r="H4697">
        <f>E4697*1000000/D4697</f>
        <v>1132053.7691634193</v>
      </c>
      <c r="I4697" t="str">
        <f>IF(AND(B4697&gt;=2018, B4697&lt;=2021), "2018-2021", IF(AND(B4697&gt;=2022, B4697&lt;=2024), "2022-2024", "Other"))</f>
        <v>2022-2024</v>
      </c>
    </row>
    <row r="4698" spans="1:9" x14ac:dyDescent="0.3">
      <c r="A4698" t="s">
        <v>11</v>
      </c>
      <c r="B4698">
        <v>2022</v>
      </c>
      <c r="C4698" t="s">
        <v>12</v>
      </c>
      <c r="D4698">
        <v>47424.14</v>
      </c>
      <c r="E4698">
        <v>52059.72</v>
      </c>
      <c r="F4698">
        <v>120.63</v>
      </c>
      <c r="G4698">
        <v>813.98</v>
      </c>
      <c r="H4698">
        <f>E4698*1000000/D4698</f>
        <v>1097747.2654222089</v>
      </c>
      <c r="I4698" t="str">
        <f>IF(AND(B4698&gt;=2018, B4698&lt;=2021), "2018-2021", IF(AND(B4698&gt;=2022, B4698&lt;=2024), "2022-2024", "Other"))</f>
        <v>2022-2024</v>
      </c>
    </row>
    <row r="4699" spans="1:9" x14ac:dyDescent="0.3">
      <c r="A4699" t="s">
        <v>10</v>
      </c>
      <c r="B4699">
        <v>2022</v>
      </c>
      <c r="C4699" t="s">
        <v>12</v>
      </c>
      <c r="D4699">
        <v>13833.1</v>
      </c>
      <c r="E4699">
        <v>15670.87</v>
      </c>
      <c r="F4699">
        <v>21.07</v>
      </c>
      <c r="G4699">
        <v>934.88</v>
      </c>
      <c r="H4699">
        <f>E4699*1000000/D4699</f>
        <v>1132853.0842688913</v>
      </c>
      <c r="I4699" t="str">
        <f>IF(AND(B4699&gt;=2018, B4699&lt;=2021), "2018-2021", IF(AND(B4699&gt;=2022, B4699&lt;=2024), "2022-2024", "Other"))</f>
        <v>2022-2024</v>
      </c>
    </row>
    <row r="4700" spans="1:9" x14ac:dyDescent="0.3">
      <c r="A4700" t="s">
        <v>10</v>
      </c>
      <c r="B4700">
        <v>2020</v>
      </c>
      <c r="C4700" t="s">
        <v>12</v>
      </c>
      <c r="D4700">
        <v>32583.11</v>
      </c>
      <c r="E4700">
        <v>32441.26</v>
      </c>
      <c r="F4700">
        <v>24.79</v>
      </c>
      <c r="G4700">
        <v>222.22</v>
      </c>
      <c r="H4700">
        <f>E4700*1000000/D4700</f>
        <v>995646.51747485122</v>
      </c>
      <c r="I4700" t="str">
        <f>IF(AND(B4700&gt;=2018, B4700&lt;=2021), "2018-2021", IF(AND(B4700&gt;=2022, B4700&lt;=2024), "2022-2024", "Other"))</f>
        <v>2018-2021</v>
      </c>
    </row>
    <row r="4701" spans="1:9" x14ac:dyDescent="0.3">
      <c r="A4701" t="s">
        <v>13</v>
      </c>
      <c r="B4701">
        <v>2021</v>
      </c>
      <c r="C4701" t="s">
        <v>4</v>
      </c>
      <c r="D4701">
        <v>29592.06</v>
      </c>
      <c r="E4701">
        <v>29260.03</v>
      </c>
      <c r="F4701">
        <v>110.94</v>
      </c>
      <c r="G4701">
        <v>824.14</v>
      </c>
      <c r="H4701">
        <f>E4701*1000000/D4701</f>
        <v>988779.76051684131</v>
      </c>
      <c r="I4701" t="str">
        <f>IF(AND(B4701&gt;=2018, B4701&lt;=2021), "2018-2021", IF(AND(B4701&gt;=2022, B4701&lt;=2024), "2022-2024", "Other"))</f>
        <v>2018-2021</v>
      </c>
    </row>
    <row r="4702" spans="1:9" x14ac:dyDescent="0.3">
      <c r="A4702" t="s">
        <v>13</v>
      </c>
      <c r="B4702">
        <v>2024</v>
      </c>
      <c r="C4702" t="s">
        <v>14</v>
      </c>
      <c r="D4702">
        <v>40479.949999999997</v>
      </c>
      <c r="E4702">
        <v>45457.05</v>
      </c>
      <c r="F4702">
        <v>146.15</v>
      </c>
      <c r="G4702">
        <v>768</v>
      </c>
      <c r="H4702">
        <f>E4702*1000000/D4702</f>
        <v>1122952.2269666835</v>
      </c>
      <c r="I4702" t="str">
        <f>IF(AND(B4702&gt;=2018, B4702&lt;=2021), "2018-2021", IF(AND(B4702&gt;=2022, B4702&lt;=2024), "2022-2024", "Other"))</f>
        <v>2022-2024</v>
      </c>
    </row>
    <row r="4703" spans="1:9" x14ac:dyDescent="0.3">
      <c r="A4703" t="s">
        <v>18</v>
      </c>
      <c r="B4703">
        <v>2023</v>
      </c>
      <c r="C4703" t="s">
        <v>9</v>
      </c>
      <c r="D4703">
        <v>19435.29</v>
      </c>
      <c r="E4703">
        <v>17713.11</v>
      </c>
      <c r="F4703">
        <v>188.88</v>
      </c>
      <c r="G4703">
        <v>86.56</v>
      </c>
      <c r="H4703">
        <f>E4703*1000000/D4703</f>
        <v>911389.02481002337</v>
      </c>
      <c r="I4703" t="str">
        <f>IF(AND(B4703&gt;=2018, B4703&lt;=2021), "2018-2021", IF(AND(B4703&gt;=2022, B4703&lt;=2024), "2022-2024", "Other"))</f>
        <v>2022-2024</v>
      </c>
    </row>
    <row r="4704" spans="1:9" x14ac:dyDescent="0.3">
      <c r="A4704" t="s">
        <v>27</v>
      </c>
      <c r="B4704">
        <v>2024</v>
      </c>
      <c r="C4704" t="s">
        <v>14</v>
      </c>
      <c r="D4704">
        <v>21718.22</v>
      </c>
      <c r="E4704">
        <v>25018.76</v>
      </c>
      <c r="F4704">
        <v>147.72</v>
      </c>
      <c r="G4704">
        <v>634.49</v>
      </c>
      <c r="H4704">
        <f>E4704*1000000/D4704</f>
        <v>1151971.017882681</v>
      </c>
      <c r="I4704" t="str">
        <f>IF(AND(B4704&gt;=2018, B4704&lt;=2021), "2018-2021", IF(AND(B4704&gt;=2022, B4704&lt;=2024), "2022-2024", "Other"))</f>
        <v>2022-2024</v>
      </c>
    </row>
    <row r="4705" spans="1:9" x14ac:dyDescent="0.3">
      <c r="A4705" t="s">
        <v>22</v>
      </c>
      <c r="B4705">
        <v>2024</v>
      </c>
      <c r="C4705" t="s">
        <v>0</v>
      </c>
      <c r="D4705">
        <v>33486.25</v>
      </c>
      <c r="E4705">
        <v>35017.71</v>
      </c>
      <c r="F4705">
        <v>97.42</v>
      </c>
      <c r="G4705">
        <v>200.3</v>
      </c>
      <c r="H4705">
        <f>E4705*1000000/D4705</f>
        <v>1045733.995296577</v>
      </c>
      <c r="I4705" t="str">
        <f>IF(AND(B4705&gt;=2018, B4705&lt;=2021), "2018-2021", IF(AND(B4705&gt;=2022, B4705&lt;=2024), "2022-2024", "Other"))</f>
        <v>2022-2024</v>
      </c>
    </row>
    <row r="4706" spans="1:9" x14ac:dyDescent="0.3">
      <c r="A4706" t="s">
        <v>15</v>
      </c>
      <c r="B4706">
        <v>2020</v>
      </c>
      <c r="C4706" t="s">
        <v>8</v>
      </c>
      <c r="D4706">
        <v>14355.23</v>
      </c>
      <c r="E4706">
        <v>13064.2</v>
      </c>
      <c r="F4706">
        <v>115.01</v>
      </c>
      <c r="G4706">
        <v>38.200000000000003</v>
      </c>
      <c r="H4706">
        <f>E4706*1000000/D4706</f>
        <v>910065.5301238643</v>
      </c>
      <c r="I4706" t="str">
        <f>IF(AND(B4706&gt;=2018, B4706&lt;=2021), "2018-2021", IF(AND(B4706&gt;=2022, B4706&lt;=2024), "2022-2024", "Other"))</f>
        <v>2018-2021</v>
      </c>
    </row>
    <row r="4707" spans="1:9" x14ac:dyDescent="0.3">
      <c r="A4707" t="s">
        <v>24</v>
      </c>
      <c r="B4707">
        <v>2022</v>
      </c>
      <c r="C4707" t="s">
        <v>2</v>
      </c>
      <c r="D4707">
        <v>4458.37</v>
      </c>
      <c r="E4707">
        <v>5320.8</v>
      </c>
      <c r="F4707">
        <v>107.31</v>
      </c>
      <c r="G4707">
        <v>887.89</v>
      </c>
      <c r="H4707">
        <f>E4707*1000000/D4707</f>
        <v>1193440.6520768802</v>
      </c>
      <c r="I4707" t="str">
        <f>IF(AND(B4707&gt;=2018, B4707&lt;=2021), "2018-2021", IF(AND(B4707&gt;=2022, B4707&lt;=2024), "2022-2024", "Other"))</f>
        <v>2022-2024</v>
      </c>
    </row>
    <row r="4708" spans="1:9" x14ac:dyDescent="0.3">
      <c r="A4708" t="s">
        <v>1</v>
      </c>
      <c r="B4708">
        <v>2021</v>
      </c>
      <c r="C4708" t="s">
        <v>4</v>
      </c>
      <c r="D4708">
        <v>36769.1</v>
      </c>
      <c r="E4708">
        <v>31633.83</v>
      </c>
      <c r="F4708">
        <v>170.35</v>
      </c>
      <c r="G4708">
        <v>159.41</v>
      </c>
      <c r="H4708">
        <f>E4708*1000000/D4708</f>
        <v>860337.34848010971</v>
      </c>
      <c r="I4708" t="str">
        <f>IF(AND(B4708&gt;=2018, B4708&lt;=2021), "2018-2021", IF(AND(B4708&gt;=2022, B4708&lt;=2024), "2022-2024", "Other"))</f>
        <v>2018-2021</v>
      </c>
    </row>
    <row r="4709" spans="1:9" x14ac:dyDescent="0.3">
      <c r="A4709" t="s">
        <v>20</v>
      </c>
      <c r="B4709">
        <v>2019</v>
      </c>
      <c r="C4709" t="s">
        <v>14</v>
      </c>
      <c r="D4709">
        <v>6464.98</v>
      </c>
      <c r="E4709">
        <v>6420.22</v>
      </c>
      <c r="F4709">
        <v>185.61</v>
      </c>
      <c r="G4709">
        <v>77.48</v>
      </c>
      <c r="H4709">
        <f>E4709*1000000/D4709</f>
        <v>993076.54470702156</v>
      </c>
      <c r="I4709" t="str">
        <f>IF(AND(B4709&gt;=2018, B4709&lt;=2021), "2018-2021", IF(AND(B4709&gt;=2022, B4709&lt;=2024), "2022-2024", "Other"))</f>
        <v>2018-2021</v>
      </c>
    </row>
    <row r="4710" spans="1:9" x14ac:dyDescent="0.3">
      <c r="A4710" t="s">
        <v>16</v>
      </c>
      <c r="B4710">
        <v>2022</v>
      </c>
      <c r="C4710" t="s">
        <v>2</v>
      </c>
      <c r="D4710">
        <v>12988.33</v>
      </c>
      <c r="E4710">
        <v>14462.26</v>
      </c>
      <c r="F4710">
        <v>179.56</v>
      </c>
      <c r="G4710">
        <v>722.51</v>
      </c>
      <c r="H4710">
        <f>E4710*1000000/D4710</f>
        <v>1113481.1018814582</v>
      </c>
      <c r="I4710" t="str">
        <f>IF(AND(B4710&gt;=2018, B4710&lt;=2021), "2018-2021", IF(AND(B4710&gt;=2022, B4710&lt;=2024), "2022-2024", "Other"))</f>
        <v>2022-2024</v>
      </c>
    </row>
    <row r="4711" spans="1:9" x14ac:dyDescent="0.3">
      <c r="A4711" t="s">
        <v>23</v>
      </c>
      <c r="B4711">
        <v>2024</v>
      </c>
      <c r="C4711" t="s">
        <v>9</v>
      </c>
      <c r="D4711">
        <v>49203.54</v>
      </c>
      <c r="E4711">
        <v>48789.55</v>
      </c>
      <c r="F4711">
        <v>157.65</v>
      </c>
      <c r="G4711">
        <v>770.05</v>
      </c>
      <c r="H4711">
        <f>E4711*1000000/D4711</f>
        <v>991586.17449069722</v>
      </c>
      <c r="I4711" t="str">
        <f>IF(AND(B4711&gt;=2018, B4711&lt;=2021), "2018-2021", IF(AND(B4711&gt;=2022, B4711&lt;=2024), "2022-2024", "Other"))</f>
        <v>2022-2024</v>
      </c>
    </row>
    <row r="4712" spans="1:9" x14ac:dyDescent="0.3">
      <c r="A4712" t="s">
        <v>27</v>
      </c>
      <c r="B4712">
        <v>2018</v>
      </c>
      <c r="C4712" t="s">
        <v>2</v>
      </c>
      <c r="D4712">
        <v>43998.58</v>
      </c>
      <c r="E4712">
        <v>48056.49</v>
      </c>
      <c r="F4712">
        <v>21.23</v>
      </c>
      <c r="G4712">
        <v>356.48</v>
      </c>
      <c r="H4712">
        <f>E4712*1000000/D4712</f>
        <v>1092228.203728393</v>
      </c>
      <c r="I4712" t="str">
        <f>IF(AND(B4712&gt;=2018, B4712&lt;=2021), "2018-2021", IF(AND(B4712&gt;=2022, B4712&lt;=2024), "2022-2024", "Other"))</f>
        <v>2018-2021</v>
      </c>
    </row>
    <row r="4713" spans="1:9" x14ac:dyDescent="0.3">
      <c r="A4713" t="s">
        <v>10</v>
      </c>
      <c r="B4713">
        <v>2022</v>
      </c>
      <c r="C4713" t="s">
        <v>14</v>
      </c>
      <c r="D4713">
        <v>33815.51</v>
      </c>
      <c r="E4713">
        <v>36419.480000000003</v>
      </c>
      <c r="F4713">
        <v>51.61</v>
      </c>
      <c r="G4713">
        <v>1276.8399999999999</v>
      </c>
      <c r="H4713">
        <f>E4713*1000000/D4713</f>
        <v>1077005.1967277736</v>
      </c>
      <c r="I4713" t="str">
        <f>IF(AND(B4713&gt;=2018, B4713&lt;=2021), "2018-2021", IF(AND(B4713&gt;=2022, B4713&lt;=2024), "2022-2024", "Other"))</f>
        <v>2022-2024</v>
      </c>
    </row>
    <row r="4714" spans="1:9" x14ac:dyDescent="0.3">
      <c r="A4714" t="s">
        <v>20</v>
      </c>
      <c r="B4714">
        <v>2021</v>
      </c>
      <c r="C4714" t="s">
        <v>2</v>
      </c>
      <c r="D4714">
        <v>9704.27</v>
      </c>
      <c r="E4714">
        <v>10030.84</v>
      </c>
      <c r="F4714">
        <v>48.19</v>
      </c>
      <c r="G4714">
        <v>223.5</v>
      </c>
      <c r="H4714">
        <f>E4714*1000000/D4714</f>
        <v>1033652.1964042633</v>
      </c>
      <c r="I4714" t="str">
        <f>IF(AND(B4714&gt;=2018, B4714&lt;=2021), "2018-2021", IF(AND(B4714&gt;=2022, B4714&lt;=2024), "2022-2024", "Other"))</f>
        <v>2018-2021</v>
      </c>
    </row>
    <row r="4715" spans="1:9" x14ac:dyDescent="0.3">
      <c r="A4715" t="s">
        <v>1</v>
      </c>
      <c r="B4715">
        <v>2020</v>
      </c>
      <c r="C4715" t="s">
        <v>4</v>
      </c>
      <c r="D4715">
        <v>49271.3</v>
      </c>
      <c r="E4715">
        <v>46555.07</v>
      </c>
      <c r="F4715">
        <v>105.22</v>
      </c>
      <c r="G4715">
        <v>944.57</v>
      </c>
      <c r="H4715">
        <f>E4715*1000000/D4715</f>
        <v>944871.96400338528</v>
      </c>
      <c r="I4715" t="str">
        <f>IF(AND(B4715&gt;=2018, B4715&lt;=2021), "2018-2021", IF(AND(B4715&gt;=2022, B4715&lt;=2024), "2022-2024", "Other"))</f>
        <v>2018-2021</v>
      </c>
    </row>
    <row r="4716" spans="1:9" x14ac:dyDescent="0.3">
      <c r="A4716" t="s">
        <v>17</v>
      </c>
      <c r="B4716">
        <v>2020</v>
      </c>
      <c r="C4716" t="s">
        <v>4</v>
      </c>
      <c r="D4716">
        <v>10437.43</v>
      </c>
      <c r="E4716">
        <v>8905.98</v>
      </c>
      <c r="F4716">
        <v>130.87</v>
      </c>
      <c r="G4716">
        <v>951.7</v>
      </c>
      <c r="H4716">
        <f>E4716*1000000/D4716</f>
        <v>853273.26746143447</v>
      </c>
      <c r="I4716" t="str">
        <f>IF(AND(B4716&gt;=2018, B4716&lt;=2021), "2018-2021", IF(AND(B4716&gt;=2022, B4716&lt;=2024), "2022-2024", "Other"))</f>
        <v>2018-2021</v>
      </c>
    </row>
    <row r="4717" spans="1:9" x14ac:dyDescent="0.3">
      <c r="A4717" t="s">
        <v>10</v>
      </c>
      <c r="B4717">
        <v>2021</v>
      </c>
      <c r="C4717" t="s">
        <v>6</v>
      </c>
      <c r="D4717">
        <v>34322.22</v>
      </c>
      <c r="E4717">
        <v>39582.089999999997</v>
      </c>
      <c r="F4717">
        <v>64.75</v>
      </c>
      <c r="G4717">
        <v>1254.55</v>
      </c>
      <c r="H4717">
        <f>E4717*1000000/D4717</f>
        <v>1153249.7023793915</v>
      </c>
      <c r="I4717" t="str">
        <f>IF(AND(B4717&gt;=2018, B4717&lt;=2021), "2018-2021", IF(AND(B4717&gt;=2022, B4717&lt;=2024), "2022-2024", "Other"))</f>
        <v>2018-2021</v>
      </c>
    </row>
    <row r="4718" spans="1:9" x14ac:dyDescent="0.3">
      <c r="A4718" t="s">
        <v>22</v>
      </c>
      <c r="B4718">
        <v>2023</v>
      </c>
      <c r="C4718" t="s">
        <v>6</v>
      </c>
      <c r="D4718">
        <v>16263.94</v>
      </c>
      <c r="E4718">
        <v>13066.74</v>
      </c>
      <c r="F4718">
        <v>146.13999999999999</v>
      </c>
      <c r="G4718">
        <v>532.67999999999995</v>
      </c>
      <c r="H4718">
        <f>E4718*1000000/D4718</f>
        <v>803417.86799508601</v>
      </c>
      <c r="I4718" t="str">
        <f>IF(AND(B4718&gt;=2018, B4718&lt;=2021), "2018-2021", IF(AND(B4718&gt;=2022, B4718&lt;=2024), "2022-2024", "Other"))</f>
        <v>2022-2024</v>
      </c>
    </row>
    <row r="4719" spans="1:9" x14ac:dyDescent="0.3">
      <c r="A4719" t="s">
        <v>24</v>
      </c>
      <c r="B4719">
        <v>2021</v>
      </c>
      <c r="C4719" t="s">
        <v>2</v>
      </c>
      <c r="D4719">
        <v>33599.83</v>
      </c>
      <c r="E4719">
        <v>39763.83</v>
      </c>
      <c r="F4719">
        <v>169.44</v>
      </c>
      <c r="G4719">
        <v>815.8</v>
      </c>
      <c r="H4719">
        <f>E4719*1000000/D4719</f>
        <v>1183453.3091387665</v>
      </c>
      <c r="I4719" t="str">
        <f>IF(AND(B4719&gt;=2018, B4719&lt;=2021), "2018-2021", IF(AND(B4719&gt;=2022, B4719&lt;=2024), "2022-2024", "Other"))</f>
        <v>2018-2021</v>
      </c>
    </row>
    <row r="4720" spans="1:9" x14ac:dyDescent="0.3">
      <c r="A4720" t="s">
        <v>19</v>
      </c>
      <c r="B4720">
        <v>2018</v>
      </c>
      <c r="C4720" t="s">
        <v>2</v>
      </c>
      <c r="D4720">
        <v>9308.2199999999993</v>
      </c>
      <c r="E4720">
        <v>7605.26</v>
      </c>
      <c r="F4720">
        <v>129.57</v>
      </c>
      <c r="G4720">
        <v>861.81</v>
      </c>
      <c r="H4720">
        <f>E4720*1000000/D4720</f>
        <v>817047.72770733829</v>
      </c>
      <c r="I4720" t="str">
        <f>IF(AND(B4720&gt;=2018, B4720&lt;=2021), "2018-2021", IF(AND(B4720&gt;=2022, B4720&lt;=2024), "2022-2024", "Other"))</f>
        <v>2018-2021</v>
      </c>
    </row>
    <row r="4721" spans="1:9" x14ac:dyDescent="0.3">
      <c r="A4721" t="s">
        <v>21</v>
      </c>
      <c r="B4721">
        <v>2020</v>
      </c>
      <c r="C4721" t="s">
        <v>14</v>
      </c>
      <c r="D4721">
        <v>47506.32</v>
      </c>
      <c r="E4721">
        <v>44077.62</v>
      </c>
      <c r="F4721">
        <v>174.74</v>
      </c>
      <c r="G4721">
        <v>1333.24</v>
      </c>
      <c r="H4721">
        <f>E4721*1000000/D4721</f>
        <v>927826.44498668809</v>
      </c>
      <c r="I4721" t="str">
        <f>IF(AND(B4721&gt;=2018, B4721&lt;=2021), "2018-2021", IF(AND(B4721&gt;=2022, B4721&lt;=2024), "2022-2024", "Other"))</f>
        <v>2018-2021</v>
      </c>
    </row>
    <row r="4722" spans="1:9" x14ac:dyDescent="0.3">
      <c r="A4722" t="s">
        <v>1</v>
      </c>
      <c r="B4722">
        <v>2019</v>
      </c>
      <c r="C4722" t="s">
        <v>2</v>
      </c>
      <c r="D4722">
        <v>15275.11</v>
      </c>
      <c r="E4722">
        <v>14852.28</v>
      </c>
      <c r="F4722">
        <v>47.19</v>
      </c>
      <c r="G4722">
        <v>332.57</v>
      </c>
      <c r="H4722">
        <f>E4722*1000000/D4722</f>
        <v>972319.0209432207</v>
      </c>
      <c r="I4722" t="str">
        <f>IF(AND(B4722&gt;=2018, B4722&lt;=2021), "2018-2021", IF(AND(B4722&gt;=2022, B4722&lt;=2024), "2022-2024", "Other"))</f>
        <v>2018-2021</v>
      </c>
    </row>
    <row r="4723" spans="1:9" x14ac:dyDescent="0.3">
      <c r="A4723" t="s">
        <v>27</v>
      </c>
      <c r="B4723">
        <v>2018</v>
      </c>
      <c r="C4723" t="s">
        <v>9</v>
      </c>
      <c r="D4723">
        <v>4339.55</v>
      </c>
      <c r="E4723">
        <v>3612.6</v>
      </c>
      <c r="F4723">
        <v>89.44</v>
      </c>
      <c r="G4723">
        <v>159.97</v>
      </c>
      <c r="H4723">
        <f>E4723*1000000/D4723</f>
        <v>832482.63068751362</v>
      </c>
      <c r="I4723" t="str">
        <f>IF(AND(B4723&gt;=2018, B4723&lt;=2021), "2018-2021", IF(AND(B4723&gt;=2022, B4723&lt;=2024), "2022-2024", "Other"))</f>
        <v>2018-2021</v>
      </c>
    </row>
    <row r="4724" spans="1:9" x14ac:dyDescent="0.3">
      <c r="A4724" t="s">
        <v>7</v>
      </c>
      <c r="B4724">
        <v>2018</v>
      </c>
      <c r="C4724" t="s">
        <v>2</v>
      </c>
      <c r="D4724">
        <v>46852.41</v>
      </c>
      <c r="E4724">
        <v>43412.14</v>
      </c>
      <c r="F4724">
        <v>175.62</v>
      </c>
      <c r="G4724">
        <v>1155.7</v>
      </c>
      <c r="H4724">
        <f>E4724*1000000/D4724</f>
        <v>926572.18700169306</v>
      </c>
      <c r="I4724" t="str">
        <f>IF(AND(B4724&gt;=2018, B4724&lt;=2021), "2018-2021", IF(AND(B4724&gt;=2022, B4724&lt;=2024), "2022-2024", "Other"))</f>
        <v>2018-2021</v>
      </c>
    </row>
    <row r="4725" spans="1:9" x14ac:dyDescent="0.3">
      <c r="A4725" t="s">
        <v>24</v>
      </c>
      <c r="B4725">
        <v>2020</v>
      </c>
      <c r="C4725" t="s">
        <v>14</v>
      </c>
      <c r="D4725">
        <v>6084.82</v>
      </c>
      <c r="E4725">
        <v>5954.67</v>
      </c>
      <c r="F4725">
        <v>130.44999999999999</v>
      </c>
      <c r="G4725">
        <v>756.39</v>
      </c>
      <c r="H4725">
        <f>E4725*1000000/D4725</f>
        <v>978610.70664374623</v>
      </c>
      <c r="I4725" t="str">
        <f>IF(AND(B4725&gt;=2018, B4725&lt;=2021), "2018-2021", IF(AND(B4725&gt;=2022, B4725&lt;=2024), "2022-2024", "Other"))</f>
        <v>2018-2021</v>
      </c>
    </row>
    <row r="4726" spans="1:9" x14ac:dyDescent="0.3">
      <c r="A4726" t="s">
        <v>23</v>
      </c>
      <c r="B4726">
        <v>2022</v>
      </c>
      <c r="C4726" t="s">
        <v>0</v>
      </c>
      <c r="D4726">
        <v>49863.6</v>
      </c>
      <c r="E4726">
        <v>48160.79</v>
      </c>
      <c r="F4726">
        <v>93.37</v>
      </c>
      <c r="G4726">
        <v>456.04</v>
      </c>
      <c r="H4726">
        <f>E4726*1000000/D4726</f>
        <v>965850.64054741338</v>
      </c>
      <c r="I4726" t="str">
        <f>IF(AND(B4726&gt;=2018, B4726&lt;=2021), "2018-2021", IF(AND(B4726&gt;=2022, B4726&lt;=2024), "2022-2024", "Other"))</f>
        <v>2022-2024</v>
      </c>
    </row>
    <row r="4727" spans="1:9" x14ac:dyDescent="0.3">
      <c r="A4727" t="s">
        <v>7</v>
      </c>
      <c r="B4727">
        <v>2021</v>
      </c>
      <c r="C4727" t="s">
        <v>2</v>
      </c>
      <c r="D4727">
        <v>16017.19</v>
      </c>
      <c r="E4727">
        <v>13035.14</v>
      </c>
      <c r="F4727">
        <v>148.56</v>
      </c>
      <c r="G4727">
        <v>212.57</v>
      </c>
      <c r="H4727">
        <f>E4727*1000000/D4727</f>
        <v>813821.90009608422</v>
      </c>
      <c r="I4727" t="str">
        <f>IF(AND(B4727&gt;=2018, B4727&lt;=2021), "2018-2021", IF(AND(B4727&gt;=2022, B4727&lt;=2024), "2022-2024", "Other"))</f>
        <v>2018-2021</v>
      </c>
    </row>
    <row r="4728" spans="1:9" x14ac:dyDescent="0.3">
      <c r="A4728" t="s">
        <v>5</v>
      </c>
      <c r="B4728">
        <v>2021</v>
      </c>
      <c r="C4728" t="s">
        <v>4</v>
      </c>
      <c r="D4728">
        <v>8211.7000000000007</v>
      </c>
      <c r="E4728">
        <v>8134.4</v>
      </c>
      <c r="F4728">
        <v>104.72</v>
      </c>
      <c r="G4728">
        <v>337.39</v>
      </c>
      <c r="H4728">
        <f>E4728*1000000/D4728</f>
        <v>990586.60204342578</v>
      </c>
      <c r="I4728" t="str">
        <f>IF(AND(B4728&gt;=2018, B4728&lt;=2021), "2018-2021", IF(AND(B4728&gt;=2022, B4728&lt;=2024), "2022-2024", "Other"))</f>
        <v>2018-2021</v>
      </c>
    </row>
    <row r="4729" spans="1:9" x14ac:dyDescent="0.3">
      <c r="A4729" t="s">
        <v>16</v>
      </c>
      <c r="B4729">
        <v>2018</v>
      </c>
      <c r="C4729" t="s">
        <v>4</v>
      </c>
      <c r="D4729">
        <v>29421.119999999999</v>
      </c>
      <c r="E4729">
        <v>31400.82</v>
      </c>
      <c r="F4729">
        <v>161.43</v>
      </c>
      <c r="G4729">
        <v>988.66</v>
      </c>
      <c r="H4729">
        <f>E4729*1000000/D4729</f>
        <v>1067288.3969067119</v>
      </c>
      <c r="I4729" t="str">
        <f>IF(AND(B4729&gt;=2018, B4729&lt;=2021), "2018-2021", IF(AND(B4729&gt;=2022, B4729&lt;=2024), "2022-2024", "Other"))</f>
        <v>2018-2021</v>
      </c>
    </row>
    <row r="4730" spans="1:9" x14ac:dyDescent="0.3">
      <c r="A4730" t="s">
        <v>3</v>
      </c>
      <c r="B4730">
        <v>2022</v>
      </c>
      <c r="C4730" t="s">
        <v>4</v>
      </c>
      <c r="D4730">
        <v>11494.16</v>
      </c>
      <c r="E4730">
        <v>9480.19</v>
      </c>
      <c r="F4730">
        <v>135.55000000000001</v>
      </c>
      <c r="G4730">
        <v>13.02</v>
      </c>
      <c r="H4730">
        <f>E4730*1000000/D4730</f>
        <v>824783.19424820959</v>
      </c>
      <c r="I4730" t="str">
        <f>IF(AND(B4730&gt;=2018, B4730&lt;=2021), "2018-2021", IF(AND(B4730&gt;=2022, B4730&lt;=2024), "2022-2024", "Other"))</f>
        <v>2022-2024</v>
      </c>
    </row>
    <row r="4731" spans="1:9" x14ac:dyDescent="0.3">
      <c r="A4731" t="s">
        <v>26</v>
      </c>
      <c r="B4731">
        <v>2019</v>
      </c>
      <c r="C4731" t="s">
        <v>12</v>
      </c>
      <c r="D4731">
        <v>24621.86</v>
      </c>
      <c r="E4731">
        <v>21888.82</v>
      </c>
      <c r="F4731">
        <v>193.12</v>
      </c>
      <c r="G4731">
        <v>1238.17</v>
      </c>
      <c r="H4731">
        <f>E4731*1000000/D4731</f>
        <v>888999.45008216274</v>
      </c>
      <c r="I4731" t="str">
        <f>IF(AND(B4731&gt;=2018, B4731&lt;=2021), "2018-2021", IF(AND(B4731&gt;=2022, B4731&lt;=2024), "2022-2024", "Other"))</f>
        <v>2018-2021</v>
      </c>
    </row>
    <row r="4732" spans="1:9" x14ac:dyDescent="0.3">
      <c r="A4732" t="s">
        <v>5</v>
      </c>
      <c r="B4732">
        <v>2022</v>
      </c>
      <c r="C4732" t="s">
        <v>6</v>
      </c>
      <c r="D4732">
        <v>39736.58</v>
      </c>
      <c r="E4732">
        <v>40836.99</v>
      </c>
      <c r="F4732">
        <v>181.15</v>
      </c>
      <c r="G4732">
        <v>260.3</v>
      </c>
      <c r="H4732">
        <f>E4732*1000000/D4732</f>
        <v>1027692.6197473462</v>
      </c>
      <c r="I4732" t="str">
        <f>IF(AND(B4732&gt;=2018, B4732&lt;=2021), "2018-2021", IF(AND(B4732&gt;=2022, B4732&lt;=2024), "2022-2024", "Other"))</f>
        <v>2022-2024</v>
      </c>
    </row>
    <row r="4733" spans="1:9" x14ac:dyDescent="0.3">
      <c r="A4733" t="s">
        <v>24</v>
      </c>
      <c r="B4733">
        <v>2018</v>
      </c>
      <c r="C4733" t="s">
        <v>2</v>
      </c>
      <c r="D4733">
        <v>19182.27</v>
      </c>
      <c r="E4733">
        <v>22488.25</v>
      </c>
      <c r="F4733">
        <v>164.99</v>
      </c>
      <c r="G4733">
        <v>618.47</v>
      </c>
      <c r="H4733">
        <f>E4733*1000000/D4733</f>
        <v>1172345.6087313963</v>
      </c>
      <c r="I4733" t="str">
        <f>IF(AND(B4733&gt;=2018, B4733&lt;=2021), "2018-2021", IF(AND(B4733&gt;=2022, B4733&lt;=2024), "2022-2024", "Other"))</f>
        <v>2018-2021</v>
      </c>
    </row>
    <row r="4734" spans="1:9" x14ac:dyDescent="0.3">
      <c r="A4734" t="s">
        <v>5</v>
      </c>
      <c r="B4734">
        <v>2023</v>
      </c>
      <c r="C4734" t="s">
        <v>6</v>
      </c>
      <c r="D4734">
        <v>24201.119999999999</v>
      </c>
      <c r="E4734">
        <v>25444.62</v>
      </c>
      <c r="F4734">
        <v>149.36000000000001</v>
      </c>
      <c r="G4734">
        <v>880.91</v>
      </c>
      <c r="H4734">
        <f>E4734*1000000/D4734</f>
        <v>1051381.9195144689</v>
      </c>
      <c r="I4734" t="str">
        <f>IF(AND(B4734&gt;=2018, B4734&lt;=2021), "2018-2021", IF(AND(B4734&gt;=2022, B4734&lt;=2024), "2022-2024", "Other"))</f>
        <v>2022-2024</v>
      </c>
    </row>
    <row r="4735" spans="1:9" x14ac:dyDescent="0.3">
      <c r="A4735" t="s">
        <v>3</v>
      </c>
      <c r="B4735">
        <v>2023</v>
      </c>
      <c r="C4735" t="s">
        <v>0</v>
      </c>
      <c r="D4735">
        <v>21391.07</v>
      </c>
      <c r="E4735">
        <v>21174.67</v>
      </c>
      <c r="F4735">
        <v>60.25</v>
      </c>
      <c r="G4735">
        <v>562</v>
      </c>
      <c r="H4735">
        <f>E4735*1000000/D4735</f>
        <v>989883.62900967558</v>
      </c>
      <c r="I4735" t="str">
        <f>IF(AND(B4735&gt;=2018, B4735&lt;=2021), "2018-2021", IF(AND(B4735&gt;=2022, B4735&lt;=2024), "2022-2024", "Other"))</f>
        <v>2022-2024</v>
      </c>
    </row>
    <row r="4736" spans="1:9" x14ac:dyDescent="0.3">
      <c r="A4736" t="s">
        <v>20</v>
      </c>
      <c r="B4736">
        <v>2018</v>
      </c>
      <c r="C4736" t="s">
        <v>6</v>
      </c>
      <c r="D4736">
        <v>32429.599999999999</v>
      </c>
      <c r="E4736">
        <v>27834.54</v>
      </c>
      <c r="F4736">
        <v>89.23</v>
      </c>
      <c r="G4736">
        <v>479.02</v>
      </c>
      <c r="H4736">
        <f>E4736*1000000/D4736</f>
        <v>858306.60877716658</v>
      </c>
      <c r="I4736" t="str">
        <f>IF(AND(B4736&gt;=2018, B4736&lt;=2021), "2018-2021", IF(AND(B4736&gt;=2022, B4736&lt;=2024), "2022-2024", "Other"))</f>
        <v>2018-2021</v>
      </c>
    </row>
    <row r="4737" spans="1:9" x14ac:dyDescent="0.3">
      <c r="A4737" t="s">
        <v>24</v>
      </c>
      <c r="B4737">
        <v>2021</v>
      </c>
      <c r="C4737" t="s">
        <v>0</v>
      </c>
      <c r="D4737">
        <v>34148.49</v>
      </c>
      <c r="E4737">
        <v>28571.97</v>
      </c>
      <c r="F4737">
        <v>115.08</v>
      </c>
      <c r="G4737">
        <v>1255.52</v>
      </c>
      <c r="H4737">
        <f>E4737*1000000/D4737</f>
        <v>836697.90377261199</v>
      </c>
      <c r="I4737" t="str">
        <f>IF(AND(B4737&gt;=2018, B4737&lt;=2021), "2018-2021", IF(AND(B4737&gt;=2022, B4737&lt;=2024), "2022-2024", "Other"))</f>
        <v>2018-2021</v>
      </c>
    </row>
    <row r="4738" spans="1:9" x14ac:dyDescent="0.3">
      <c r="A4738" t="s">
        <v>24</v>
      </c>
      <c r="B4738">
        <v>2019</v>
      </c>
      <c r="C4738" t="s">
        <v>6</v>
      </c>
      <c r="D4738">
        <v>40309.07</v>
      </c>
      <c r="E4738">
        <v>38890.379999999997</v>
      </c>
      <c r="F4738">
        <v>131.29</v>
      </c>
      <c r="G4738">
        <v>692.55</v>
      </c>
      <c r="H4738">
        <f>E4738*1000000/D4738</f>
        <v>964804.69532043289</v>
      </c>
      <c r="I4738" t="str">
        <f>IF(AND(B4738&gt;=2018, B4738&lt;=2021), "2018-2021", IF(AND(B4738&gt;=2022, B4738&lt;=2024), "2022-2024", "Other"))</f>
        <v>2018-2021</v>
      </c>
    </row>
    <row r="4739" spans="1:9" x14ac:dyDescent="0.3">
      <c r="A4739" t="s">
        <v>5</v>
      </c>
      <c r="B4739">
        <v>2021</v>
      </c>
      <c r="C4739" t="s">
        <v>4</v>
      </c>
      <c r="D4739">
        <v>23760.35</v>
      </c>
      <c r="E4739">
        <v>27916.65</v>
      </c>
      <c r="F4739">
        <v>53.93</v>
      </c>
      <c r="G4739">
        <v>1209.25</v>
      </c>
      <c r="H4739">
        <f>E4739*1000000/D4739</f>
        <v>1174925.8744084158</v>
      </c>
      <c r="I4739" t="str">
        <f>IF(AND(B4739&gt;=2018, B4739&lt;=2021), "2018-2021", IF(AND(B4739&gt;=2022, B4739&lt;=2024), "2022-2024", "Other"))</f>
        <v>2018-2021</v>
      </c>
    </row>
    <row r="4740" spans="1:9" x14ac:dyDescent="0.3">
      <c r="A4740" t="s">
        <v>23</v>
      </c>
      <c r="B4740">
        <v>2020</v>
      </c>
      <c r="C4740" t="s">
        <v>14</v>
      </c>
      <c r="D4740">
        <v>25155.81</v>
      </c>
      <c r="E4740">
        <v>23889.69</v>
      </c>
      <c r="F4740">
        <v>78.040000000000006</v>
      </c>
      <c r="G4740">
        <v>113.77</v>
      </c>
      <c r="H4740">
        <f>E4740*1000000/D4740</f>
        <v>949668.88364954258</v>
      </c>
      <c r="I4740" t="str">
        <f>IF(AND(B4740&gt;=2018, B4740&lt;=2021), "2018-2021", IF(AND(B4740&gt;=2022, B4740&lt;=2024), "2022-2024", "Other"))</f>
        <v>2018-2021</v>
      </c>
    </row>
    <row r="4741" spans="1:9" x14ac:dyDescent="0.3">
      <c r="A4741" t="s">
        <v>26</v>
      </c>
      <c r="B4741">
        <v>2021</v>
      </c>
      <c r="C4741" t="s">
        <v>9</v>
      </c>
      <c r="D4741">
        <v>12323.57</v>
      </c>
      <c r="E4741">
        <v>14126.47</v>
      </c>
      <c r="F4741">
        <v>55.61</v>
      </c>
      <c r="G4741">
        <v>517.26</v>
      </c>
      <c r="H4741">
        <f>E4741*1000000/D4741</f>
        <v>1146296.8928646487</v>
      </c>
      <c r="I4741" t="str">
        <f>IF(AND(B4741&gt;=2018, B4741&lt;=2021), "2018-2021", IF(AND(B4741&gt;=2022, B4741&lt;=2024), "2022-2024", "Other"))</f>
        <v>2018-2021</v>
      </c>
    </row>
    <row r="4742" spans="1:9" x14ac:dyDescent="0.3">
      <c r="A4742" t="s">
        <v>5</v>
      </c>
      <c r="B4742">
        <v>2019</v>
      </c>
      <c r="C4742" t="s">
        <v>2</v>
      </c>
      <c r="D4742">
        <v>23809.33</v>
      </c>
      <c r="E4742">
        <v>25022.87</v>
      </c>
      <c r="F4742">
        <v>62.32</v>
      </c>
      <c r="G4742">
        <v>1104.05</v>
      </c>
      <c r="H4742">
        <f>E4742*1000000/D4742</f>
        <v>1050969.0948884324</v>
      </c>
      <c r="I4742" t="str">
        <f>IF(AND(B4742&gt;=2018, B4742&lt;=2021), "2018-2021", IF(AND(B4742&gt;=2022, B4742&lt;=2024), "2022-2024", "Other"))</f>
        <v>2018-2021</v>
      </c>
    </row>
    <row r="4743" spans="1:9" x14ac:dyDescent="0.3">
      <c r="A4743" t="s">
        <v>11</v>
      </c>
      <c r="B4743">
        <v>2019</v>
      </c>
      <c r="C4743" t="s">
        <v>12</v>
      </c>
      <c r="D4743">
        <v>30648.13</v>
      </c>
      <c r="E4743">
        <v>29454.76</v>
      </c>
      <c r="F4743">
        <v>66.349999999999994</v>
      </c>
      <c r="G4743">
        <v>328.68</v>
      </c>
      <c r="H4743">
        <f>E4743*1000000/D4743</f>
        <v>961062.22467732942</v>
      </c>
      <c r="I4743" t="str">
        <f>IF(AND(B4743&gt;=2018, B4743&lt;=2021), "2018-2021", IF(AND(B4743&gt;=2022, B4743&lt;=2024), "2022-2024", "Other"))</f>
        <v>2018-2021</v>
      </c>
    </row>
    <row r="4744" spans="1:9" x14ac:dyDescent="0.3">
      <c r="A4744" t="s">
        <v>13</v>
      </c>
      <c r="B4744">
        <v>2020</v>
      </c>
      <c r="C4744" t="s">
        <v>6</v>
      </c>
      <c r="D4744">
        <v>36439.379999999997</v>
      </c>
      <c r="E4744">
        <v>43390.19</v>
      </c>
      <c r="F4744">
        <v>34.39</v>
      </c>
      <c r="G4744">
        <v>161.96</v>
      </c>
      <c r="H4744">
        <f>E4744*1000000/D4744</f>
        <v>1190749.9523866763</v>
      </c>
      <c r="I4744" t="str">
        <f>IF(AND(B4744&gt;=2018, B4744&lt;=2021), "2018-2021", IF(AND(B4744&gt;=2022, B4744&lt;=2024), "2022-2024", "Other"))</f>
        <v>2018-2021</v>
      </c>
    </row>
    <row r="4745" spans="1:9" x14ac:dyDescent="0.3">
      <c r="A4745" t="s">
        <v>11</v>
      </c>
      <c r="B4745">
        <v>2021</v>
      </c>
      <c r="C4745" t="s">
        <v>9</v>
      </c>
      <c r="D4745">
        <v>24879.69</v>
      </c>
      <c r="E4745">
        <v>21462.2</v>
      </c>
      <c r="F4745">
        <v>157.13999999999999</v>
      </c>
      <c r="G4745">
        <v>945.37</v>
      </c>
      <c r="H4745">
        <f>E4745*1000000/D4745</f>
        <v>862639.36568341486</v>
      </c>
      <c r="I4745" t="str">
        <f>IF(AND(B4745&gt;=2018, B4745&lt;=2021), "2018-2021", IF(AND(B4745&gt;=2022, B4745&lt;=2024), "2022-2024", "Other"))</f>
        <v>2018-2021</v>
      </c>
    </row>
    <row r="4746" spans="1:9" x14ac:dyDescent="0.3">
      <c r="A4746" t="s">
        <v>15</v>
      </c>
      <c r="B4746">
        <v>2019</v>
      </c>
      <c r="C4746" t="s">
        <v>2</v>
      </c>
      <c r="D4746">
        <v>2899.9</v>
      </c>
      <c r="E4746">
        <v>3054.29</v>
      </c>
      <c r="F4746">
        <v>191.88</v>
      </c>
      <c r="G4746">
        <v>285.33999999999997</v>
      </c>
      <c r="H4746">
        <f>E4746*1000000/D4746</f>
        <v>1053239.7668885135</v>
      </c>
      <c r="I4746" t="str">
        <f>IF(AND(B4746&gt;=2018, B4746&lt;=2021), "2018-2021", IF(AND(B4746&gt;=2022, B4746&lt;=2024), "2022-2024", "Other"))</f>
        <v>2018-2021</v>
      </c>
    </row>
    <row r="4747" spans="1:9" x14ac:dyDescent="0.3">
      <c r="A4747" t="s">
        <v>3</v>
      </c>
      <c r="B4747">
        <v>2024</v>
      </c>
      <c r="C4747" t="s">
        <v>0</v>
      </c>
      <c r="D4747">
        <v>15025.78</v>
      </c>
      <c r="E4747">
        <v>15189.24</v>
      </c>
      <c r="F4747">
        <v>133.36000000000001</v>
      </c>
      <c r="G4747">
        <v>598</v>
      </c>
      <c r="H4747">
        <f>E4747*1000000/D4747</f>
        <v>1010878.6365832589</v>
      </c>
      <c r="I4747" t="str">
        <f>IF(AND(B4747&gt;=2018, B4747&lt;=2021), "2018-2021", IF(AND(B4747&gt;=2022, B4747&lt;=2024), "2022-2024", "Other"))</f>
        <v>2022-2024</v>
      </c>
    </row>
    <row r="4748" spans="1:9" x14ac:dyDescent="0.3">
      <c r="A4748" t="s">
        <v>25</v>
      </c>
      <c r="B4748">
        <v>2018</v>
      </c>
      <c r="C4748" t="s">
        <v>12</v>
      </c>
      <c r="D4748">
        <v>28866.29</v>
      </c>
      <c r="E4748">
        <v>32462.83</v>
      </c>
      <c r="F4748">
        <v>92.86</v>
      </c>
      <c r="G4748">
        <v>444.1</v>
      </c>
      <c r="H4748">
        <f>E4748*1000000/D4748</f>
        <v>1124593.0807180279</v>
      </c>
      <c r="I4748" t="str">
        <f>IF(AND(B4748&gt;=2018, B4748&lt;=2021), "2018-2021", IF(AND(B4748&gt;=2022, B4748&lt;=2024), "2022-2024", "Other"))</f>
        <v>2018-2021</v>
      </c>
    </row>
    <row r="4749" spans="1:9" x14ac:dyDescent="0.3">
      <c r="A4749" t="s">
        <v>26</v>
      </c>
      <c r="B4749">
        <v>2022</v>
      </c>
      <c r="C4749" t="s">
        <v>4</v>
      </c>
      <c r="D4749">
        <v>36615.480000000003</v>
      </c>
      <c r="E4749">
        <v>30051.68</v>
      </c>
      <c r="F4749">
        <v>183.7</v>
      </c>
      <c r="G4749">
        <v>714.62</v>
      </c>
      <c r="H4749">
        <f>E4749*1000000/D4749</f>
        <v>820737.0216094394</v>
      </c>
      <c r="I4749" t="str">
        <f>IF(AND(B4749&gt;=2018, B4749&lt;=2021), "2018-2021", IF(AND(B4749&gt;=2022, B4749&lt;=2024), "2022-2024", "Other"))</f>
        <v>2022-2024</v>
      </c>
    </row>
    <row r="4750" spans="1:9" x14ac:dyDescent="0.3">
      <c r="A4750" t="s">
        <v>15</v>
      </c>
      <c r="B4750">
        <v>2020</v>
      </c>
      <c r="C4750" t="s">
        <v>9</v>
      </c>
      <c r="D4750">
        <v>7438.05</v>
      </c>
      <c r="E4750">
        <v>8013.88</v>
      </c>
      <c r="F4750">
        <v>132.9</v>
      </c>
      <c r="G4750">
        <v>639.86</v>
      </c>
      <c r="H4750">
        <f>E4750*1000000/D4750</f>
        <v>1077416.7960688621</v>
      </c>
      <c r="I4750" t="str">
        <f>IF(AND(B4750&gt;=2018, B4750&lt;=2021), "2018-2021", IF(AND(B4750&gt;=2022, B4750&lt;=2024), "2022-2024", "Other"))</f>
        <v>2018-2021</v>
      </c>
    </row>
    <row r="4751" spans="1:9" x14ac:dyDescent="0.3">
      <c r="A4751" t="s">
        <v>11</v>
      </c>
      <c r="B4751">
        <v>2021</v>
      </c>
      <c r="C4751" t="s">
        <v>8</v>
      </c>
      <c r="D4751">
        <v>39808.6</v>
      </c>
      <c r="E4751">
        <v>42700.81</v>
      </c>
      <c r="F4751">
        <v>71.680000000000007</v>
      </c>
      <c r="G4751">
        <v>1161.99</v>
      </c>
      <c r="H4751">
        <f>E4751*1000000/D4751</f>
        <v>1072652.8940982602</v>
      </c>
      <c r="I4751" t="str">
        <f>IF(AND(B4751&gt;=2018, B4751&lt;=2021), "2018-2021", IF(AND(B4751&gt;=2022, B4751&lt;=2024), "2022-2024", "Other"))</f>
        <v>2018-2021</v>
      </c>
    </row>
    <row r="4752" spans="1:9" x14ac:dyDescent="0.3">
      <c r="A4752" t="s">
        <v>3</v>
      </c>
      <c r="B4752">
        <v>2021</v>
      </c>
      <c r="C4752" t="s">
        <v>4</v>
      </c>
      <c r="D4752">
        <v>16549.79</v>
      </c>
      <c r="E4752">
        <v>15387.42</v>
      </c>
      <c r="F4752">
        <v>163.89</v>
      </c>
      <c r="G4752">
        <v>256.51</v>
      </c>
      <c r="H4752">
        <f>E4752*1000000/D4752</f>
        <v>929765.27194604883</v>
      </c>
      <c r="I4752" t="str">
        <f>IF(AND(B4752&gt;=2018, B4752&lt;=2021), "2018-2021", IF(AND(B4752&gt;=2022, B4752&lt;=2024), "2022-2024", "Other"))</f>
        <v>2018-2021</v>
      </c>
    </row>
    <row r="4753" spans="1:9" x14ac:dyDescent="0.3">
      <c r="A4753" t="s">
        <v>13</v>
      </c>
      <c r="B4753">
        <v>2021</v>
      </c>
      <c r="C4753" t="s">
        <v>4</v>
      </c>
      <c r="D4753">
        <v>17589.93</v>
      </c>
      <c r="E4753">
        <v>17704.919999999998</v>
      </c>
      <c r="F4753">
        <v>55.11</v>
      </c>
      <c r="G4753">
        <v>730.32</v>
      </c>
      <c r="H4753">
        <f>E4753*1000000/D4753</f>
        <v>1006537.2630817746</v>
      </c>
      <c r="I4753" t="str">
        <f>IF(AND(B4753&gt;=2018, B4753&lt;=2021), "2018-2021", IF(AND(B4753&gt;=2022, B4753&lt;=2024), "2022-2024", "Other"))</f>
        <v>2018-2021</v>
      </c>
    </row>
    <row r="4754" spans="1:9" x14ac:dyDescent="0.3">
      <c r="A4754" t="s">
        <v>18</v>
      </c>
      <c r="B4754">
        <v>2018</v>
      </c>
      <c r="C4754" t="s">
        <v>2</v>
      </c>
      <c r="D4754">
        <v>31678.47</v>
      </c>
      <c r="E4754">
        <v>28501.17</v>
      </c>
      <c r="F4754">
        <v>64.69</v>
      </c>
      <c r="G4754">
        <v>188.34</v>
      </c>
      <c r="H4754">
        <f>E4754*1000000/D4754</f>
        <v>899701.59543690085</v>
      </c>
      <c r="I4754" t="str">
        <f>IF(AND(B4754&gt;=2018, B4754&lt;=2021), "2018-2021", IF(AND(B4754&gt;=2022, B4754&lt;=2024), "2022-2024", "Other"))</f>
        <v>2018-2021</v>
      </c>
    </row>
    <row r="4755" spans="1:9" x14ac:dyDescent="0.3">
      <c r="A4755" t="s">
        <v>20</v>
      </c>
      <c r="B4755">
        <v>2020</v>
      </c>
      <c r="C4755" t="s">
        <v>4</v>
      </c>
      <c r="D4755">
        <v>43728.47</v>
      </c>
      <c r="E4755">
        <v>35376.28</v>
      </c>
      <c r="F4755">
        <v>121.68</v>
      </c>
      <c r="G4755">
        <v>1072.19</v>
      </c>
      <c r="H4755">
        <f>E4755*1000000/D4755</f>
        <v>808998.80558363919</v>
      </c>
      <c r="I4755" t="str">
        <f>IF(AND(B4755&gt;=2018, B4755&lt;=2021), "2018-2021", IF(AND(B4755&gt;=2022, B4755&lt;=2024), "2022-2024", "Other"))</f>
        <v>2018-2021</v>
      </c>
    </row>
    <row r="4756" spans="1:9" x14ac:dyDescent="0.3">
      <c r="A4756" t="s">
        <v>27</v>
      </c>
      <c r="B4756">
        <v>2018</v>
      </c>
      <c r="C4756" t="s">
        <v>8</v>
      </c>
      <c r="D4756">
        <v>16309.66</v>
      </c>
      <c r="E4756">
        <v>14734.12</v>
      </c>
      <c r="F4756">
        <v>117.67</v>
      </c>
      <c r="G4756">
        <v>1290.51</v>
      </c>
      <c r="H4756">
        <f>E4756*1000000/D4756</f>
        <v>903398.35410425474</v>
      </c>
      <c r="I4756" t="str">
        <f>IF(AND(B4756&gt;=2018, B4756&lt;=2021), "2018-2021", IF(AND(B4756&gt;=2022, B4756&lt;=2024), "2022-2024", "Other"))</f>
        <v>2018-2021</v>
      </c>
    </row>
    <row r="4757" spans="1:9" x14ac:dyDescent="0.3">
      <c r="A4757" t="s">
        <v>5</v>
      </c>
      <c r="B4757">
        <v>2018</v>
      </c>
      <c r="C4757" t="s">
        <v>12</v>
      </c>
      <c r="D4757">
        <v>41045.65</v>
      </c>
      <c r="E4757">
        <v>48366.27</v>
      </c>
      <c r="F4757">
        <v>146.44999999999999</v>
      </c>
      <c r="G4757">
        <v>391.78</v>
      </c>
      <c r="H4757">
        <f>E4757*1000000/D4757</f>
        <v>1178353.1263361648</v>
      </c>
      <c r="I4757" t="str">
        <f>IF(AND(B4757&gt;=2018, B4757&lt;=2021), "2018-2021", IF(AND(B4757&gt;=2022, B4757&lt;=2024), "2022-2024", "Other"))</f>
        <v>2018-2021</v>
      </c>
    </row>
    <row r="4758" spans="1:9" x14ac:dyDescent="0.3">
      <c r="A4758" t="s">
        <v>11</v>
      </c>
      <c r="B4758">
        <v>2018</v>
      </c>
      <c r="C4758" t="s">
        <v>8</v>
      </c>
      <c r="D4758">
        <v>41093.25</v>
      </c>
      <c r="E4758">
        <v>38246.33</v>
      </c>
      <c r="F4758">
        <v>62.06</v>
      </c>
      <c r="G4758">
        <v>1100.52</v>
      </c>
      <c r="H4758">
        <f>E4758*1000000/D4758</f>
        <v>930720.49545849988</v>
      </c>
      <c r="I4758" t="str">
        <f>IF(AND(B4758&gt;=2018, B4758&lt;=2021), "2018-2021", IF(AND(B4758&gt;=2022, B4758&lt;=2024), "2022-2024", "Other"))</f>
        <v>2018-2021</v>
      </c>
    </row>
    <row r="4759" spans="1:9" x14ac:dyDescent="0.3">
      <c r="A4759" t="s">
        <v>11</v>
      </c>
      <c r="B4759">
        <v>2024</v>
      </c>
      <c r="C4759" t="s">
        <v>6</v>
      </c>
      <c r="D4759">
        <v>1272.94</v>
      </c>
      <c r="E4759">
        <v>1162.1500000000001</v>
      </c>
      <c r="F4759">
        <v>46.61</v>
      </c>
      <c r="G4759">
        <v>474.04</v>
      </c>
      <c r="H4759">
        <f>E4759*1000000/D4759</f>
        <v>912965.26152057434</v>
      </c>
      <c r="I4759" t="str">
        <f>IF(AND(B4759&gt;=2018, B4759&lt;=2021), "2018-2021", IF(AND(B4759&gt;=2022, B4759&lt;=2024), "2022-2024", "Other"))</f>
        <v>2022-2024</v>
      </c>
    </row>
    <row r="4760" spans="1:9" x14ac:dyDescent="0.3">
      <c r="A4760" t="s">
        <v>18</v>
      </c>
      <c r="B4760">
        <v>2024</v>
      </c>
      <c r="C4760" t="s">
        <v>8</v>
      </c>
      <c r="D4760">
        <v>45457.1</v>
      </c>
      <c r="E4760">
        <v>53715.15</v>
      </c>
      <c r="F4760">
        <v>83.69</v>
      </c>
      <c r="G4760">
        <v>1103.5899999999999</v>
      </c>
      <c r="H4760">
        <f>E4760*1000000/D4760</f>
        <v>1181666.8903207639</v>
      </c>
      <c r="I4760" t="str">
        <f>IF(AND(B4760&gt;=2018, B4760&lt;=2021), "2018-2021", IF(AND(B4760&gt;=2022, B4760&lt;=2024), "2022-2024", "Other"))</f>
        <v>2022-2024</v>
      </c>
    </row>
    <row r="4761" spans="1:9" x14ac:dyDescent="0.3">
      <c r="A4761" t="s">
        <v>5</v>
      </c>
      <c r="B4761">
        <v>2021</v>
      </c>
      <c r="C4761" t="s">
        <v>12</v>
      </c>
      <c r="D4761">
        <v>36219.97</v>
      </c>
      <c r="E4761">
        <v>29468.1</v>
      </c>
      <c r="F4761">
        <v>110.18</v>
      </c>
      <c r="G4761">
        <v>567.52</v>
      </c>
      <c r="H4761">
        <f>E4761*1000000/D4761</f>
        <v>813587.09021570138</v>
      </c>
      <c r="I4761" t="str">
        <f>IF(AND(B4761&gt;=2018, B4761&lt;=2021), "2018-2021", IF(AND(B4761&gt;=2022, B4761&lt;=2024), "2022-2024", "Other"))</f>
        <v>2018-2021</v>
      </c>
    </row>
    <row r="4762" spans="1:9" x14ac:dyDescent="0.3">
      <c r="A4762" t="s">
        <v>19</v>
      </c>
      <c r="B4762">
        <v>2022</v>
      </c>
      <c r="C4762" t="s">
        <v>9</v>
      </c>
      <c r="D4762">
        <v>16907.04</v>
      </c>
      <c r="E4762">
        <v>16406.2</v>
      </c>
      <c r="F4762">
        <v>28.41</v>
      </c>
      <c r="G4762">
        <v>276.76</v>
      </c>
      <c r="H4762">
        <f>E4762*1000000/D4762</f>
        <v>970376.83710454335</v>
      </c>
      <c r="I4762" t="str">
        <f>IF(AND(B4762&gt;=2018, B4762&lt;=2021), "2018-2021", IF(AND(B4762&gt;=2022, B4762&lt;=2024), "2022-2024", "Other"))</f>
        <v>2022-2024</v>
      </c>
    </row>
    <row r="4763" spans="1:9" x14ac:dyDescent="0.3">
      <c r="A4763" t="s">
        <v>1</v>
      </c>
      <c r="B4763">
        <v>2024</v>
      </c>
      <c r="C4763" t="s">
        <v>8</v>
      </c>
      <c r="D4763">
        <v>8544.6200000000008</v>
      </c>
      <c r="E4763">
        <v>9823.34</v>
      </c>
      <c r="F4763">
        <v>77.69</v>
      </c>
      <c r="G4763">
        <v>523.41</v>
      </c>
      <c r="H4763">
        <f>E4763*1000000/D4763</f>
        <v>1149652.0617651809</v>
      </c>
      <c r="I4763" t="str">
        <f>IF(AND(B4763&gt;=2018, B4763&lt;=2021), "2018-2021", IF(AND(B4763&gt;=2022, B4763&lt;=2024), "2022-2024", "Other"))</f>
        <v>2022-2024</v>
      </c>
    </row>
    <row r="4764" spans="1:9" x14ac:dyDescent="0.3">
      <c r="A4764" t="s">
        <v>13</v>
      </c>
      <c r="B4764">
        <v>2022</v>
      </c>
      <c r="C4764" t="s">
        <v>2</v>
      </c>
      <c r="D4764">
        <v>7656.09</v>
      </c>
      <c r="E4764">
        <v>8767.08</v>
      </c>
      <c r="F4764">
        <v>116.73</v>
      </c>
      <c r="G4764">
        <v>668.48</v>
      </c>
      <c r="H4764">
        <f>E4764*1000000/D4764</f>
        <v>1145111.9305023844</v>
      </c>
      <c r="I4764" t="str">
        <f>IF(AND(B4764&gt;=2018, B4764&lt;=2021), "2018-2021", IF(AND(B4764&gt;=2022, B4764&lt;=2024), "2022-2024", "Other"))</f>
        <v>2022-2024</v>
      </c>
    </row>
    <row r="4765" spans="1:9" x14ac:dyDescent="0.3">
      <c r="A4765" t="s">
        <v>10</v>
      </c>
      <c r="B4765">
        <v>2022</v>
      </c>
      <c r="C4765" t="s">
        <v>9</v>
      </c>
      <c r="D4765">
        <v>1056.3599999999999</v>
      </c>
      <c r="E4765">
        <v>1092.6199999999999</v>
      </c>
      <c r="F4765">
        <v>36.17</v>
      </c>
      <c r="G4765">
        <v>863.52</v>
      </c>
      <c r="H4765">
        <f>E4765*1000000/D4765</f>
        <v>1034325.4193646107</v>
      </c>
      <c r="I4765" t="str">
        <f>IF(AND(B4765&gt;=2018, B4765&lt;=2021), "2018-2021", IF(AND(B4765&gt;=2022, B4765&lt;=2024), "2022-2024", "Other"))</f>
        <v>2022-2024</v>
      </c>
    </row>
    <row r="4766" spans="1:9" x14ac:dyDescent="0.3">
      <c r="A4766" t="s">
        <v>15</v>
      </c>
      <c r="B4766">
        <v>2021</v>
      </c>
      <c r="C4766" t="s">
        <v>9</v>
      </c>
      <c r="D4766">
        <v>22461.34</v>
      </c>
      <c r="E4766">
        <v>21525.279999999999</v>
      </c>
      <c r="F4766">
        <v>124.92</v>
      </c>
      <c r="G4766">
        <v>302.63</v>
      </c>
      <c r="H4766">
        <f>E4766*1000000/D4766</f>
        <v>958325.72767252533</v>
      </c>
      <c r="I4766" t="str">
        <f>IF(AND(B4766&gt;=2018, B4766&lt;=2021), "2018-2021", IF(AND(B4766&gt;=2022, B4766&lt;=2024), "2022-2024", "Other"))</f>
        <v>2018-2021</v>
      </c>
    </row>
    <row r="4767" spans="1:9" x14ac:dyDescent="0.3">
      <c r="A4767" t="s">
        <v>16</v>
      </c>
      <c r="B4767">
        <v>2019</v>
      </c>
      <c r="C4767" t="s">
        <v>6</v>
      </c>
      <c r="D4767">
        <v>25304.57</v>
      </c>
      <c r="E4767">
        <v>24182.49</v>
      </c>
      <c r="F4767">
        <v>197.73</v>
      </c>
      <c r="G4767">
        <v>841.73</v>
      </c>
      <c r="H4767">
        <f>E4767*1000000/D4767</f>
        <v>955657.02163680317</v>
      </c>
      <c r="I4767" t="str">
        <f>IF(AND(B4767&gt;=2018, B4767&lt;=2021), "2018-2021", IF(AND(B4767&gt;=2022, B4767&lt;=2024), "2022-2024", "Other"))</f>
        <v>2018-2021</v>
      </c>
    </row>
    <row r="4768" spans="1:9" x14ac:dyDescent="0.3">
      <c r="A4768" t="s">
        <v>23</v>
      </c>
      <c r="B4768">
        <v>2019</v>
      </c>
      <c r="C4768" t="s">
        <v>12</v>
      </c>
      <c r="D4768">
        <v>47590.1</v>
      </c>
      <c r="E4768">
        <v>51766.67</v>
      </c>
      <c r="F4768">
        <v>173.17</v>
      </c>
      <c r="G4768">
        <v>730.17</v>
      </c>
      <c r="H4768">
        <f>E4768*1000000/D4768</f>
        <v>1087761.3201064928</v>
      </c>
      <c r="I4768" t="str">
        <f>IF(AND(B4768&gt;=2018, B4768&lt;=2021), "2018-2021", IF(AND(B4768&gt;=2022, B4768&lt;=2024), "2022-2024", "Other"))</f>
        <v>2018-2021</v>
      </c>
    </row>
    <row r="4769" spans="1:9" x14ac:dyDescent="0.3">
      <c r="A4769" t="s">
        <v>15</v>
      </c>
      <c r="B4769">
        <v>2021</v>
      </c>
      <c r="C4769" t="s">
        <v>4</v>
      </c>
      <c r="D4769">
        <v>1580</v>
      </c>
      <c r="E4769">
        <v>1370.7</v>
      </c>
      <c r="F4769">
        <v>42.5</v>
      </c>
      <c r="G4769">
        <v>797.76</v>
      </c>
      <c r="H4769">
        <f>E4769*1000000/D4769</f>
        <v>867531.6455696203</v>
      </c>
      <c r="I4769" t="str">
        <f>IF(AND(B4769&gt;=2018, B4769&lt;=2021), "2018-2021", IF(AND(B4769&gt;=2022, B4769&lt;=2024), "2022-2024", "Other"))</f>
        <v>2018-2021</v>
      </c>
    </row>
    <row r="4770" spans="1:9" x14ac:dyDescent="0.3">
      <c r="A4770" t="s">
        <v>20</v>
      </c>
      <c r="B4770">
        <v>2024</v>
      </c>
      <c r="C4770" t="s">
        <v>2</v>
      </c>
      <c r="D4770">
        <v>8603.66</v>
      </c>
      <c r="E4770">
        <v>9492.0499999999993</v>
      </c>
      <c r="F4770">
        <v>180.94</v>
      </c>
      <c r="G4770">
        <v>844.33</v>
      </c>
      <c r="H4770">
        <f>E4770*1000000/D4770</f>
        <v>1103257.2184395944</v>
      </c>
      <c r="I4770" t="str">
        <f>IF(AND(B4770&gt;=2018, B4770&lt;=2021), "2018-2021", IF(AND(B4770&gt;=2022, B4770&lt;=2024), "2022-2024", "Other"))</f>
        <v>2022-2024</v>
      </c>
    </row>
    <row r="4771" spans="1:9" x14ac:dyDescent="0.3">
      <c r="A4771" t="s">
        <v>1</v>
      </c>
      <c r="B4771">
        <v>2020</v>
      </c>
      <c r="C4771" t="s">
        <v>2</v>
      </c>
      <c r="D4771">
        <v>6545</v>
      </c>
      <c r="E4771">
        <v>5540.07</v>
      </c>
      <c r="F4771">
        <v>68.25</v>
      </c>
      <c r="G4771">
        <v>815.51</v>
      </c>
      <c r="H4771">
        <f>E4771*1000000/D4771</f>
        <v>846458.36516424757</v>
      </c>
      <c r="I4771" t="str">
        <f>IF(AND(B4771&gt;=2018, B4771&lt;=2021), "2018-2021", IF(AND(B4771&gt;=2022, B4771&lt;=2024), "2022-2024", "Other"))</f>
        <v>2018-2021</v>
      </c>
    </row>
    <row r="4772" spans="1:9" x14ac:dyDescent="0.3">
      <c r="A4772" t="s">
        <v>24</v>
      </c>
      <c r="B4772">
        <v>2019</v>
      </c>
      <c r="C4772" t="s">
        <v>6</v>
      </c>
      <c r="D4772">
        <v>3919.77</v>
      </c>
      <c r="E4772">
        <v>4562.9799999999996</v>
      </c>
      <c r="F4772">
        <v>34.299999999999997</v>
      </c>
      <c r="G4772">
        <v>178.46</v>
      </c>
      <c r="H4772">
        <f>E4772*1000000/D4772</f>
        <v>1164093.8116267025</v>
      </c>
      <c r="I4772" t="str">
        <f>IF(AND(B4772&gt;=2018, B4772&lt;=2021), "2018-2021", IF(AND(B4772&gt;=2022, B4772&lt;=2024), "2022-2024", "Other"))</f>
        <v>2018-2021</v>
      </c>
    </row>
    <row r="4773" spans="1:9" x14ac:dyDescent="0.3">
      <c r="A4773" t="s">
        <v>26</v>
      </c>
      <c r="B4773">
        <v>2021</v>
      </c>
      <c r="C4773" t="s">
        <v>2</v>
      </c>
      <c r="D4773">
        <v>1042.95</v>
      </c>
      <c r="E4773">
        <v>1207.9000000000001</v>
      </c>
      <c r="F4773">
        <v>57.72</v>
      </c>
      <c r="G4773">
        <v>314.14</v>
      </c>
      <c r="H4773">
        <f>E4773*1000000/D4773</f>
        <v>1158157.1503907186</v>
      </c>
      <c r="I4773" t="str">
        <f>IF(AND(B4773&gt;=2018, B4773&lt;=2021), "2018-2021", IF(AND(B4773&gt;=2022, B4773&lt;=2024), "2022-2024", "Other"))</f>
        <v>2018-2021</v>
      </c>
    </row>
    <row r="4774" spans="1:9" x14ac:dyDescent="0.3">
      <c r="A4774" t="s">
        <v>18</v>
      </c>
      <c r="B4774">
        <v>2023</v>
      </c>
      <c r="C4774" t="s">
        <v>14</v>
      </c>
      <c r="D4774">
        <v>33238.1</v>
      </c>
      <c r="E4774">
        <v>39785.69</v>
      </c>
      <c r="F4774">
        <v>95.99</v>
      </c>
      <c r="G4774">
        <v>628.71</v>
      </c>
      <c r="H4774">
        <f>E4774*1000000/D4774</f>
        <v>1196990.5018638249</v>
      </c>
      <c r="I4774" t="str">
        <f>IF(AND(B4774&gt;=2018, B4774&lt;=2021), "2018-2021", IF(AND(B4774&gt;=2022, B4774&lt;=2024), "2022-2024", "Other"))</f>
        <v>2022-2024</v>
      </c>
    </row>
    <row r="4775" spans="1:9" x14ac:dyDescent="0.3">
      <c r="A4775" t="s">
        <v>25</v>
      </c>
      <c r="B4775">
        <v>2024</v>
      </c>
      <c r="C4775" t="s">
        <v>4</v>
      </c>
      <c r="D4775">
        <v>1018.55</v>
      </c>
      <c r="E4775">
        <v>1113.3900000000001</v>
      </c>
      <c r="F4775">
        <v>80.91</v>
      </c>
      <c r="G4775">
        <v>629.54</v>
      </c>
      <c r="H4775">
        <f>E4775*1000000/D4775</f>
        <v>1093112.7583329242</v>
      </c>
      <c r="I4775" t="str">
        <f>IF(AND(B4775&gt;=2018, B4775&lt;=2021), "2018-2021", IF(AND(B4775&gt;=2022, B4775&lt;=2024), "2022-2024", "Other"))</f>
        <v>2022-2024</v>
      </c>
    </row>
    <row r="4776" spans="1:9" x14ac:dyDescent="0.3">
      <c r="A4776" t="s">
        <v>11</v>
      </c>
      <c r="B4776">
        <v>2022</v>
      </c>
      <c r="C4776" t="s">
        <v>6</v>
      </c>
      <c r="D4776">
        <v>6861.18</v>
      </c>
      <c r="E4776">
        <v>6515.67</v>
      </c>
      <c r="F4776">
        <v>177.28</v>
      </c>
      <c r="G4776">
        <v>992.66</v>
      </c>
      <c r="H4776">
        <f>E4776*1000000/D4776</f>
        <v>949642.77281750366</v>
      </c>
      <c r="I4776" t="str">
        <f>IF(AND(B4776&gt;=2018, B4776&lt;=2021), "2018-2021", IF(AND(B4776&gt;=2022, B4776&lt;=2024), "2022-2024", "Other"))</f>
        <v>2022-2024</v>
      </c>
    </row>
    <row r="4777" spans="1:9" x14ac:dyDescent="0.3">
      <c r="A4777" t="s">
        <v>22</v>
      </c>
      <c r="B4777">
        <v>2018</v>
      </c>
      <c r="C4777" t="s">
        <v>6</v>
      </c>
      <c r="D4777">
        <v>14551.06</v>
      </c>
      <c r="E4777">
        <v>12081.08</v>
      </c>
      <c r="F4777">
        <v>107.7</v>
      </c>
      <c r="G4777">
        <v>738.52</v>
      </c>
      <c r="H4777">
        <f>E4777*1000000/D4777</f>
        <v>830254.29075270123</v>
      </c>
      <c r="I4777" t="str">
        <f>IF(AND(B4777&gt;=2018, B4777&lt;=2021), "2018-2021", IF(AND(B4777&gt;=2022, B4777&lt;=2024), "2022-2024", "Other"))</f>
        <v>2018-2021</v>
      </c>
    </row>
    <row r="4778" spans="1:9" x14ac:dyDescent="0.3">
      <c r="A4778" t="s">
        <v>17</v>
      </c>
      <c r="B4778">
        <v>2023</v>
      </c>
      <c r="C4778" t="s">
        <v>6</v>
      </c>
      <c r="D4778">
        <v>41492.82</v>
      </c>
      <c r="E4778">
        <v>42210.23</v>
      </c>
      <c r="F4778">
        <v>116.67</v>
      </c>
      <c r="G4778">
        <v>1212.8900000000001</v>
      </c>
      <c r="H4778">
        <f>E4778*1000000/D4778</f>
        <v>1017289.9793265437</v>
      </c>
      <c r="I4778" t="str">
        <f>IF(AND(B4778&gt;=2018, B4778&lt;=2021), "2018-2021", IF(AND(B4778&gt;=2022, B4778&lt;=2024), "2022-2024", "Other"))</f>
        <v>2022-2024</v>
      </c>
    </row>
    <row r="4779" spans="1:9" x14ac:dyDescent="0.3">
      <c r="A4779" t="s">
        <v>1</v>
      </c>
      <c r="B4779">
        <v>2018</v>
      </c>
      <c r="C4779" t="s">
        <v>0</v>
      </c>
      <c r="D4779">
        <v>5040.46</v>
      </c>
      <c r="E4779">
        <v>4639.8999999999996</v>
      </c>
      <c r="F4779">
        <v>72.430000000000007</v>
      </c>
      <c r="G4779">
        <v>392.73</v>
      </c>
      <c r="H4779">
        <f>E4779*1000000/D4779</f>
        <v>920531.06264110818</v>
      </c>
      <c r="I4779" t="str">
        <f>IF(AND(B4779&gt;=2018, B4779&lt;=2021), "2018-2021", IF(AND(B4779&gt;=2022, B4779&lt;=2024), "2022-2024", "Other"))</f>
        <v>2018-2021</v>
      </c>
    </row>
    <row r="4780" spans="1:9" x14ac:dyDescent="0.3">
      <c r="A4780" t="s">
        <v>26</v>
      </c>
      <c r="B4780">
        <v>2023</v>
      </c>
      <c r="C4780" t="s">
        <v>14</v>
      </c>
      <c r="D4780">
        <v>47943.19</v>
      </c>
      <c r="E4780">
        <v>55889.29</v>
      </c>
      <c r="F4780">
        <v>115.49</v>
      </c>
      <c r="G4780">
        <v>880.02</v>
      </c>
      <c r="H4780">
        <f>E4780*1000000/D4780</f>
        <v>1165739.9100894204</v>
      </c>
      <c r="I4780" t="str">
        <f>IF(AND(B4780&gt;=2018, B4780&lt;=2021), "2018-2021", IF(AND(B4780&gt;=2022, B4780&lt;=2024), "2022-2024", "Other"))</f>
        <v>2022-2024</v>
      </c>
    </row>
    <row r="4781" spans="1:9" x14ac:dyDescent="0.3">
      <c r="A4781" t="s">
        <v>20</v>
      </c>
      <c r="B4781">
        <v>2019</v>
      </c>
      <c r="C4781" t="s">
        <v>0</v>
      </c>
      <c r="D4781">
        <v>4161.03</v>
      </c>
      <c r="E4781">
        <v>4646.92</v>
      </c>
      <c r="F4781">
        <v>80.31</v>
      </c>
      <c r="G4781">
        <v>910.86</v>
      </c>
      <c r="H4781">
        <f>E4781*1000000/D4781</f>
        <v>1116771.5685779722</v>
      </c>
      <c r="I4781" t="str">
        <f>IF(AND(B4781&gt;=2018, B4781&lt;=2021), "2018-2021", IF(AND(B4781&gt;=2022, B4781&lt;=2024), "2022-2024", "Other"))</f>
        <v>2018-2021</v>
      </c>
    </row>
    <row r="4782" spans="1:9" x14ac:dyDescent="0.3">
      <c r="A4782" t="s">
        <v>20</v>
      </c>
      <c r="B4782">
        <v>2020</v>
      </c>
      <c r="C4782" t="s">
        <v>12</v>
      </c>
      <c r="D4782">
        <v>21072.9</v>
      </c>
      <c r="E4782">
        <v>18403.169999999998</v>
      </c>
      <c r="F4782">
        <v>82.01</v>
      </c>
      <c r="G4782">
        <v>1333.12</v>
      </c>
      <c r="H4782">
        <f>E4782*1000000/D4782</f>
        <v>873309.7959939068</v>
      </c>
      <c r="I4782" t="str">
        <f>IF(AND(B4782&gt;=2018, B4782&lt;=2021), "2018-2021", IF(AND(B4782&gt;=2022, B4782&lt;=2024), "2022-2024", "Other"))</f>
        <v>2018-2021</v>
      </c>
    </row>
    <row r="4783" spans="1:9" x14ac:dyDescent="0.3">
      <c r="A4783" t="s">
        <v>19</v>
      </c>
      <c r="B4783">
        <v>2020</v>
      </c>
      <c r="C4783" t="s">
        <v>2</v>
      </c>
      <c r="D4783">
        <v>32673.37</v>
      </c>
      <c r="E4783">
        <v>35211.93</v>
      </c>
      <c r="F4783">
        <v>85.08</v>
      </c>
      <c r="G4783">
        <v>855.55</v>
      </c>
      <c r="H4783">
        <f>E4783*1000000/D4783</f>
        <v>1077695.0770612275</v>
      </c>
      <c r="I4783" t="str">
        <f>IF(AND(B4783&gt;=2018, B4783&lt;=2021), "2018-2021", IF(AND(B4783&gt;=2022, B4783&lt;=2024), "2022-2024", "Other"))</f>
        <v>2018-2021</v>
      </c>
    </row>
    <row r="4784" spans="1:9" x14ac:dyDescent="0.3">
      <c r="A4784" t="s">
        <v>3</v>
      </c>
      <c r="B4784">
        <v>2019</v>
      </c>
      <c r="C4784" t="s">
        <v>8</v>
      </c>
      <c r="D4784">
        <v>8462.09</v>
      </c>
      <c r="E4784">
        <v>8775.27</v>
      </c>
      <c r="F4784">
        <v>46.95</v>
      </c>
      <c r="G4784">
        <v>739.11</v>
      </c>
      <c r="H4784">
        <f>E4784*1000000/D4784</f>
        <v>1037009.7694541183</v>
      </c>
      <c r="I4784" t="str">
        <f>IF(AND(B4784&gt;=2018, B4784&lt;=2021), "2018-2021", IF(AND(B4784&gt;=2022, B4784&lt;=2024), "2022-2024", "Other"))</f>
        <v>2018-2021</v>
      </c>
    </row>
    <row r="4785" spans="1:9" x14ac:dyDescent="0.3">
      <c r="A4785" t="s">
        <v>1</v>
      </c>
      <c r="B4785">
        <v>2024</v>
      </c>
      <c r="C4785" t="s">
        <v>2</v>
      </c>
      <c r="D4785">
        <v>22568.53</v>
      </c>
      <c r="E4785">
        <v>19426.189999999999</v>
      </c>
      <c r="F4785">
        <v>34.78</v>
      </c>
      <c r="G4785">
        <v>337.57</v>
      </c>
      <c r="H4785">
        <f>E4785*1000000/D4785</f>
        <v>860764.52476080635</v>
      </c>
      <c r="I4785" t="str">
        <f>IF(AND(B4785&gt;=2018, B4785&lt;=2021), "2018-2021", IF(AND(B4785&gt;=2022, B4785&lt;=2024), "2022-2024", "Other"))</f>
        <v>2022-2024</v>
      </c>
    </row>
    <row r="4786" spans="1:9" x14ac:dyDescent="0.3">
      <c r="A4786" t="s">
        <v>25</v>
      </c>
      <c r="B4786">
        <v>2021</v>
      </c>
      <c r="C4786" t="s">
        <v>12</v>
      </c>
      <c r="D4786">
        <v>27620.400000000001</v>
      </c>
      <c r="E4786">
        <v>28761.71</v>
      </c>
      <c r="F4786">
        <v>46</v>
      </c>
      <c r="G4786">
        <v>356.51</v>
      </c>
      <c r="H4786">
        <f>E4786*1000000/D4786</f>
        <v>1041321.2697861</v>
      </c>
      <c r="I4786" t="str">
        <f>IF(AND(B4786&gt;=2018, B4786&lt;=2021), "2018-2021", IF(AND(B4786&gt;=2022, B4786&lt;=2024), "2022-2024", "Other"))</f>
        <v>2018-2021</v>
      </c>
    </row>
    <row r="4787" spans="1:9" x14ac:dyDescent="0.3">
      <c r="A4787" t="s">
        <v>27</v>
      </c>
      <c r="B4787">
        <v>2018</v>
      </c>
      <c r="C4787" t="s">
        <v>6</v>
      </c>
      <c r="D4787">
        <v>15199.18</v>
      </c>
      <c r="E4787">
        <v>15062.69</v>
      </c>
      <c r="F4787">
        <v>159.26</v>
      </c>
      <c r="G4787">
        <v>958.19</v>
      </c>
      <c r="H4787">
        <f>E4787*1000000/D4787</f>
        <v>991019.91028463375</v>
      </c>
      <c r="I4787" t="str">
        <f>IF(AND(B4787&gt;=2018, B4787&lt;=2021), "2018-2021", IF(AND(B4787&gt;=2022, B4787&lt;=2024), "2022-2024", "Other"))</f>
        <v>2018-2021</v>
      </c>
    </row>
    <row r="4788" spans="1:9" x14ac:dyDescent="0.3">
      <c r="A4788" t="s">
        <v>3</v>
      </c>
      <c r="B4788">
        <v>2021</v>
      </c>
      <c r="C4788" t="s">
        <v>2</v>
      </c>
      <c r="D4788">
        <v>18881.509999999998</v>
      </c>
      <c r="E4788">
        <v>15365.31</v>
      </c>
      <c r="F4788">
        <v>67.510000000000005</v>
      </c>
      <c r="G4788">
        <v>26.35</v>
      </c>
      <c r="H4788">
        <f>E4788*1000000/D4788</f>
        <v>813775.48723592563</v>
      </c>
      <c r="I4788" t="str">
        <f>IF(AND(B4788&gt;=2018, B4788&lt;=2021), "2018-2021", IF(AND(B4788&gt;=2022, B4788&lt;=2024), "2022-2024", "Other"))</f>
        <v>2018-2021</v>
      </c>
    </row>
    <row r="4789" spans="1:9" x14ac:dyDescent="0.3">
      <c r="A4789" t="s">
        <v>20</v>
      </c>
      <c r="B4789">
        <v>2022</v>
      </c>
      <c r="C4789" t="s">
        <v>12</v>
      </c>
      <c r="D4789">
        <v>43837.31</v>
      </c>
      <c r="E4789">
        <v>52355.28</v>
      </c>
      <c r="F4789">
        <v>39.83</v>
      </c>
      <c r="G4789">
        <v>726.66</v>
      </c>
      <c r="H4789">
        <f>E4789*1000000/D4789</f>
        <v>1194308.6836304509</v>
      </c>
      <c r="I4789" t="str">
        <f>IF(AND(B4789&gt;=2018, B4789&lt;=2021), "2018-2021", IF(AND(B4789&gt;=2022, B4789&lt;=2024), "2022-2024", "Other"))</f>
        <v>2022-2024</v>
      </c>
    </row>
    <row r="4790" spans="1:9" x14ac:dyDescent="0.3">
      <c r="A4790" t="s">
        <v>21</v>
      </c>
      <c r="B4790">
        <v>2023</v>
      </c>
      <c r="C4790" t="s">
        <v>8</v>
      </c>
      <c r="D4790">
        <v>3551.88</v>
      </c>
      <c r="E4790">
        <v>3421.91</v>
      </c>
      <c r="F4790">
        <v>188.57</v>
      </c>
      <c r="G4790">
        <v>163.24</v>
      </c>
      <c r="H4790">
        <f>E4790*1000000/D4790</f>
        <v>963408.11063436826</v>
      </c>
      <c r="I4790" t="str">
        <f>IF(AND(B4790&gt;=2018, B4790&lt;=2021), "2018-2021", IF(AND(B4790&gt;=2022, B4790&lt;=2024), "2022-2024", "Other"))</f>
        <v>2022-2024</v>
      </c>
    </row>
    <row r="4791" spans="1:9" x14ac:dyDescent="0.3">
      <c r="A4791" t="s">
        <v>24</v>
      </c>
      <c r="B4791">
        <v>2023</v>
      </c>
      <c r="C4791" t="s">
        <v>12</v>
      </c>
      <c r="D4791">
        <v>24249.02</v>
      </c>
      <c r="E4791">
        <v>25360.3</v>
      </c>
      <c r="F4791">
        <v>68.540000000000006</v>
      </c>
      <c r="G4791">
        <v>327.16000000000003</v>
      </c>
      <c r="H4791">
        <f>E4791*1000000/D4791</f>
        <v>1045827.8313927738</v>
      </c>
      <c r="I4791" t="str">
        <f>IF(AND(B4791&gt;=2018, B4791&lt;=2021), "2018-2021", IF(AND(B4791&gt;=2022, B4791&lt;=2024), "2022-2024", "Other"))</f>
        <v>2022-2024</v>
      </c>
    </row>
    <row r="4792" spans="1:9" x14ac:dyDescent="0.3">
      <c r="A4792" t="s">
        <v>3</v>
      </c>
      <c r="B4792">
        <v>2024</v>
      </c>
      <c r="C4792" t="s">
        <v>0</v>
      </c>
      <c r="D4792">
        <v>13016.6</v>
      </c>
      <c r="E4792">
        <v>11189.42</v>
      </c>
      <c r="F4792">
        <v>89.81</v>
      </c>
      <c r="G4792">
        <v>380.82</v>
      </c>
      <c r="H4792">
        <f>E4792*1000000/D4792</f>
        <v>859626.9379100533</v>
      </c>
      <c r="I4792" t="str">
        <f>IF(AND(B4792&gt;=2018, B4792&lt;=2021), "2018-2021", IF(AND(B4792&gt;=2022, B4792&lt;=2024), "2022-2024", "Other"))</f>
        <v>2022-2024</v>
      </c>
    </row>
    <row r="4793" spans="1:9" x14ac:dyDescent="0.3">
      <c r="A4793" t="s">
        <v>24</v>
      </c>
      <c r="B4793">
        <v>2022</v>
      </c>
      <c r="C4793" t="s">
        <v>14</v>
      </c>
      <c r="D4793">
        <v>40603.040000000001</v>
      </c>
      <c r="E4793">
        <v>45593.42</v>
      </c>
      <c r="F4793">
        <v>41.33</v>
      </c>
      <c r="G4793">
        <v>49.59</v>
      </c>
      <c r="H4793">
        <f>E4793*1000000/D4793</f>
        <v>1122906.5606910221</v>
      </c>
      <c r="I4793" t="str">
        <f>IF(AND(B4793&gt;=2018, B4793&lt;=2021), "2018-2021", IF(AND(B4793&gt;=2022, B4793&lt;=2024), "2022-2024", "Other"))</f>
        <v>2022-2024</v>
      </c>
    </row>
    <row r="4794" spans="1:9" x14ac:dyDescent="0.3">
      <c r="A4794" t="s">
        <v>19</v>
      </c>
      <c r="B4794">
        <v>2024</v>
      </c>
      <c r="C4794" t="s">
        <v>2</v>
      </c>
      <c r="D4794">
        <v>36988.46</v>
      </c>
      <c r="E4794">
        <v>36817.82</v>
      </c>
      <c r="F4794">
        <v>64.52</v>
      </c>
      <c r="G4794">
        <v>975.59</v>
      </c>
      <c r="H4794">
        <f>E4794*1000000/D4794</f>
        <v>995386.66924765182</v>
      </c>
      <c r="I4794" t="str">
        <f>IF(AND(B4794&gt;=2018, B4794&lt;=2021), "2018-2021", IF(AND(B4794&gt;=2022, B4794&lt;=2024), "2022-2024", "Other"))</f>
        <v>2022-2024</v>
      </c>
    </row>
    <row r="4795" spans="1:9" x14ac:dyDescent="0.3">
      <c r="A4795" t="s">
        <v>22</v>
      </c>
      <c r="B4795">
        <v>2020</v>
      </c>
      <c r="C4795" t="s">
        <v>14</v>
      </c>
      <c r="D4795">
        <v>9874.6299999999992</v>
      </c>
      <c r="E4795">
        <v>9214.16</v>
      </c>
      <c r="F4795">
        <v>195.43</v>
      </c>
      <c r="G4795">
        <v>240.73</v>
      </c>
      <c r="H4795">
        <f>E4795*1000000/D4795</f>
        <v>933114.45593404525</v>
      </c>
      <c r="I4795" t="str">
        <f>IF(AND(B4795&gt;=2018, B4795&lt;=2021), "2018-2021", IF(AND(B4795&gt;=2022, B4795&lt;=2024), "2022-2024", "Other"))</f>
        <v>2018-2021</v>
      </c>
    </row>
    <row r="4796" spans="1:9" x14ac:dyDescent="0.3">
      <c r="A4796" t="s">
        <v>11</v>
      </c>
      <c r="B4796">
        <v>2021</v>
      </c>
      <c r="C4796" t="s">
        <v>9</v>
      </c>
      <c r="D4796">
        <v>45343.46</v>
      </c>
      <c r="E4796">
        <v>37547.980000000003</v>
      </c>
      <c r="F4796">
        <v>177.12</v>
      </c>
      <c r="G4796">
        <v>282.68</v>
      </c>
      <c r="H4796">
        <f>E4796*1000000/D4796</f>
        <v>828079.28640646301</v>
      </c>
      <c r="I4796" t="str">
        <f>IF(AND(B4796&gt;=2018, B4796&lt;=2021), "2018-2021", IF(AND(B4796&gt;=2022, B4796&lt;=2024), "2022-2024", "Other"))</f>
        <v>2018-2021</v>
      </c>
    </row>
    <row r="4797" spans="1:9" x14ac:dyDescent="0.3">
      <c r="A4797" t="s">
        <v>19</v>
      </c>
      <c r="B4797">
        <v>2021</v>
      </c>
      <c r="C4797" t="s">
        <v>6</v>
      </c>
      <c r="D4797">
        <v>16718.189999999999</v>
      </c>
      <c r="E4797">
        <v>15509.58</v>
      </c>
      <c r="F4797">
        <v>111.25</v>
      </c>
      <c r="G4797">
        <v>568.23</v>
      </c>
      <c r="H4797">
        <f>E4797*1000000/D4797</f>
        <v>927706.88692974544</v>
      </c>
      <c r="I4797" t="str">
        <f>IF(AND(B4797&gt;=2018, B4797&lt;=2021), "2018-2021", IF(AND(B4797&gt;=2022, B4797&lt;=2024), "2022-2024", "Other"))</f>
        <v>2018-2021</v>
      </c>
    </row>
    <row r="4798" spans="1:9" x14ac:dyDescent="0.3">
      <c r="A4798" t="s">
        <v>23</v>
      </c>
      <c r="B4798">
        <v>2018</v>
      </c>
      <c r="C4798" t="s">
        <v>14</v>
      </c>
      <c r="D4798">
        <v>36202.22</v>
      </c>
      <c r="E4798">
        <v>39794.18</v>
      </c>
      <c r="F4798">
        <v>26.47</v>
      </c>
      <c r="G4798">
        <v>79.08</v>
      </c>
      <c r="H4798">
        <f>E4798*1000000/D4798</f>
        <v>1099219.3296433203</v>
      </c>
      <c r="I4798" t="str">
        <f>IF(AND(B4798&gt;=2018, B4798&lt;=2021), "2018-2021", IF(AND(B4798&gt;=2022, B4798&lt;=2024), "2022-2024", "Other"))</f>
        <v>2018-2021</v>
      </c>
    </row>
    <row r="4799" spans="1:9" x14ac:dyDescent="0.3">
      <c r="A4799" t="s">
        <v>23</v>
      </c>
      <c r="B4799">
        <v>2018</v>
      </c>
      <c r="C4799" t="s">
        <v>0</v>
      </c>
      <c r="D4799">
        <v>11210.4</v>
      </c>
      <c r="E4799">
        <v>11031.59</v>
      </c>
      <c r="F4799">
        <v>74.709999999999994</v>
      </c>
      <c r="G4799">
        <v>895.43</v>
      </c>
      <c r="H4799">
        <f>E4799*1000000/D4799</f>
        <v>984049.63248412195</v>
      </c>
      <c r="I4799" t="str">
        <f>IF(AND(B4799&gt;=2018, B4799&lt;=2021), "2018-2021", IF(AND(B4799&gt;=2022, B4799&lt;=2024), "2022-2024", "Other"))</f>
        <v>2018-2021</v>
      </c>
    </row>
    <row r="4800" spans="1:9" x14ac:dyDescent="0.3">
      <c r="A4800" t="s">
        <v>24</v>
      </c>
      <c r="B4800">
        <v>2022</v>
      </c>
      <c r="C4800" t="s">
        <v>14</v>
      </c>
      <c r="D4800">
        <v>28090.89</v>
      </c>
      <c r="E4800">
        <v>27605.03</v>
      </c>
      <c r="F4800">
        <v>59.51</v>
      </c>
      <c r="G4800">
        <v>897.04</v>
      </c>
      <c r="H4800">
        <f>E4800*1000000/D4800</f>
        <v>982704.00119042152</v>
      </c>
      <c r="I4800" t="str">
        <f>IF(AND(B4800&gt;=2018, B4800&lt;=2021), "2018-2021", IF(AND(B4800&gt;=2022, B4800&lt;=2024), "2022-2024", "Other"))</f>
        <v>2022-2024</v>
      </c>
    </row>
    <row r="4801" spans="1:9" x14ac:dyDescent="0.3">
      <c r="A4801" t="s">
        <v>24</v>
      </c>
      <c r="B4801">
        <v>2019</v>
      </c>
      <c r="C4801" t="s">
        <v>12</v>
      </c>
      <c r="D4801">
        <v>44697.57</v>
      </c>
      <c r="E4801">
        <v>45167.12</v>
      </c>
      <c r="F4801">
        <v>166.78</v>
      </c>
      <c r="G4801">
        <v>862.08</v>
      </c>
      <c r="H4801">
        <f>E4801*1000000/D4801</f>
        <v>1010505.0453525773</v>
      </c>
      <c r="I4801" t="str">
        <f>IF(AND(B4801&gt;=2018, B4801&lt;=2021), "2018-2021", IF(AND(B4801&gt;=2022, B4801&lt;=2024), "2022-2024", "Other"))</f>
        <v>2018-2021</v>
      </c>
    </row>
    <row r="4802" spans="1:9" x14ac:dyDescent="0.3">
      <c r="A4802" t="s">
        <v>21</v>
      </c>
      <c r="B4802">
        <v>2022</v>
      </c>
      <c r="C4802" t="s">
        <v>9</v>
      </c>
      <c r="D4802">
        <v>30397.21</v>
      </c>
      <c r="E4802">
        <v>32529.22</v>
      </c>
      <c r="F4802">
        <v>164.45</v>
      </c>
      <c r="G4802">
        <v>384.01</v>
      </c>
      <c r="H4802">
        <f>E4802*1000000/D4802</f>
        <v>1070138.3449336304</v>
      </c>
      <c r="I4802" t="str">
        <f>IF(AND(B4802&gt;=2018, B4802&lt;=2021), "2018-2021", IF(AND(B4802&gt;=2022, B4802&lt;=2024), "2022-2024", "Other"))</f>
        <v>2022-2024</v>
      </c>
    </row>
    <row r="4803" spans="1:9" x14ac:dyDescent="0.3">
      <c r="A4803" t="s">
        <v>13</v>
      </c>
      <c r="B4803">
        <v>2023</v>
      </c>
      <c r="C4803" t="s">
        <v>4</v>
      </c>
      <c r="D4803">
        <v>29863.47</v>
      </c>
      <c r="E4803">
        <v>33995.1</v>
      </c>
      <c r="F4803">
        <v>180.59</v>
      </c>
      <c r="G4803">
        <v>448.42</v>
      </c>
      <c r="H4803">
        <f>E4803*1000000/D4803</f>
        <v>1138350.633734124</v>
      </c>
      <c r="I4803" t="str">
        <f>IF(AND(B4803&gt;=2018, B4803&lt;=2021), "2018-2021", IF(AND(B4803&gt;=2022, B4803&lt;=2024), "2022-2024", "Other"))</f>
        <v>2022-2024</v>
      </c>
    </row>
    <row r="4804" spans="1:9" x14ac:dyDescent="0.3">
      <c r="A4804" t="s">
        <v>17</v>
      </c>
      <c r="B4804">
        <v>2018</v>
      </c>
      <c r="C4804" t="s">
        <v>2</v>
      </c>
      <c r="D4804">
        <v>39721.620000000003</v>
      </c>
      <c r="E4804">
        <v>40257.480000000003</v>
      </c>
      <c r="F4804">
        <v>166.04</v>
      </c>
      <c r="G4804">
        <v>760.78</v>
      </c>
      <c r="H4804">
        <f>E4804*1000000/D4804</f>
        <v>1013490.3863437594</v>
      </c>
      <c r="I4804" t="str">
        <f>IF(AND(B4804&gt;=2018, B4804&lt;=2021), "2018-2021", IF(AND(B4804&gt;=2022, B4804&lt;=2024), "2022-2024", "Other"))</f>
        <v>2018-2021</v>
      </c>
    </row>
    <row r="4805" spans="1:9" x14ac:dyDescent="0.3">
      <c r="A4805" t="s">
        <v>20</v>
      </c>
      <c r="B4805">
        <v>2021</v>
      </c>
      <c r="C4805" t="s">
        <v>4</v>
      </c>
      <c r="D4805">
        <v>9405.1299999999992</v>
      </c>
      <c r="E4805">
        <v>10469.56</v>
      </c>
      <c r="F4805">
        <v>112.99</v>
      </c>
      <c r="G4805">
        <v>610.12</v>
      </c>
      <c r="H4805">
        <f>E4805*1000000/D4805</f>
        <v>1113175.4691322716</v>
      </c>
      <c r="I4805" t="str">
        <f>IF(AND(B4805&gt;=2018, B4805&lt;=2021), "2018-2021", IF(AND(B4805&gt;=2022, B4805&lt;=2024), "2022-2024", "Other"))</f>
        <v>2018-2021</v>
      </c>
    </row>
    <row r="4806" spans="1:9" x14ac:dyDescent="0.3">
      <c r="A4806" t="s">
        <v>26</v>
      </c>
      <c r="B4806">
        <v>2020</v>
      </c>
      <c r="C4806" t="s">
        <v>0</v>
      </c>
      <c r="D4806">
        <v>26713.77</v>
      </c>
      <c r="E4806">
        <v>27185.5</v>
      </c>
      <c r="F4806">
        <v>161.9</v>
      </c>
      <c r="G4806">
        <v>1237.1600000000001</v>
      </c>
      <c r="H4806">
        <f>E4806*1000000/D4806</f>
        <v>1017658.6831435623</v>
      </c>
      <c r="I4806" t="str">
        <f>IF(AND(B4806&gt;=2018, B4806&lt;=2021), "2018-2021", IF(AND(B4806&gt;=2022, B4806&lt;=2024), "2022-2024", "Other"))</f>
        <v>2018-2021</v>
      </c>
    </row>
    <row r="4807" spans="1:9" x14ac:dyDescent="0.3">
      <c r="A4807" t="s">
        <v>10</v>
      </c>
      <c r="B4807">
        <v>2020</v>
      </c>
      <c r="C4807" t="s">
        <v>2</v>
      </c>
      <c r="D4807">
        <v>36704.46</v>
      </c>
      <c r="E4807">
        <v>32559.23</v>
      </c>
      <c r="F4807">
        <v>69.5</v>
      </c>
      <c r="G4807">
        <v>862.88</v>
      </c>
      <c r="H4807">
        <f>E4807*1000000/D4807</f>
        <v>887064.67824346141</v>
      </c>
      <c r="I4807" t="str">
        <f>IF(AND(B4807&gt;=2018, B4807&lt;=2021), "2018-2021", IF(AND(B4807&gt;=2022, B4807&lt;=2024), "2022-2024", "Other"))</f>
        <v>2018-2021</v>
      </c>
    </row>
    <row r="4808" spans="1:9" x14ac:dyDescent="0.3">
      <c r="A4808" t="s">
        <v>16</v>
      </c>
      <c r="B4808">
        <v>2021</v>
      </c>
      <c r="C4808" t="s">
        <v>4</v>
      </c>
      <c r="D4808">
        <v>11952.27</v>
      </c>
      <c r="E4808">
        <v>11098.78</v>
      </c>
      <c r="F4808">
        <v>31.53</v>
      </c>
      <c r="G4808">
        <v>1030.51</v>
      </c>
      <c r="H4808">
        <f>E4808*1000000/D4808</f>
        <v>928591.80724665686</v>
      </c>
      <c r="I4808" t="str">
        <f>IF(AND(B4808&gt;=2018, B4808&lt;=2021), "2018-2021", IF(AND(B4808&gt;=2022, B4808&lt;=2024), "2022-2024", "Other"))</f>
        <v>2018-2021</v>
      </c>
    </row>
    <row r="4809" spans="1:9" x14ac:dyDescent="0.3">
      <c r="A4809" t="s">
        <v>18</v>
      </c>
      <c r="B4809">
        <v>2018</v>
      </c>
      <c r="C4809" t="s">
        <v>6</v>
      </c>
      <c r="D4809">
        <v>39421.129999999997</v>
      </c>
      <c r="E4809">
        <v>37027.49</v>
      </c>
      <c r="F4809">
        <v>21.86</v>
      </c>
      <c r="G4809">
        <v>901.98</v>
      </c>
      <c r="H4809">
        <f>E4809*1000000/D4809</f>
        <v>939280.27938316332</v>
      </c>
      <c r="I4809" t="str">
        <f>IF(AND(B4809&gt;=2018, B4809&lt;=2021), "2018-2021", IF(AND(B4809&gt;=2022, B4809&lt;=2024), "2022-2024", "Other"))</f>
        <v>2018-2021</v>
      </c>
    </row>
    <row r="4810" spans="1:9" x14ac:dyDescent="0.3">
      <c r="A4810" t="s">
        <v>22</v>
      </c>
      <c r="B4810">
        <v>2022</v>
      </c>
      <c r="C4810" t="s">
        <v>4</v>
      </c>
      <c r="D4810">
        <v>667.04</v>
      </c>
      <c r="E4810">
        <v>723.18</v>
      </c>
      <c r="F4810">
        <v>116.05</v>
      </c>
      <c r="G4810">
        <v>855.07</v>
      </c>
      <c r="H4810">
        <f>E4810*1000000/D4810</f>
        <v>1084162.8687934757</v>
      </c>
      <c r="I4810" t="str">
        <f>IF(AND(B4810&gt;=2018, B4810&lt;=2021), "2018-2021", IF(AND(B4810&gt;=2022, B4810&lt;=2024), "2022-2024", "Other"))</f>
        <v>2022-2024</v>
      </c>
    </row>
    <row r="4811" spans="1:9" x14ac:dyDescent="0.3">
      <c r="A4811" t="s">
        <v>24</v>
      </c>
      <c r="B4811">
        <v>2024</v>
      </c>
      <c r="C4811" t="s">
        <v>6</v>
      </c>
      <c r="D4811">
        <v>10757.54</v>
      </c>
      <c r="E4811">
        <v>12190.96</v>
      </c>
      <c r="F4811">
        <v>62.42</v>
      </c>
      <c r="G4811">
        <v>1002.29</v>
      </c>
      <c r="H4811">
        <f>E4811*1000000/D4811</f>
        <v>1133247.9358663782</v>
      </c>
      <c r="I4811" t="str">
        <f>IF(AND(B4811&gt;=2018, B4811&lt;=2021), "2018-2021", IF(AND(B4811&gt;=2022, B4811&lt;=2024), "2022-2024", "Other"))</f>
        <v>2022-2024</v>
      </c>
    </row>
    <row r="4812" spans="1:9" x14ac:dyDescent="0.3">
      <c r="A4812" t="s">
        <v>11</v>
      </c>
      <c r="B4812">
        <v>2022</v>
      </c>
      <c r="C4812" t="s">
        <v>4</v>
      </c>
      <c r="D4812">
        <v>18732.3</v>
      </c>
      <c r="E4812">
        <v>16899.36</v>
      </c>
      <c r="F4812">
        <v>134.05000000000001</v>
      </c>
      <c r="G4812">
        <v>705.09</v>
      </c>
      <c r="H4812">
        <f>E4812*1000000/D4812</f>
        <v>902150.83038388239</v>
      </c>
      <c r="I4812" t="str">
        <f>IF(AND(B4812&gt;=2018, B4812&lt;=2021), "2018-2021", IF(AND(B4812&gt;=2022, B4812&lt;=2024), "2022-2024", "Other"))</f>
        <v>2022-2024</v>
      </c>
    </row>
    <row r="4813" spans="1:9" x14ac:dyDescent="0.3">
      <c r="A4813" t="s">
        <v>1</v>
      </c>
      <c r="B4813">
        <v>2023</v>
      </c>
      <c r="C4813" t="s">
        <v>9</v>
      </c>
      <c r="D4813">
        <v>1914.02</v>
      </c>
      <c r="E4813">
        <v>2194.11</v>
      </c>
      <c r="F4813">
        <v>73.569999999999993</v>
      </c>
      <c r="G4813">
        <v>644.03</v>
      </c>
      <c r="H4813">
        <f>E4813*1000000/D4813</f>
        <v>1146335.983950011</v>
      </c>
      <c r="I4813" t="str">
        <f>IF(AND(B4813&gt;=2018, B4813&lt;=2021), "2018-2021", IF(AND(B4813&gt;=2022, B4813&lt;=2024), "2022-2024", "Other"))</f>
        <v>2022-2024</v>
      </c>
    </row>
    <row r="4814" spans="1:9" x14ac:dyDescent="0.3">
      <c r="A4814" t="s">
        <v>22</v>
      </c>
      <c r="B4814">
        <v>2019</v>
      </c>
      <c r="C4814" t="s">
        <v>9</v>
      </c>
      <c r="D4814">
        <v>21483.66</v>
      </c>
      <c r="E4814">
        <v>17967.18</v>
      </c>
      <c r="F4814">
        <v>177.66</v>
      </c>
      <c r="G4814">
        <v>1027.97</v>
      </c>
      <c r="H4814">
        <f>E4814*1000000/D4814</f>
        <v>836318.39267610828</v>
      </c>
      <c r="I4814" t="str">
        <f>IF(AND(B4814&gt;=2018, B4814&lt;=2021), "2018-2021", IF(AND(B4814&gt;=2022, B4814&lt;=2024), "2022-2024", "Other"))</f>
        <v>2018-2021</v>
      </c>
    </row>
    <row r="4815" spans="1:9" x14ac:dyDescent="0.3">
      <c r="A4815" t="s">
        <v>10</v>
      </c>
      <c r="B4815">
        <v>2023</v>
      </c>
      <c r="C4815" t="s">
        <v>14</v>
      </c>
      <c r="D4815">
        <v>49946.21</v>
      </c>
      <c r="E4815">
        <v>44175.06</v>
      </c>
      <c r="F4815">
        <v>136.91</v>
      </c>
      <c r="G4815">
        <v>114.6</v>
      </c>
      <c r="H4815">
        <f>E4815*1000000/D4815</f>
        <v>884452.69420842943</v>
      </c>
      <c r="I4815" t="str">
        <f>IF(AND(B4815&gt;=2018, B4815&lt;=2021), "2018-2021", IF(AND(B4815&gt;=2022, B4815&lt;=2024), "2022-2024", "Other"))</f>
        <v>2022-2024</v>
      </c>
    </row>
    <row r="4816" spans="1:9" x14ac:dyDescent="0.3">
      <c r="A4816" t="s">
        <v>1</v>
      </c>
      <c r="B4816">
        <v>2021</v>
      </c>
      <c r="C4816" t="s">
        <v>8</v>
      </c>
      <c r="D4816">
        <v>6212.51</v>
      </c>
      <c r="E4816">
        <v>7239.19</v>
      </c>
      <c r="F4816">
        <v>131.29</v>
      </c>
      <c r="G4816">
        <v>77.8</v>
      </c>
      <c r="H4816">
        <f>E4816*1000000/D4816</f>
        <v>1165260.0961608109</v>
      </c>
      <c r="I4816" t="str">
        <f>IF(AND(B4816&gt;=2018, B4816&lt;=2021), "2018-2021", IF(AND(B4816&gt;=2022, B4816&lt;=2024), "2022-2024", "Other"))</f>
        <v>2018-2021</v>
      </c>
    </row>
    <row r="4817" spans="1:9" x14ac:dyDescent="0.3">
      <c r="A4817" t="s">
        <v>5</v>
      </c>
      <c r="B4817">
        <v>2018</v>
      </c>
      <c r="C4817" t="s">
        <v>8</v>
      </c>
      <c r="D4817">
        <v>49510.25</v>
      </c>
      <c r="E4817">
        <v>57519.3</v>
      </c>
      <c r="F4817">
        <v>181.94</v>
      </c>
      <c r="G4817">
        <v>864.67</v>
      </c>
      <c r="H4817">
        <f>E4817*1000000/D4817</f>
        <v>1161765.493003974</v>
      </c>
      <c r="I4817" t="str">
        <f>IF(AND(B4817&gt;=2018, B4817&lt;=2021), "2018-2021", IF(AND(B4817&gt;=2022, B4817&lt;=2024), "2022-2024", "Other"))</f>
        <v>2018-2021</v>
      </c>
    </row>
    <row r="4818" spans="1:9" x14ac:dyDescent="0.3">
      <c r="A4818" t="s">
        <v>5</v>
      </c>
      <c r="B4818">
        <v>2021</v>
      </c>
      <c r="C4818" t="s">
        <v>4</v>
      </c>
      <c r="D4818">
        <v>47129.75</v>
      </c>
      <c r="E4818">
        <v>50177.46</v>
      </c>
      <c r="F4818">
        <v>124.12</v>
      </c>
      <c r="G4818">
        <v>1279.24</v>
      </c>
      <c r="H4818">
        <f>E4818*1000000/D4818</f>
        <v>1064666.373150717</v>
      </c>
      <c r="I4818" t="str">
        <f>IF(AND(B4818&gt;=2018, B4818&lt;=2021), "2018-2021", IF(AND(B4818&gt;=2022, B4818&lt;=2024), "2022-2024", "Other"))</f>
        <v>2018-2021</v>
      </c>
    </row>
    <row r="4819" spans="1:9" x14ac:dyDescent="0.3">
      <c r="A4819" t="s">
        <v>27</v>
      </c>
      <c r="B4819">
        <v>2024</v>
      </c>
      <c r="C4819" t="s">
        <v>12</v>
      </c>
      <c r="D4819">
        <v>19512.89</v>
      </c>
      <c r="E4819">
        <v>22673</v>
      </c>
      <c r="F4819">
        <v>125.7</v>
      </c>
      <c r="G4819">
        <v>203.15</v>
      </c>
      <c r="H4819">
        <f>E4819*1000000/D4819</f>
        <v>1161949.8700602525</v>
      </c>
      <c r="I4819" t="str">
        <f>IF(AND(B4819&gt;=2018, B4819&lt;=2021), "2018-2021", IF(AND(B4819&gt;=2022, B4819&lt;=2024), "2022-2024", "Other"))</f>
        <v>2022-2024</v>
      </c>
    </row>
    <row r="4820" spans="1:9" x14ac:dyDescent="0.3">
      <c r="A4820" t="s">
        <v>18</v>
      </c>
      <c r="B4820">
        <v>2019</v>
      </c>
      <c r="C4820" t="s">
        <v>14</v>
      </c>
      <c r="D4820">
        <v>16497.28</v>
      </c>
      <c r="E4820">
        <v>14226.2</v>
      </c>
      <c r="F4820">
        <v>154.87</v>
      </c>
      <c r="G4820">
        <v>663.3</v>
      </c>
      <c r="H4820">
        <f>E4820*1000000/D4820</f>
        <v>862336.0941924972</v>
      </c>
      <c r="I4820" t="str">
        <f>IF(AND(B4820&gt;=2018, B4820&lt;=2021), "2018-2021", IF(AND(B4820&gt;=2022, B4820&lt;=2024), "2022-2024", "Other"))</f>
        <v>2018-2021</v>
      </c>
    </row>
    <row r="4821" spans="1:9" x14ac:dyDescent="0.3">
      <c r="A4821" t="s">
        <v>1</v>
      </c>
      <c r="B4821">
        <v>2024</v>
      </c>
      <c r="C4821" t="s">
        <v>0</v>
      </c>
      <c r="D4821">
        <v>30320.54</v>
      </c>
      <c r="E4821">
        <v>34017.9</v>
      </c>
      <c r="F4821">
        <v>99.02</v>
      </c>
      <c r="G4821">
        <v>638.57000000000005</v>
      </c>
      <c r="H4821">
        <f>E4821*1000000/D4821</f>
        <v>1121942.4192313198</v>
      </c>
      <c r="I4821" t="str">
        <f>IF(AND(B4821&gt;=2018, B4821&lt;=2021), "2018-2021", IF(AND(B4821&gt;=2022, B4821&lt;=2024), "2022-2024", "Other"))</f>
        <v>2022-2024</v>
      </c>
    </row>
    <row r="4822" spans="1:9" x14ac:dyDescent="0.3">
      <c r="A4822" t="s">
        <v>19</v>
      </c>
      <c r="B4822">
        <v>2021</v>
      </c>
      <c r="C4822" t="s">
        <v>2</v>
      </c>
      <c r="D4822">
        <v>47255.72</v>
      </c>
      <c r="E4822">
        <v>54127.33</v>
      </c>
      <c r="F4822">
        <v>121.91</v>
      </c>
      <c r="G4822">
        <v>402.4</v>
      </c>
      <c r="H4822">
        <f>E4822*1000000/D4822</f>
        <v>1145413.295998876</v>
      </c>
      <c r="I4822" t="str">
        <f>IF(AND(B4822&gt;=2018, B4822&lt;=2021), "2018-2021", IF(AND(B4822&gt;=2022, B4822&lt;=2024), "2022-2024", "Other"))</f>
        <v>2018-2021</v>
      </c>
    </row>
    <row r="4823" spans="1:9" x14ac:dyDescent="0.3">
      <c r="A4823" t="s">
        <v>11</v>
      </c>
      <c r="B4823">
        <v>2024</v>
      </c>
      <c r="C4823" t="s">
        <v>8</v>
      </c>
      <c r="D4823">
        <v>14103.65</v>
      </c>
      <c r="E4823">
        <v>12207.56</v>
      </c>
      <c r="F4823">
        <v>147.59</v>
      </c>
      <c r="G4823">
        <v>552.99</v>
      </c>
      <c r="H4823">
        <f>E4823*1000000/D4823</f>
        <v>865560.33367248904</v>
      </c>
      <c r="I4823" t="str">
        <f>IF(AND(B4823&gt;=2018, B4823&lt;=2021), "2018-2021", IF(AND(B4823&gt;=2022, B4823&lt;=2024), "2022-2024", "Other"))</f>
        <v>2022-2024</v>
      </c>
    </row>
    <row r="4824" spans="1:9" x14ac:dyDescent="0.3">
      <c r="A4824" t="s">
        <v>5</v>
      </c>
      <c r="B4824">
        <v>2021</v>
      </c>
      <c r="C4824" t="s">
        <v>4</v>
      </c>
      <c r="D4824">
        <v>5518.25</v>
      </c>
      <c r="E4824">
        <v>6170.28</v>
      </c>
      <c r="F4824">
        <v>120.02</v>
      </c>
      <c r="G4824">
        <v>673.23</v>
      </c>
      <c r="H4824">
        <f>E4824*1000000/D4824</f>
        <v>1118158.8365876863</v>
      </c>
      <c r="I4824" t="str">
        <f>IF(AND(B4824&gt;=2018, B4824&lt;=2021), "2018-2021", IF(AND(B4824&gt;=2022, B4824&lt;=2024), "2022-2024", "Other"))</f>
        <v>2018-2021</v>
      </c>
    </row>
    <row r="4825" spans="1:9" x14ac:dyDescent="0.3">
      <c r="A4825" t="s">
        <v>11</v>
      </c>
      <c r="B4825">
        <v>2021</v>
      </c>
      <c r="C4825" t="s">
        <v>0</v>
      </c>
      <c r="D4825">
        <v>37173.949999999997</v>
      </c>
      <c r="E4825">
        <v>38377.01</v>
      </c>
      <c r="F4825">
        <v>34.72</v>
      </c>
      <c r="G4825">
        <v>1235.3900000000001</v>
      </c>
      <c r="H4825">
        <f>E4825*1000000/D4825</f>
        <v>1032362.9853701316</v>
      </c>
      <c r="I4825" t="str">
        <f>IF(AND(B4825&gt;=2018, B4825&lt;=2021), "2018-2021", IF(AND(B4825&gt;=2022, B4825&lt;=2024), "2022-2024", "Other"))</f>
        <v>2018-2021</v>
      </c>
    </row>
    <row r="4826" spans="1:9" x14ac:dyDescent="0.3">
      <c r="A4826" t="s">
        <v>18</v>
      </c>
      <c r="B4826">
        <v>2023</v>
      </c>
      <c r="C4826" t="s">
        <v>8</v>
      </c>
      <c r="D4826">
        <v>16056.57</v>
      </c>
      <c r="E4826">
        <v>13556.44</v>
      </c>
      <c r="F4826">
        <v>48.71</v>
      </c>
      <c r="G4826">
        <v>699.83</v>
      </c>
      <c r="H4826">
        <f>E4826*1000000/D4826</f>
        <v>844292.3986878891</v>
      </c>
      <c r="I4826" t="str">
        <f>IF(AND(B4826&gt;=2018, B4826&lt;=2021), "2018-2021", IF(AND(B4826&gt;=2022, B4826&lt;=2024), "2022-2024", "Other"))</f>
        <v>2022-2024</v>
      </c>
    </row>
    <row r="4827" spans="1:9" x14ac:dyDescent="0.3">
      <c r="A4827" t="s">
        <v>11</v>
      </c>
      <c r="B4827">
        <v>2019</v>
      </c>
      <c r="C4827" t="s">
        <v>14</v>
      </c>
      <c r="D4827">
        <v>43182.89</v>
      </c>
      <c r="E4827">
        <v>42799.38</v>
      </c>
      <c r="F4827">
        <v>94.96</v>
      </c>
      <c r="G4827">
        <v>1289.6400000000001</v>
      </c>
      <c r="H4827">
        <f>E4827*1000000/D4827</f>
        <v>991118.936226825</v>
      </c>
      <c r="I4827" t="str">
        <f>IF(AND(B4827&gt;=2018, B4827&lt;=2021), "2018-2021", IF(AND(B4827&gt;=2022, B4827&lt;=2024), "2022-2024", "Other"))</f>
        <v>2018-2021</v>
      </c>
    </row>
    <row r="4828" spans="1:9" x14ac:dyDescent="0.3">
      <c r="A4828" t="s">
        <v>5</v>
      </c>
      <c r="B4828">
        <v>2018</v>
      </c>
      <c r="C4828" t="s">
        <v>0</v>
      </c>
      <c r="D4828">
        <v>6713.85</v>
      </c>
      <c r="E4828">
        <v>6741.79</v>
      </c>
      <c r="F4828">
        <v>135.31</v>
      </c>
      <c r="G4828">
        <v>673.72</v>
      </c>
      <c r="H4828">
        <f>E4828*1000000/D4828</f>
        <v>1004161.5466535594</v>
      </c>
      <c r="I4828" t="str">
        <f>IF(AND(B4828&gt;=2018, B4828&lt;=2021), "2018-2021", IF(AND(B4828&gt;=2022, B4828&lt;=2024), "2022-2024", "Other"))</f>
        <v>2018-2021</v>
      </c>
    </row>
    <row r="4829" spans="1:9" x14ac:dyDescent="0.3">
      <c r="A4829" t="s">
        <v>24</v>
      </c>
      <c r="B4829">
        <v>2020</v>
      </c>
      <c r="C4829" t="s">
        <v>2</v>
      </c>
      <c r="D4829">
        <v>8065.52</v>
      </c>
      <c r="E4829">
        <v>7887.22</v>
      </c>
      <c r="F4829">
        <v>122.62</v>
      </c>
      <c r="G4829">
        <v>1237.8900000000001</v>
      </c>
      <c r="H4829">
        <f>E4829*1000000/D4829</f>
        <v>977893.55181067053</v>
      </c>
      <c r="I4829" t="str">
        <f>IF(AND(B4829&gt;=2018, B4829&lt;=2021), "2018-2021", IF(AND(B4829&gt;=2022, B4829&lt;=2024), "2022-2024", "Other"))</f>
        <v>2018-2021</v>
      </c>
    </row>
    <row r="4830" spans="1:9" x14ac:dyDescent="0.3">
      <c r="A4830" t="s">
        <v>16</v>
      </c>
      <c r="B4830">
        <v>2022</v>
      </c>
      <c r="C4830" t="s">
        <v>0</v>
      </c>
      <c r="D4830">
        <v>25329.17</v>
      </c>
      <c r="E4830">
        <v>20287.27</v>
      </c>
      <c r="F4830">
        <v>141.22</v>
      </c>
      <c r="G4830">
        <v>697.69</v>
      </c>
      <c r="H4830">
        <f>E4830*1000000/D4830</f>
        <v>800944.91844778182</v>
      </c>
      <c r="I4830" t="str">
        <f>IF(AND(B4830&gt;=2018, B4830&lt;=2021), "2018-2021", IF(AND(B4830&gt;=2022, B4830&lt;=2024), "2022-2024", "Other"))</f>
        <v>2022-2024</v>
      </c>
    </row>
    <row r="4831" spans="1:9" x14ac:dyDescent="0.3">
      <c r="A4831" t="s">
        <v>1</v>
      </c>
      <c r="B4831">
        <v>2022</v>
      </c>
      <c r="C4831" t="s">
        <v>14</v>
      </c>
      <c r="D4831">
        <v>15099.47</v>
      </c>
      <c r="E4831">
        <v>15702.68</v>
      </c>
      <c r="F4831">
        <v>156.85</v>
      </c>
      <c r="G4831">
        <v>780.13</v>
      </c>
      <c r="H4831">
        <f>E4831*1000000/D4831</f>
        <v>1039949.0843056082</v>
      </c>
      <c r="I4831" t="str">
        <f>IF(AND(B4831&gt;=2018, B4831&lt;=2021), "2018-2021", IF(AND(B4831&gt;=2022, B4831&lt;=2024), "2022-2024", "Other"))</f>
        <v>2022-2024</v>
      </c>
    </row>
    <row r="4832" spans="1:9" x14ac:dyDescent="0.3">
      <c r="A4832" t="s">
        <v>24</v>
      </c>
      <c r="B4832">
        <v>2022</v>
      </c>
      <c r="C4832" t="s">
        <v>9</v>
      </c>
      <c r="D4832">
        <v>30285.61</v>
      </c>
      <c r="E4832">
        <v>34430.51</v>
      </c>
      <c r="F4832">
        <v>189.56</v>
      </c>
      <c r="G4832">
        <v>826.89</v>
      </c>
      <c r="H4832">
        <f>E4832*1000000/D4832</f>
        <v>1136860.3769248829</v>
      </c>
      <c r="I4832" t="str">
        <f>IF(AND(B4832&gt;=2018, B4832&lt;=2021), "2018-2021", IF(AND(B4832&gt;=2022, B4832&lt;=2024), "2022-2024", "Other"))</f>
        <v>2022-2024</v>
      </c>
    </row>
    <row r="4833" spans="1:9" x14ac:dyDescent="0.3">
      <c r="A4833" t="s">
        <v>24</v>
      </c>
      <c r="B4833">
        <v>2021</v>
      </c>
      <c r="C4833" t="s">
        <v>2</v>
      </c>
      <c r="D4833">
        <v>13471.66</v>
      </c>
      <c r="E4833">
        <v>15002.37</v>
      </c>
      <c r="F4833">
        <v>60.17</v>
      </c>
      <c r="G4833">
        <v>109.5</v>
      </c>
      <c r="H4833">
        <f>E4833*1000000/D4833</f>
        <v>1113624.4531111978</v>
      </c>
      <c r="I4833" t="str">
        <f>IF(AND(B4833&gt;=2018, B4833&lt;=2021), "2018-2021", IF(AND(B4833&gt;=2022, B4833&lt;=2024), "2022-2024", "Other"))</f>
        <v>2018-2021</v>
      </c>
    </row>
    <row r="4834" spans="1:9" x14ac:dyDescent="0.3">
      <c r="A4834" t="s">
        <v>7</v>
      </c>
      <c r="B4834">
        <v>2022</v>
      </c>
      <c r="C4834" t="s">
        <v>4</v>
      </c>
      <c r="D4834">
        <v>45275.35</v>
      </c>
      <c r="E4834">
        <v>37831.82</v>
      </c>
      <c r="F4834">
        <v>103.89</v>
      </c>
      <c r="G4834">
        <v>1079.3399999999999</v>
      </c>
      <c r="H4834">
        <f>E4834*1000000/D4834</f>
        <v>835594.2030265918</v>
      </c>
      <c r="I4834" t="str">
        <f>IF(AND(B4834&gt;=2018, B4834&lt;=2021), "2018-2021", IF(AND(B4834&gt;=2022, B4834&lt;=2024), "2022-2024", "Other"))</f>
        <v>2022-2024</v>
      </c>
    </row>
    <row r="4835" spans="1:9" x14ac:dyDescent="0.3">
      <c r="A4835" t="s">
        <v>1</v>
      </c>
      <c r="B4835">
        <v>2022</v>
      </c>
      <c r="C4835" t="s">
        <v>2</v>
      </c>
      <c r="D4835">
        <v>16567.099999999999</v>
      </c>
      <c r="E4835">
        <v>16473.93</v>
      </c>
      <c r="F4835">
        <v>92.13</v>
      </c>
      <c r="G4835">
        <v>557.53</v>
      </c>
      <c r="H4835">
        <f>E4835*1000000/D4835</f>
        <v>994376.20343934675</v>
      </c>
      <c r="I4835" t="str">
        <f>IF(AND(B4835&gt;=2018, B4835&lt;=2021), "2018-2021", IF(AND(B4835&gt;=2022, B4835&lt;=2024), "2022-2024", "Other"))</f>
        <v>2022-2024</v>
      </c>
    </row>
    <row r="4836" spans="1:9" x14ac:dyDescent="0.3">
      <c r="A4836" t="s">
        <v>22</v>
      </c>
      <c r="B4836">
        <v>2020</v>
      </c>
      <c r="C4836" t="s">
        <v>0</v>
      </c>
      <c r="D4836">
        <v>6622.48</v>
      </c>
      <c r="E4836">
        <v>6811.8</v>
      </c>
      <c r="F4836">
        <v>21.41</v>
      </c>
      <c r="G4836">
        <v>693.34</v>
      </c>
      <c r="H4836">
        <f>E4836*1000000/D4836</f>
        <v>1028587.4778028775</v>
      </c>
      <c r="I4836" t="str">
        <f>IF(AND(B4836&gt;=2018, B4836&lt;=2021), "2018-2021", IF(AND(B4836&gt;=2022, B4836&lt;=2024), "2022-2024", "Other"))</f>
        <v>2018-2021</v>
      </c>
    </row>
    <row r="4837" spans="1:9" x14ac:dyDescent="0.3">
      <c r="A4837" t="s">
        <v>7</v>
      </c>
      <c r="B4837">
        <v>2019</v>
      </c>
      <c r="C4837" t="s">
        <v>8</v>
      </c>
      <c r="D4837">
        <v>16879.87</v>
      </c>
      <c r="E4837">
        <v>15654.53</v>
      </c>
      <c r="F4837">
        <v>110.5</v>
      </c>
      <c r="G4837">
        <v>96.67</v>
      </c>
      <c r="H4837">
        <f>E4837*1000000/D4837</f>
        <v>927408.20871250797</v>
      </c>
      <c r="I4837" t="str">
        <f>IF(AND(B4837&gt;=2018, B4837&lt;=2021), "2018-2021", IF(AND(B4837&gt;=2022, B4837&lt;=2024), "2022-2024", "Other"))</f>
        <v>2018-2021</v>
      </c>
    </row>
    <row r="4838" spans="1:9" x14ac:dyDescent="0.3">
      <c r="A4838" t="s">
        <v>10</v>
      </c>
      <c r="B4838">
        <v>2019</v>
      </c>
      <c r="C4838" t="s">
        <v>14</v>
      </c>
      <c r="D4838">
        <v>25419.74</v>
      </c>
      <c r="E4838">
        <v>21521.64</v>
      </c>
      <c r="F4838">
        <v>71.209999999999994</v>
      </c>
      <c r="G4838">
        <v>1257.1400000000001</v>
      </c>
      <c r="H4838">
        <f>E4838*1000000/D4838</f>
        <v>846650.67384638858</v>
      </c>
      <c r="I4838" t="str">
        <f>IF(AND(B4838&gt;=2018, B4838&lt;=2021), "2018-2021", IF(AND(B4838&gt;=2022, B4838&lt;=2024), "2022-2024", "Other"))</f>
        <v>2018-2021</v>
      </c>
    </row>
    <row r="4839" spans="1:9" x14ac:dyDescent="0.3">
      <c r="A4839" t="s">
        <v>15</v>
      </c>
      <c r="B4839">
        <v>2018</v>
      </c>
      <c r="C4839" t="s">
        <v>9</v>
      </c>
      <c r="D4839">
        <v>39497.4</v>
      </c>
      <c r="E4839">
        <v>32599.41</v>
      </c>
      <c r="F4839">
        <v>63.46</v>
      </c>
      <c r="G4839">
        <v>231.18</v>
      </c>
      <c r="H4839">
        <f>E4839*1000000/D4839</f>
        <v>825355.84620759846</v>
      </c>
      <c r="I4839" t="str">
        <f>IF(AND(B4839&gt;=2018, B4839&lt;=2021), "2018-2021", IF(AND(B4839&gt;=2022, B4839&lt;=2024), "2022-2024", "Other"))</f>
        <v>2018-2021</v>
      </c>
    </row>
    <row r="4840" spans="1:9" x14ac:dyDescent="0.3">
      <c r="A4840" t="s">
        <v>5</v>
      </c>
      <c r="B4840">
        <v>2020</v>
      </c>
      <c r="C4840" t="s">
        <v>14</v>
      </c>
      <c r="D4840">
        <v>37020.22</v>
      </c>
      <c r="E4840">
        <v>40772.78</v>
      </c>
      <c r="F4840">
        <v>103.94</v>
      </c>
      <c r="G4840">
        <v>1083.31</v>
      </c>
      <c r="H4840">
        <f>E4840*1000000/D4840</f>
        <v>1101365.1458581283</v>
      </c>
      <c r="I4840" t="str">
        <f>IF(AND(B4840&gt;=2018, B4840&lt;=2021), "2018-2021", IF(AND(B4840&gt;=2022, B4840&lt;=2024), "2022-2024", "Other"))</f>
        <v>2018-2021</v>
      </c>
    </row>
    <row r="4841" spans="1:9" x14ac:dyDescent="0.3">
      <c r="A4841" t="s">
        <v>27</v>
      </c>
      <c r="B4841">
        <v>2024</v>
      </c>
      <c r="C4841" t="s">
        <v>4</v>
      </c>
      <c r="D4841">
        <v>31221.599999999999</v>
      </c>
      <c r="E4841">
        <v>34554.54</v>
      </c>
      <c r="F4841">
        <v>162.65</v>
      </c>
      <c r="G4841">
        <v>574.63</v>
      </c>
      <c r="H4841">
        <f>E4841*1000000/D4841</f>
        <v>1106751.0953954954</v>
      </c>
      <c r="I4841" t="str">
        <f>IF(AND(B4841&gt;=2018, B4841&lt;=2021), "2018-2021", IF(AND(B4841&gt;=2022, B4841&lt;=2024), "2022-2024", "Other"))</f>
        <v>2022-2024</v>
      </c>
    </row>
    <row r="4842" spans="1:9" x14ac:dyDescent="0.3">
      <c r="A4842" t="s">
        <v>10</v>
      </c>
      <c r="B4842">
        <v>2023</v>
      </c>
      <c r="C4842" t="s">
        <v>0</v>
      </c>
      <c r="D4842">
        <v>18014.05</v>
      </c>
      <c r="E4842">
        <v>15852.44</v>
      </c>
      <c r="F4842">
        <v>180.34</v>
      </c>
      <c r="G4842">
        <v>944.68</v>
      </c>
      <c r="H4842">
        <f>E4842*1000000/D4842</f>
        <v>880004.2189291137</v>
      </c>
      <c r="I4842" t="str">
        <f>IF(AND(B4842&gt;=2018, B4842&lt;=2021), "2018-2021", IF(AND(B4842&gt;=2022, B4842&lt;=2024), "2022-2024", "Other"))</f>
        <v>2022-2024</v>
      </c>
    </row>
    <row r="4843" spans="1:9" x14ac:dyDescent="0.3">
      <c r="A4843" t="s">
        <v>17</v>
      </c>
      <c r="B4843">
        <v>2019</v>
      </c>
      <c r="C4843" t="s">
        <v>0</v>
      </c>
      <c r="D4843">
        <v>8193.0499999999993</v>
      </c>
      <c r="E4843">
        <v>8727.09</v>
      </c>
      <c r="F4843">
        <v>109.95</v>
      </c>
      <c r="G4843">
        <v>348.55</v>
      </c>
      <c r="H4843">
        <f>E4843*1000000/D4843</f>
        <v>1065182.0750514157</v>
      </c>
      <c r="I4843" t="str">
        <f>IF(AND(B4843&gt;=2018, B4843&lt;=2021), "2018-2021", IF(AND(B4843&gt;=2022, B4843&lt;=2024), "2022-2024", "Other"))</f>
        <v>2018-2021</v>
      </c>
    </row>
    <row r="4844" spans="1:9" x14ac:dyDescent="0.3">
      <c r="A4844" t="s">
        <v>25</v>
      </c>
      <c r="B4844">
        <v>2024</v>
      </c>
      <c r="C4844" t="s">
        <v>8</v>
      </c>
      <c r="D4844">
        <v>39440.620000000003</v>
      </c>
      <c r="E4844">
        <v>43051.91</v>
      </c>
      <c r="F4844">
        <v>82.83</v>
      </c>
      <c r="G4844">
        <v>1317.74</v>
      </c>
      <c r="H4844">
        <f>E4844*1000000/D4844</f>
        <v>1091562.7086998124</v>
      </c>
      <c r="I4844" t="str">
        <f>IF(AND(B4844&gt;=2018, B4844&lt;=2021), "2018-2021", IF(AND(B4844&gt;=2022, B4844&lt;=2024), "2022-2024", "Other"))</f>
        <v>2022-2024</v>
      </c>
    </row>
    <row r="4845" spans="1:9" x14ac:dyDescent="0.3">
      <c r="A4845" t="s">
        <v>1</v>
      </c>
      <c r="B4845">
        <v>2020</v>
      </c>
      <c r="C4845" t="s">
        <v>14</v>
      </c>
      <c r="D4845">
        <v>46386.41</v>
      </c>
      <c r="E4845">
        <v>43676.29</v>
      </c>
      <c r="F4845">
        <v>137.25</v>
      </c>
      <c r="G4845">
        <v>971.79</v>
      </c>
      <c r="H4845">
        <f>E4845*1000000/D4845</f>
        <v>941575.12943985092</v>
      </c>
      <c r="I4845" t="str">
        <f>IF(AND(B4845&gt;=2018, B4845&lt;=2021), "2018-2021", IF(AND(B4845&gt;=2022, B4845&lt;=2024), "2022-2024", "Other"))</f>
        <v>2018-2021</v>
      </c>
    </row>
    <row r="4846" spans="1:9" x14ac:dyDescent="0.3">
      <c r="A4846" t="s">
        <v>10</v>
      </c>
      <c r="B4846">
        <v>2019</v>
      </c>
      <c r="C4846" t="s">
        <v>4</v>
      </c>
      <c r="D4846">
        <v>32792.410000000003</v>
      </c>
      <c r="E4846">
        <v>32698.720000000001</v>
      </c>
      <c r="F4846">
        <v>168.46</v>
      </c>
      <c r="G4846">
        <v>212.84</v>
      </c>
      <c r="H4846">
        <f>E4846*1000000/D4846</f>
        <v>997142.93642949685</v>
      </c>
      <c r="I4846" t="str">
        <f>IF(AND(B4846&gt;=2018, B4846&lt;=2021), "2018-2021", IF(AND(B4846&gt;=2022, B4846&lt;=2024), "2022-2024", "Other"))</f>
        <v>2018-2021</v>
      </c>
    </row>
    <row r="4847" spans="1:9" x14ac:dyDescent="0.3">
      <c r="A4847" t="s">
        <v>27</v>
      </c>
      <c r="B4847">
        <v>2021</v>
      </c>
      <c r="C4847" t="s">
        <v>0</v>
      </c>
      <c r="D4847">
        <v>25597.33</v>
      </c>
      <c r="E4847">
        <v>30002.61</v>
      </c>
      <c r="F4847">
        <v>66.94</v>
      </c>
      <c r="G4847">
        <v>1091.69</v>
      </c>
      <c r="H4847">
        <f>E4847*1000000/D4847</f>
        <v>1172099.1994086883</v>
      </c>
      <c r="I4847" t="str">
        <f>IF(AND(B4847&gt;=2018, B4847&lt;=2021), "2018-2021", IF(AND(B4847&gt;=2022, B4847&lt;=2024), "2022-2024", "Other"))</f>
        <v>2018-2021</v>
      </c>
    </row>
    <row r="4848" spans="1:9" x14ac:dyDescent="0.3">
      <c r="A4848" t="s">
        <v>20</v>
      </c>
      <c r="B4848">
        <v>2024</v>
      </c>
      <c r="C4848" t="s">
        <v>12</v>
      </c>
      <c r="D4848">
        <v>38598.67</v>
      </c>
      <c r="E4848">
        <v>37070.92</v>
      </c>
      <c r="F4848">
        <v>185.59</v>
      </c>
      <c r="G4848">
        <v>884.49</v>
      </c>
      <c r="H4848">
        <f>E4848*1000000/D4848</f>
        <v>960419.62067604926</v>
      </c>
      <c r="I4848" t="str">
        <f>IF(AND(B4848&gt;=2018, B4848&lt;=2021), "2018-2021", IF(AND(B4848&gt;=2022, B4848&lt;=2024), "2022-2024", "Other"))</f>
        <v>2022-2024</v>
      </c>
    </row>
    <row r="4849" spans="1:9" x14ac:dyDescent="0.3">
      <c r="A4849" t="s">
        <v>24</v>
      </c>
      <c r="B4849">
        <v>2022</v>
      </c>
      <c r="C4849" t="s">
        <v>4</v>
      </c>
      <c r="D4849">
        <v>44297.49</v>
      </c>
      <c r="E4849">
        <v>44282.37</v>
      </c>
      <c r="F4849">
        <v>57.05</v>
      </c>
      <c r="G4849">
        <v>813.38</v>
      </c>
      <c r="H4849">
        <f>E4849*1000000/D4849</f>
        <v>999658.67140553566</v>
      </c>
      <c r="I4849" t="str">
        <f>IF(AND(B4849&gt;=2018, B4849&lt;=2021), "2018-2021", IF(AND(B4849&gt;=2022, B4849&lt;=2024), "2022-2024", "Other"))</f>
        <v>2022-2024</v>
      </c>
    </row>
    <row r="4850" spans="1:9" x14ac:dyDescent="0.3">
      <c r="A4850" t="s">
        <v>19</v>
      </c>
      <c r="B4850">
        <v>2020</v>
      </c>
      <c r="C4850" t="s">
        <v>0</v>
      </c>
      <c r="D4850">
        <v>33111.42</v>
      </c>
      <c r="E4850">
        <v>39369.699999999997</v>
      </c>
      <c r="F4850">
        <v>164.91</v>
      </c>
      <c r="G4850">
        <v>230.96</v>
      </c>
      <c r="H4850">
        <f>E4850*1000000/D4850</f>
        <v>1189006.693159037</v>
      </c>
      <c r="I4850" t="str">
        <f>IF(AND(B4850&gt;=2018, B4850&lt;=2021), "2018-2021", IF(AND(B4850&gt;=2022, B4850&lt;=2024), "2022-2024", "Other"))</f>
        <v>2018-2021</v>
      </c>
    </row>
    <row r="4851" spans="1:9" x14ac:dyDescent="0.3">
      <c r="A4851" t="s">
        <v>25</v>
      </c>
      <c r="B4851">
        <v>2020</v>
      </c>
      <c r="C4851" t="s">
        <v>4</v>
      </c>
      <c r="D4851">
        <v>21762.42</v>
      </c>
      <c r="E4851">
        <v>21727.81</v>
      </c>
      <c r="F4851">
        <v>37.18</v>
      </c>
      <c r="G4851">
        <v>1187.1400000000001</v>
      </c>
      <c r="H4851">
        <f>E4851*1000000/D4851</f>
        <v>998409.64378042519</v>
      </c>
      <c r="I4851" t="str">
        <f>IF(AND(B4851&gt;=2018, B4851&lt;=2021), "2018-2021", IF(AND(B4851&gt;=2022, B4851&lt;=2024), "2022-2024", "Other"))</f>
        <v>2018-2021</v>
      </c>
    </row>
    <row r="4852" spans="1:9" x14ac:dyDescent="0.3">
      <c r="A4852" t="s">
        <v>21</v>
      </c>
      <c r="B4852">
        <v>2018</v>
      </c>
      <c r="C4852" t="s">
        <v>8</v>
      </c>
      <c r="D4852">
        <v>19923.11</v>
      </c>
      <c r="E4852">
        <v>17562.599999999999</v>
      </c>
      <c r="F4852">
        <v>173.48</v>
      </c>
      <c r="G4852">
        <v>745.6</v>
      </c>
      <c r="H4852">
        <f>E4852*1000000/D4852</f>
        <v>881518.99979471078</v>
      </c>
      <c r="I4852" t="str">
        <f>IF(AND(B4852&gt;=2018, B4852&lt;=2021), "2018-2021", IF(AND(B4852&gt;=2022, B4852&lt;=2024), "2022-2024", "Other"))</f>
        <v>2018-2021</v>
      </c>
    </row>
    <row r="4853" spans="1:9" x14ac:dyDescent="0.3">
      <c r="A4853" t="s">
        <v>3</v>
      </c>
      <c r="B4853">
        <v>2022</v>
      </c>
      <c r="C4853" t="s">
        <v>12</v>
      </c>
      <c r="D4853">
        <v>8853.7099999999991</v>
      </c>
      <c r="E4853">
        <v>10483.39</v>
      </c>
      <c r="F4853">
        <v>188.06</v>
      </c>
      <c r="G4853">
        <v>664.73</v>
      </c>
      <c r="H4853">
        <f>E4853*1000000/D4853</f>
        <v>1184067.470021042</v>
      </c>
      <c r="I4853" t="str">
        <f>IF(AND(B4853&gt;=2018, B4853&lt;=2021), "2018-2021", IF(AND(B4853&gt;=2022, B4853&lt;=2024), "2022-2024", "Other"))</f>
        <v>2022-2024</v>
      </c>
    </row>
    <row r="4854" spans="1:9" x14ac:dyDescent="0.3">
      <c r="A4854" t="s">
        <v>25</v>
      </c>
      <c r="B4854">
        <v>2021</v>
      </c>
      <c r="C4854" t="s">
        <v>6</v>
      </c>
      <c r="D4854">
        <v>23188.93</v>
      </c>
      <c r="E4854">
        <v>23494.560000000001</v>
      </c>
      <c r="F4854">
        <v>117.77</v>
      </c>
      <c r="G4854">
        <v>1043.6500000000001</v>
      </c>
      <c r="H4854">
        <f>E4854*1000000/D4854</f>
        <v>1013179.9957997199</v>
      </c>
      <c r="I4854" t="str">
        <f>IF(AND(B4854&gt;=2018, B4854&lt;=2021), "2018-2021", IF(AND(B4854&gt;=2022, B4854&lt;=2024), "2022-2024", "Other"))</f>
        <v>2018-2021</v>
      </c>
    </row>
    <row r="4855" spans="1:9" x14ac:dyDescent="0.3">
      <c r="A4855" t="s">
        <v>24</v>
      </c>
      <c r="B4855">
        <v>2022</v>
      </c>
      <c r="C4855" t="s">
        <v>14</v>
      </c>
      <c r="D4855">
        <v>14342.41</v>
      </c>
      <c r="E4855">
        <v>11795.32</v>
      </c>
      <c r="F4855">
        <v>196.2</v>
      </c>
      <c r="G4855">
        <v>555.71</v>
      </c>
      <c r="H4855">
        <f>E4855*1000000/D4855</f>
        <v>822408.50735685288</v>
      </c>
      <c r="I4855" t="str">
        <f>IF(AND(B4855&gt;=2018, B4855&lt;=2021), "2018-2021", IF(AND(B4855&gt;=2022, B4855&lt;=2024), "2022-2024", "Other"))</f>
        <v>2022-2024</v>
      </c>
    </row>
    <row r="4856" spans="1:9" x14ac:dyDescent="0.3">
      <c r="A4856" t="s">
        <v>24</v>
      </c>
      <c r="B4856">
        <v>2018</v>
      </c>
      <c r="C4856" t="s">
        <v>14</v>
      </c>
      <c r="D4856">
        <v>20022.830000000002</v>
      </c>
      <c r="E4856">
        <v>21093.19</v>
      </c>
      <c r="F4856">
        <v>161.79</v>
      </c>
      <c r="G4856">
        <v>1203.03</v>
      </c>
      <c r="H4856">
        <f>E4856*1000000/D4856</f>
        <v>1053456.9788586327</v>
      </c>
      <c r="I4856" t="str">
        <f>IF(AND(B4856&gt;=2018, B4856&lt;=2021), "2018-2021", IF(AND(B4856&gt;=2022, B4856&lt;=2024), "2022-2024", "Other"))</f>
        <v>2018-2021</v>
      </c>
    </row>
    <row r="4857" spans="1:9" x14ac:dyDescent="0.3">
      <c r="A4857" t="s">
        <v>27</v>
      </c>
      <c r="B4857">
        <v>2023</v>
      </c>
      <c r="C4857" t="s">
        <v>12</v>
      </c>
      <c r="D4857">
        <v>32016.16</v>
      </c>
      <c r="E4857">
        <v>30111.200000000001</v>
      </c>
      <c r="F4857">
        <v>73.959999999999994</v>
      </c>
      <c r="G4857">
        <v>65.959999999999994</v>
      </c>
      <c r="H4857">
        <f>E4857*1000000/D4857</f>
        <v>940500.0474760246</v>
      </c>
      <c r="I4857" t="str">
        <f>IF(AND(B4857&gt;=2018, B4857&lt;=2021), "2018-2021", IF(AND(B4857&gt;=2022, B4857&lt;=2024), "2022-2024", "Other"))</f>
        <v>2022-2024</v>
      </c>
    </row>
    <row r="4858" spans="1:9" x14ac:dyDescent="0.3">
      <c r="A4858" t="s">
        <v>15</v>
      </c>
      <c r="B4858">
        <v>2021</v>
      </c>
      <c r="C4858" t="s">
        <v>14</v>
      </c>
      <c r="D4858">
        <v>14909.86</v>
      </c>
      <c r="E4858">
        <v>16461.12</v>
      </c>
      <c r="F4858">
        <v>38.659999999999997</v>
      </c>
      <c r="G4858">
        <v>376.84</v>
      </c>
      <c r="H4858">
        <f>E4858*1000000/D4858</f>
        <v>1104042.5597557588</v>
      </c>
      <c r="I4858" t="str">
        <f>IF(AND(B4858&gt;=2018, B4858&lt;=2021), "2018-2021", IF(AND(B4858&gt;=2022, B4858&lt;=2024), "2022-2024", "Other"))</f>
        <v>2018-2021</v>
      </c>
    </row>
    <row r="4859" spans="1:9" x14ac:dyDescent="0.3">
      <c r="A4859" t="s">
        <v>27</v>
      </c>
      <c r="B4859">
        <v>2024</v>
      </c>
      <c r="C4859" t="s">
        <v>0</v>
      </c>
      <c r="D4859">
        <v>47238.43</v>
      </c>
      <c r="E4859">
        <v>44081.88</v>
      </c>
      <c r="F4859">
        <v>48.9</v>
      </c>
      <c r="G4859">
        <v>280.32</v>
      </c>
      <c r="H4859">
        <f>E4859*1000000/D4859</f>
        <v>933178.34652845154</v>
      </c>
      <c r="I4859" t="str">
        <f>IF(AND(B4859&gt;=2018, B4859&lt;=2021), "2018-2021", IF(AND(B4859&gt;=2022, B4859&lt;=2024), "2022-2024", "Other"))</f>
        <v>2022-2024</v>
      </c>
    </row>
    <row r="4860" spans="1:9" x14ac:dyDescent="0.3">
      <c r="A4860" t="s">
        <v>25</v>
      </c>
      <c r="B4860">
        <v>2022</v>
      </c>
      <c r="C4860" t="s">
        <v>0</v>
      </c>
      <c r="D4860">
        <v>40990.980000000003</v>
      </c>
      <c r="E4860">
        <v>40497.51</v>
      </c>
      <c r="F4860">
        <v>24.31</v>
      </c>
      <c r="G4860">
        <v>463.06</v>
      </c>
      <c r="H4860">
        <f>E4860*1000000/D4860</f>
        <v>987961.49787099496</v>
      </c>
      <c r="I4860" t="str">
        <f>IF(AND(B4860&gt;=2018, B4860&lt;=2021), "2018-2021", IF(AND(B4860&gt;=2022, B4860&lt;=2024), "2022-2024", "Other"))</f>
        <v>2022-2024</v>
      </c>
    </row>
    <row r="4861" spans="1:9" x14ac:dyDescent="0.3">
      <c r="A4861" t="s">
        <v>26</v>
      </c>
      <c r="B4861">
        <v>2023</v>
      </c>
      <c r="C4861" t="s">
        <v>4</v>
      </c>
      <c r="D4861">
        <v>48342.31</v>
      </c>
      <c r="E4861">
        <v>54488.55</v>
      </c>
      <c r="F4861">
        <v>61.5</v>
      </c>
      <c r="G4861">
        <v>1378.57</v>
      </c>
      <c r="H4861">
        <f>E4861*1000000/D4861</f>
        <v>1127139.973244969</v>
      </c>
      <c r="I4861" t="str">
        <f>IF(AND(B4861&gt;=2018, B4861&lt;=2021), "2018-2021", IF(AND(B4861&gt;=2022, B4861&lt;=2024), "2022-2024", "Other"))</f>
        <v>2022-2024</v>
      </c>
    </row>
    <row r="4862" spans="1:9" x14ac:dyDescent="0.3">
      <c r="A4862" t="s">
        <v>1</v>
      </c>
      <c r="B4862">
        <v>2020</v>
      </c>
      <c r="C4862" t="s">
        <v>8</v>
      </c>
      <c r="D4862">
        <v>27412.82</v>
      </c>
      <c r="E4862">
        <v>22801.73</v>
      </c>
      <c r="F4862">
        <v>184.82</v>
      </c>
      <c r="G4862">
        <v>232.83</v>
      </c>
      <c r="H4862">
        <f>E4862*1000000/D4862</f>
        <v>831790.74608157785</v>
      </c>
      <c r="I4862" t="str">
        <f>IF(AND(B4862&gt;=2018, B4862&lt;=2021), "2018-2021", IF(AND(B4862&gt;=2022, B4862&lt;=2024), "2022-2024", "Other"))</f>
        <v>2018-2021</v>
      </c>
    </row>
    <row r="4863" spans="1:9" x14ac:dyDescent="0.3">
      <c r="A4863" t="s">
        <v>24</v>
      </c>
      <c r="B4863">
        <v>2019</v>
      </c>
      <c r="C4863" t="s">
        <v>2</v>
      </c>
      <c r="D4863">
        <v>17108.77</v>
      </c>
      <c r="E4863">
        <v>14857.49</v>
      </c>
      <c r="F4863">
        <v>103.22</v>
      </c>
      <c r="G4863">
        <v>620.33000000000004</v>
      </c>
      <c r="H4863">
        <f>E4863*1000000/D4863</f>
        <v>868413.68491130567</v>
      </c>
      <c r="I4863" t="str">
        <f>IF(AND(B4863&gt;=2018, B4863&lt;=2021), "2018-2021", IF(AND(B4863&gt;=2022, B4863&lt;=2024), "2022-2024", "Other"))</f>
        <v>2018-2021</v>
      </c>
    </row>
    <row r="4864" spans="1:9" x14ac:dyDescent="0.3">
      <c r="A4864" t="s">
        <v>19</v>
      </c>
      <c r="B4864">
        <v>2024</v>
      </c>
      <c r="C4864" t="s">
        <v>12</v>
      </c>
      <c r="D4864">
        <v>40762.089999999997</v>
      </c>
      <c r="E4864">
        <v>45030.05</v>
      </c>
      <c r="F4864">
        <v>112.73</v>
      </c>
      <c r="G4864">
        <v>1283.53</v>
      </c>
      <c r="H4864">
        <f>E4864*1000000/D4864</f>
        <v>1104704.1503514664</v>
      </c>
      <c r="I4864" t="str">
        <f>IF(AND(B4864&gt;=2018, B4864&lt;=2021), "2018-2021", IF(AND(B4864&gt;=2022, B4864&lt;=2024), "2022-2024", "Other"))</f>
        <v>2022-2024</v>
      </c>
    </row>
    <row r="4865" spans="1:9" x14ac:dyDescent="0.3">
      <c r="A4865" t="s">
        <v>1</v>
      </c>
      <c r="B4865">
        <v>2022</v>
      </c>
      <c r="C4865" t="s">
        <v>6</v>
      </c>
      <c r="D4865">
        <v>40765.370000000003</v>
      </c>
      <c r="E4865">
        <v>34446.239999999998</v>
      </c>
      <c r="F4865">
        <v>169.23</v>
      </c>
      <c r="G4865">
        <v>907.62</v>
      </c>
      <c r="H4865">
        <f>E4865*1000000/D4865</f>
        <v>844987.79233452305</v>
      </c>
      <c r="I4865" t="str">
        <f>IF(AND(B4865&gt;=2018, B4865&lt;=2021), "2018-2021", IF(AND(B4865&gt;=2022, B4865&lt;=2024), "2022-2024", "Other"))</f>
        <v>2022-2024</v>
      </c>
    </row>
    <row r="4866" spans="1:9" x14ac:dyDescent="0.3">
      <c r="A4866" t="s">
        <v>20</v>
      </c>
      <c r="B4866">
        <v>2023</v>
      </c>
      <c r="C4866" t="s">
        <v>0</v>
      </c>
      <c r="D4866">
        <v>27778.91</v>
      </c>
      <c r="E4866">
        <v>23145.16</v>
      </c>
      <c r="F4866">
        <v>105.48</v>
      </c>
      <c r="G4866">
        <v>782.65</v>
      </c>
      <c r="H4866">
        <f>E4866*1000000/D4866</f>
        <v>833191.79910226865</v>
      </c>
      <c r="I4866" t="str">
        <f>IF(AND(B4866&gt;=2018, B4866&lt;=2021), "2018-2021", IF(AND(B4866&gt;=2022, B4866&lt;=2024), "2022-2024", "Other"))</f>
        <v>2022-2024</v>
      </c>
    </row>
    <row r="4867" spans="1:9" x14ac:dyDescent="0.3">
      <c r="A4867" t="s">
        <v>23</v>
      </c>
      <c r="B4867">
        <v>2018</v>
      </c>
      <c r="C4867" t="s">
        <v>8</v>
      </c>
      <c r="D4867">
        <v>26032.71</v>
      </c>
      <c r="E4867">
        <v>27914.26</v>
      </c>
      <c r="F4867">
        <v>59.22</v>
      </c>
      <c r="G4867">
        <v>91.28</v>
      </c>
      <c r="H4867">
        <f>E4867*1000000/D4867</f>
        <v>1072276.3784484982</v>
      </c>
      <c r="I4867" t="str">
        <f>IF(AND(B4867&gt;=2018, B4867&lt;=2021), "2018-2021", IF(AND(B4867&gt;=2022, B4867&lt;=2024), "2022-2024", "Other"))</f>
        <v>2018-2021</v>
      </c>
    </row>
    <row r="4868" spans="1:9" x14ac:dyDescent="0.3">
      <c r="A4868" t="s">
        <v>3</v>
      </c>
      <c r="B4868">
        <v>2019</v>
      </c>
      <c r="C4868" t="s">
        <v>8</v>
      </c>
      <c r="D4868">
        <v>900.67</v>
      </c>
      <c r="E4868">
        <v>917.74</v>
      </c>
      <c r="F4868">
        <v>168.02</v>
      </c>
      <c r="G4868">
        <v>216.36</v>
      </c>
      <c r="H4868">
        <f>E4868*1000000/D4868</f>
        <v>1018952.5575404976</v>
      </c>
      <c r="I4868" t="str">
        <f>IF(AND(B4868&gt;=2018, B4868&lt;=2021), "2018-2021", IF(AND(B4868&gt;=2022, B4868&lt;=2024), "2022-2024", "Other"))</f>
        <v>2018-2021</v>
      </c>
    </row>
    <row r="4869" spans="1:9" x14ac:dyDescent="0.3">
      <c r="A4869" t="s">
        <v>21</v>
      </c>
      <c r="B4869">
        <v>2018</v>
      </c>
      <c r="C4869" t="s">
        <v>14</v>
      </c>
      <c r="D4869">
        <v>1268.5999999999999</v>
      </c>
      <c r="E4869">
        <v>1257.4000000000001</v>
      </c>
      <c r="F4869">
        <v>121.76</v>
      </c>
      <c r="G4869">
        <v>573.23</v>
      </c>
      <c r="H4869">
        <f>E4869*1000000/D4869</f>
        <v>991171.37001418893</v>
      </c>
      <c r="I4869" t="str">
        <f>IF(AND(B4869&gt;=2018, B4869&lt;=2021), "2018-2021", IF(AND(B4869&gt;=2022, B4869&lt;=2024), "2022-2024", "Other"))</f>
        <v>2018-2021</v>
      </c>
    </row>
    <row r="4870" spans="1:9" x14ac:dyDescent="0.3">
      <c r="A4870" t="s">
        <v>1</v>
      </c>
      <c r="B4870">
        <v>2022</v>
      </c>
      <c r="C4870" t="s">
        <v>8</v>
      </c>
      <c r="D4870">
        <v>39051.33</v>
      </c>
      <c r="E4870">
        <v>37515.629999999997</v>
      </c>
      <c r="F4870">
        <v>112.51</v>
      </c>
      <c r="G4870">
        <v>1128.01</v>
      </c>
      <c r="H4870">
        <f>E4870*1000000/D4870</f>
        <v>960674.83489038656</v>
      </c>
      <c r="I4870" t="str">
        <f>IF(AND(B4870&gt;=2018, B4870&lt;=2021), "2018-2021", IF(AND(B4870&gt;=2022, B4870&lt;=2024), "2022-2024", "Other"))</f>
        <v>2022-2024</v>
      </c>
    </row>
    <row r="4871" spans="1:9" x14ac:dyDescent="0.3">
      <c r="A4871" t="s">
        <v>3</v>
      </c>
      <c r="B4871">
        <v>2024</v>
      </c>
      <c r="C4871" t="s">
        <v>0</v>
      </c>
      <c r="D4871">
        <v>49147.86</v>
      </c>
      <c r="E4871">
        <v>56321.02</v>
      </c>
      <c r="F4871">
        <v>183.59</v>
      </c>
      <c r="G4871">
        <v>1395.51</v>
      </c>
      <c r="H4871">
        <f>E4871*1000000/D4871</f>
        <v>1145950.607005066</v>
      </c>
      <c r="I4871" t="str">
        <f>IF(AND(B4871&gt;=2018, B4871&lt;=2021), "2018-2021", IF(AND(B4871&gt;=2022, B4871&lt;=2024), "2022-2024", "Other"))</f>
        <v>2022-2024</v>
      </c>
    </row>
    <row r="4872" spans="1:9" x14ac:dyDescent="0.3">
      <c r="A4872" t="s">
        <v>25</v>
      </c>
      <c r="B4872">
        <v>2018</v>
      </c>
      <c r="C4872" t="s">
        <v>2</v>
      </c>
      <c r="D4872">
        <v>40906.29</v>
      </c>
      <c r="E4872">
        <v>44848.78</v>
      </c>
      <c r="F4872">
        <v>50.35</v>
      </c>
      <c r="G4872">
        <v>933.91</v>
      </c>
      <c r="H4872">
        <f>E4872*1000000/D4872</f>
        <v>1096378.5764976486</v>
      </c>
      <c r="I4872" t="str">
        <f>IF(AND(B4872&gt;=2018, B4872&lt;=2021), "2018-2021", IF(AND(B4872&gt;=2022, B4872&lt;=2024), "2022-2024", "Other"))</f>
        <v>2018-2021</v>
      </c>
    </row>
    <row r="4873" spans="1:9" x14ac:dyDescent="0.3">
      <c r="A4873" t="s">
        <v>19</v>
      </c>
      <c r="B4873">
        <v>2024</v>
      </c>
      <c r="C4873" t="s">
        <v>4</v>
      </c>
      <c r="D4873">
        <v>29351.78</v>
      </c>
      <c r="E4873">
        <v>24462.85</v>
      </c>
      <c r="F4873">
        <v>197.13</v>
      </c>
      <c r="G4873">
        <v>1072.06</v>
      </c>
      <c r="H4873">
        <f>E4873*1000000/D4873</f>
        <v>833436.67743489495</v>
      </c>
      <c r="I4873" t="str">
        <f>IF(AND(B4873&gt;=2018, B4873&lt;=2021), "2018-2021", IF(AND(B4873&gt;=2022, B4873&lt;=2024), "2022-2024", "Other"))</f>
        <v>2022-2024</v>
      </c>
    </row>
    <row r="4874" spans="1:9" x14ac:dyDescent="0.3">
      <c r="A4874" t="s">
        <v>25</v>
      </c>
      <c r="B4874">
        <v>2019</v>
      </c>
      <c r="C4874" t="s">
        <v>9</v>
      </c>
      <c r="D4874">
        <v>23977.63</v>
      </c>
      <c r="E4874">
        <v>25526.1</v>
      </c>
      <c r="F4874">
        <v>58.49</v>
      </c>
      <c r="G4874">
        <v>1080.48</v>
      </c>
      <c r="H4874">
        <f>E4874*1000000/D4874</f>
        <v>1064579.777067208</v>
      </c>
      <c r="I4874" t="str">
        <f>IF(AND(B4874&gt;=2018, B4874&lt;=2021), "2018-2021", IF(AND(B4874&gt;=2022, B4874&lt;=2024), "2022-2024", "Other"))</f>
        <v>2018-2021</v>
      </c>
    </row>
    <row r="4875" spans="1:9" x14ac:dyDescent="0.3">
      <c r="A4875" t="s">
        <v>24</v>
      </c>
      <c r="B4875">
        <v>2019</v>
      </c>
      <c r="C4875" t="s">
        <v>6</v>
      </c>
      <c r="D4875">
        <v>31553.1</v>
      </c>
      <c r="E4875">
        <v>29944.06</v>
      </c>
      <c r="F4875">
        <v>86.61</v>
      </c>
      <c r="G4875">
        <v>1397.75</v>
      </c>
      <c r="H4875">
        <f>E4875*1000000/D4875</f>
        <v>949005.32752724772</v>
      </c>
      <c r="I4875" t="str">
        <f>IF(AND(B4875&gt;=2018, B4875&lt;=2021), "2018-2021", IF(AND(B4875&gt;=2022, B4875&lt;=2024), "2022-2024", "Other"))</f>
        <v>2018-2021</v>
      </c>
    </row>
    <row r="4876" spans="1:9" x14ac:dyDescent="0.3">
      <c r="A4876" t="s">
        <v>20</v>
      </c>
      <c r="B4876">
        <v>2024</v>
      </c>
      <c r="C4876" t="s">
        <v>12</v>
      </c>
      <c r="D4876">
        <v>14970.85</v>
      </c>
      <c r="E4876">
        <v>15563.82</v>
      </c>
      <c r="F4876">
        <v>145.72</v>
      </c>
      <c r="G4876">
        <v>1060.8699999999999</v>
      </c>
      <c r="H4876">
        <f>E4876*1000000/D4876</f>
        <v>1039608.3054736371</v>
      </c>
      <c r="I4876" t="str">
        <f>IF(AND(B4876&gt;=2018, B4876&lt;=2021), "2018-2021", IF(AND(B4876&gt;=2022, B4876&lt;=2024), "2022-2024", "Other"))</f>
        <v>2022-2024</v>
      </c>
    </row>
    <row r="4877" spans="1:9" x14ac:dyDescent="0.3">
      <c r="A4877" t="s">
        <v>16</v>
      </c>
      <c r="B4877">
        <v>2022</v>
      </c>
      <c r="C4877" t="s">
        <v>12</v>
      </c>
      <c r="D4877">
        <v>45805.21</v>
      </c>
      <c r="E4877">
        <v>41400.33</v>
      </c>
      <c r="F4877">
        <v>36.53</v>
      </c>
      <c r="G4877">
        <v>402.4</v>
      </c>
      <c r="H4877">
        <f>E4877*1000000/D4877</f>
        <v>903834.52013428172</v>
      </c>
      <c r="I4877" t="str">
        <f>IF(AND(B4877&gt;=2018, B4877&lt;=2021), "2018-2021", IF(AND(B4877&gt;=2022, B4877&lt;=2024), "2022-2024", "Other"))</f>
        <v>2022-2024</v>
      </c>
    </row>
    <row r="4878" spans="1:9" x14ac:dyDescent="0.3">
      <c r="A4878" t="s">
        <v>25</v>
      </c>
      <c r="B4878">
        <v>2024</v>
      </c>
      <c r="C4878" t="s">
        <v>8</v>
      </c>
      <c r="D4878">
        <v>19242.47</v>
      </c>
      <c r="E4878">
        <v>16275.03</v>
      </c>
      <c r="F4878">
        <v>73.290000000000006</v>
      </c>
      <c r="G4878">
        <v>539.1</v>
      </c>
      <c r="H4878">
        <f>E4878*1000000/D4878</f>
        <v>845786.94938851404</v>
      </c>
      <c r="I4878" t="str">
        <f>IF(AND(B4878&gt;=2018, B4878&lt;=2021), "2018-2021", IF(AND(B4878&gt;=2022, B4878&lt;=2024), "2022-2024", "Other"))</f>
        <v>2022-2024</v>
      </c>
    </row>
    <row r="4879" spans="1:9" x14ac:dyDescent="0.3">
      <c r="A4879" t="s">
        <v>7</v>
      </c>
      <c r="B4879">
        <v>2018</v>
      </c>
      <c r="C4879" t="s">
        <v>2</v>
      </c>
      <c r="D4879">
        <v>25144.22</v>
      </c>
      <c r="E4879">
        <v>28765.81</v>
      </c>
      <c r="F4879">
        <v>24.34</v>
      </c>
      <c r="G4879">
        <v>539.27</v>
      </c>
      <c r="H4879">
        <f>E4879*1000000/D4879</f>
        <v>1144032.7041363779</v>
      </c>
      <c r="I4879" t="str">
        <f>IF(AND(B4879&gt;=2018, B4879&lt;=2021), "2018-2021", IF(AND(B4879&gt;=2022, B4879&lt;=2024), "2022-2024", "Other"))</f>
        <v>2018-2021</v>
      </c>
    </row>
    <row r="4880" spans="1:9" x14ac:dyDescent="0.3">
      <c r="A4880" t="s">
        <v>23</v>
      </c>
      <c r="B4880">
        <v>2024</v>
      </c>
      <c r="C4880" t="s">
        <v>0</v>
      </c>
      <c r="D4880">
        <v>31031.85</v>
      </c>
      <c r="E4880">
        <v>28026.74</v>
      </c>
      <c r="F4880">
        <v>84.55</v>
      </c>
      <c r="G4880">
        <v>998.56</v>
      </c>
      <c r="H4880">
        <f>E4880*1000000/D4880</f>
        <v>903160.46255701804</v>
      </c>
      <c r="I4880" t="str">
        <f>IF(AND(B4880&gt;=2018, B4880&lt;=2021), "2018-2021", IF(AND(B4880&gt;=2022, B4880&lt;=2024), "2022-2024", "Other"))</f>
        <v>2022-2024</v>
      </c>
    </row>
    <row r="4881" spans="1:9" x14ac:dyDescent="0.3">
      <c r="A4881" t="s">
        <v>10</v>
      </c>
      <c r="B4881">
        <v>2022</v>
      </c>
      <c r="C4881" t="s">
        <v>2</v>
      </c>
      <c r="D4881">
        <v>21861.61</v>
      </c>
      <c r="E4881">
        <v>21387.279999999999</v>
      </c>
      <c r="F4881">
        <v>57.56</v>
      </c>
      <c r="G4881">
        <v>525.58000000000004</v>
      </c>
      <c r="H4881">
        <f>E4881*1000000/D4881</f>
        <v>978303.06185134582</v>
      </c>
      <c r="I4881" t="str">
        <f>IF(AND(B4881&gt;=2018, B4881&lt;=2021), "2018-2021", IF(AND(B4881&gt;=2022, B4881&lt;=2024), "2022-2024", "Other"))</f>
        <v>2022-2024</v>
      </c>
    </row>
    <row r="4882" spans="1:9" x14ac:dyDescent="0.3">
      <c r="A4882" t="s">
        <v>11</v>
      </c>
      <c r="B4882">
        <v>2023</v>
      </c>
      <c r="C4882" t="s">
        <v>2</v>
      </c>
      <c r="D4882">
        <v>26751.05</v>
      </c>
      <c r="E4882">
        <v>29812.25</v>
      </c>
      <c r="F4882">
        <v>187.89</v>
      </c>
      <c r="G4882">
        <v>1002.72</v>
      </c>
      <c r="H4882">
        <f>E4882*1000000/D4882</f>
        <v>1114432.8914192154</v>
      </c>
      <c r="I4882" t="str">
        <f>IF(AND(B4882&gt;=2018, B4882&lt;=2021), "2018-2021", IF(AND(B4882&gt;=2022, B4882&lt;=2024), "2022-2024", "Other"))</f>
        <v>2022-2024</v>
      </c>
    </row>
    <row r="4883" spans="1:9" x14ac:dyDescent="0.3">
      <c r="A4883" t="s">
        <v>13</v>
      </c>
      <c r="B4883">
        <v>2018</v>
      </c>
      <c r="C4883" t="s">
        <v>0</v>
      </c>
      <c r="D4883">
        <v>28209.01</v>
      </c>
      <c r="E4883">
        <v>31943.64</v>
      </c>
      <c r="F4883">
        <v>122.47</v>
      </c>
      <c r="G4883">
        <v>153.4</v>
      </c>
      <c r="H4883">
        <f>E4883*1000000/D4883</f>
        <v>1132391.3884251877</v>
      </c>
      <c r="I4883" t="str">
        <f>IF(AND(B4883&gt;=2018, B4883&lt;=2021), "2018-2021", IF(AND(B4883&gt;=2022, B4883&lt;=2024), "2022-2024", "Other"))</f>
        <v>2018-2021</v>
      </c>
    </row>
    <row r="4884" spans="1:9" x14ac:dyDescent="0.3">
      <c r="A4884" t="s">
        <v>15</v>
      </c>
      <c r="B4884">
        <v>2022</v>
      </c>
      <c r="C4884" t="s">
        <v>12</v>
      </c>
      <c r="D4884">
        <v>774.9</v>
      </c>
      <c r="E4884">
        <v>828.01</v>
      </c>
      <c r="F4884">
        <v>98.07</v>
      </c>
      <c r="G4884">
        <v>1038.1600000000001</v>
      </c>
      <c r="H4884">
        <f>E4884*1000000/D4884</f>
        <v>1068537.875854949</v>
      </c>
      <c r="I4884" t="str">
        <f>IF(AND(B4884&gt;=2018, B4884&lt;=2021), "2018-2021", IF(AND(B4884&gt;=2022, B4884&lt;=2024), "2022-2024", "Other"))</f>
        <v>2022-2024</v>
      </c>
    </row>
    <row r="4885" spans="1:9" x14ac:dyDescent="0.3">
      <c r="A4885" t="s">
        <v>15</v>
      </c>
      <c r="B4885">
        <v>2018</v>
      </c>
      <c r="C4885" t="s">
        <v>6</v>
      </c>
      <c r="D4885">
        <v>19787</v>
      </c>
      <c r="E4885">
        <v>19354.37</v>
      </c>
      <c r="F4885">
        <v>34.29</v>
      </c>
      <c r="G4885">
        <v>953.7</v>
      </c>
      <c r="H4885">
        <f>E4885*1000000/D4885</f>
        <v>978135.64461515134</v>
      </c>
      <c r="I4885" t="str">
        <f>IF(AND(B4885&gt;=2018, B4885&lt;=2021), "2018-2021", IF(AND(B4885&gt;=2022, B4885&lt;=2024), "2022-2024", "Other"))</f>
        <v>2018-2021</v>
      </c>
    </row>
    <row r="4886" spans="1:9" x14ac:dyDescent="0.3">
      <c r="A4886" t="s">
        <v>18</v>
      </c>
      <c r="B4886">
        <v>2019</v>
      </c>
      <c r="C4886" t="s">
        <v>0</v>
      </c>
      <c r="D4886">
        <v>37668.6</v>
      </c>
      <c r="E4886">
        <v>42234.27</v>
      </c>
      <c r="F4886">
        <v>162.25</v>
      </c>
      <c r="G4886">
        <v>39.83</v>
      </c>
      <c r="H4886">
        <f>E4886*1000000/D4886</f>
        <v>1121206.2566700117</v>
      </c>
      <c r="I4886" t="str">
        <f>IF(AND(B4886&gt;=2018, B4886&lt;=2021), "2018-2021", IF(AND(B4886&gt;=2022, B4886&lt;=2024), "2022-2024", "Other"))</f>
        <v>2018-2021</v>
      </c>
    </row>
    <row r="4887" spans="1:9" x14ac:dyDescent="0.3">
      <c r="A4887" t="s">
        <v>19</v>
      </c>
      <c r="B4887">
        <v>2023</v>
      </c>
      <c r="C4887" t="s">
        <v>4</v>
      </c>
      <c r="D4887">
        <v>12845.61</v>
      </c>
      <c r="E4887">
        <v>12010.8</v>
      </c>
      <c r="F4887">
        <v>182.01</v>
      </c>
      <c r="G4887">
        <v>49.3</v>
      </c>
      <c r="H4887">
        <f>E4887*1000000/D4887</f>
        <v>935012.03913243511</v>
      </c>
      <c r="I4887" t="str">
        <f>IF(AND(B4887&gt;=2018, B4887&lt;=2021), "2018-2021", IF(AND(B4887&gt;=2022, B4887&lt;=2024), "2022-2024", "Other"))</f>
        <v>2022-2024</v>
      </c>
    </row>
    <row r="4888" spans="1:9" x14ac:dyDescent="0.3">
      <c r="A4888" t="s">
        <v>26</v>
      </c>
      <c r="B4888">
        <v>2023</v>
      </c>
      <c r="C4888" t="s">
        <v>9</v>
      </c>
      <c r="D4888">
        <v>27669.02</v>
      </c>
      <c r="E4888">
        <v>22227.77</v>
      </c>
      <c r="F4888">
        <v>194.11</v>
      </c>
      <c r="G4888">
        <v>501.96</v>
      </c>
      <c r="H4888">
        <f>E4888*1000000/D4888</f>
        <v>803345.04077123082</v>
      </c>
      <c r="I4888" t="str">
        <f>IF(AND(B4888&gt;=2018, B4888&lt;=2021), "2018-2021", IF(AND(B4888&gt;=2022, B4888&lt;=2024), "2022-2024", "Other"))</f>
        <v>2022-2024</v>
      </c>
    </row>
    <row r="4889" spans="1:9" x14ac:dyDescent="0.3">
      <c r="A4889" t="s">
        <v>1</v>
      </c>
      <c r="B4889">
        <v>2022</v>
      </c>
      <c r="C4889" t="s">
        <v>6</v>
      </c>
      <c r="D4889">
        <v>22616.21</v>
      </c>
      <c r="E4889">
        <v>23341.3</v>
      </c>
      <c r="F4889">
        <v>145.32</v>
      </c>
      <c r="G4889">
        <v>795.67</v>
      </c>
      <c r="H4889">
        <f>E4889*1000000/D4889</f>
        <v>1032060.6326170478</v>
      </c>
      <c r="I4889" t="str">
        <f>IF(AND(B4889&gt;=2018, B4889&lt;=2021), "2018-2021", IF(AND(B4889&gt;=2022, B4889&lt;=2024), "2022-2024", "Other"))</f>
        <v>2022-2024</v>
      </c>
    </row>
    <row r="4890" spans="1:9" x14ac:dyDescent="0.3">
      <c r="A4890" t="s">
        <v>13</v>
      </c>
      <c r="B4890">
        <v>2021</v>
      </c>
      <c r="C4890" t="s">
        <v>9</v>
      </c>
      <c r="D4890">
        <v>2742.85</v>
      </c>
      <c r="E4890">
        <v>2688.34</v>
      </c>
      <c r="F4890">
        <v>21.97</v>
      </c>
      <c r="G4890">
        <v>694.62</v>
      </c>
      <c r="H4890">
        <f>E4890*1000000/D4890</f>
        <v>980126.51074612176</v>
      </c>
      <c r="I4890" t="str">
        <f>IF(AND(B4890&gt;=2018, B4890&lt;=2021), "2018-2021", IF(AND(B4890&gt;=2022, B4890&lt;=2024), "2022-2024", "Other"))</f>
        <v>2018-2021</v>
      </c>
    </row>
    <row r="4891" spans="1:9" x14ac:dyDescent="0.3">
      <c r="A4891" t="s">
        <v>18</v>
      </c>
      <c r="B4891">
        <v>2021</v>
      </c>
      <c r="C4891" t="s">
        <v>12</v>
      </c>
      <c r="D4891">
        <v>29731.200000000001</v>
      </c>
      <c r="E4891">
        <v>32140.93</v>
      </c>
      <c r="F4891">
        <v>156.41999999999999</v>
      </c>
      <c r="G4891">
        <v>1290.77</v>
      </c>
      <c r="H4891">
        <f>E4891*1000000/D4891</f>
        <v>1081050.546227532</v>
      </c>
      <c r="I4891" t="str">
        <f>IF(AND(B4891&gt;=2018, B4891&lt;=2021), "2018-2021", IF(AND(B4891&gt;=2022, B4891&lt;=2024), "2022-2024", "Other"))</f>
        <v>2018-2021</v>
      </c>
    </row>
    <row r="4892" spans="1:9" x14ac:dyDescent="0.3">
      <c r="A4892" t="s">
        <v>15</v>
      </c>
      <c r="B4892">
        <v>2019</v>
      </c>
      <c r="C4892" t="s">
        <v>0</v>
      </c>
      <c r="D4892">
        <v>15441.12</v>
      </c>
      <c r="E4892">
        <v>15740.11</v>
      </c>
      <c r="F4892">
        <v>121.86</v>
      </c>
      <c r="G4892">
        <v>1025.58</v>
      </c>
      <c r="H4892">
        <f>E4892*1000000/D4892</f>
        <v>1019363.23271887</v>
      </c>
      <c r="I4892" t="str">
        <f>IF(AND(B4892&gt;=2018, B4892&lt;=2021), "2018-2021", IF(AND(B4892&gt;=2022, B4892&lt;=2024), "2022-2024", "Other"))</f>
        <v>2018-2021</v>
      </c>
    </row>
    <row r="4893" spans="1:9" x14ac:dyDescent="0.3">
      <c r="A4893" t="s">
        <v>10</v>
      </c>
      <c r="B4893">
        <v>2022</v>
      </c>
      <c r="C4893" t="s">
        <v>4</v>
      </c>
      <c r="D4893">
        <v>20520.29</v>
      </c>
      <c r="E4893">
        <v>17776.849999999999</v>
      </c>
      <c r="F4893">
        <v>195.94</v>
      </c>
      <c r="G4893">
        <v>878.38</v>
      </c>
      <c r="H4893">
        <f>E4893*1000000/D4893</f>
        <v>866305.98300511343</v>
      </c>
      <c r="I4893" t="str">
        <f>IF(AND(B4893&gt;=2018, B4893&lt;=2021), "2018-2021", IF(AND(B4893&gt;=2022, B4893&lt;=2024), "2022-2024", "Other"))</f>
        <v>2022-2024</v>
      </c>
    </row>
    <row r="4894" spans="1:9" x14ac:dyDescent="0.3">
      <c r="A4894" t="s">
        <v>21</v>
      </c>
      <c r="B4894">
        <v>2022</v>
      </c>
      <c r="C4894" t="s">
        <v>4</v>
      </c>
      <c r="D4894">
        <v>4328.3100000000004</v>
      </c>
      <c r="E4894">
        <v>4270.03</v>
      </c>
      <c r="F4894">
        <v>78.760000000000005</v>
      </c>
      <c r="G4894">
        <v>977.54</v>
      </c>
      <c r="H4894">
        <f>E4894*1000000/D4894</f>
        <v>986535.16037437227</v>
      </c>
      <c r="I4894" t="str">
        <f>IF(AND(B4894&gt;=2018, B4894&lt;=2021), "2018-2021", IF(AND(B4894&gt;=2022, B4894&lt;=2024), "2022-2024", "Other"))</f>
        <v>2022-2024</v>
      </c>
    </row>
    <row r="4895" spans="1:9" x14ac:dyDescent="0.3">
      <c r="A4895" t="s">
        <v>10</v>
      </c>
      <c r="B4895">
        <v>2019</v>
      </c>
      <c r="C4895" t="s">
        <v>0</v>
      </c>
      <c r="D4895">
        <v>26816.63</v>
      </c>
      <c r="E4895">
        <v>21739.57</v>
      </c>
      <c r="F4895">
        <v>184.53</v>
      </c>
      <c r="G4895">
        <v>655.97</v>
      </c>
      <c r="H4895">
        <f>E4895*1000000/D4895</f>
        <v>810674.94312297995</v>
      </c>
      <c r="I4895" t="str">
        <f>IF(AND(B4895&gt;=2018, B4895&lt;=2021), "2018-2021", IF(AND(B4895&gt;=2022, B4895&lt;=2024), "2022-2024", "Other"))</f>
        <v>2018-2021</v>
      </c>
    </row>
    <row r="4896" spans="1:9" x14ac:dyDescent="0.3">
      <c r="A4896" t="s">
        <v>20</v>
      </c>
      <c r="B4896">
        <v>2019</v>
      </c>
      <c r="C4896" t="s">
        <v>2</v>
      </c>
      <c r="D4896">
        <v>9878.15</v>
      </c>
      <c r="E4896">
        <v>8967.73</v>
      </c>
      <c r="F4896">
        <v>50.87</v>
      </c>
      <c r="G4896">
        <v>1258.3599999999999</v>
      </c>
      <c r="H4896">
        <f>E4896*1000000/D4896</f>
        <v>907834.96909846482</v>
      </c>
      <c r="I4896" t="str">
        <f>IF(AND(B4896&gt;=2018, B4896&lt;=2021), "2018-2021", IF(AND(B4896&gt;=2022, B4896&lt;=2024), "2022-2024", "Other"))</f>
        <v>2018-2021</v>
      </c>
    </row>
    <row r="4897" spans="1:9" x14ac:dyDescent="0.3">
      <c r="A4897" t="s">
        <v>24</v>
      </c>
      <c r="B4897">
        <v>2022</v>
      </c>
      <c r="C4897" t="s">
        <v>4</v>
      </c>
      <c r="D4897">
        <v>15743.78</v>
      </c>
      <c r="E4897">
        <v>13878.75</v>
      </c>
      <c r="F4897">
        <v>119.34</v>
      </c>
      <c r="G4897">
        <v>1276.98</v>
      </c>
      <c r="H4897">
        <f>E4897*1000000/D4897</f>
        <v>881538.61397961609</v>
      </c>
      <c r="I4897" t="str">
        <f>IF(AND(B4897&gt;=2018, B4897&lt;=2021), "2018-2021", IF(AND(B4897&gt;=2022, B4897&lt;=2024), "2022-2024", "Other"))</f>
        <v>2022-2024</v>
      </c>
    </row>
    <row r="4898" spans="1:9" x14ac:dyDescent="0.3">
      <c r="A4898" t="s">
        <v>10</v>
      </c>
      <c r="B4898">
        <v>2023</v>
      </c>
      <c r="C4898" t="s">
        <v>8</v>
      </c>
      <c r="D4898">
        <v>45170.97</v>
      </c>
      <c r="E4898">
        <v>36197.040000000001</v>
      </c>
      <c r="F4898">
        <v>108.1</v>
      </c>
      <c r="G4898">
        <v>618.86</v>
      </c>
      <c r="H4898">
        <f>E4898*1000000/D4898</f>
        <v>801334.13119089534</v>
      </c>
      <c r="I4898" t="str">
        <f>IF(AND(B4898&gt;=2018, B4898&lt;=2021), "2018-2021", IF(AND(B4898&gt;=2022, B4898&lt;=2024), "2022-2024", "Other"))</f>
        <v>2022-2024</v>
      </c>
    </row>
    <row r="4899" spans="1:9" x14ac:dyDescent="0.3">
      <c r="A4899" t="s">
        <v>26</v>
      </c>
      <c r="B4899">
        <v>2021</v>
      </c>
      <c r="C4899" t="s">
        <v>6</v>
      </c>
      <c r="D4899">
        <v>45549.05</v>
      </c>
      <c r="E4899">
        <v>39531.64</v>
      </c>
      <c r="F4899">
        <v>122.17</v>
      </c>
      <c r="G4899">
        <v>678.52</v>
      </c>
      <c r="H4899">
        <f>E4899*1000000/D4899</f>
        <v>867891.6464778079</v>
      </c>
      <c r="I4899" t="str">
        <f>IF(AND(B4899&gt;=2018, B4899&lt;=2021), "2018-2021", IF(AND(B4899&gt;=2022, B4899&lt;=2024), "2022-2024", "Other"))</f>
        <v>2018-2021</v>
      </c>
    </row>
    <row r="4900" spans="1:9" x14ac:dyDescent="0.3">
      <c r="A4900" t="s">
        <v>16</v>
      </c>
      <c r="B4900">
        <v>2020</v>
      </c>
      <c r="C4900" t="s">
        <v>12</v>
      </c>
      <c r="D4900">
        <v>13664.52</v>
      </c>
      <c r="E4900">
        <v>13738.79</v>
      </c>
      <c r="F4900">
        <v>32.01</v>
      </c>
      <c r="G4900">
        <v>1166.68</v>
      </c>
      <c r="H4900">
        <f>E4900*1000000/D4900</f>
        <v>1005435.2439749072</v>
      </c>
      <c r="I4900" t="str">
        <f>IF(AND(B4900&gt;=2018, B4900&lt;=2021), "2018-2021", IF(AND(B4900&gt;=2022, B4900&lt;=2024), "2022-2024", "Other"))</f>
        <v>2018-2021</v>
      </c>
    </row>
    <row r="4901" spans="1:9" x14ac:dyDescent="0.3">
      <c r="A4901" t="s">
        <v>21</v>
      </c>
      <c r="B4901">
        <v>2024</v>
      </c>
      <c r="C4901" t="s">
        <v>6</v>
      </c>
      <c r="D4901">
        <v>10996.23</v>
      </c>
      <c r="E4901">
        <v>11939.82</v>
      </c>
      <c r="F4901">
        <v>150.33000000000001</v>
      </c>
      <c r="G4901">
        <v>628.47</v>
      </c>
      <c r="H4901">
        <f>E4901*1000000/D4901</f>
        <v>1085810.3186273843</v>
      </c>
      <c r="I4901" t="str">
        <f>IF(AND(B4901&gt;=2018, B4901&lt;=2021), "2018-2021", IF(AND(B4901&gt;=2022, B4901&lt;=2024), "2022-2024", "Other"))</f>
        <v>2022-2024</v>
      </c>
    </row>
    <row r="4902" spans="1:9" x14ac:dyDescent="0.3">
      <c r="A4902" t="s">
        <v>21</v>
      </c>
      <c r="B4902">
        <v>2021</v>
      </c>
      <c r="C4902" t="s">
        <v>12</v>
      </c>
      <c r="D4902">
        <v>21033.18</v>
      </c>
      <c r="E4902">
        <v>19354.7</v>
      </c>
      <c r="F4902">
        <v>142.30000000000001</v>
      </c>
      <c r="G4902">
        <v>457.37</v>
      </c>
      <c r="H4902">
        <f>E4902*1000000/D4902</f>
        <v>920198.46737393015</v>
      </c>
      <c r="I4902" t="str">
        <f>IF(AND(B4902&gt;=2018, B4902&lt;=2021), "2018-2021", IF(AND(B4902&gt;=2022, B4902&lt;=2024), "2022-2024", "Other"))</f>
        <v>2018-2021</v>
      </c>
    </row>
    <row r="4903" spans="1:9" x14ac:dyDescent="0.3">
      <c r="A4903" t="s">
        <v>27</v>
      </c>
      <c r="B4903">
        <v>2019</v>
      </c>
      <c r="C4903" t="s">
        <v>8</v>
      </c>
      <c r="D4903">
        <v>40916.949999999997</v>
      </c>
      <c r="E4903">
        <v>36728.449999999997</v>
      </c>
      <c r="F4903">
        <v>104.19</v>
      </c>
      <c r="G4903">
        <v>179.36</v>
      </c>
      <c r="H4903">
        <f>E4903*1000000/D4903</f>
        <v>897634.110069299</v>
      </c>
      <c r="I4903" t="str">
        <f>IF(AND(B4903&gt;=2018, B4903&lt;=2021), "2018-2021", IF(AND(B4903&gt;=2022, B4903&lt;=2024), "2022-2024", "Other"))</f>
        <v>2018-2021</v>
      </c>
    </row>
    <row r="4904" spans="1:9" x14ac:dyDescent="0.3">
      <c r="A4904" t="s">
        <v>21</v>
      </c>
      <c r="B4904">
        <v>2021</v>
      </c>
      <c r="C4904" t="s">
        <v>6</v>
      </c>
      <c r="D4904">
        <v>23349.11</v>
      </c>
      <c r="E4904">
        <v>18721.66</v>
      </c>
      <c r="F4904">
        <v>91.48</v>
      </c>
      <c r="G4904">
        <v>1051.18</v>
      </c>
      <c r="H4904">
        <f>E4904*1000000/D4904</f>
        <v>801814.71584998316</v>
      </c>
      <c r="I4904" t="str">
        <f>IF(AND(B4904&gt;=2018, B4904&lt;=2021), "2018-2021", IF(AND(B4904&gt;=2022, B4904&lt;=2024), "2022-2024", "Other"))</f>
        <v>2018-2021</v>
      </c>
    </row>
    <row r="4905" spans="1:9" x14ac:dyDescent="0.3">
      <c r="A4905" t="s">
        <v>25</v>
      </c>
      <c r="B4905">
        <v>2021</v>
      </c>
      <c r="C4905" t="s">
        <v>9</v>
      </c>
      <c r="D4905">
        <v>22533.71</v>
      </c>
      <c r="E4905">
        <v>20760.009999999998</v>
      </c>
      <c r="F4905">
        <v>44.11</v>
      </c>
      <c r="G4905">
        <v>926.51</v>
      </c>
      <c r="H4905">
        <f>E4905*1000000/D4905</f>
        <v>921286.81872625509</v>
      </c>
      <c r="I4905" t="str">
        <f>IF(AND(B4905&gt;=2018, B4905&lt;=2021), "2018-2021", IF(AND(B4905&gt;=2022, B4905&lt;=2024), "2022-2024", "Other"))</f>
        <v>2018-2021</v>
      </c>
    </row>
    <row r="4906" spans="1:9" x14ac:dyDescent="0.3">
      <c r="A4906" t="s">
        <v>19</v>
      </c>
      <c r="B4906">
        <v>2022</v>
      </c>
      <c r="C4906" t="s">
        <v>6</v>
      </c>
      <c r="D4906">
        <v>9703.0400000000009</v>
      </c>
      <c r="E4906">
        <v>10265.17</v>
      </c>
      <c r="F4906">
        <v>112.27</v>
      </c>
      <c r="G4906">
        <v>516.48</v>
      </c>
      <c r="H4906">
        <f>E4906*1000000/D4906</f>
        <v>1057933.3899478926</v>
      </c>
      <c r="I4906" t="str">
        <f>IF(AND(B4906&gt;=2018, B4906&lt;=2021), "2018-2021", IF(AND(B4906&gt;=2022, B4906&lt;=2024), "2022-2024", "Other"))</f>
        <v>2022-2024</v>
      </c>
    </row>
    <row r="4907" spans="1:9" x14ac:dyDescent="0.3">
      <c r="A4907" t="s">
        <v>1</v>
      </c>
      <c r="B4907">
        <v>2021</v>
      </c>
      <c r="C4907" t="s">
        <v>6</v>
      </c>
      <c r="D4907">
        <v>40051.760000000002</v>
      </c>
      <c r="E4907">
        <v>36062.019999999997</v>
      </c>
      <c r="F4907">
        <v>165.9</v>
      </c>
      <c r="G4907">
        <v>934.3</v>
      </c>
      <c r="H4907">
        <f>E4907*1000000/D4907</f>
        <v>900385.40129072976</v>
      </c>
      <c r="I4907" t="str">
        <f>IF(AND(B4907&gt;=2018, B4907&lt;=2021), "2018-2021", IF(AND(B4907&gt;=2022, B4907&lt;=2024), "2022-2024", "Other"))</f>
        <v>2018-2021</v>
      </c>
    </row>
    <row r="4908" spans="1:9" x14ac:dyDescent="0.3">
      <c r="A4908" t="s">
        <v>1</v>
      </c>
      <c r="B4908">
        <v>2023</v>
      </c>
      <c r="C4908" t="s">
        <v>9</v>
      </c>
      <c r="D4908">
        <v>48056.639999999999</v>
      </c>
      <c r="E4908">
        <v>42840.51</v>
      </c>
      <c r="F4908">
        <v>41.67</v>
      </c>
      <c r="G4908">
        <v>65.209999999999994</v>
      </c>
      <c r="H4908">
        <f>E4908*1000000/D4908</f>
        <v>891458.70372959913</v>
      </c>
      <c r="I4908" t="str">
        <f>IF(AND(B4908&gt;=2018, B4908&lt;=2021), "2018-2021", IF(AND(B4908&gt;=2022, B4908&lt;=2024), "2022-2024", "Other"))</f>
        <v>2022-2024</v>
      </c>
    </row>
    <row r="4909" spans="1:9" x14ac:dyDescent="0.3">
      <c r="A4909" t="s">
        <v>13</v>
      </c>
      <c r="B4909">
        <v>2021</v>
      </c>
      <c r="C4909" t="s">
        <v>12</v>
      </c>
      <c r="D4909">
        <v>4577.91</v>
      </c>
      <c r="E4909">
        <v>4783.99</v>
      </c>
      <c r="F4909">
        <v>74.87</v>
      </c>
      <c r="G4909">
        <v>1287.29</v>
      </c>
      <c r="H4909">
        <f>E4909*1000000/D4909</f>
        <v>1045016.1755036687</v>
      </c>
      <c r="I4909" t="str">
        <f>IF(AND(B4909&gt;=2018, B4909&lt;=2021), "2018-2021", IF(AND(B4909&gt;=2022, B4909&lt;=2024), "2022-2024", "Other"))</f>
        <v>2018-2021</v>
      </c>
    </row>
    <row r="4910" spans="1:9" x14ac:dyDescent="0.3">
      <c r="A4910" t="s">
        <v>22</v>
      </c>
      <c r="B4910">
        <v>2018</v>
      </c>
      <c r="C4910" t="s">
        <v>6</v>
      </c>
      <c r="D4910">
        <v>8292.42</v>
      </c>
      <c r="E4910">
        <v>7515.12</v>
      </c>
      <c r="F4910">
        <v>33.090000000000003</v>
      </c>
      <c r="G4910">
        <v>872.74</v>
      </c>
      <c r="H4910">
        <f>E4910*1000000/D4910</f>
        <v>906263.792716722</v>
      </c>
      <c r="I4910" t="str">
        <f>IF(AND(B4910&gt;=2018, B4910&lt;=2021), "2018-2021", IF(AND(B4910&gt;=2022, B4910&lt;=2024), "2022-2024", "Other"))</f>
        <v>2018-2021</v>
      </c>
    </row>
    <row r="4911" spans="1:9" x14ac:dyDescent="0.3">
      <c r="A4911" t="s">
        <v>25</v>
      </c>
      <c r="B4911">
        <v>2020</v>
      </c>
      <c r="C4911" t="s">
        <v>12</v>
      </c>
      <c r="D4911">
        <v>18287.46</v>
      </c>
      <c r="E4911">
        <v>20891.53</v>
      </c>
      <c r="F4911">
        <v>48.07</v>
      </c>
      <c r="G4911">
        <v>748.71</v>
      </c>
      <c r="H4911">
        <f>E4911*1000000/D4911</f>
        <v>1142396.4837106958</v>
      </c>
      <c r="I4911" t="str">
        <f>IF(AND(B4911&gt;=2018, B4911&lt;=2021), "2018-2021", IF(AND(B4911&gt;=2022, B4911&lt;=2024), "2022-2024", "Other"))</f>
        <v>2018-2021</v>
      </c>
    </row>
    <row r="4912" spans="1:9" x14ac:dyDescent="0.3">
      <c r="A4912" t="s">
        <v>18</v>
      </c>
      <c r="B4912">
        <v>2019</v>
      </c>
      <c r="C4912" t="s">
        <v>6</v>
      </c>
      <c r="D4912">
        <v>46077.87</v>
      </c>
      <c r="E4912">
        <v>40197.25</v>
      </c>
      <c r="F4912">
        <v>103.27</v>
      </c>
      <c r="G4912">
        <v>635.96</v>
      </c>
      <c r="H4912">
        <f>E4912*1000000/D4912</f>
        <v>872376.47920791467</v>
      </c>
      <c r="I4912" t="str">
        <f>IF(AND(B4912&gt;=2018, B4912&lt;=2021), "2018-2021", IF(AND(B4912&gt;=2022, B4912&lt;=2024), "2022-2024", "Other"))</f>
        <v>2018-2021</v>
      </c>
    </row>
    <row r="4913" spans="1:9" x14ac:dyDescent="0.3">
      <c r="A4913" t="s">
        <v>23</v>
      </c>
      <c r="B4913">
        <v>2021</v>
      </c>
      <c r="C4913" t="s">
        <v>2</v>
      </c>
      <c r="D4913">
        <v>2023.43</v>
      </c>
      <c r="E4913">
        <v>2269.7199999999998</v>
      </c>
      <c r="F4913">
        <v>86.01</v>
      </c>
      <c r="G4913">
        <v>751.03</v>
      </c>
      <c r="H4913">
        <f>E4913*1000000/D4913</f>
        <v>1121719.0611980646</v>
      </c>
      <c r="I4913" t="str">
        <f>IF(AND(B4913&gt;=2018, B4913&lt;=2021), "2018-2021", IF(AND(B4913&gt;=2022, B4913&lt;=2024), "2022-2024", "Other"))</f>
        <v>2018-2021</v>
      </c>
    </row>
    <row r="4914" spans="1:9" x14ac:dyDescent="0.3">
      <c r="A4914" t="s">
        <v>13</v>
      </c>
      <c r="B4914">
        <v>2020</v>
      </c>
      <c r="C4914" t="s">
        <v>14</v>
      </c>
      <c r="D4914">
        <v>24310.75</v>
      </c>
      <c r="E4914">
        <v>27198.959999999999</v>
      </c>
      <c r="F4914">
        <v>30.83</v>
      </c>
      <c r="G4914">
        <v>683.94</v>
      </c>
      <c r="H4914">
        <f>E4914*1000000/D4914</f>
        <v>1118803.8213547505</v>
      </c>
      <c r="I4914" t="str">
        <f>IF(AND(B4914&gt;=2018, B4914&lt;=2021), "2018-2021", IF(AND(B4914&gt;=2022, B4914&lt;=2024), "2022-2024", "Other"))</f>
        <v>2018-2021</v>
      </c>
    </row>
    <row r="4915" spans="1:9" x14ac:dyDescent="0.3">
      <c r="A4915" t="s">
        <v>21</v>
      </c>
      <c r="B4915">
        <v>2020</v>
      </c>
      <c r="C4915" t="s">
        <v>4</v>
      </c>
      <c r="D4915">
        <v>48812.37</v>
      </c>
      <c r="E4915">
        <v>51448.93</v>
      </c>
      <c r="F4915">
        <v>97.27</v>
      </c>
      <c r="G4915">
        <v>419.89</v>
      </c>
      <c r="H4915">
        <f>E4915*1000000/D4915</f>
        <v>1054014.1771440313</v>
      </c>
      <c r="I4915" t="str">
        <f>IF(AND(B4915&gt;=2018, B4915&lt;=2021), "2018-2021", IF(AND(B4915&gt;=2022, B4915&lt;=2024), "2022-2024", "Other"))</f>
        <v>2018-2021</v>
      </c>
    </row>
    <row r="4916" spans="1:9" x14ac:dyDescent="0.3">
      <c r="A4916" t="s">
        <v>16</v>
      </c>
      <c r="B4916">
        <v>2023</v>
      </c>
      <c r="C4916" t="s">
        <v>2</v>
      </c>
      <c r="D4916">
        <v>33360.769999999997</v>
      </c>
      <c r="E4916">
        <v>27292.27</v>
      </c>
      <c r="F4916">
        <v>169.06</v>
      </c>
      <c r="G4916">
        <v>1035.81</v>
      </c>
      <c r="H4916">
        <f>E4916*1000000/D4916</f>
        <v>818094.7262308395</v>
      </c>
      <c r="I4916" t="str">
        <f>IF(AND(B4916&gt;=2018, B4916&lt;=2021), "2018-2021", IF(AND(B4916&gt;=2022, B4916&lt;=2024), "2022-2024", "Other"))</f>
        <v>2022-2024</v>
      </c>
    </row>
    <row r="4917" spans="1:9" x14ac:dyDescent="0.3">
      <c r="A4917" t="s">
        <v>10</v>
      </c>
      <c r="B4917">
        <v>2021</v>
      </c>
      <c r="C4917" t="s">
        <v>14</v>
      </c>
      <c r="D4917">
        <v>26597.49</v>
      </c>
      <c r="E4917">
        <v>30591.08</v>
      </c>
      <c r="F4917">
        <v>35.58</v>
      </c>
      <c r="G4917">
        <v>142.02000000000001</v>
      </c>
      <c r="H4917">
        <f>E4917*1000000/D4917</f>
        <v>1150149.1306134525</v>
      </c>
      <c r="I4917" t="str">
        <f>IF(AND(B4917&gt;=2018, B4917&lt;=2021), "2018-2021", IF(AND(B4917&gt;=2022, B4917&lt;=2024), "2022-2024", "Other"))</f>
        <v>2018-2021</v>
      </c>
    </row>
    <row r="4918" spans="1:9" x14ac:dyDescent="0.3">
      <c r="A4918" t="s">
        <v>13</v>
      </c>
      <c r="B4918">
        <v>2022</v>
      </c>
      <c r="C4918" t="s">
        <v>4</v>
      </c>
      <c r="D4918">
        <v>30563.439999999999</v>
      </c>
      <c r="E4918">
        <v>33735.760000000002</v>
      </c>
      <c r="F4918">
        <v>93.44</v>
      </c>
      <c r="G4918">
        <v>1035.8599999999999</v>
      </c>
      <c r="H4918">
        <f>E4918*1000000/D4918</f>
        <v>1103794.5990372812</v>
      </c>
      <c r="I4918" t="str">
        <f>IF(AND(B4918&gt;=2018, B4918&lt;=2021), "2018-2021", IF(AND(B4918&gt;=2022, B4918&lt;=2024), "2022-2024", "Other"))</f>
        <v>2022-2024</v>
      </c>
    </row>
    <row r="4919" spans="1:9" x14ac:dyDescent="0.3">
      <c r="A4919" t="s">
        <v>18</v>
      </c>
      <c r="B4919">
        <v>2024</v>
      </c>
      <c r="C4919" t="s">
        <v>4</v>
      </c>
      <c r="D4919">
        <v>7310.4</v>
      </c>
      <c r="E4919">
        <v>7589.49</v>
      </c>
      <c r="F4919">
        <v>21.95</v>
      </c>
      <c r="G4919">
        <v>1189.45</v>
      </c>
      <c r="H4919">
        <f>E4919*1000000/D4919</f>
        <v>1038177.1175311885</v>
      </c>
      <c r="I4919" t="str">
        <f>IF(AND(B4919&gt;=2018, B4919&lt;=2021), "2018-2021", IF(AND(B4919&gt;=2022, B4919&lt;=2024), "2022-2024", "Other"))</f>
        <v>2022-2024</v>
      </c>
    </row>
    <row r="4920" spans="1:9" x14ac:dyDescent="0.3">
      <c r="A4920" t="s">
        <v>22</v>
      </c>
      <c r="B4920">
        <v>2024</v>
      </c>
      <c r="C4920" t="s">
        <v>4</v>
      </c>
      <c r="D4920">
        <v>14383.99</v>
      </c>
      <c r="E4920">
        <v>12328.25</v>
      </c>
      <c r="F4920">
        <v>40.130000000000003</v>
      </c>
      <c r="G4920">
        <v>544.34</v>
      </c>
      <c r="H4920">
        <f>E4920*1000000/D4920</f>
        <v>857081.38006213855</v>
      </c>
      <c r="I4920" t="str">
        <f>IF(AND(B4920&gt;=2018, B4920&lt;=2021), "2018-2021", IF(AND(B4920&gt;=2022, B4920&lt;=2024), "2022-2024", "Other"))</f>
        <v>2022-2024</v>
      </c>
    </row>
    <row r="4921" spans="1:9" x14ac:dyDescent="0.3">
      <c r="A4921" t="s">
        <v>15</v>
      </c>
      <c r="B4921">
        <v>2021</v>
      </c>
      <c r="C4921" t="s">
        <v>14</v>
      </c>
      <c r="D4921">
        <v>38712.730000000003</v>
      </c>
      <c r="E4921">
        <v>37409.74</v>
      </c>
      <c r="F4921">
        <v>71.53</v>
      </c>
      <c r="G4921">
        <v>1104.69</v>
      </c>
      <c r="H4921">
        <f>E4921*1000000/D4921</f>
        <v>966342.07920753711</v>
      </c>
      <c r="I4921" t="str">
        <f>IF(AND(B4921&gt;=2018, B4921&lt;=2021), "2018-2021", IF(AND(B4921&gt;=2022, B4921&lt;=2024), "2022-2024", "Other"))</f>
        <v>2018-2021</v>
      </c>
    </row>
    <row r="4922" spans="1:9" x14ac:dyDescent="0.3">
      <c r="A4922" t="s">
        <v>1</v>
      </c>
      <c r="B4922">
        <v>2018</v>
      </c>
      <c r="C4922" t="s">
        <v>9</v>
      </c>
      <c r="D4922">
        <v>34613.71</v>
      </c>
      <c r="E4922">
        <v>33294.82</v>
      </c>
      <c r="F4922">
        <v>129.22999999999999</v>
      </c>
      <c r="G4922">
        <v>1187.6600000000001</v>
      </c>
      <c r="H4922">
        <f>E4922*1000000/D4922</f>
        <v>961896.88998954464</v>
      </c>
      <c r="I4922" t="str">
        <f>IF(AND(B4922&gt;=2018, B4922&lt;=2021), "2018-2021", IF(AND(B4922&gt;=2022, B4922&lt;=2024), "2022-2024", "Other"))</f>
        <v>2018-2021</v>
      </c>
    </row>
    <row r="4923" spans="1:9" x14ac:dyDescent="0.3">
      <c r="A4923" t="s">
        <v>25</v>
      </c>
      <c r="B4923">
        <v>2020</v>
      </c>
      <c r="C4923" t="s">
        <v>0</v>
      </c>
      <c r="D4923">
        <v>28546.73</v>
      </c>
      <c r="E4923">
        <v>32013.46</v>
      </c>
      <c r="F4923">
        <v>152.26</v>
      </c>
      <c r="G4923">
        <v>1236.2</v>
      </c>
      <c r="H4923">
        <f>E4923*1000000/D4923</f>
        <v>1121440.5292655237</v>
      </c>
      <c r="I4923" t="str">
        <f>IF(AND(B4923&gt;=2018, B4923&lt;=2021), "2018-2021", IF(AND(B4923&gt;=2022, B4923&lt;=2024), "2022-2024", "Other"))</f>
        <v>2018-2021</v>
      </c>
    </row>
    <row r="4924" spans="1:9" x14ac:dyDescent="0.3">
      <c r="A4924" t="s">
        <v>26</v>
      </c>
      <c r="B4924">
        <v>2024</v>
      </c>
      <c r="C4924" t="s">
        <v>2</v>
      </c>
      <c r="D4924">
        <v>45578.99</v>
      </c>
      <c r="E4924">
        <v>53724.37</v>
      </c>
      <c r="F4924">
        <v>135.47</v>
      </c>
      <c r="G4924">
        <v>234.25</v>
      </c>
      <c r="H4924">
        <f>E4924*1000000/D4924</f>
        <v>1178709.0938171295</v>
      </c>
      <c r="I4924" t="str">
        <f>IF(AND(B4924&gt;=2018, B4924&lt;=2021), "2018-2021", IF(AND(B4924&gt;=2022, B4924&lt;=2024), "2022-2024", "Other"))</f>
        <v>2022-2024</v>
      </c>
    </row>
    <row r="4925" spans="1:9" x14ac:dyDescent="0.3">
      <c r="A4925" t="s">
        <v>3</v>
      </c>
      <c r="B4925">
        <v>2018</v>
      </c>
      <c r="C4925" t="s">
        <v>14</v>
      </c>
      <c r="D4925">
        <v>1253.44</v>
      </c>
      <c r="E4925">
        <v>1330.44</v>
      </c>
      <c r="F4925">
        <v>76.06</v>
      </c>
      <c r="G4925">
        <v>1046.3599999999999</v>
      </c>
      <c r="H4925">
        <f>E4925*1000000/D4925</f>
        <v>1061430.9420474854</v>
      </c>
      <c r="I4925" t="str">
        <f>IF(AND(B4925&gt;=2018, B4925&lt;=2021), "2018-2021", IF(AND(B4925&gt;=2022, B4925&lt;=2024), "2022-2024", "Other"))</f>
        <v>2018-2021</v>
      </c>
    </row>
    <row r="4926" spans="1:9" x14ac:dyDescent="0.3">
      <c r="A4926" t="s">
        <v>3</v>
      </c>
      <c r="B4926">
        <v>2020</v>
      </c>
      <c r="C4926" t="s">
        <v>9</v>
      </c>
      <c r="D4926">
        <v>29746.78</v>
      </c>
      <c r="E4926">
        <v>26264.07</v>
      </c>
      <c r="F4926">
        <v>146.32</v>
      </c>
      <c r="G4926">
        <v>1129.78</v>
      </c>
      <c r="H4926">
        <f>E4926*1000000/D4926</f>
        <v>882921.4456152902</v>
      </c>
      <c r="I4926" t="str">
        <f>IF(AND(B4926&gt;=2018, B4926&lt;=2021), "2018-2021", IF(AND(B4926&gt;=2022, B4926&lt;=2024), "2022-2024", "Other"))</f>
        <v>2018-2021</v>
      </c>
    </row>
    <row r="4927" spans="1:9" x14ac:dyDescent="0.3">
      <c r="A4927" t="s">
        <v>1</v>
      </c>
      <c r="B4927">
        <v>2022</v>
      </c>
      <c r="C4927" t="s">
        <v>12</v>
      </c>
      <c r="D4927">
        <v>1050.83</v>
      </c>
      <c r="E4927">
        <v>927.65</v>
      </c>
      <c r="F4927">
        <v>30.01</v>
      </c>
      <c r="G4927">
        <v>107</v>
      </c>
      <c r="H4927">
        <f>E4927*1000000/D4927</f>
        <v>882778.37518913625</v>
      </c>
      <c r="I4927" t="str">
        <f>IF(AND(B4927&gt;=2018, B4927&lt;=2021), "2018-2021", IF(AND(B4927&gt;=2022, B4927&lt;=2024), "2022-2024", "Other"))</f>
        <v>2022-2024</v>
      </c>
    </row>
    <row r="4928" spans="1:9" x14ac:dyDescent="0.3">
      <c r="A4928" t="s">
        <v>5</v>
      </c>
      <c r="B4928">
        <v>2018</v>
      </c>
      <c r="C4928" t="s">
        <v>4</v>
      </c>
      <c r="D4928">
        <v>3235.89</v>
      </c>
      <c r="E4928">
        <v>3766.53</v>
      </c>
      <c r="F4928">
        <v>171.14</v>
      </c>
      <c r="G4928">
        <v>509.96</v>
      </c>
      <c r="H4928">
        <f>E4928*1000000/D4928</f>
        <v>1163985.7967977899</v>
      </c>
      <c r="I4928" t="str">
        <f>IF(AND(B4928&gt;=2018, B4928&lt;=2021), "2018-2021", IF(AND(B4928&gt;=2022, B4928&lt;=2024), "2022-2024", "Other"))</f>
        <v>2018-2021</v>
      </c>
    </row>
    <row r="4929" spans="1:9" x14ac:dyDescent="0.3">
      <c r="A4929" t="s">
        <v>19</v>
      </c>
      <c r="B4929">
        <v>2020</v>
      </c>
      <c r="C4929" t="s">
        <v>6</v>
      </c>
      <c r="D4929">
        <v>26023.48</v>
      </c>
      <c r="E4929">
        <v>21343.200000000001</v>
      </c>
      <c r="F4929">
        <v>177.97</v>
      </c>
      <c r="G4929">
        <v>739.38</v>
      </c>
      <c r="H4929">
        <f>E4929*1000000/D4929</f>
        <v>820151.64766587713</v>
      </c>
      <c r="I4929" t="str">
        <f>IF(AND(B4929&gt;=2018, B4929&lt;=2021), "2018-2021", IF(AND(B4929&gt;=2022, B4929&lt;=2024), "2022-2024", "Other"))</f>
        <v>2018-2021</v>
      </c>
    </row>
    <row r="4930" spans="1:9" x14ac:dyDescent="0.3">
      <c r="A4930" t="s">
        <v>23</v>
      </c>
      <c r="B4930">
        <v>2021</v>
      </c>
      <c r="C4930" t="s">
        <v>8</v>
      </c>
      <c r="D4930">
        <v>24719.7</v>
      </c>
      <c r="E4930">
        <v>27456.45</v>
      </c>
      <c r="F4930">
        <v>34.14</v>
      </c>
      <c r="G4930">
        <v>1166.6099999999999</v>
      </c>
      <c r="H4930">
        <f>E4930*1000000/D4930</f>
        <v>1110711.2950399884</v>
      </c>
      <c r="I4930" t="str">
        <f>IF(AND(B4930&gt;=2018, B4930&lt;=2021), "2018-2021", IF(AND(B4930&gt;=2022, B4930&lt;=2024), "2022-2024", "Other"))</f>
        <v>2018-2021</v>
      </c>
    </row>
    <row r="4931" spans="1:9" x14ac:dyDescent="0.3">
      <c r="A4931" t="s">
        <v>24</v>
      </c>
      <c r="B4931">
        <v>2024</v>
      </c>
      <c r="C4931" t="s">
        <v>12</v>
      </c>
      <c r="D4931">
        <v>5026.34</v>
      </c>
      <c r="E4931">
        <v>4505.63</v>
      </c>
      <c r="F4931">
        <v>180.57</v>
      </c>
      <c r="G4931">
        <v>621.12</v>
      </c>
      <c r="H4931">
        <f>E4931*1000000/D4931</f>
        <v>896403.74507096608</v>
      </c>
      <c r="I4931" t="str">
        <f>IF(AND(B4931&gt;=2018, B4931&lt;=2021), "2018-2021", IF(AND(B4931&gt;=2022, B4931&lt;=2024), "2022-2024", "Other"))</f>
        <v>2022-2024</v>
      </c>
    </row>
    <row r="4932" spans="1:9" x14ac:dyDescent="0.3">
      <c r="A4932" t="s">
        <v>1</v>
      </c>
      <c r="B4932">
        <v>2019</v>
      </c>
      <c r="C4932" t="s">
        <v>12</v>
      </c>
      <c r="D4932">
        <v>28422.69</v>
      </c>
      <c r="E4932">
        <v>24747.99</v>
      </c>
      <c r="F4932">
        <v>66.73</v>
      </c>
      <c r="G4932">
        <v>265.49</v>
      </c>
      <c r="H4932">
        <f>E4932*1000000/D4932</f>
        <v>870712.44839950057</v>
      </c>
      <c r="I4932" t="str">
        <f>IF(AND(B4932&gt;=2018, B4932&lt;=2021), "2018-2021", IF(AND(B4932&gt;=2022, B4932&lt;=2024), "2022-2024", "Other"))</f>
        <v>2018-2021</v>
      </c>
    </row>
    <row r="4933" spans="1:9" x14ac:dyDescent="0.3">
      <c r="A4933" t="s">
        <v>7</v>
      </c>
      <c r="B4933">
        <v>2019</v>
      </c>
      <c r="C4933" t="s">
        <v>2</v>
      </c>
      <c r="D4933">
        <v>6059.1</v>
      </c>
      <c r="E4933">
        <v>5024.8599999999997</v>
      </c>
      <c r="F4933">
        <v>30.99</v>
      </c>
      <c r="G4933">
        <v>209.67</v>
      </c>
      <c r="H4933">
        <f>E4933*1000000/D4933</f>
        <v>829307.98303378385</v>
      </c>
      <c r="I4933" t="str">
        <f>IF(AND(B4933&gt;=2018, B4933&lt;=2021), "2018-2021", IF(AND(B4933&gt;=2022, B4933&lt;=2024), "2022-2024", "Other"))</f>
        <v>2018-2021</v>
      </c>
    </row>
    <row r="4934" spans="1:9" x14ac:dyDescent="0.3">
      <c r="A4934" t="s">
        <v>25</v>
      </c>
      <c r="B4934">
        <v>2018</v>
      </c>
      <c r="C4934" t="s">
        <v>14</v>
      </c>
      <c r="D4934">
        <v>22968.7</v>
      </c>
      <c r="E4934">
        <v>26508.6</v>
      </c>
      <c r="F4934">
        <v>74.55</v>
      </c>
      <c r="G4934">
        <v>956.4</v>
      </c>
      <c r="H4934">
        <f>E4934*1000000/D4934</f>
        <v>1154118.4307339988</v>
      </c>
      <c r="I4934" t="str">
        <f>IF(AND(B4934&gt;=2018, B4934&lt;=2021), "2018-2021", IF(AND(B4934&gt;=2022, B4934&lt;=2024), "2022-2024", "Other"))</f>
        <v>2018-2021</v>
      </c>
    </row>
    <row r="4935" spans="1:9" x14ac:dyDescent="0.3">
      <c r="A4935" t="s">
        <v>7</v>
      </c>
      <c r="B4935">
        <v>2021</v>
      </c>
      <c r="C4935" t="s">
        <v>14</v>
      </c>
      <c r="D4935">
        <v>6642.26</v>
      </c>
      <c r="E4935">
        <v>6676.68</v>
      </c>
      <c r="F4935">
        <v>150.02000000000001</v>
      </c>
      <c r="G4935">
        <v>1122.96</v>
      </c>
      <c r="H4935">
        <f>E4935*1000000/D4935</f>
        <v>1005181.9711965505</v>
      </c>
      <c r="I4935" t="str">
        <f>IF(AND(B4935&gt;=2018, B4935&lt;=2021), "2018-2021", IF(AND(B4935&gt;=2022, B4935&lt;=2024), "2022-2024", "Other"))</f>
        <v>2018-2021</v>
      </c>
    </row>
    <row r="4936" spans="1:9" x14ac:dyDescent="0.3">
      <c r="A4936" t="s">
        <v>24</v>
      </c>
      <c r="B4936">
        <v>2023</v>
      </c>
      <c r="C4936" t="s">
        <v>2</v>
      </c>
      <c r="D4936">
        <v>26355.09</v>
      </c>
      <c r="E4936">
        <v>23707.1</v>
      </c>
      <c r="F4936">
        <v>166.17</v>
      </c>
      <c r="G4936">
        <v>526.26</v>
      </c>
      <c r="H4936">
        <f>E4936*1000000/D4936</f>
        <v>899526.42924004432</v>
      </c>
      <c r="I4936" t="str">
        <f>IF(AND(B4936&gt;=2018, B4936&lt;=2021), "2018-2021", IF(AND(B4936&gt;=2022, B4936&lt;=2024), "2022-2024", "Other"))</f>
        <v>2022-2024</v>
      </c>
    </row>
    <row r="4937" spans="1:9" x14ac:dyDescent="0.3">
      <c r="A4937" t="s">
        <v>25</v>
      </c>
      <c r="B4937">
        <v>2021</v>
      </c>
      <c r="C4937" t="s">
        <v>6</v>
      </c>
      <c r="D4937">
        <v>39691.839999999997</v>
      </c>
      <c r="E4937">
        <v>40555.879999999997</v>
      </c>
      <c r="F4937">
        <v>29.57</v>
      </c>
      <c r="G4937">
        <v>1052.55</v>
      </c>
      <c r="H4937">
        <f>E4937*1000000/D4937</f>
        <v>1021768.7061118861</v>
      </c>
      <c r="I4937" t="str">
        <f>IF(AND(B4937&gt;=2018, B4937&lt;=2021), "2018-2021", IF(AND(B4937&gt;=2022, B4937&lt;=2024), "2022-2024", "Other"))</f>
        <v>2018-2021</v>
      </c>
    </row>
    <row r="4938" spans="1:9" x14ac:dyDescent="0.3">
      <c r="A4938" t="s">
        <v>1</v>
      </c>
      <c r="B4938">
        <v>2022</v>
      </c>
      <c r="C4938" t="s">
        <v>14</v>
      </c>
      <c r="D4938">
        <v>10423.98</v>
      </c>
      <c r="E4938">
        <v>10154.950000000001</v>
      </c>
      <c r="F4938">
        <v>110.85</v>
      </c>
      <c r="G4938">
        <v>904.77</v>
      </c>
      <c r="H4938">
        <f>E4938*1000000/D4938</f>
        <v>974191.2398143512</v>
      </c>
      <c r="I4938" t="str">
        <f>IF(AND(B4938&gt;=2018, B4938&lt;=2021), "2018-2021", IF(AND(B4938&gt;=2022, B4938&lt;=2024), "2022-2024", "Other"))</f>
        <v>2022-2024</v>
      </c>
    </row>
    <row r="4939" spans="1:9" x14ac:dyDescent="0.3">
      <c r="A4939" t="s">
        <v>25</v>
      </c>
      <c r="B4939">
        <v>2022</v>
      </c>
      <c r="C4939" t="s">
        <v>14</v>
      </c>
      <c r="D4939">
        <v>13987.54</v>
      </c>
      <c r="E4939">
        <v>16784.34</v>
      </c>
      <c r="F4939">
        <v>160.47</v>
      </c>
      <c r="G4939">
        <v>49.9</v>
      </c>
      <c r="H4939">
        <f>E4939*1000000/D4939</f>
        <v>1199949.3835227638</v>
      </c>
      <c r="I4939" t="str">
        <f>IF(AND(B4939&gt;=2018, B4939&lt;=2021), "2018-2021", IF(AND(B4939&gt;=2022, B4939&lt;=2024), "2022-2024", "Other"))</f>
        <v>2022-2024</v>
      </c>
    </row>
    <row r="4940" spans="1:9" x14ac:dyDescent="0.3">
      <c r="A4940" t="s">
        <v>18</v>
      </c>
      <c r="B4940">
        <v>2023</v>
      </c>
      <c r="C4940" t="s">
        <v>9</v>
      </c>
      <c r="D4940">
        <v>49354.39</v>
      </c>
      <c r="E4940">
        <v>40732.129999999997</v>
      </c>
      <c r="F4940">
        <v>145.56</v>
      </c>
      <c r="G4940">
        <v>993.5</v>
      </c>
      <c r="H4940">
        <f>E4940*1000000/D4940</f>
        <v>825299.02608460968</v>
      </c>
      <c r="I4940" t="str">
        <f>IF(AND(B4940&gt;=2018, B4940&lt;=2021), "2018-2021", IF(AND(B4940&gt;=2022, B4940&lt;=2024), "2022-2024", "Other"))</f>
        <v>2022-2024</v>
      </c>
    </row>
    <row r="4941" spans="1:9" x14ac:dyDescent="0.3">
      <c r="A4941" t="s">
        <v>19</v>
      </c>
      <c r="B4941">
        <v>2023</v>
      </c>
      <c r="C4941" t="s">
        <v>4</v>
      </c>
      <c r="D4941">
        <v>16354.7</v>
      </c>
      <c r="E4941">
        <v>14218.16</v>
      </c>
      <c r="F4941">
        <v>29.29</v>
      </c>
      <c r="G4941">
        <v>1296.1600000000001</v>
      </c>
      <c r="H4941">
        <f>E4941*1000000/D4941</f>
        <v>869362.3239802625</v>
      </c>
      <c r="I4941" t="str">
        <f>IF(AND(B4941&gt;=2018, B4941&lt;=2021), "2018-2021", IF(AND(B4941&gt;=2022, B4941&lt;=2024), "2022-2024", "Other"))</f>
        <v>2022-2024</v>
      </c>
    </row>
    <row r="4942" spans="1:9" x14ac:dyDescent="0.3">
      <c r="A4942" t="s">
        <v>23</v>
      </c>
      <c r="B4942">
        <v>2024</v>
      </c>
      <c r="C4942" t="s">
        <v>8</v>
      </c>
      <c r="D4942">
        <v>4773.8999999999996</v>
      </c>
      <c r="E4942">
        <v>5048.74</v>
      </c>
      <c r="F4942">
        <v>137.16</v>
      </c>
      <c r="G4942">
        <v>1380.39</v>
      </c>
      <c r="H4942">
        <f>E4942*1000000/D4942</f>
        <v>1057571.3776995749</v>
      </c>
      <c r="I4942" t="str">
        <f>IF(AND(B4942&gt;=2018, B4942&lt;=2021), "2018-2021", IF(AND(B4942&gt;=2022, B4942&lt;=2024), "2022-2024", "Other"))</f>
        <v>2022-2024</v>
      </c>
    </row>
    <row r="4943" spans="1:9" x14ac:dyDescent="0.3">
      <c r="A4943" t="s">
        <v>26</v>
      </c>
      <c r="B4943">
        <v>2020</v>
      </c>
      <c r="C4943" t="s">
        <v>4</v>
      </c>
      <c r="D4943">
        <v>4959.9399999999996</v>
      </c>
      <c r="E4943">
        <v>4521.22</v>
      </c>
      <c r="F4943">
        <v>103.89</v>
      </c>
      <c r="G4943">
        <v>740.15</v>
      </c>
      <c r="H4943">
        <f>E4943*1000000/D4943</f>
        <v>911547.31710464251</v>
      </c>
      <c r="I4943" t="str">
        <f>IF(AND(B4943&gt;=2018, B4943&lt;=2021), "2018-2021", IF(AND(B4943&gt;=2022, B4943&lt;=2024), "2022-2024", "Other"))</f>
        <v>2018-2021</v>
      </c>
    </row>
    <row r="4944" spans="1:9" x14ac:dyDescent="0.3">
      <c r="A4944" t="s">
        <v>3</v>
      </c>
      <c r="B4944">
        <v>2020</v>
      </c>
      <c r="C4944" t="s">
        <v>12</v>
      </c>
      <c r="D4944">
        <v>33225.07</v>
      </c>
      <c r="E4944">
        <v>30909.64</v>
      </c>
      <c r="F4944">
        <v>160.74</v>
      </c>
      <c r="G4944">
        <v>1210.52</v>
      </c>
      <c r="H4944">
        <f>E4944*1000000/D4944</f>
        <v>930310.75630540436</v>
      </c>
      <c r="I4944" t="str">
        <f>IF(AND(B4944&gt;=2018, B4944&lt;=2021), "2018-2021", IF(AND(B4944&gt;=2022, B4944&lt;=2024), "2022-2024", "Other"))</f>
        <v>2018-2021</v>
      </c>
    </row>
    <row r="4945" spans="1:9" x14ac:dyDescent="0.3">
      <c r="A4945" t="s">
        <v>19</v>
      </c>
      <c r="B4945">
        <v>2020</v>
      </c>
      <c r="C4945" t="s">
        <v>6</v>
      </c>
      <c r="D4945">
        <v>9796.08</v>
      </c>
      <c r="E4945">
        <v>9485.67</v>
      </c>
      <c r="F4945">
        <v>148.85</v>
      </c>
      <c r="G4945">
        <v>609.99</v>
      </c>
      <c r="H4945">
        <f>E4945*1000000/D4945</f>
        <v>968312.83533821697</v>
      </c>
      <c r="I4945" t="str">
        <f>IF(AND(B4945&gt;=2018, B4945&lt;=2021), "2018-2021", IF(AND(B4945&gt;=2022, B4945&lt;=2024), "2022-2024", "Other"))</f>
        <v>2018-2021</v>
      </c>
    </row>
    <row r="4946" spans="1:9" x14ac:dyDescent="0.3">
      <c r="A4946" t="s">
        <v>27</v>
      </c>
      <c r="B4946">
        <v>2019</v>
      </c>
      <c r="C4946" t="s">
        <v>9</v>
      </c>
      <c r="D4946">
        <v>4326.7299999999996</v>
      </c>
      <c r="E4946">
        <v>3500.66</v>
      </c>
      <c r="F4946">
        <v>36.28</v>
      </c>
      <c r="G4946">
        <v>425.53</v>
      </c>
      <c r="H4946">
        <f>E4946*1000000/D4946</f>
        <v>809077.52505934052</v>
      </c>
      <c r="I4946" t="str">
        <f>IF(AND(B4946&gt;=2018, B4946&lt;=2021), "2018-2021", IF(AND(B4946&gt;=2022, B4946&lt;=2024), "2022-2024", "Other"))</f>
        <v>2018-2021</v>
      </c>
    </row>
    <row r="4947" spans="1:9" x14ac:dyDescent="0.3">
      <c r="A4947" t="s">
        <v>20</v>
      </c>
      <c r="B4947">
        <v>2020</v>
      </c>
      <c r="C4947" t="s">
        <v>9</v>
      </c>
      <c r="D4947">
        <v>8894.5</v>
      </c>
      <c r="E4947">
        <v>7220.35</v>
      </c>
      <c r="F4947">
        <v>122.53</v>
      </c>
      <c r="G4947">
        <v>272.36</v>
      </c>
      <c r="H4947">
        <f>E4947*1000000/D4947</f>
        <v>811776.94080611609</v>
      </c>
      <c r="I4947" t="str">
        <f>IF(AND(B4947&gt;=2018, B4947&lt;=2021), "2018-2021", IF(AND(B4947&gt;=2022, B4947&lt;=2024), "2022-2024", "Other"))</f>
        <v>2018-2021</v>
      </c>
    </row>
    <row r="4948" spans="1:9" x14ac:dyDescent="0.3">
      <c r="A4948" t="s">
        <v>27</v>
      </c>
      <c r="B4948">
        <v>2018</v>
      </c>
      <c r="C4948" t="s">
        <v>8</v>
      </c>
      <c r="D4948">
        <v>10396.75</v>
      </c>
      <c r="E4948">
        <v>9029.24</v>
      </c>
      <c r="F4948">
        <v>50.44</v>
      </c>
      <c r="G4948">
        <v>694.67</v>
      </c>
      <c r="H4948">
        <f>E4948*1000000/D4948</f>
        <v>868467.54995551496</v>
      </c>
      <c r="I4948" t="str">
        <f>IF(AND(B4948&gt;=2018, B4948&lt;=2021), "2018-2021", IF(AND(B4948&gt;=2022, B4948&lt;=2024), "2022-2024", "Other"))</f>
        <v>2018-2021</v>
      </c>
    </row>
    <row r="4949" spans="1:9" x14ac:dyDescent="0.3">
      <c r="A4949" t="s">
        <v>17</v>
      </c>
      <c r="B4949">
        <v>2021</v>
      </c>
      <c r="C4949" t="s">
        <v>0</v>
      </c>
      <c r="D4949">
        <v>33635.620000000003</v>
      </c>
      <c r="E4949">
        <v>37867.07</v>
      </c>
      <c r="F4949">
        <v>41.41</v>
      </c>
      <c r="G4949">
        <v>150.63</v>
      </c>
      <c r="H4949">
        <f>E4949*1000000/D4949</f>
        <v>1125802.6461233655</v>
      </c>
      <c r="I4949" t="str">
        <f>IF(AND(B4949&gt;=2018, B4949&lt;=2021), "2018-2021", IF(AND(B4949&gt;=2022, B4949&lt;=2024), "2022-2024", "Other"))</f>
        <v>2018-2021</v>
      </c>
    </row>
    <row r="4950" spans="1:9" x14ac:dyDescent="0.3">
      <c r="A4950" t="s">
        <v>20</v>
      </c>
      <c r="B4950">
        <v>2020</v>
      </c>
      <c r="C4950" t="s">
        <v>4</v>
      </c>
      <c r="D4950">
        <v>44111.09</v>
      </c>
      <c r="E4950">
        <v>41739.25</v>
      </c>
      <c r="F4950">
        <v>145.05000000000001</v>
      </c>
      <c r="G4950">
        <v>717.61</v>
      </c>
      <c r="H4950">
        <f>E4950*1000000/D4950</f>
        <v>946230.30172231072</v>
      </c>
      <c r="I4950" t="str">
        <f>IF(AND(B4950&gt;=2018, B4950&lt;=2021), "2018-2021", IF(AND(B4950&gt;=2022, B4950&lt;=2024), "2022-2024", "Other"))</f>
        <v>2018-2021</v>
      </c>
    </row>
    <row r="4951" spans="1:9" x14ac:dyDescent="0.3">
      <c r="A4951" t="s">
        <v>26</v>
      </c>
      <c r="B4951">
        <v>2022</v>
      </c>
      <c r="C4951" t="s">
        <v>6</v>
      </c>
      <c r="D4951">
        <v>24389.200000000001</v>
      </c>
      <c r="E4951">
        <v>22916.51</v>
      </c>
      <c r="F4951">
        <v>42.54</v>
      </c>
      <c r="G4951">
        <v>727.53</v>
      </c>
      <c r="H4951">
        <f>E4951*1000000/D4951</f>
        <v>939617.12561297626</v>
      </c>
      <c r="I4951" t="str">
        <f>IF(AND(B4951&gt;=2018, B4951&lt;=2021), "2018-2021", IF(AND(B4951&gt;=2022, B4951&lt;=2024), "2022-2024", "Other"))</f>
        <v>2022-2024</v>
      </c>
    </row>
    <row r="4952" spans="1:9" x14ac:dyDescent="0.3">
      <c r="A4952" t="s">
        <v>16</v>
      </c>
      <c r="B4952">
        <v>2018</v>
      </c>
      <c r="C4952" t="s">
        <v>4</v>
      </c>
      <c r="D4952">
        <v>15536.9</v>
      </c>
      <c r="E4952">
        <v>16808.189999999999</v>
      </c>
      <c r="F4952">
        <v>133.63</v>
      </c>
      <c r="G4952">
        <v>814.42</v>
      </c>
      <c r="H4952">
        <f>E4952*1000000/D4952</f>
        <v>1081823.9159677927</v>
      </c>
      <c r="I4952" t="str">
        <f>IF(AND(B4952&gt;=2018, B4952&lt;=2021), "2018-2021", IF(AND(B4952&gt;=2022, B4952&lt;=2024), "2022-2024", "Other"))</f>
        <v>2018-2021</v>
      </c>
    </row>
    <row r="4953" spans="1:9" x14ac:dyDescent="0.3">
      <c r="A4953" t="s">
        <v>21</v>
      </c>
      <c r="B4953">
        <v>2019</v>
      </c>
      <c r="C4953" t="s">
        <v>6</v>
      </c>
      <c r="D4953">
        <v>38634.33</v>
      </c>
      <c r="E4953">
        <v>40979.199999999997</v>
      </c>
      <c r="F4953">
        <v>20.84</v>
      </c>
      <c r="G4953">
        <v>899.24</v>
      </c>
      <c r="H4953">
        <f>E4953*1000000/D4953</f>
        <v>1060693.9475849587</v>
      </c>
      <c r="I4953" t="str">
        <f>IF(AND(B4953&gt;=2018, B4953&lt;=2021), "2018-2021", IF(AND(B4953&gt;=2022, B4953&lt;=2024), "2022-2024", "Other"))</f>
        <v>2018-2021</v>
      </c>
    </row>
    <row r="4954" spans="1:9" x14ac:dyDescent="0.3">
      <c r="A4954" t="s">
        <v>5</v>
      </c>
      <c r="B4954">
        <v>2023</v>
      </c>
      <c r="C4954" t="s">
        <v>8</v>
      </c>
      <c r="D4954">
        <v>33417.69</v>
      </c>
      <c r="E4954">
        <v>38195.07</v>
      </c>
      <c r="F4954">
        <v>96.26</v>
      </c>
      <c r="G4954">
        <v>1398.6</v>
      </c>
      <c r="H4954">
        <f>E4954*1000000/D4954</f>
        <v>1142959.6121096341</v>
      </c>
      <c r="I4954" t="str">
        <f>IF(AND(B4954&gt;=2018, B4954&lt;=2021), "2018-2021", IF(AND(B4954&gt;=2022, B4954&lt;=2024), "2022-2024", "Other"))</f>
        <v>2022-2024</v>
      </c>
    </row>
    <row r="4955" spans="1:9" x14ac:dyDescent="0.3">
      <c r="A4955" t="s">
        <v>7</v>
      </c>
      <c r="B4955">
        <v>2021</v>
      </c>
      <c r="C4955" t="s">
        <v>4</v>
      </c>
      <c r="D4955">
        <v>45420.52</v>
      </c>
      <c r="E4955">
        <v>45464.21</v>
      </c>
      <c r="F4955">
        <v>196.72</v>
      </c>
      <c r="G4955">
        <v>422.66</v>
      </c>
      <c r="H4955">
        <f>E4955*1000000/D4955</f>
        <v>1000961.9000398939</v>
      </c>
      <c r="I4955" t="str">
        <f>IF(AND(B4955&gt;=2018, B4955&lt;=2021), "2018-2021", IF(AND(B4955&gt;=2022, B4955&lt;=2024), "2022-2024", "Other"))</f>
        <v>2018-2021</v>
      </c>
    </row>
    <row r="4956" spans="1:9" x14ac:dyDescent="0.3">
      <c r="A4956" t="s">
        <v>1</v>
      </c>
      <c r="B4956">
        <v>2021</v>
      </c>
      <c r="C4956" t="s">
        <v>6</v>
      </c>
      <c r="D4956">
        <v>23322.31</v>
      </c>
      <c r="E4956">
        <v>27573.1</v>
      </c>
      <c r="F4956">
        <v>84.24</v>
      </c>
      <c r="G4956">
        <v>942.96</v>
      </c>
      <c r="H4956">
        <f>E4956*1000000/D4956</f>
        <v>1182262.8204496037</v>
      </c>
      <c r="I4956" t="str">
        <f>IF(AND(B4956&gt;=2018, B4956&lt;=2021), "2018-2021", IF(AND(B4956&gt;=2022, B4956&lt;=2024), "2022-2024", "Other"))</f>
        <v>2018-2021</v>
      </c>
    </row>
    <row r="4957" spans="1:9" x14ac:dyDescent="0.3">
      <c r="A4957" t="s">
        <v>18</v>
      </c>
      <c r="B4957">
        <v>2023</v>
      </c>
      <c r="C4957" t="s">
        <v>14</v>
      </c>
      <c r="D4957">
        <v>18301.61</v>
      </c>
      <c r="E4957">
        <v>15305.6</v>
      </c>
      <c r="F4957">
        <v>166.22</v>
      </c>
      <c r="G4957">
        <v>1368.68</v>
      </c>
      <c r="H4957">
        <f>E4957*1000000/D4957</f>
        <v>836298.00875442103</v>
      </c>
      <c r="I4957" t="str">
        <f>IF(AND(B4957&gt;=2018, B4957&lt;=2021), "2018-2021", IF(AND(B4957&gt;=2022, B4957&lt;=2024), "2022-2024", "Other"))</f>
        <v>2022-2024</v>
      </c>
    </row>
    <row r="4958" spans="1:9" x14ac:dyDescent="0.3">
      <c r="A4958" t="s">
        <v>24</v>
      </c>
      <c r="B4958">
        <v>2018</v>
      </c>
      <c r="C4958" t="s">
        <v>2</v>
      </c>
      <c r="D4958">
        <v>1788.61</v>
      </c>
      <c r="E4958">
        <v>2042.03</v>
      </c>
      <c r="F4958">
        <v>93.33</v>
      </c>
      <c r="G4958">
        <v>1199.5899999999999</v>
      </c>
      <c r="H4958">
        <f>E4958*1000000/D4958</f>
        <v>1141685.4428858163</v>
      </c>
      <c r="I4958" t="str">
        <f>IF(AND(B4958&gt;=2018, B4958&lt;=2021), "2018-2021", IF(AND(B4958&gt;=2022, B4958&lt;=2024), "2022-2024", "Other"))</f>
        <v>2018-2021</v>
      </c>
    </row>
    <row r="4959" spans="1:9" x14ac:dyDescent="0.3">
      <c r="A4959" t="s">
        <v>25</v>
      </c>
      <c r="B4959">
        <v>2022</v>
      </c>
      <c r="C4959" t="s">
        <v>8</v>
      </c>
      <c r="D4959">
        <v>49492.05</v>
      </c>
      <c r="E4959">
        <v>40998.089999999997</v>
      </c>
      <c r="F4959">
        <v>50.81</v>
      </c>
      <c r="G4959">
        <v>335.3</v>
      </c>
      <c r="H4959">
        <f>E4959*1000000/D4959</f>
        <v>828377.28483665548</v>
      </c>
      <c r="I4959" t="str">
        <f>IF(AND(B4959&gt;=2018, B4959&lt;=2021), "2018-2021", IF(AND(B4959&gt;=2022, B4959&lt;=2024), "2022-2024", "Other"))</f>
        <v>2022-2024</v>
      </c>
    </row>
    <row r="4960" spans="1:9" x14ac:dyDescent="0.3">
      <c r="A4960" t="s">
        <v>19</v>
      </c>
      <c r="B4960">
        <v>2021</v>
      </c>
      <c r="C4960" t="s">
        <v>12</v>
      </c>
      <c r="D4960">
        <v>44681.18</v>
      </c>
      <c r="E4960">
        <v>45270.29</v>
      </c>
      <c r="F4960">
        <v>90.79</v>
      </c>
      <c r="G4960">
        <v>92.56</v>
      </c>
      <c r="H4960">
        <f>E4960*1000000/D4960</f>
        <v>1013184.7457923</v>
      </c>
      <c r="I4960" t="str">
        <f>IF(AND(B4960&gt;=2018, B4960&lt;=2021), "2018-2021", IF(AND(B4960&gt;=2022, B4960&lt;=2024), "2022-2024", "Other"))</f>
        <v>2018-2021</v>
      </c>
    </row>
    <row r="4961" spans="1:9" x14ac:dyDescent="0.3">
      <c r="A4961" t="s">
        <v>24</v>
      </c>
      <c r="B4961">
        <v>2022</v>
      </c>
      <c r="C4961" t="s">
        <v>4</v>
      </c>
      <c r="D4961">
        <v>46394.35</v>
      </c>
      <c r="E4961">
        <v>41792.65</v>
      </c>
      <c r="F4961">
        <v>77.59</v>
      </c>
      <c r="G4961">
        <v>1071.06</v>
      </c>
      <c r="H4961">
        <f>E4961*1000000/D4961</f>
        <v>900813.35335013852</v>
      </c>
      <c r="I4961" t="str">
        <f>IF(AND(B4961&gt;=2018, B4961&lt;=2021), "2018-2021", IF(AND(B4961&gt;=2022, B4961&lt;=2024), "2022-2024", "Other"))</f>
        <v>2022-2024</v>
      </c>
    </row>
    <row r="4962" spans="1:9" x14ac:dyDescent="0.3">
      <c r="A4962" t="s">
        <v>23</v>
      </c>
      <c r="B4962">
        <v>2019</v>
      </c>
      <c r="C4962" t="s">
        <v>0</v>
      </c>
      <c r="D4962">
        <v>19482.740000000002</v>
      </c>
      <c r="E4962">
        <v>21320.79</v>
      </c>
      <c r="F4962">
        <v>30.3</v>
      </c>
      <c r="G4962">
        <v>1053.99</v>
      </c>
      <c r="H4962">
        <f>E4962*1000000/D4962</f>
        <v>1094342.4795485644</v>
      </c>
      <c r="I4962" t="str">
        <f>IF(AND(B4962&gt;=2018, B4962&lt;=2021), "2018-2021", IF(AND(B4962&gt;=2022, B4962&lt;=2024), "2022-2024", "Other"))</f>
        <v>2018-2021</v>
      </c>
    </row>
    <row r="4963" spans="1:9" x14ac:dyDescent="0.3">
      <c r="A4963" t="s">
        <v>24</v>
      </c>
      <c r="B4963">
        <v>2024</v>
      </c>
      <c r="C4963" t="s">
        <v>2</v>
      </c>
      <c r="D4963">
        <v>36005.360000000001</v>
      </c>
      <c r="E4963">
        <v>31410.97</v>
      </c>
      <c r="F4963">
        <v>111.78</v>
      </c>
      <c r="G4963">
        <v>120.03</v>
      </c>
      <c r="H4963">
        <f>E4963*1000000/D4963</f>
        <v>872397.0542163722</v>
      </c>
      <c r="I4963" t="str">
        <f>IF(AND(B4963&gt;=2018, B4963&lt;=2021), "2018-2021", IF(AND(B4963&gt;=2022, B4963&lt;=2024), "2022-2024", "Other"))</f>
        <v>2022-2024</v>
      </c>
    </row>
    <row r="4964" spans="1:9" x14ac:dyDescent="0.3">
      <c r="A4964" t="s">
        <v>7</v>
      </c>
      <c r="B4964">
        <v>2023</v>
      </c>
      <c r="C4964" t="s">
        <v>6</v>
      </c>
      <c r="D4964">
        <v>15185.55</v>
      </c>
      <c r="E4964">
        <v>14374.28</v>
      </c>
      <c r="F4964">
        <v>166.84</v>
      </c>
      <c r="G4964">
        <v>1226.47</v>
      </c>
      <c r="H4964">
        <f>E4964*1000000/D4964</f>
        <v>946576.18591358233</v>
      </c>
      <c r="I4964" t="str">
        <f>IF(AND(B4964&gt;=2018, B4964&lt;=2021), "2018-2021", IF(AND(B4964&gt;=2022, B4964&lt;=2024), "2022-2024", "Other"))</f>
        <v>2022-2024</v>
      </c>
    </row>
    <row r="4965" spans="1:9" x14ac:dyDescent="0.3">
      <c r="A4965" t="s">
        <v>23</v>
      </c>
      <c r="B4965">
        <v>2020</v>
      </c>
      <c r="C4965" t="s">
        <v>2</v>
      </c>
      <c r="D4965">
        <v>30540.22</v>
      </c>
      <c r="E4965">
        <v>27976.09</v>
      </c>
      <c r="F4965">
        <v>109</v>
      </c>
      <c r="G4965">
        <v>569.4</v>
      </c>
      <c r="H4965">
        <f>E4965*1000000/D4965</f>
        <v>916040.87986268592</v>
      </c>
      <c r="I4965" t="str">
        <f>IF(AND(B4965&gt;=2018, B4965&lt;=2021), "2018-2021", IF(AND(B4965&gt;=2022, B4965&lt;=2024), "2022-2024", "Other"))</f>
        <v>2018-2021</v>
      </c>
    </row>
    <row r="4966" spans="1:9" x14ac:dyDescent="0.3">
      <c r="A4966" t="s">
        <v>24</v>
      </c>
      <c r="B4966">
        <v>2020</v>
      </c>
      <c r="C4966" t="s">
        <v>2</v>
      </c>
      <c r="D4966">
        <v>2658.11</v>
      </c>
      <c r="E4966">
        <v>2269.6</v>
      </c>
      <c r="F4966">
        <v>137.54</v>
      </c>
      <c r="G4966">
        <v>1144.33</v>
      </c>
      <c r="H4966">
        <f>E4966*1000000/D4966</f>
        <v>853839.75832452381</v>
      </c>
      <c r="I4966" t="str">
        <f>IF(AND(B4966&gt;=2018, B4966&lt;=2021), "2018-2021", IF(AND(B4966&gt;=2022, B4966&lt;=2024), "2022-2024", "Other"))</f>
        <v>2018-2021</v>
      </c>
    </row>
    <row r="4967" spans="1:9" x14ac:dyDescent="0.3">
      <c r="A4967" t="s">
        <v>7</v>
      </c>
      <c r="B4967">
        <v>2023</v>
      </c>
      <c r="C4967" t="s">
        <v>0</v>
      </c>
      <c r="D4967">
        <v>14212.01</v>
      </c>
      <c r="E4967">
        <v>14161.88</v>
      </c>
      <c r="F4967">
        <v>94.42</v>
      </c>
      <c r="G4967">
        <v>539.65</v>
      </c>
      <c r="H4967">
        <f>E4967*1000000/D4967</f>
        <v>996472.70160941349</v>
      </c>
      <c r="I4967" t="str">
        <f>IF(AND(B4967&gt;=2018, B4967&lt;=2021), "2018-2021", IF(AND(B4967&gt;=2022, B4967&lt;=2024), "2022-2024", "Other"))</f>
        <v>2022-2024</v>
      </c>
    </row>
    <row r="4968" spans="1:9" x14ac:dyDescent="0.3">
      <c r="A4968" t="s">
        <v>23</v>
      </c>
      <c r="B4968">
        <v>2024</v>
      </c>
      <c r="C4968" t="s">
        <v>4</v>
      </c>
      <c r="D4968">
        <v>4778.57</v>
      </c>
      <c r="E4968">
        <v>3898.87</v>
      </c>
      <c r="F4968">
        <v>152.62</v>
      </c>
      <c r="G4968">
        <v>1308.47</v>
      </c>
      <c r="H4968">
        <f>E4968*1000000/D4968</f>
        <v>815907.26932952751</v>
      </c>
      <c r="I4968" t="str">
        <f>IF(AND(B4968&gt;=2018, B4968&lt;=2021), "2018-2021", IF(AND(B4968&gt;=2022, B4968&lt;=2024), "2022-2024", "Other"))</f>
        <v>2022-2024</v>
      </c>
    </row>
    <row r="4969" spans="1:9" x14ac:dyDescent="0.3">
      <c r="A4969" t="s">
        <v>17</v>
      </c>
      <c r="B4969">
        <v>2019</v>
      </c>
      <c r="C4969" t="s">
        <v>6</v>
      </c>
      <c r="D4969">
        <v>24982.19</v>
      </c>
      <c r="E4969">
        <v>21423.5</v>
      </c>
      <c r="F4969">
        <v>190.36</v>
      </c>
      <c r="G4969">
        <v>806.57</v>
      </c>
      <c r="H4969">
        <f>E4969*1000000/D4969</f>
        <v>857550.91927489149</v>
      </c>
      <c r="I4969" t="str">
        <f>IF(AND(B4969&gt;=2018, B4969&lt;=2021), "2018-2021", IF(AND(B4969&gt;=2022, B4969&lt;=2024), "2022-2024", "Other"))</f>
        <v>2018-2021</v>
      </c>
    </row>
    <row r="4970" spans="1:9" x14ac:dyDescent="0.3">
      <c r="A4970" t="s">
        <v>22</v>
      </c>
      <c r="B4970">
        <v>2021</v>
      </c>
      <c r="C4970" t="s">
        <v>6</v>
      </c>
      <c r="D4970">
        <v>9867.52</v>
      </c>
      <c r="E4970">
        <v>10616.89</v>
      </c>
      <c r="F4970">
        <v>193.95</v>
      </c>
      <c r="G4970">
        <v>355.22</v>
      </c>
      <c r="H4970">
        <f>E4970*1000000/D4970</f>
        <v>1075943.0941107795</v>
      </c>
      <c r="I4970" t="str">
        <f>IF(AND(B4970&gt;=2018, B4970&lt;=2021), "2018-2021", IF(AND(B4970&gt;=2022, B4970&lt;=2024), "2022-2024", "Other"))</f>
        <v>2018-2021</v>
      </c>
    </row>
    <row r="4971" spans="1:9" x14ac:dyDescent="0.3">
      <c r="A4971" t="s">
        <v>19</v>
      </c>
      <c r="B4971">
        <v>2020</v>
      </c>
      <c r="C4971" t="s">
        <v>14</v>
      </c>
      <c r="D4971">
        <v>25719.66</v>
      </c>
      <c r="E4971">
        <v>23451.89</v>
      </c>
      <c r="F4971">
        <v>90.62</v>
      </c>
      <c r="G4971">
        <v>836.11</v>
      </c>
      <c r="H4971">
        <f>E4971*1000000/D4971</f>
        <v>911827.37252358696</v>
      </c>
      <c r="I4971" t="str">
        <f>IF(AND(B4971&gt;=2018, B4971&lt;=2021), "2018-2021", IF(AND(B4971&gt;=2022, B4971&lt;=2024), "2022-2024", "Other"))</f>
        <v>2018-2021</v>
      </c>
    </row>
    <row r="4972" spans="1:9" x14ac:dyDescent="0.3">
      <c r="A4972" t="s">
        <v>11</v>
      </c>
      <c r="B4972">
        <v>2023</v>
      </c>
      <c r="C4972" t="s">
        <v>8</v>
      </c>
      <c r="D4972">
        <v>2205.14</v>
      </c>
      <c r="E4972">
        <v>1966.44</v>
      </c>
      <c r="F4972">
        <v>97.16</v>
      </c>
      <c r="G4972">
        <v>162.25</v>
      </c>
      <c r="H4972">
        <f>E4972*1000000/D4972</f>
        <v>891752.90457748715</v>
      </c>
      <c r="I4972" t="str">
        <f>IF(AND(B4972&gt;=2018, B4972&lt;=2021), "2018-2021", IF(AND(B4972&gt;=2022, B4972&lt;=2024), "2022-2024", "Other"))</f>
        <v>2022-2024</v>
      </c>
    </row>
    <row r="4973" spans="1:9" x14ac:dyDescent="0.3">
      <c r="A4973" t="s">
        <v>19</v>
      </c>
      <c r="B4973">
        <v>2020</v>
      </c>
      <c r="C4973" t="s">
        <v>0</v>
      </c>
      <c r="D4973">
        <v>32589.56</v>
      </c>
      <c r="E4973">
        <v>36951.42</v>
      </c>
      <c r="F4973">
        <v>119.7</v>
      </c>
      <c r="G4973">
        <v>153.6</v>
      </c>
      <c r="H4973">
        <f>E4973*1000000/D4973</f>
        <v>1133842.2488674286</v>
      </c>
      <c r="I4973" t="str">
        <f>IF(AND(B4973&gt;=2018, B4973&lt;=2021), "2018-2021", IF(AND(B4973&gt;=2022, B4973&lt;=2024), "2022-2024", "Other"))</f>
        <v>2018-2021</v>
      </c>
    </row>
    <row r="4974" spans="1:9" x14ac:dyDescent="0.3">
      <c r="A4974" t="s">
        <v>1</v>
      </c>
      <c r="B4974">
        <v>2022</v>
      </c>
      <c r="C4974" t="s">
        <v>0</v>
      </c>
      <c r="D4974">
        <v>8236.9500000000007</v>
      </c>
      <c r="E4974">
        <v>7306.92</v>
      </c>
      <c r="F4974">
        <v>28.16</v>
      </c>
      <c r="G4974">
        <v>313.2</v>
      </c>
      <c r="H4974">
        <f>E4974*1000000/D4974</f>
        <v>887090.48859104398</v>
      </c>
      <c r="I4974" t="str">
        <f>IF(AND(B4974&gt;=2018, B4974&lt;=2021), "2018-2021", IF(AND(B4974&gt;=2022, B4974&lt;=2024), "2022-2024", "Other"))</f>
        <v>2022-2024</v>
      </c>
    </row>
    <row r="4975" spans="1:9" x14ac:dyDescent="0.3">
      <c r="A4975" t="s">
        <v>10</v>
      </c>
      <c r="B4975">
        <v>2024</v>
      </c>
      <c r="C4975" t="s">
        <v>9</v>
      </c>
      <c r="D4975">
        <v>43604.59</v>
      </c>
      <c r="E4975">
        <v>43474.62</v>
      </c>
      <c r="F4975">
        <v>173.77</v>
      </c>
      <c r="G4975">
        <v>1328.97</v>
      </c>
      <c r="H4975">
        <f>E4975*1000000/D4975</f>
        <v>997019.35048580903</v>
      </c>
      <c r="I4975" t="str">
        <f>IF(AND(B4975&gt;=2018, B4975&lt;=2021), "2018-2021", IF(AND(B4975&gt;=2022, B4975&lt;=2024), "2022-2024", "Other"))</f>
        <v>2022-2024</v>
      </c>
    </row>
    <row r="4976" spans="1:9" x14ac:dyDescent="0.3">
      <c r="A4976" t="s">
        <v>1</v>
      </c>
      <c r="B4976">
        <v>2020</v>
      </c>
      <c r="C4976" t="s">
        <v>8</v>
      </c>
      <c r="D4976">
        <v>15276.34</v>
      </c>
      <c r="E4976">
        <v>15690.75</v>
      </c>
      <c r="F4976">
        <v>22.84</v>
      </c>
      <c r="G4976">
        <v>815.72</v>
      </c>
      <c r="H4976">
        <f>E4976*1000000/D4976</f>
        <v>1027127.5711328761</v>
      </c>
      <c r="I4976" t="str">
        <f>IF(AND(B4976&gt;=2018, B4976&lt;=2021), "2018-2021", IF(AND(B4976&gt;=2022, B4976&lt;=2024), "2022-2024", "Other"))</f>
        <v>2018-2021</v>
      </c>
    </row>
    <row r="4977" spans="1:9" x14ac:dyDescent="0.3">
      <c r="A4977" t="s">
        <v>21</v>
      </c>
      <c r="B4977">
        <v>2023</v>
      </c>
      <c r="C4977" t="s">
        <v>8</v>
      </c>
      <c r="D4977">
        <v>21088.7</v>
      </c>
      <c r="E4977">
        <v>17571.099999999999</v>
      </c>
      <c r="F4977">
        <v>178.19</v>
      </c>
      <c r="G4977">
        <v>1192.2</v>
      </c>
      <c r="H4977">
        <f>E4977*1000000/D4977</f>
        <v>833199.77049320249</v>
      </c>
      <c r="I4977" t="str">
        <f>IF(AND(B4977&gt;=2018, B4977&lt;=2021), "2018-2021", IF(AND(B4977&gt;=2022, B4977&lt;=2024), "2022-2024", "Other"))</f>
        <v>2022-2024</v>
      </c>
    </row>
    <row r="4978" spans="1:9" x14ac:dyDescent="0.3">
      <c r="A4978" t="s">
        <v>19</v>
      </c>
      <c r="B4978">
        <v>2018</v>
      </c>
      <c r="C4978" t="s">
        <v>2</v>
      </c>
      <c r="D4978">
        <v>44473.73</v>
      </c>
      <c r="E4978">
        <v>44465.52</v>
      </c>
      <c r="F4978">
        <v>159.88999999999999</v>
      </c>
      <c r="G4978">
        <v>679.96</v>
      </c>
      <c r="H4978">
        <f>E4978*1000000/D4978</f>
        <v>999815.39663976908</v>
      </c>
      <c r="I4978" t="str">
        <f>IF(AND(B4978&gt;=2018, B4978&lt;=2021), "2018-2021", IF(AND(B4978&gt;=2022, B4978&lt;=2024), "2022-2024", "Other"))</f>
        <v>2018-2021</v>
      </c>
    </row>
    <row r="4979" spans="1:9" x14ac:dyDescent="0.3">
      <c r="A4979" t="s">
        <v>20</v>
      </c>
      <c r="B4979">
        <v>2019</v>
      </c>
      <c r="C4979" t="s">
        <v>6</v>
      </c>
      <c r="D4979">
        <v>43392.94</v>
      </c>
      <c r="E4979">
        <v>49097.64</v>
      </c>
      <c r="F4979">
        <v>109.67</v>
      </c>
      <c r="G4979">
        <v>98.37</v>
      </c>
      <c r="H4979">
        <f>E4979*1000000/D4979</f>
        <v>1131466.0864186662</v>
      </c>
      <c r="I4979" t="str">
        <f>IF(AND(B4979&gt;=2018, B4979&lt;=2021), "2018-2021", IF(AND(B4979&gt;=2022, B4979&lt;=2024), "2022-2024", "Other"))</f>
        <v>2018-2021</v>
      </c>
    </row>
    <row r="4980" spans="1:9" x14ac:dyDescent="0.3">
      <c r="A4980" t="s">
        <v>19</v>
      </c>
      <c r="B4980">
        <v>2024</v>
      </c>
      <c r="C4980" t="s">
        <v>4</v>
      </c>
      <c r="D4980">
        <v>39686.449999999997</v>
      </c>
      <c r="E4980">
        <v>43305.99</v>
      </c>
      <c r="F4980">
        <v>63.98</v>
      </c>
      <c r="G4980">
        <v>1060.47</v>
      </c>
      <c r="H4980">
        <f>E4980*1000000/D4980</f>
        <v>1091203.420814913</v>
      </c>
      <c r="I4980" t="str">
        <f>IF(AND(B4980&gt;=2018, B4980&lt;=2021), "2018-2021", IF(AND(B4980&gt;=2022, B4980&lt;=2024), "2022-2024", "Other"))</f>
        <v>2022-2024</v>
      </c>
    </row>
    <row r="4981" spans="1:9" x14ac:dyDescent="0.3">
      <c r="A4981" t="s">
        <v>16</v>
      </c>
      <c r="B4981">
        <v>2018</v>
      </c>
      <c r="C4981" t="s">
        <v>2</v>
      </c>
      <c r="D4981">
        <v>44803.85</v>
      </c>
      <c r="E4981">
        <v>35993.32</v>
      </c>
      <c r="F4981">
        <v>71.86</v>
      </c>
      <c r="G4981">
        <v>176.48</v>
      </c>
      <c r="H4981">
        <f>E4981*1000000/D4981</f>
        <v>803353.28325579164</v>
      </c>
      <c r="I4981" t="str">
        <f>IF(AND(B4981&gt;=2018, B4981&lt;=2021), "2018-2021", IF(AND(B4981&gt;=2022, B4981&lt;=2024), "2022-2024", "Other"))</f>
        <v>2018-2021</v>
      </c>
    </row>
    <row r="4982" spans="1:9" x14ac:dyDescent="0.3">
      <c r="A4982" t="s">
        <v>17</v>
      </c>
      <c r="B4982">
        <v>2019</v>
      </c>
      <c r="C4982" t="s">
        <v>14</v>
      </c>
      <c r="D4982">
        <v>45200.78</v>
      </c>
      <c r="E4982">
        <v>42110.63</v>
      </c>
      <c r="F4982">
        <v>132.36000000000001</v>
      </c>
      <c r="G4982">
        <v>181.45</v>
      </c>
      <c r="H4982">
        <f>E4982*1000000/D4982</f>
        <v>931635.0293070164</v>
      </c>
      <c r="I4982" t="str">
        <f>IF(AND(B4982&gt;=2018, B4982&lt;=2021), "2018-2021", IF(AND(B4982&gt;=2022, B4982&lt;=2024), "2022-2024", "Other"))</f>
        <v>2018-2021</v>
      </c>
    </row>
    <row r="4983" spans="1:9" x14ac:dyDescent="0.3">
      <c r="A4983" t="s">
        <v>15</v>
      </c>
      <c r="B4983">
        <v>2018</v>
      </c>
      <c r="C4983" t="s">
        <v>14</v>
      </c>
      <c r="D4983">
        <v>22425.89</v>
      </c>
      <c r="E4983">
        <v>19728.689999999999</v>
      </c>
      <c r="F4983">
        <v>139.85</v>
      </c>
      <c r="G4983">
        <v>579.96</v>
      </c>
      <c r="H4983">
        <f>E4983*1000000/D4983</f>
        <v>879728.29617910378</v>
      </c>
      <c r="I4983" t="str">
        <f>IF(AND(B4983&gt;=2018, B4983&lt;=2021), "2018-2021", IF(AND(B4983&gt;=2022, B4983&lt;=2024), "2022-2024", "Other"))</f>
        <v>2018-2021</v>
      </c>
    </row>
    <row r="4984" spans="1:9" x14ac:dyDescent="0.3">
      <c r="A4984" t="s">
        <v>11</v>
      </c>
      <c r="B4984">
        <v>2018</v>
      </c>
      <c r="C4984" t="s">
        <v>12</v>
      </c>
      <c r="D4984">
        <v>46466.94</v>
      </c>
      <c r="E4984">
        <v>46343.29</v>
      </c>
      <c r="F4984">
        <v>182.33</v>
      </c>
      <c r="G4984">
        <v>640.21</v>
      </c>
      <c r="H4984">
        <f>E4984*1000000/D4984</f>
        <v>997338.96830735996</v>
      </c>
      <c r="I4984" t="str">
        <f>IF(AND(B4984&gt;=2018, B4984&lt;=2021), "2018-2021", IF(AND(B4984&gt;=2022, B4984&lt;=2024), "2022-2024", "Other"))</f>
        <v>2018-2021</v>
      </c>
    </row>
    <row r="4985" spans="1:9" x14ac:dyDescent="0.3">
      <c r="A4985" t="s">
        <v>18</v>
      </c>
      <c r="B4985">
        <v>2018</v>
      </c>
      <c r="C4985" t="s">
        <v>12</v>
      </c>
      <c r="D4985">
        <v>18801.21</v>
      </c>
      <c r="E4985">
        <v>18488.3</v>
      </c>
      <c r="F4985">
        <v>55.01</v>
      </c>
      <c r="G4985">
        <v>927.52</v>
      </c>
      <c r="H4985">
        <f>E4985*1000000/D4985</f>
        <v>983356.92224064306</v>
      </c>
      <c r="I4985" t="str">
        <f>IF(AND(B4985&gt;=2018, B4985&lt;=2021), "2018-2021", IF(AND(B4985&gt;=2022, B4985&lt;=2024), "2022-2024", "Other"))</f>
        <v>2018-2021</v>
      </c>
    </row>
    <row r="4986" spans="1:9" x14ac:dyDescent="0.3">
      <c r="A4986" t="s">
        <v>10</v>
      </c>
      <c r="B4986">
        <v>2019</v>
      </c>
      <c r="C4986" t="s">
        <v>2</v>
      </c>
      <c r="D4986">
        <v>7902.76</v>
      </c>
      <c r="E4986">
        <v>8000.18</v>
      </c>
      <c r="F4986">
        <v>38.51</v>
      </c>
      <c r="G4986">
        <v>1355.35</v>
      </c>
      <c r="H4986">
        <f>E4986*1000000/D4986</f>
        <v>1012327.3388031523</v>
      </c>
      <c r="I4986" t="str">
        <f>IF(AND(B4986&gt;=2018, B4986&lt;=2021), "2018-2021", IF(AND(B4986&gt;=2022, B4986&lt;=2024), "2022-2024", "Other"))</f>
        <v>2018-2021</v>
      </c>
    </row>
    <row r="4987" spans="1:9" x14ac:dyDescent="0.3">
      <c r="A4987" t="s">
        <v>17</v>
      </c>
      <c r="B4987">
        <v>2023</v>
      </c>
      <c r="C4987" t="s">
        <v>14</v>
      </c>
      <c r="D4987">
        <v>9821.36</v>
      </c>
      <c r="E4987">
        <v>8333.6</v>
      </c>
      <c r="F4987">
        <v>50.23</v>
      </c>
      <c r="G4987">
        <v>60.53</v>
      </c>
      <c r="H4987">
        <f>E4987*1000000/D4987</f>
        <v>848517.92419787066</v>
      </c>
      <c r="I4987" t="str">
        <f>IF(AND(B4987&gt;=2018, B4987&lt;=2021), "2018-2021", IF(AND(B4987&gt;=2022, B4987&lt;=2024), "2022-2024", "Other"))</f>
        <v>2022-2024</v>
      </c>
    </row>
    <row r="4988" spans="1:9" x14ac:dyDescent="0.3">
      <c r="A4988" t="s">
        <v>16</v>
      </c>
      <c r="B4988">
        <v>2022</v>
      </c>
      <c r="C4988" t="s">
        <v>8</v>
      </c>
      <c r="D4988">
        <v>21611.84</v>
      </c>
      <c r="E4988">
        <v>19333.919999999998</v>
      </c>
      <c r="F4988">
        <v>129.82</v>
      </c>
      <c r="G4988">
        <v>391.78</v>
      </c>
      <c r="H4988">
        <f>E4988*1000000/D4988</f>
        <v>894598.5163688052</v>
      </c>
      <c r="I4988" t="str">
        <f>IF(AND(B4988&gt;=2018, B4988&lt;=2021), "2018-2021", IF(AND(B4988&gt;=2022, B4988&lt;=2024), "2022-2024", "Other"))</f>
        <v>2022-2024</v>
      </c>
    </row>
    <row r="4989" spans="1:9" x14ac:dyDescent="0.3">
      <c r="A4989" t="s">
        <v>15</v>
      </c>
      <c r="B4989">
        <v>2019</v>
      </c>
      <c r="C4989" t="s">
        <v>14</v>
      </c>
      <c r="D4989">
        <v>18154.900000000001</v>
      </c>
      <c r="E4989">
        <v>16980.32</v>
      </c>
      <c r="F4989">
        <v>105</v>
      </c>
      <c r="G4989">
        <v>23.82</v>
      </c>
      <c r="H4989">
        <f>E4989*1000000/D4989</f>
        <v>935302.31507747213</v>
      </c>
      <c r="I4989" t="str">
        <f>IF(AND(B4989&gt;=2018, B4989&lt;=2021), "2018-2021", IF(AND(B4989&gt;=2022, B4989&lt;=2024), "2022-2024", "Other"))</f>
        <v>2018-2021</v>
      </c>
    </row>
    <row r="4990" spans="1:9" x14ac:dyDescent="0.3">
      <c r="A4990" t="s">
        <v>13</v>
      </c>
      <c r="B4990">
        <v>2019</v>
      </c>
      <c r="C4990" t="s">
        <v>12</v>
      </c>
      <c r="D4990">
        <v>44319.58</v>
      </c>
      <c r="E4990">
        <v>37349.47</v>
      </c>
      <c r="F4990">
        <v>113.72</v>
      </c>
      <c r="G4990">
        <v>1378.23</v>
      </c>
      <c r="H4990">
        <f>E4990*1000000/D4990</f>
        <v>842730.6847221927</v>
      </c>
      <c r="I4990" t="str">
        <f>IF(AND(B4990&gt;=2018, B4990&lt;=2021), "2018-2021", IF(AND(B4990&gt;=2022, B4990&lt;=2024), "2022-2024", "Other"))</f>
        <v>2018-2021</v>
      </c>
    </row>
    <row r="4991" spans="1:9" x14ac:dyDescent="0.3">
      <c r="A4991" t="s">
        <v>11</v>
      </c>
      <c r="B4991">
        <v>2022</v>
      </c>
      <c r="C4991" t="s">
        <v>4</v>
      </c>
      <c r="D4991">
        <v>3925.48</v>
      </c>
      <c r="E4991">
        <v>4499.38</v>
      </c>
      <c r="F4991">
        <v>47.21</v>
      </c>
      <c r="G4991">
        <v>79.180000000000007</v>
      </c>
      <c r="H4991">
        <f>E4991*1000000/D4991</f>
        <v>1146198.6814351366</v>
      </c>
      <c r="I4991" t="str">
        <f>IF(AND(B4991&gt;=2018, B4991&lt;=2021), "2018-2021", IF(AND(B4991&gt;=2022, B4991&lt;=2024), "2022-2024", "Other"))</f>
        <v>2022-2024</v>
      </c>
    </row>
    <row r="4992" spans="1:9" x14ac:dyDescent="0.3">
      <c r="A4992" t="s">
        <v>10</v>
      </c>
      <c r="B4992">
        <v>2021</v>
      </c>
      <c r="C4992" t="s">
        <v>9</v>
      </c>
      <c r="D4992">
        <v>21794.85</v>
      </c>
      <c r="E4992">
        <v>22964.45</v>
      </c>
      <c r="F4992">
        <v>90.37</v>
      </c>
      <c r="G4992">
        <v>726.54</v>
      </c>
      <c r="H4992">
        <f>E4992*1000000/D4992</f>
        <v>1053664.0536640538</v>
      </c>
      <c r="I4992" t="str">
        <f>IF(AND(B4992&gt;=2018, B4992&lt;=2021), "2018-2021", IF(AND(B4992&gt;=2022, B4992&lt;=2024), "2022-2024", "Other"))</f>
        <v>2018-2021</v>
      </c>
    </row>
    <row r="4993" spans="1:9" x14ac:dyDescent="0.3">
      <c r="A4993" t="s">
        <v>1</v>
      </c>
      <c r="B4993">
        <v>2019</v>
      </c>
      <c r="C4993" t="s">
        <v>4</v>
      </c>
      <c r="D4993">
        <v>26583.09</v>
      </c>
      <c r="E4993">
        <v>23562.82</v>
      </c>
      <c r="F4993">
        <v>125.57</v>
      </c>
      <c r="G4993">
        <v>571.09</v>
      </c>
      <c r="H4993">
        <f>E4993*1000000/D4993</f>
        <v>886383.78758827515</v>
      </c>
      <c r="I4993" t="str">
        <f>IF(AND(B4993&gt;=2018, B4993&lt;=2021), "2018-2021", IF(AND(B4993&gt;=2022, B4993&lt;=2024), "2022-2024", "Other"))</f>
        <v>2018-2021</v>
      </c>
    </row>
    <row r="4994" spans="1:9" x14ac:dyDescent="0.3">
      <c r="A4994" t="s">
        <v>5</v>
      </c>
      <c r="B4994">
        <v>2018</v>
      </c>
      <c r="C4994" t="s">
        <v>8</v>
      </c>
      <c r="D4994">
        <v>48984.17</v>
      </c>
      <c r="E4994">
        <v>49978.44</v>
      </c>
      <c r="F4994">
        <v>28.07</v>
      </c>
      <c r="G4994">
        <v>1380.08</v>
      </c>
      <c r="H4994">
        <f>E4994*1000000/D4994</f>
        <v>1020297.7819160762</v>
      </c>
      <c r="I4994" t="str">
        <f>IF(AND(B4994&gt;=2018, B4994&lt;=2021), "2018-2021", IF(AND(B4994&gt;=2022, B4994&lt;=2024), "2022-2024", "Other"))</f>
        <v>2018-2021</v>
      </c>
    </row>
    <row r="4995" spans="1:9" x14ac:dyDescent="0.3">
      <c r="A4995" t="s">
        <v>1</v>
      </c>
      <c r="B4995">
        <v>2021</v>
      </c>
      <c r="C4995" t="s">
        <v>8</v>
      </c>
      <c r="D4995">
        <v>42126.64</v>
      </c>
      <c r="E4995">
        <v>36406.75</v>
      </c>
      <c r="F4995">
        <v>144.30000000000001</v>
      </c>
      <c r="G4995">
        <v>1138.46</v>
      </c>
      <c r="H4995">
        <f>E4995*1000000/D4995</f>
        <v>864221.5472204762</v>
      </c>
      <c r="I4995" t="str">
        <f>IF(AND(B4995&gt;=2018, B4995&lt;=2021), "2018-2021", IF(AND(B4995&gt;=2022, B4995&lt;=2024), "2022-2024", "Other"))</f>
        <v>2018-2021</v>
      </c>
    </row>
    <row r="4996" spans="1:9" x14ac:dyDescent="0.3">
      <c r="A4996" t="s">
        <v>7</v>
      </c>
      <c r="B4996">
        <v>2023</v>
      </c>
      <c r="C4996" t="s">
        <v>6</v>
      </c>
      <c r="D4996">
        <v>39980.400000000001</v>
      </c>
      <c r="E4996">
        <v>37618.449999999997</v>
      </c>
      <c r="F4996">
        <v>32.340000000000003</v>
      </c>
      <c r="G4996">
        <v>27.08</v>
      </c>
      <c r="H4996">
        <f>E4996*1000000/D4996</f>
        <v>940922.30192794465</v>
      </c>
      <c r="I4996" t="str">
        <f>IF(AND(B4996&gt;=2018, B4996&lt;=2021), "2018-2021", IF(AND(B4996&gt;=2022, B4996&lt;=2024), "2022-2024", "Other"))</f>
        <v>2022-2024</v>
      </c>
    </row>
    <row r="4997" spans="1:9" x14ac:dyDescent="0.3">
      <c r="A4997" t="s">
        <v>1</v>
      </c>
      <c r="B4997">
        <v>2021</v>
      </c>
      <c r="C4997" t="s">
        <v>2</v>
      </c>
      <c r="D4997">
        <v>47524.74</v>
      </c>
      <c r="E4997">
        <v>48058.400000000001</v>
      </c>
      <c r="F4997">
        <v>77.41</v>
      </c>
      <c r="G4997">
        <v>1087.46</v>
      </c>
      <c r="H4997">
        <f>E4997*1000000/D4997</f>
        <v>1011229.0987809718</v>
      </c>
      <c r="I4997" t="str">
        <f>IF(AND(B4997&gt;=2018, B4997&lt;=2021), "2018-2021", IF(AND(B4997&gt;=2022, B4997&lt;=2024), "2022-2024", "Other"))</f>
        <v>2018-2021</v>
      </c>
    </row>
    <row r="4998" spans="1:9" x14ac:dyDescent="0.3">
      <c r="A4998" t="s">
        <v>3</v>
      </c>
      <c r="B4998">
        <v>2021</v>
      </c>
      <c r="C4998" t="s">
        <v>2</v>
      </c>
      <c r="D4998">
        <v>32337.72</v>
      </c>
      <c r="E4998">
        <v>32705.08</v>
      </c>
      <c r="F4998">
        <v>194.35</v>
      </c>
      <c r="G4998">
        <v>1336.32</v>
      </c>
      <c r="H4998">
        <f>E4998*1000000/D4998</f>
        <v>1011360.1082574776</v>
      </c>
      <c r="I4998" t="str">
        <f>IF(AND(B4998&gt;=2018, B4998&lt;=2021), "2018-2021", IF(AND(B4998&gt;=2022, B4998&lt;=2024), "2022-2024", "Other"))</f>
        <v>2018-2021</v>
      </c>
    </row>
    <row r="4999" spans="1:9" x14ac:dyDescent="0.3">
      <c r="A4999" t="s">
        <v>5</v>
      </c>
      <c r="B4999">
        <v>2018</v>
      </c>
      <c r="C4999" t="s">
        <v>4</v>
      </c>
      <c r="D4999">
        <v>20640.96</v>
      </c>
      <c r="E4999">
        <v>22485.33</v>
      </c>
      <c r="F4999">
        <v>21.04</v>
      </c>
      <c r="G4999">
        <v>16.13</v>
      </c>
      <c r="H4999">
        <f>E4999*1000000/D4999</f>
        <v>1089354.8555881123</v>
      </c>
      <c r="I4999" t="str">
        <f>IF(AND(B4999&gt;=2018, B4999&lt;=2021), "2018-2021", IF(AND(B4999&gt;=2022, B4999&lt;=2024), "2022-2024", "Other"))</f>
        <v>2018-2021</v>
      </c>
    </row>
    <row r="5000" spans="1:9" x14ac:dyDescent="0.3">
      <c r="A5000" t="s">
        <v>3</v>
      </c>
      <c r="B5000">
        <v>2021</v>
      </c>
      <c r="C5000" t="s">
        <v>2</v>
      </c>
      <c r="D5000">
        <v>26566.639999999999</v>
      </c>
      <c r="E5000">
        <v>29357.57</v>
      </c>
      <c r="F5000">
        <v>197.14</v>
      </c>
      <c r="G5000">
        <v>1086.17</v>
      </c>
      <c r="H5000">
        <f>E5000*1000000/D5000</f>
        <v>1105053.9323000575</v>
      </c>
      <c r="I5000" t="str">
        <f>IF(AND(B5000&gt;=2018, B5000&lt;=2021), "2018-2021", IF(AND(B5000&gt;=2022, B5000&lt;=2024), "2022-2024", "Other"))</f>
        <v>2018-2021</v>
      </c>
    </row>
    <row r="5001" spans="1:9" x14ac:dyDescent="0.3">
      <c r="A5001" t="s">
        <v>1</v>
      </c>
      <c r="B5001">
        <v>2024</v>
      </c>
      <c r="C5001" t="s">
        <v>0</v>
      </c>
      <c r="D5001">
        <v>8860.27</v>
      </c>
      <c r="E5001">
        <v>7360.38</v>
      </c>
      <c r="F5001">
        <v>51.5</v>
      </c>
      <c r="G5001">
        <v>879.67</v>
      </c>
      <c r="H5001">
        <f>E5001*1000000/D5001</f>
        <v>830717.34834265767</v>
      </c>
      <c r="I5001" t="str">
        <f>IF(AND(B5001&gt;=2018, B5001&lt;=2021), "2018-2021", IF(AND(B5001&gt;=2022, B5001&lt;=2024), "2022-2024", "Other"))</f>
        <v>2022-2024</v>
      </c>
    </row>
  </sheetData>
  <autoFilter ref="A1:H5001" xr:uid="{A2CD098B-6A7D-4AE7-B162-31277353859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A0A7-2A8C-4F9C-8328-BF8F15338463}">
  <dimension ref="A4:H325"/>
  <sheetViews>
    <sheetView topLeftCell="A308" workbookViewId="0">
      <selection activeCell="H16" sqref="H16"/>
    </sheetView>
  </sheetViews>
  <sheetFormatPr defaultRowHeight="14.4" x14ac:dyDescent="0.3"/>
  <cols>
    <col min="1" max="1" width="20.21875" bestFit="1" customWidth="1"/>
    <col min="2" max="2" width="22.44140625" bestFit="1" customWidth="1"/>
    <col min="3" max="3" width="14.5546875" bestFit="1" customWidth="1"/>
    <col min="4" max="4" width="22.44140625" bestFit="1" customWidth="1"/>
    <col min="5" max="5" width="28.33203125" bestFit="1" customWidth="1"/>
    <col min="6" max="6" width="28.5546875" bestFit="1" customWidth="1"/>
    <col min="7" max="7" width="23.6640625" bestFit="1" customWidth="1"/>
    <col min="8" max="8" width="26" bestFit="1" customWidth="1"/>
    <col min="9" max="9" width="13.21875" bestFit="1" customWidth="1"/>
    <col min="10" max="10" width="28.33203125" bestFit="1" customWidth="1"/>
    <col min="11" max="11" width="12" bestFit="1" customWidth="1"/>
    <col min="12" max="12" width="13.21875" bestFit="1" customWidth="1"/>
    <col min="13" max="13" width="12" bestFit="1" customWidth="1"/>
    <col min="14" max="14" width="17" bestFit="1" customWidth="1"/>
    <col min="15" max="15" width="14.77734375" bestFit="1" customWidth="1"/>
    <col min="16" max="16" width="13.88671875" bestFit="1" customWidth="1"/>
    <col min="17" max="17" width="13.21875" bestFit="1" customWidth="1"/>
    <col min="18" max="18" width="28.5546875" bestFit="1" customWidth="1"/>
    <col min="19" max="19" width="9.44140625" bestFit="1" customWidth="1"/>
    <col min="20" max="20" width="13.21875" bestFit="1" customWidth="1"/>
    <col min="21" max="21" width="11" bestFit="1" customWidth="1"/>
    <col min="22" max="22" width="17" bestFit="1" customWidth="1"/>
    <col min="23" max="23" width="14.77734375" bestFit="1" customWidth="1"/>
    <col min="24" max="24" width="13.88671875" bestFit="1" customWidth="1"/>
    <col min="25" max="25" width="13.21875" bestFit="1" customWidth="1"/>
    <col min="26" max="26" width="23.6640625" bestFit="1" customWidth="1"/>
    <col min="27" max="27" width="10" bestFit="1" customWidth="1"/>
    <col min="28" max="28" width="13.21875" bestFit="1" customWidth="1"/>
    <col min="29" max="29" width="11" bestFit="1" customWidth="1"/>
    <col min="30" max="30" width="17" bestFit="1" customWidth="1"/>
    <col min="31" max="31" width="14.77734375" bestFit="1" customWidth="1"/>
    <col min="32" max="32" width="13.88671875" bestFit="1" customWidth="1"/>
    <col min="33" max="33" width="13.21875" bestFit="1" customWidth="1"/>
    <col min="34" max="34" width="26" bestFit="1" customWidth="1"/>
    <col min="35" max="35" width="12" bestFit="1" customWidth="1"/>
    <col min="36" max="36" width="13.21875" bestFit="1" customWidth="1"/>
    <col min="37" max="37" width="12" bestFit="1" customWidth="1"/>
    <col min="38" max="38" width="17" bestFit="1" customWidth="1"/>
    <col min="39" max="39" width="14.77734375" bestFit="1" customWidth="1"/>
    <col min="40" max="40" width="13.88671875" bestFit="1" customWidth="1"/>
    <col min="41" max="41" width="13.21875" bestFit="1" customWidth="1"/>
    <col min="42" max="42" width="27" bestFit="1" customWidth="1"/>
    <col min="43" max="43" width="32.88671875" bestFit="1" customWidth="1"/>
    <col min="44" max="44" width="33.109375" bestFit="1" customWidth="1"/>
    <col min="45" max="45" width="28.21875" bestFit="1" customWidth="1"/>
    <col min="46" max="46" width="30.5546875" bestFit="1" customWidth="1"/>
  </cols>
  <sheetData>
    <row r="4" spans="1:8" x14ac:dyDescent="0.3">
      <c r="A4" s="1" t="s">
        <v>36</v>
      </c>
      <c r="B4" s="1" t="s">
        <v>34</v>
      </c>
      <c r="C4" s="1" t="s">
        <v>28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</row>
    <row r="5" spans="1:8" x14ac:dyDescent="0.3">
      <c r="A5" t="s">
        <v>21</v>
      </c>
      <c r="B5" t="s">
        <v>0</v>
      </c>
      <c r="C5" t="s">
        <v>38</v>
      </c>
      <c r="D5">
        <v>593605.94000000006</v>
      </c>
      <c r="E5">
        <v>581663.97000000009</v>
      </c>
      <c r="F5">
        <v>2126.9100000000003</v>
      </c>
      <c r="G5">
        <v>12247.11</v>
      </c>
      <c r="H5">
        <v>19390408.716868363</v>
      </c>
    </row>
    <row r="6" spans="1:8" x14ac:dyDescent="0.3">
      <c r="A6" t="s">
        <v>21</v>
      </c>
      <c r="B6" t="s">
        <v>0</v>
      </c>
      <c r="C6" t="s">
        <v>37</v>
      </c>
      <c r="D6">
        <v>261049.93000000002</v>
      </c>
      <c r="E6">
        <v>265337.64</v>
      </c>
      <c r="F6">
        <v>690.07</v>
      </c>
      <c r="G6">
        <v>7592.6299999999992</v>
      </c>
      <c r="H6">
        <v>9127281.0028149262</v>
      </c>
    </row>
    <row r="7" spans="1:8" x14ac:dyDescent="0.3">
      <c r="A7" t="s">
        <v>21</v>
      </c>
      <c r="B7" t="s">
        <v>2</v>
      </c>
      <c r="C7" t="s">
        <v>38</v>
      </c>
      <c r="D7">
        <v>452659.17000000016</v>
      </c>
      <c r="E7">
        <v>436797.31999999995</v>
      </c>
      <c r="F7">
        <v>2129.4699999999998</v>
      </c>
      <c r="G7">
        <v>11640.349999999999</v>
      </c>
      <c r="H7">
        <v>17406492.447938364</v>
      </c>
    </row>
    <row r="8" spans="1:8" x14ac:dyDescent="0.3">
      <c r="A8" t="s">
        <v>21</v>
      </c>
      <c r="B8" t="s">
        <v>2</v>
      </c>
      <c r="C8" t="s">
        <v>37</v>
      </c>
      <c r="D8">
        <v>172876.58000000002</v>
      </c>
      <c r="E8">
        <v>175753.18000000002</v>
      </c>
      <c r="F8">
        <v>818.78000000000009</v>
      </c>
      <c r="G8">
        <v>5008.43</v>
      </c>
      <c r="H8">
        <v>9065318.98210462</v>
      </c>
    </row>
    <row r="9" spans="1:8" x14ac:dyDescent="0.3">
      <c r="A9" t="s">
        <v>21</v>
      </c>
      <c r="B9" t="s">
        <v>14</v>
      </c>
      <c r="C9" t="s">
        <v>38</v>
      </c>
      <c r="D9">
        <v>193561.33</v>
      </c>
      <c r="E9">
        <v>198329.24</v>
      </c>
      <c r="F9">
        <v>1303.49</v>
      </c>
      <c r="G9">
        <v>9223.7999999999993</v>
      </c>
      <c r="H9">
        <v>11207293.782044146</v>
      </c>
    </row>
    <row r="10" spans="1:8" x14ac:dyDescent="0.3">
      <c r="A10" t="s">
        <v>21</v>
      </c>
      <c r="B10" t="s">
        <v>14</v>
      </c>
      <c r="C10" t="s">
        <v>37</v>
      </c>
      <c r="D10">
        <v>248428.56000000003</v>
      </c>
      <c r="E10">
        <v>244267.94999999995</v>
      </c>
      <c r="F10">
        <v>1291.7600000000002</v>
      </c>
      <c r="G10">
        <v>6355.38</v>
      </c>
      <c r="H10">
        <v>10114469.76502387</v>
      </c>
    </row>
    <row r="11" spans="1:8" x14ac:dyDescent="0.3">
      <c r="A11" t="s">
        <v>21</v>
      </c>
      <c r="B11" t="s">
        <v>9</v>
      </c>
      <c r="C11" t="s">
        <v>38</v>
      </c>
      <c r="D11">
        <v>349834.62000000005</v>
      </c>
      <c r="E11">
        <v>359851.24</v>
      </c>
      <c r="F11">
        <v>1658.12</v>
      </c>
      <c r="G11">
        <v>16362.53</v>
      </c>
      <c r="H11">
        <v>17437937.75583493</v>
      </c>
    </row>
    <row r="12" spans="1:8" x14ac:dyDescent="0.3">
      <c r="A12" t="s">
        <v>21</v>
      </c>
      <c r="B12" t="s">
        <v>9</v>
      </c>
      <c r="C12" t="s">
        <v>37</v>
      </c>
      <c r="D12">
        <v>471892.81999999995</v>
      </c>
      <c r="E12">
        <v>478195.23</v>
      </c>
      <c r="F12">
        <v>2397.9599999999991</v>
      </c>
      <c r="G12">
        <v>12074.240000000002</v>
      </c>
      <c r="H12">
        <v>17194740.980815239</v>
      </c>
    </row>
    <row r="13" spans="1:8" x14ac:dyDescent="0.3">
      <c r="A13" t="s">
        <v>21</v>
      </c>
      <c r="B13" t="s">
        <v>12</v>
      </c>
      <c r="C13" t="s">
        <v>38</v>
      </c>
      <c r="D13">
        <v>549033.92000000004</v>
      </c>
      <c r="E13">
        <v>575843.53</v>
      </c>
      <c r="F13">
        <v>1742.89</v>
      </c>
      <c r="G13">
        <v>11793.01</v>
      </c>
      <c r="H13">
        <v>18624962.078152731</v>
      </c>
    </row>
    <row r="14" spans="1:8" x14ac:dyDescent="0.3">
      <c r="A14" t="s">
        <v>21</v>
      </c>
      <c r="B14" t="s">
        <v>12</v>
      </c>
      <c r="C14" t="s">
        <v>37</v>
      </c>
      <c r="D14">
        <v>480551.48999999993</v>
      </c>
      <c r="E14">
        <v>468510.18</v>
      </c>
      <c r="F14">
        <v>1588.52</v>
      </c>
      <c r="G14">
        <v>10900.069999999998</v>
      </c>
      <c r="H14">
        <v>13924253.086924277</v>
      </c>
    </row>
    <row r="15" spans="1:8" x14ac:dyDescent="0.3">
      <c r="A15" t="s">
        <v>21</v>
      </c>
      <c r="B15" t="s">
        <v>8</v>
      </c>
      <c r="C15" t="s">
        <v>38</v>
      </c>
      <c r="D15">
        <v>421900.04000000004</v>
      </c>
      <c r="E15">
        <v>445602.14999999991</v>
      </c>
      <c r="F15">
        <v>2102.1799999999998</v>
      </c>
      <c r="G15">
        <v>13650.100000000002</v>
      </c>
      <c r="H15">
        <v>18400652.611703683</v>
      </c>
    </row>
    <row r="16" spans="1:8" x14ac:dyDescent="0.3">
      <c r="A16" t="s">
        <v>21</v>
      </c>
      <c r="B16" t="s">
        <v>8</v>
      </c>
      <c r="C16" t="s">
        <v>37</v>
      </c>
      <c r="D16">
        <v>147562.33000000002</v>
      </c>
      <c r="E16">
        <v>138593.94</v>
      </c>
      <c r="F16">
        <v>1178.9000000000001</v>
      </c>
      <c r="G16">
        <v>5351.63</v>
      </c>
      <c r="H16">
        <v>9297618.132046517</v>
      </c>
    </row>
    <row r="17" spans="1:8" x14ac:dyDescent="0.3">
      <c r="A17" t="s">
        <v>21</v>
      </c>
      <c r="B17" t="s">
        <v>4</v>
      </c>
      <c r="C17" t="s">
        <v>38</v>
      </c>
      <c r="D17">
        <v>689057.11999999988</v>
      </c>
      <c r="E17">
        <v>698618.3</v>
      </c>
      <c r="F17">
        <v>2559.4399999999996</v>
      </c>
      <c r="G17">
        <v>14315.010000000004</v>
      </c>
      <c r="H17">
        <v>22398536.985206384</v>
      </c>
    </row>
    <row r="18" spans="1:8" x14ac:dyDescent="0.3">
      <c r="A18" t="s">
        <v>21</v>
      </c>
      <c r="B18" t="s">
        <v>4</v>
      </c>
      <c r="C18" t="s">
        <v>37</v>
      </c>
      <c r="D18">
        <v>116981.91</v>
      </c>
      <c r="E18">
        <v>120389.1</v>
      </c>
      <c r="F18">
        <v>753.28</v>
      </c>
      <c r="G18">
        <v>4989.1499999999996</v>
      </c>
      <c r="H18">
        <v>6928304.6061113644</v>
      </c>
    </row>
    <row r="19" spans="1:8" x14ac:dyDescent="0.3">
      <c r="A19" t="s">
        <v>21</v>
      </c>
      <c r="B19" t="s">
        <v>6</v>
      </c>
      <c r="C19" t="s">
        <v>38</v>
      </c>
      <c r="D19">
        <v>661592.49</v>
      </c>
      <c r="E19">
        <v>663806.2300000001</v>
      </c>
      <c r="F19">
        <v>2298.5800000000004</v>
      </c>
      <c r="G19">
        <v>17372.759999999998</v>
      </c>
      <c r="H19">
        <v>25158920.625539154</v>
      </c>
    </row>
    <row r="20" spans="1:8" x14ac:dyDescent="0.3">
      <c r="A20" t="s">
        <v>21</v>
      </c>
      <c r="B20" t="s">
        <v>6</v>
      </c>
      <c r="C20" t="s">
        <v>37</v>
      </c>
      <c r="D20">
        <v>271779.26999999996</v>
      </c>
      <c r="E20">
        <v>281326.74000000005</v>
      </c>
      <c r="F20">
        <v>1493.2799999999997</v>
      </c>
      <c r="G20">
        <v>8287.4499999999989</v>
      </c>
      <c r="H20">
        <v>13484311.094791267</v>
      </c>
    </row>
    <row r="21" spans="1:8" x14ac:dyDescent="0.3">
      <c r="A21" t="s">
        <v>3</v>
      </c>
      <c r="B21" t="s">
        <v>0</v>
      </c>
      <c r="C21" t="s">
        <v>38</v>
      </c>
      <c r="D21">
        <v>317629.67</v>
      </c>
      <c r="E21">
        <v>334199.51000000007</v>
      </c>
      <c r="F21">
        <v>1344.03</v>
      </c>
      <c r="G21">
        <v>7036.09</v>
      </c>
      <c r="H21">
        <v>12704658.853507647</v>
      </c>
    </row>
    <row r="22" spans="1:8" x14ac:dyDescent="0.3">
      <c r="A22" t="s">
        <v>3</v>
      </c>
      <c r="B22" t="s">
        <v>0</v>
      </c>
      <c r="C22" t="s">
        <v>37</v>
      </c>
      <c r="D22">
        <v>474639.56000000006</v>
      </c>
      <c r="E22">
        <v>478674.35999999993</v>
      </c>
      <c r="F22">
        <v>2029.6200000000001</v>
      </c>
      <c r="G22">
        <v>13116.08</v>
      </c>
      <c r="H22">
        <v>16843781.872527063</v>
      </c>
    </row>
    <row r="23" spans="1:8" x14ac:dyDescent="0.3">
      <c r="A23" t="s">
        <v>3</v>
      </c>
      <c r="B23" t="s">
        <v>2</v>
      </c>
      <c r="C23" t="s">
        <v>38</v>
      </c>
      <c r="D23">
        <v>374056.34000000008</v>
      </c>
      <c r="E23">
        <v>372094.89</v>
      </c>
      <c r="F23">
        <v>1754.9399999999996</v>
      </c>
      <c r="G23">
        <v>8966.4</v>
      </c>
      <c r="H23">
        <v>15123606.665365092</v>
      </c>
    </row>
    <row r="24" spans="1:8" x14ac:dyDescent="0.3">
      <c r="A24" t="s">
        <v>3</v>
      </c>
      <c r="B24" t="s">
        <v>2</v>
      </c>
      <c r="C24" t="s">
        <v>37</v>
      </c>
      <c r="D24">
        <v>215119.53999999998</v>
      </c>
      <c r="E24">
        <v>219273.83</v>
      </c>
      <c r="F24">
        <v>871.67999999999984</v>
      </c>
      <c r="G24">
        <v>7761.4</v>
      </c>
      <c r="H24">
        <v>9115581.6844113991</v>
      </c>
    </row>
    <row r="25" spans="1:8" x14ac:dyDescent="0.3">
      <c r="A25" t="s">
        <v>3</v>
      </c>
      <c r="B25" t="s">
        <v>14</v>
      </c>
      <c r="C25" t="s">
        <v>38</v>
      </c>
      <c r="D25">
        <v>491398.79</v>
      </c>
      <c r="E25">
        <v>485167.89999999991</v>
      </c>
      <c r="F25">
        <v>1770.41</v>
      </c>
      <c r="G25">
        <v>13026.630000000001</v>
      </c>
      <c r="H25">
        <v>17873702.702752598</v>
      </c>
    </row>
    <row r="26" spans="1:8" x14ac:dyDescent="0.3">
      <c r="A26" t="s">
        <v>3</v>
      </c>
      <c r="B26" t="s">
        <v>14</v>
      </c>
      <c r="C26" t="s">
        <v>37</v>
      </c>
      <c r="D26">
        <v>303493.04000000004</v>
      </c>
      <c r="E26">
        <v>304468.91999999993</v>
      </c>
      <c r="F26">
        <v>1290.6300000000001</v>
      </c>
      <c r="G26">
        <v>8027.07</v>
      </c>
      <c r="H26">
        <v>11116794.65980904</v>
      </c>
    </row>
    <row r="27" spans="1:8" x14ac:dyDescent="0.3">
      <c r="A27" t="s">
        <v>3</v>
      </c>
      <c r="B27" t="s">
        <v>9</v>
      </c>
      <c r="C27" t="s">
        <v>38</v>
      </c>
      <c r="D27">
        <v>355099.35</v>
      </c>
      <c r="E27">
        <v>376381.51999999996</v>
      </c>
      <c r="F27">
        <v>1502.5600000000002</v>
      </c>
      <c r="G27">
        <v>10559.97</v>
      </c>
      <c r="H27">
        <v>15249927.688332576</v>
      </c>
    </row>
    <row r="28" spans="1:8" x14ac:dyDescent="0.3">
      <c r="A28" t="s">
        <v>3</v>
      </c>
      <c r="B28" t="s">
        <v>9</v>
      </c>
      <c r="C28" t="s">
        <v>37</v>
      </c>
      <c r="D28">
        <v>350815.93</v>
      </c>
      <c r="E28">
        <v>366308.76000000007</v>
      </c>
      <c r="F28">
        <v>1264.5699999999997</v>
      </c>
      <c r="G28">
        <v>7733.91</v>
      </c>
      <c r="H28">
        <v>11407087.890390735</v>
      </c>
    </row>
    <row r="29" spans="1:8" x14ac:dyDescent="0.3">
      <c r="A29" t="s">
        <v>3</v>
      </c>
      <c r="B29" t="s">
        <v>12</v>
      </c>
      <c r="C29" t="s">
        <v>38</v>
      </c>
      <c r="D29">
        <v>328039.84000000003</v>
      </c>
      <c r="E29">
        <v>325732.26999999996</v>
      </c>
      <c r="F29">
        <v>1701.49</v>
      </c>
      <c r="G29">
        <v>12007.869999999999</v>
      </c>
      <c r="H29">
        <v>16738438.252768775</v>
      </c>
    </row>
    <row r="30" spans="1:8" x14ac:dyDescent="0.3">
      <c r="A30" t="s">
        <v>3</v>
      </c>
      <c r="B30" t="s">
        <v>12</v>
      </c>
      <c r="C30" t="s">
        <v>37</v>
      </c>
      <c r="D30">
        <v>510658.61</v>
      </c>
      <c r="E30">
        <v>511790.25999999989</v>
      </c>
      <c r="F30">
        <v>2073.7200000000003</v>
      </c>
      <c r="G30">
        <v>10572.009999999998</v>
      </c>
      <c r="H30">
        <v>16130349.784509134</v>
      </c>
    </row>
    <row r="31" spans="1:8" x14ac:dyDescent="0.3">
      <c r="A31" t="s">
        <v>3</v>
      </c>
      <c r="B31" t="s">
        <v>8</v>
      </c>
      <c r="C31" t="s">
        <v>38</v>
      </c>
      <c r="D31">
        <v>438284.12</v>
      </c>
      <c r="E31">
        <v>443171.46000000008</v>
      </c>
      <c r="F31">
        <v>1663.95</v>
      </c>
      <c r="G31">
        <v>9468.98</v>
      </c>
      <c r="H31">
        <v>16152257.686751211</v>
      </c>
    </row>
    <row r="32" spans="1:8" x14ac:dyDescent="0.3">
      <c r="A32" t="s">
        <v>3</v>
      </c>
      <c r="B32" t="s">
        <v>8</v>
      </c>
      <c r="C32" t="s">
        <v>37</v>
      </c>
      <c r="D32">
        <v>339491.92999999993</v>
      </c>
      <c r="E32">
        <v>341934.83999999997</v>
      </c>
      <c r="F32">
        <v>1833.3799999999999</v>
      </c>
      <c r="G32">
        <v>10534.14</v>
      </c>
      <c r="H32">
        <v>13291536.650552748</v>
      </c>
    </row>
    <row r="33" spans="1:8" x14ac:dyDescent="0.3">
      <c r="A33" t="s">
        <v>3</v>
      </c>
      <c r="B33" t="s">
        <v>4</v>
      </c>
      <c r="C33" t="s">
        <v>38</v>
      </c>
      <c r="D33">
        <v>359985.73999999987</v>
      </c>
      <c r="E33">
        <v>375571.76</v>
      </c>
      <c r="F33">
        <v>1604.54</v>
      </c>
      <c r="G33">
        <v>11224</v>
      </c>
      <c r="H33">
        <v>16294712.264888605</v>
      </c>
    </row>
    <row r="34" spans="1:8" x14ac:dyDescent="0.3">
      <c r="A34" t="s">
        <v>3</v>
      </c>
      <c r="B34" t="s">
        <v>4</v>
      </c>
      <c r="C34" t="s">
        <v>37</v>
      </c>
      <c r="D34">
        <v>231128.85000000003</v>
      </c>
      <c r="E34">
        <v>220309.97999999998</v>
      </c>
      <c r="F34">
        <v>1267.6399999999999</v>
      </c>
      <c r="G34">
        <v>7519.0700000000006</v>
      </c>
      <c r="H34">
        <v>9515124.1949635725</v>
      </c>
    </row>
    <row r="35" spans="1:8" x14ac:dyDescent="0.3">
      <c r="A35" t="s">
        <v>3</v>
      </c>
      <c r="B35" t="s">
        <v>6</v>
      </c>
      <c r="C35" t="s">
        <v>38</v>
      </c>
      <c r="D35">
        <v>514236.16000000009</v>
      </c>
      <c r="E35">
        <v>493314.33999999997</v>
      </c>
      <c r="F35">
        <v>1525.69</v>
      </c>
      <c r="G35">
        <v>14372.62</v>
      </c>
      <c r="H35">
        <v>19187572.074590821</v>
      </c>
    </row>
    <row r="36" spans="1:8" x14ac:dyDescent="0.3">
      <c r="A36" t="s">
        <v>3</v>
      </c>
      <c r="B36" t="s">
        <v>6</v>
      </c>
      <c r="C36" t="s">
        <v>37</v>
      </c>
      <c r="D36">
        <v>283283.82</v>
      </c>
      <c r="E36">
        <v>279394.51</v>
      </c>
      <c r="F36">
        <v>1012.03</v>
      </c>
      <c r="G36">
        <v>4206.79</v>
      </c>
      <c r="H36">
        <v>10056945.339944875</v>
      </c>
    </row>
    <row r="37" spans="1:8" x14ac:dyDescent="0.3">
      <c r="A37" t="s">
        <v>18</v>
      </c>
      <c r="B37" t="s">
        <v>0</v>
      </c>
      <c r="C37" t="s">
        <v>38</v>
      </c>
      <c r="D37">
        <v>446230.35000000003</v>
      </c>
      <c r="E37">
        <v>448301.86</v>
      </c>
      <c r="F37">
        <v>1990.47</v>
      </c>
      <c r="G37">
        <v>13604.049999999997</v>
      </c>
      <c r="H37">
        <v>18021526.051040709</v>
      </c>
    </row>
    <row r="38" spans="1:8" x14ac:dyDescent="0.3">
      <c r="A38" t="s">
        <v>18</v>
      </c>
      <c r="B38" t="s">
        <v>0</v>
      </c>
      <c r="C38" t="s">
        <v>37</v>
      </c>
      <c r="D38">
        <v>356960.67</v>
      </c>
      <c r="E38">
        <v>352279.66</v>
      </c>
      <c r="F38">
        <v>1101.98</v>
      </c>
      <c r="G38">
        <v>10480.029999999999</v>
      </c>
      <c r="H38">
        <v>13991554.673583178</v>
      </c>
    </row>
    <row r="39" spans="1:8" x14ac:dyDescent="0.3">
      <c r="A39" t="s">
        <v>18</v>
      </c>
      <c r="B39" t="s">
        <v>2</v>
      </c>
      <c r="C39" t="s">
        <v>38</v>
      </c>
      <c r="D39">
        <v>607029.40999999992</v>
      </c>
      <c r="E39">
        <v>614596.85</v>
      </c>
      <c r="F39">
        <v>2337.6</v>
      </c>
      <c r="G39">
        <v>17232.480000000003</v>
      </c>
      <c r="H39">
        <v>23339424.852473695</v>
      </c>
    </row>
    <row r="40" spans="1:8" x14ac:dyDescent="0.3">
      <c r="A40" t="s">
        <v>18</v>
      </c>
      <c r="B40" t="s">
        <v>2</v>
      </c>
      <c r="C40" t="s">
        <v>37</v>
      </c>
      <c r="D40">
        <v>145495.97</v>
      </c>
      <c r="E40">
        <v>133910.04</v>
      </c>
      <c r="F40">
        <v>466.88</v>
      </c>
      <c r="G40">
        <v>1910.09</v>
      </c>
      <c r="H40">
        <v>3744001.2008570833</v>
      </c>
    </row>
    <row r="41" spans="1:8" x14ac:dyDescent="0.3">
      <c r="A41" t="s">
        <v>18</v>
      </c>
      <c r="B41" t="s">
        <v>14</v>
      </c>
      <c r="C41" t="s">
        <v>38</v>
      </c>
      <c r="D41">
        <v>295200.42000000004</v>
      </c>
      <c r="E41">
        <v>298550.36</v>
      </c>
      <c r="F41">
        <v>1460.15</v>
      </c>
      <c r="G41">
        <v>9229.8799999999992</v>
      </c>
      <c r="H41">
        <v>14204414.009519931</v>
      </c>
    </row>
    <row r="42" spans="1:8" x14ac:dyDescent="0.3">
      <c r="A42" t="s">
        <v>18</v>
      </c>
      <c r="B42" t="s">
        <v>14</v>
      </c>
      <c r="C42" t="s">
        <v>37</v>
      </c>
      <c r="D42">
        <v>383427.7099999999</v>
      </c>
      <c r="E42">
        <v>402582.81</v>
      </c>
      <c r="F42">
        <v>2023.93</v>
      </c>
      <c r="G42">
        <v>12718.689999999999</v>
      </c>
      <c r="H42">
        <v>17503992.834353156</v>
      </c>
    </row>
    <row r="43" spans="1:8" x14ac:dyDescent="0.3">
      <c r="A43" t="s">
        <v>18</v>
      </c>
      <c r="B43" t="s">
        <v>9</v>
      </c>
      <c r="C43" t="s">
        <v>38</v>
      </c>
      <c r="D43">
        <v>436213.70999999996</v>
      </c>
      <c r="E43">
        <v>442299.6</v>
      </c>
      <c r="F43">
        <v>2176.89</v>
      </c>
      <c r="G43">
        <v>10705.46</v>
      </c>
      <c r="H43">
        <v>19257746.595366716</v>
      </c>
    </row>
    <row r="44" spans="1:8" x14ac:dyDescent="0.3">
      <c r="A44" t="s">
        <v>18</v>
      </c>
      <c r="B44" t="s">
        <v>9</v>
      </c>
      <c r="C44" t="s">
        <v>37</v>
      </c>
      <c r="D44">
        <v>298135.23</v>
      </c>
      <c r="E44">
        <v>281122.8</v>
      </c>
      <c r="F44">
        <v>1293.1100000000001</v>
      </c>
      <c r="G44">
        <v>5718.0800000000008</v>
      </c>
      <c r="H44">
        <v>10374608.726592189</v>
      </c>
    </row>
    <row r="45" spans="1:8" x14ac:dyDescent="0.3">
      <c r="A45" t="s">
        <v>18</v>
      </c>
      <c r="B45" t="s">
        <v>12</v>
      </c>
      <c r="C45" t="s">
        <v>38</v>
      </c>
      <c r="D45">
        <v>470654.33</v>
      </c>
      <c r="E45">
        <v>479591.54</v>
      </c>
      <c r="F45">
        <v>2479.3900000000003</v>
      </c>
      <c r="G45">
        <v>14623.189999999999</v>
      </c>
      <c r="H45">
        <v>21919968.933696222</v>
      </c>
    </row>
    <row r="46" spans="1:8" x14ac:dyDescent="0.3">
      <c r="A46" t="s">
        <v>18</v>
      </c>
      <c r="B46" t="s">
        <v>12</v>
      </c>
      <c r="C46" t="s">
        <v>37</v>
      </c>
      <c r="D46">
        <v>333019.56000000006</v>
      </c>
      <c r="E46">
        <v>320729.64</v>
      </c>
      <c r="F46">
        <v>1449.6899999999998</v>
      </c>
      <c r="G46">
        <v>10172.049999999999</v>
      </c>
      <c r="H46">
        <v>13648145.545979924</v>
      </c>
    </row>
    <row r="47" spans="1:8" x14ac:dyDescent="0.3">
      <c r="A47" t="s">
        <v>18</v>
      </c>
      <c r="B47" t="s">
        <v>8</v>
      </c>
      <c r="C47" t="s">
        <v>38</v>
      </c>
      <c r="D47">
        <v>394319.72000000003</v>
      </c>
      <c r="E47">
        <v>380106.39</v>
      </c>
      <c r="F47">
        <v>1739.4400000000003</v>
      </c>
      <c r="G47">
        <v>12150.460000000001</v>
      </c>
      <c r="H47">
        <v>17549969.830454733</v>
      </c>
    </row>
    <row r="48" spans="1:8" x14ac:dyDescent="0.3">
      <c r="A48" t="s">
        <v>18</v>
      </c>
      <c r="B48" t="s">
        <v>8</v>
      </c>
      <c r="C48" t="s">
        <v>37</v>
      </c>
      <c r="D48">
        <v>373366.51999999996</v>
      </c>
      <c r="E48">
        <v>352668.07000000007</v>
      </c>
      <c r="F48">
        <v>1392.51</v>
      </c>
      <c r="G48">
        <v>10037.26</v>
      </c>
      <c r="H48">
        <v>13373570.81163867</v>
      </c>
    </row>
    <row r="49" spans="1:8" x14ac:dyDescent="0.3">
      <c r="A49" t="s">
        <v>18</v>
      </c>
      <c r="B49" t="s">
        <v>4</v>
      </c>
      <c r="C49" t="s">
        <v>38</v>
      </c>
      <c r="D49">
        <v>308792.09999999998</v>
      </c>
      <c r="E49">
        <v>290134.12</v>
      </c>
      <c r="F49">
        <v>1289.0500000000002</v>
      </c>
      <c r="G49">
        <v>7955.6500000000005</v>
      </c>
      <c r="H49">
        <v>11295032.846104272</v>
      </c>
    </row>
    <row r="50" spans="1:8" x14ac:dyDescent="0.3">
      <c r="A50" t="s">
        <v>18</v>
      </c>
      <c r="B50" t="s">
        <v>4</v>
      </c>
      <c r="C50" t="s">
        <v>37</v>
      </c>
      <c r="D50">
        <v>343590.42000000004</v>
      </c>
      <c r="E50">
        <v>336843.24999999994</v>
      </c>
      <c r="F50">
        <v>1727.58</v>
      </c>
      <c r="G50">
        <v>12116.670000000002</v>
      </c>
      <c r="H50">
        <v>15532636.513394991</v>
      </c>
    </row>
    <row r="51" spans="1:8" x14ac:dyDescent="0.3">
      <c r="A51" t="s">
        <v>18</v>
      </c>
      <c r="B51" t="s">
        <v>6</v>
      </c>
      <c r="C51" t="s">
        <v>38</v>
      </c>
      <c r="D51">
        <v>660134.89</v>
      </c>
      <c r="E51">
        <v>639197.71</v>
      </c>
      <c r="F51">
        <v>2652</v>
      </c>
      <c r="G51">
        <v>16610.579999999998</v>
      </c>
      <c r="H51">
        <v>23377974.564856697</v>
      </c>
    </row>
    <row r="52" spans="1:8" x14ac:dyDescent="0.3">
      <c r="A52" t="s">
        <v>18</v>
      </c>
      <c r="B52" t="s">
        <v>6</v>
      </c>
      <c r="C52" t="s">
        <v>37</v>
      </c>
      <c r="D52">
        <v>539181.49</v>
      </c>
      <c r="E52">
        <v>522677.48999999993</v>
      </c>
      <c r="F52">
        <v>2216.4699999999998</v>
      </c>
      <c r="G52">
        <v>14200.359999999999</v>
      </c>
      <c r="H52">
        <v>18707554.754379112</v>
      </c>
    </row>
    <row r="53" spans="1:8" x14ac:dyDescent="0.3">
      <c r="A53" t="s">
        <v>19</v>
      </c>
      <c r="B53" t="s">
        <v>0</v>
      </c>
      <c r="C53" t="s">
        <v>38</v>
      </c>
      <c r="D53">
        <v>694617.04000000015</v>
      </c>
      <c r="E53">
        <v>713120.74</v>
      </c>
      <c r="F53">
        <v>2762.0799999999995</v>
      </c>
      <c r="G53">
        <v>17604.159999999996</v>
      </c>
      <c r="H53">
        <v>24626724.563089024</v>
      </c>
    </row>
    <row r="54" spans="1:8" x14ac:dyDescent="0.3">
      <c r="A54" t="s">
        <v>19</v>
      </c>
      <c r="B54" t="s">
        <v>0</v>
      </c>
      <c r="C54" t="s">
        <v>37</v>
      </c>
      <c r="D54">
        <v>450501.09999999992</v>
      </c>
      <c r="E54">
        <v>436446.93000000005</v>
      </c>
      <c r="F54">
        <v>1693.15</v>
      </c>
      <c r="G54">
        <v>9338.2500000000018</v>
      </c>
      <c r="H54">
        <v>14927993.139409386</v>
      </c>
    </row>
    <row r="55" spans="1:8" x14ac:dyDescent="0.3">
      <c r="A55" t="s">
        <v>19</v>
      </c>
      <c r="B55" t="s">
        <v>2</v>
      </c>
      <c r="C55" t="s">
        <v>38</v>
      </c>
      <c r="D55">
        <v>580930.03</v>
      </c>
      <c r="E55">
        <v>572168.87</v>
      </c>
      <c r="F55">
        <v>2880.5600000000004</v>
      </c>
      <c r="G55">
        <v>17916.170000000002</v>
      </c>
      <c r="H55">
        <v>24326047.44076737</v>
      </c>
    </row>
    <row r="56" spans="1:8" x14ac:dyDescent="0.3">
      <c r="A56" t="s">
        <v>19</v>
      </c>
      <c r="B56" t="s">
        <v>2</v>
      </c>
      <c r="C56" t="s">
        <v>37</v>
      </c>
      <c r="D56">
        <v>219008.42</v>
      </c>
      <c r="E56">
        <v>211284.77000000002</v>
      </c>
      <c r="F56">
        <v>1075.92</v>
      </c>
      <c r="G56">
        <v>9256.7300000000014</v>
      </c>
      <c r="H56">
        <v>9538553.4161869474</v>
      </c>
    </row>
    <row r="57" spans="1:8" x14ac:dyDescent="0.3">
      <c r="A57" t="s">
        <v>19</v>
      </c>
      <c r="B57" t="s">
        <v>14</v>
      </c>
      <c r="C57" t="s">
        <v>38</v>
      </c>
      <c r="D57">
        <v>640503.91000000015</v>
      </c>
      <c r="E57">
        <v>642360.79</v>
      </c>
      <c r="F57">
        <v>2054.6800000000003</v>
      </c>
      <c r="G57">
        <v>14406.34</v>
      </c>
      <c r="H57">
        <v>18208610.559616394</v>
      </c>
    </row>
    <row r="58" spans="1:8" x14ac:dyDescent="0.3">
      <c r="A58" t="s">
        <v>19</v>
      </c>
      <c r="B58" t="s">
        <v>14</v>
      </c>
      <c r="C58" t="s">
        <v>37</v>
      </c>
      <c r="D58">
        <v>465029.35999999993</v>
      </c>
      <c r="E58">
        <v>475710.27</v>
      </c>
      <c r="F58">
        <v>1876.66</v>
      </c>
      <c r="G58">
        <v>12398.950000000003</v>
      </c>
      <c r="H58">
        <v>18430364.691180941</v>
      </c>
    </row>
    <row r="59" spans="1:8" x14ac:dyDescent="0.3">
      <c r="A59" t="s">
        <v>19</v>
      </c>
      <c r="B59" t="s">
        <v>9</v>
      </c>
      <c r="C59" t="s">
        <v>38</v>
      </c>
      <c r="D59">
        <v>369856.25999999995</v>
      </c>
      <c r="E59">
        <v>368191.54000000004</v>
      </c>
      <c r="F59">
        <v>2060.6400000000003</v>
      </c>
      <c r="G59">
        <v>13263.849999999997</v>
      </c>
      <c r="H59">
        <v>18257211.93673265</v>
      </c>
    </row>
    <row r="60" spans="1:8" x14ac:dyDescent="0.3">
      <c r="A60" t="s">
        <v>19</v>
      </c>
      <c r="B60" t="s">
        <v>9</v>
      </c>
      <c r="C60" t="s">
        <v>37</v>
      </c>
      <c r="D60">
        <v>138933.67000000001</v>
      </c>
      <c r="E60">
        <v>144452.54</v>
      </c>
      <c r="F60">
        <v>768.29</v>
      </c>
      <c r="G60">
        <v>4522.8700000000008</v>
      </c>
      <c r="H60">
        <v>7343028.7767149955</v>
      </c>
    </row>
    <row r="61" spans="1:8" x14ac:dyDescent="0.3">
      <c r="A61" t="s">
        <v>19</v>
      </c>
      <c r="B61" t="s">
        <v>12</v>
      </c>
      <c r="C61" t="s">
        <v>38</v>
      </c>
      <c r="D61">
        <v>374322.93</v>
      </c>
      <c r="E61">
        <v>391524.98999999993</v>
      </c>
      <c r="F61">
        <v>1654.0599999999997</v>
      </c>
      <c r="G61">
        <v>10874.470000000003</v>
      </c>
      <c r="H61">
        <v>15424232.053769285</v>
      </c>
    </row>
    <row r="62" spans="1:8" x14ac:dyDescent="0.3">
      <c r="A62" t="s">
        <v>19</v>
      </c>
      <c r="B62" t="s">
        <v>12</v>
      </c>
      <c r="C62" t="s">
        <v>37</v>
      </c>
      <c r="D62">
        <v>288708.36</v>
      </c>
      <c r="E62">
        <v>305123.44</v>
      </c>
      <c r="F62">
        <v>1187.48</v>
      </c>
      <c r="G62">
        <v>9726.0600000000013</v>
      </c>
      <c r="H62">
        <v>12578453.101814171</v>
      </c>
    </row>
    <row r="63" spans="1:8" x14ac:dyDescent="0.3">
      <c r="A63" t="s">
        <v>19</v>
      </c>
      <c r="B63" t="s">
        <v>8</v>
      </c>
      <c r="C63" t="s">
        <v>38</v>
      </c>
      <c r="D63">
        <v>340575.61000000004</v>
      </c>
      <c r="E63">
        <v>336972</v>
      </c>
      <c r="F63">
        <v>1368.0900000000001</v>
      </c>
      <c r="G63">
        <v>8591.4</v>
      </c>
      <c r="H63">
        <v>11819622.059886705</v>
      </c>
    </row>
    <row r="64" spans="1:8" x14ac:dyDescent="0.3">
      <c r="A64" t="s">
        <v>19</v>
      </c>
      <c r="B64" t="s">
        <v>8</v>
      </c>
      <c r="C64" t="s">
        <v>37</v>
      </c>
      <c r="D64">
        <v>399752.51</v>
      </c>
      <c r="E64">
        <v>389555.48</v>
      </c>
      <c r="F64">
        <v>1315.6900000000003</v>
      </c>
      <c r="G64">
        <v>11011.66</v>
      </c>
      <c r="H64">
        <v>13591869.556414779</v>
      </c>
    </row>
    <row r="65" spans="1:8" x14ac:dyDescent="0.3">
      <c r="A65" t="s">
        <v>19</v>
      </c>
      <c r="B65" t="s">
        <v>4</v>
      </c>
      <c r="C65" t="s">
        <v>38</v>
      </c>
      <c r="D65">
        <v>601400.38000000012</v>
      </c>
      <c r="E65">
        <v>598200.64</v>
      </c>
      <c r="F65">
        <v>2354.27</v>
      </c>
      <c r="G65">
        <v>14492.070000000002</v>
      </c>
      <c r="H65">
        <v>22282296.554239303</v>
      </c>
    </row>
    <row r="66" spans="1:8" x14ac:dyDescent="0.3">
      <c r="A66" t="s">
        <v>19</v>
      </c>
      <c r="B66" t="s">
        <v>4</v>
      </c>
      <c r="C66" t="s">
        <v>37</v>
      </c>
      <c r="D66">
        <v>416852.78</v>
      </c>
      <c r="E66">
        <v>399212.28999999992</v>
      </c>
      <c r="F66">
        <v>1845.5800000000002</v>
      </c>
      <c r="G66">
        <v>11915.219999999998</v>
      </c>
      <c r="H66">
        <v>14333103.956043437</v>
      </c>
    </row>
    <row r="67" spans="1:8" x14ac:dyDescent="0.3">
      <c r="A67" t="s">
        <v>19</v>
      </c>
      <c r="B67" t="s">
        <v>6</v>
      </c>
      <c r="C67" t="s">
        <v>38</v>
      </c>
      <c r="D67">
        <v>465899.82999999996</v>
      </c>
      <c r="E67">
        <v>482016.50000000006</v>
      </c>
      <c r="F67">
        <v>1735.42</v>
      </c>
      <c r="G67">
        <v>10274.4</v>
      </c>
      <c r="H67">
        <v>17437297.375682414</v>
      </c>
    </row>
    <row r="68" spans="1:8" x14ac:dyDescent="0.3">
      <c r="A68" t="s">
        <v>19</v>
      </c>
      <c r="B68" t="s">
        <v>6</v>
      </c>
      <c r="C68" t="s">
        <v>37</v>
      </c>
      <c r="D68">
        <v>343786.29999999993</v>
      </c>
      <c r="E68">
        <v>327559.37</v>
      </c>
      <c r="F68">
        <v>1388.9</v>
      </c>
      <c r="G68">
        <v>9471.82</v>
      </c>
      <c r="H68">
        <v>11564128.443089444</v>
      </c>
    </row>
    <row r="69" spans="1:8" x14ac:dyDescent="0.3">
      <c r="A69" t="s">
        <v>5</v>
      </c>
      <c r="B69" t="s">
        <v>0</v>
      </c>
      <c r="C69" t="s">
        <v>38</v>
      </c>
      <c r="D69">
        <v>466681.96000000008</v>
      </c>
      <c r="E69">
        <v>470905.12</v>
      </c>
      <c r="F69">
        <v>2696.9100000000008</v>
      </c>
      <c r="G69">
        <v>14401.949999999999</v>
      </c>
      <c r="H69">
        <v>21267010.73518458</v>
      </c>
    </row>
    <row r="70" spans="1:8" x14ac:dyDescent="0.3">
      <c r="A70" t="s">
        <v>5</v>
      </c>
      <c r="B70" t="s">
        <v>0</v>
      </c>
      <c r="C70" t="s">
        <v>37</v>
      </c>
      <c r="D70">
        <v>252290.6</v>
      </c>
      <c r="E70">
        <v>253868.00000000003</v>
      </c>
      <c r="F70">
        <v>1305.6199999999999</v>
      </c>
      <c r="G70">
        <v>12434.87</v>
      </c>
      <c r="H70">
        <v>12892345.662324606</v>
      </c>
    </row>
    <row r="71" spans="1:8" x14ac:dyDescent="0.3">
      <c r="A71" t="s">
        <v>5</v>
      </c>
      <c r="B71" t="s">
        <v>2</v>
      </c>
      <c r="C71" t="s">
        <v>38</v>
      </c>
      <c r="D71">
        <v>301193.91000000003</v>
      </c>
      <c r="E71">
        <v>320145.23999999993</v>
      </c>
      <c r="F71">
        <v>1241.1599999999999</v>
      </c>
      <c r="G71">
        <v>11492.58</v>
      </c>
      <c r="H71">
        <v>12794708.678559067</v>
      </c>
    </row>
    <row r="72" spans="1:8" x14ac:dyDescent="0.3">
      <c r="A72" t="s">
        <v>5</v>
      </c>
      <c r="B72" t="s">
        <v>2</v>
      </c>
      <c r="C72" t="s">
        <v>37</v>
      </c>
      <c r="D72">
        <v>316275.84000000003</v>
      </c>
      <c r="E72">
        <v>333103.76999999996</v>
      </c>
      <c r="F72">
        <v>1430.2300000000002</v>
      </c>
      <c r="G72">
        <v>8352.3700000000008</v>
      </c>
      <c r="H72">
        <v>12527349.771168785</v>
      </c>
    </row>
    <row r="73" spans="1:8" x14ac:dyDescent="0.3">
      <c r="A73" t="s">
        <v>5</v>
      </c>
      <c r="B73" t="s">
        <v>14</v>
      </c>
      <c r="C73" t="s">
        <v>38</v>
      </c>
      <c r="D73">
        <v>527647.80999999994</v>
      </c>
      <c r="E73">
        <v>506917.24</v>
      </c>
      <c r="F73">
        <v>2292.8000000000002</v>
      </c>
      <c r="G73">
        <v>17082.440000000002</v>
      </c>
      <c r="H73">
        <v>19524063.797843762</v>
      </c>
    </row>
    <row r="74" spans="1:8" x14ac:dyDescent="0.3">
      <c r="A74" t="s">
        <v>5</v>
      </c>
      <c r="B74" t="s">
        <v>14</v>
      </c>
      <c r="C74" t="s">
        <v>37</v>
      </c>
      <c r="D74">
        <v>338534.74000000005</v>
      </c>
      <c r="E74">
        <v>346003.06</v>
      </c>
      <c r="F74">
        <v>1377.7500000000002</v>
      </c>
      <c r="G74">
        <v>6610.8899999999994</v>
      </c>
      <c r="H74">
        <v>12253813.981514527</v>
      </c>
    </row>
    <row r="75" spans="1:8" x14ac:dyDescent="0.3">
      <c r="A75" t="s">
        <v>5</v>
      </c>
      <c r="B75" t="s">
        <v>9</v>
      </c>
      <c r="C75" t="s">
        <v>38</v>
      </c>
      <c r="D75">
        <v>478429.04</v>
      </c>
      <c r="E75">
        <v>467632.62999999995</v>
      </c>
      <c r="F75">
        <v>1801.1699999999998</v>
      </c>
      <c r="G75">
        <v>13807.7</v>
      </c>
      <c r="H75">
        <v>18071674.64785561</v>
      </c>
    </row>
    <row r="76" spans="1:8" x14ac:dyDescent="0.3">
      <c r="A76" t="s">
        <v>5</v>
      </c>
      <c r="B76" t="s">
        <v>9</v>
      </c>
      <c r="C76" t="s">
        <v>37</v>
      </c>
      <c r="D76">
        <v>444475.94999999995</v>
      </c>
      <c r="E76">
        <v>448794.43999999994</v>
      </c>
      <c r="F76">
        <v>1889.4099999999999</v>
      </c>
      <c r="G76">
        <v>9547.51</v>
      </c>
      <c r="H76">
        <v>16681127.163488338</v>
      </c>
    </row>
    <row r="77" spans="1:8" x14ac:dyDescent="0.3">
      <c r="A77" t="s">
        <v>5</v>
      </c>
      <c r="B77" t="s">
        <v>12</v>
      </c>
      <c r="C77" t="s">
        <v>38</v>
      </c>
      <c r="D77">
        <v>486713.75</v>
      </c>
      <c r="E77">
        <v>506588.66999999993</v>
      </c>
      <c r="F77">
        <v>2487.4799999999996</v>
      </c>
      <c r="G77">
        <v>14118.990000000002</v>
      </c>
      <c r="H77">
        <v>21642369.767064121</v>
      </c>
    </row>
    <row r="78" spans="1:8" x14ac:dyDescent="0.3">
      <c r="A78" t="s">
        <v>5</v>
      </c>
      <c r="B78" t="s">
        <v>12</v>
      </c>
      <c r="C78" t="s">
        <v>37</v>
      </c>
      <c r="D78">
        <v>237524.62</v>
      </c>
      <c r="E78">
        <v>247994.95</v>
      </c>
      <c r="F78">
        <v>990.58999999999992</v>
      </c>
      <c r="G78">
        <v>8237.11</v>
      </c>
      <c r="H78">
        <v>10431004.1981968</v>
      </c>
    </row>
    <row r="79" spans="1:8" x14ac:dyDescent="0.3">
      <c r="A79" t="s">
        <v>5</v>
      </c>
      <c r="B79" t="s">
        <v>8</v>
      </c>
      <c r="C79" t="s">
        <v>38</v>
      </c>
      <c r="D79">
        <v>715602.92000000016</v>
      </c>
      <c r="E79">
        <v>723485.08000000007</v>
      </c>
      <c r="F79">
        <v>3000.06</v>
      </c>
      <c r="G79">
        <v>19218.79</v>
      </c>
      <c r="H79">
        <v>25300950.369554516</v>
      </c>
    </row>
    <row r="80" spans="1:8" x14ac:dyDescent="0.3">
      <c r="A80" t="s">
        <v>5</v>
      </c>
      <c r="B80" t="s">
        <v>8</v>
      </c>
      <c r="C80" t="s">
        <v>37</v>
      </c>
      <c r="D80">
        <v>139748.09000000003</v>
      </c>
      <c r="E80">
        <v>142573.91999999998</v>
      </c>
      <c r="F80">
        <v>517.87</v>
      </c>
      <c r="G80">
        <v>3101.24</v>
      </c>
      <c r="H80">
        <v>5243277.4569709012</v>
      </c>
    </row>
    <row r="81" spans="1:8" x14ac:dyDescent="0.3">
      <c r="A81" t="s">
        <v>5</v>
      </c>
      <c r="B81" t="s">
        <v>4</v>
      </c>
      <c r="C81" t="s">
        <v>38</v>
      </c>
      <c r="D81">
        <v>554417.29999999993</v>
      </c>
      <c r="E81">
        <v>587123.14000000013</v>
      </c>
      <c r="F81">
        <v>2966.7699999999995</v>
      </c>
      <c r="G81">
        <v>16514.86</v>
      </c>
      <c r="H81">
        <v>28012735.94748899</v>
      </c>
    </row>
    <row r="82" spans="1:8" x14ac:dyDescent="0.3">
      <c r="A82" t="s">
        <v>5</v>
      </c>
      <c r="B82" t="s">
        <v>4</v>
      </c>
      <c r="C82" t="s">
        <v>37</v>
      </c>
      <c r="D82">
        <v>353935.15</v>
      </c>
      <c r="E82">
        <v>362545.61000000004</v>
      </c>
      <c r="F82">
        <v>1614.1200000000001</v>
      </c>
      <c r="G82">
        <v>8532.6099999999988</v>
      </c>
      <c r="H82">
        <v>15154107.546140125</v>
      </c>
    </row>
    <row r="83" spans="1:8" x14ac:dyDescent="0.3">
      <c r="A83" t="s">
        <v>5</v>
      </c>
      <c r="B83" t="s">
        <v>6</v>
      </c>
      <c r="C83" t="s">
        <v>38</v>
      </c>
      <c r="D83">
        <v>513776.93999999994</v>
      </c>
      <c r="E83">
        <v>513925.66000000003</v>
      </c>
      <c r="F83">
        <v>2210.5600000000004</v>
      </c>
      <c r="G83">
        <v>20575.04</v>
      </c>
      <c r="H83">
        <v>23352050.488499213</v>
      </c>
    </row>
    <row r="84" spans="1:8" x14ac:dyDescent="0.3">
      <c r="A84" t="s">
        <v>5</v>
      </c>
      <c r="B84" t="s">
        <v>6</v>
      </c>
      <c r="C84" t="s">
        <v>37</v>
      </c>
      <c r="D84">
        <v>283847.56</v>
      </c>
      <c r="E84">
        <v>289217.03000000003</v>
      </c>
      <c r="F84">
        <v>1275.6100000000001</v>
      </c>
      <c r="G84">
        <v>6882.3700000000008</v>
      </c>
      <c r="H84">
        <v>10931266.11558976</v>
      </c>
    </row>
    <row r="85" spans="1:8" x14ac:dyDescent="0.3">
      <c r="A85" t="s">
        <v>1</v>
      </c>
      <c r="B85" t="s">
        <v>0</v>
      </c>
      <c r="C85" t="s">
        <v>38</v>
      </c>
      <c r="D85">
        <v>328143.96000000008</v>
      </c>
      <c r="E85">
        <v>339237.64</v>
      </c>
      <c r="F85">
        <v>1398.73</v>
      </c>
      <c r="G85">
        <v>8599.58</v>
      </c>
      <c r="H85">
        <v>14006245.673473971</v>
      </c>
    </row>
    <row r="86" spans="1:8" x14ac:dyDescent="0.3">
      <c r="A86" t="s">
        <v>1</v>
      </c>
      <c r="B86" t="s">
        <v>0</v>
      </c>
      <c r="C86" t="s">
        <v>37</v>
      </c>
      <c r="D86">
        <v>302549.69</v>
      </c>
      <c r="E86">
        <v>303993.39</v>
      </c>
      <c r="F86">
        <v>1607.47</v>
      </c>
      <c r="G86">
        <v>10093.650000000001</v>
      </c>
      <c r="H86">
        <v>13507942.576274516</v>
      </c>
    </row>
    <row r="87" spans="1:8" x14ac:dyDescent="0.3">
      <c r="A87" t="s">
        <v>1</v>
      </c>
      <c r="B87" t="s">
        <v>2</v>
      </c>
      <c r="C87" t="s">
        <v>38</v>
      </c>
      <c r="D87">
        <v>590581.68999999994</v>
      </c>
      <c r="E87">
        <v>580150.24</v>
      </c>
      <c r="F87">
        <v>2389.0700000000002</v>
      </c>
      <c r="G87">
        <v>18224.439999999999</v>
      </c>
      <c r="H87">
        <v>23805516.511515323</v>
      </c>
    </row>
    <row r="88" spans="1:8" x14ac:dyDescent="0.3">
      <c r="A88" t="s">
        <v>1</v>
      </c>
      <c r="B88" t="s">
        <v>2</v>
      </c>
      <c r="C88" t="s">
        <v>37</v>
      </c>
      <c r="D88">
        <v>262322.3</v>
      </c>
      <c r="E88">
        <v>271882.33999999997</v>
      </c>
      <c r="F88">
        <v>1018.2900000000001</v>
      </c>
      <c r="G88">
        <v>7074.2599999999993</v>
      </c>
      <c r="H88">
        <v>9401180.9563360084</v>
      </c>
    </row>
    <row r="89" spans="1:8" x14ac:dyDescent="0.3">
      <c r="A89" t="s">
        <v>1</v>
      </c>
      <c r="B89" t="s">
        <v>14</v>
      </c>
      <c r="C89" t="s">
        <v>38</v>
      </c>
      <c r="D89">
        <v>489576.63</v>
      </c>
      <c r="E89">
        <v>459180.56000000006</v>
      </c>
      <c r="F89">
        <v>2292.6999999999998</v>
      </c>
      <c r="G89">
        <v>12926.850000000002</v>
      </c>
      <c r="H89">
        <v>16885115.438915495</v>
      </c>
    </row>
    <row r="90" spans="1:8" x14ac:dyDescent="0.3">
      <c r="A90" t="s">
        <v>1</v>
      </c>
      <c r="B90" t="s">
        <v>14</v>
      </c>
      <c r="C90" t="s">
        <v>37</v>
      </c>
      <c r="D90">
        <v>470784.02999999997</v>
      </c>
      <c r="E90">
        <v>464118.93</v>
      </c>
      <c r="F90">
        <v>2180.1</v>
      </c>
      <c r="G90">
        <v>14168.67</v>
      </c>
      <c r="H90">
        <v>17634508.380714349</v>
      </c>
    </row>
    <row r="91" spans="1:8" x14ac:dyDescent="0.3">
      <c r="A91" t="s">
        <v>1</v>
      </c>
      <c r="B91" t="s">
        <v>9</v>
      </c>
      <c r="C91" t="s">
        <v>38</v>
      </c>
      <c r="D91">
        <v>553986.79</v>
      </c>
      <c r="E91">
        <v>544881.97</v>
      </c>
      <c r="F91">
        <v>1696.0800000000002</v>
      </c>
      <c r="G91">
        <v>10543.980000000001</v>
      </c>
      <c r="H91">
        <v>15891312.077471402</v>
      </c>
    </row>
    <row r="92" spans="1:8" x14ac:dyDescent="0.3">
      <c r="A92" t="s">
        <v>1</v>
      </c>
      <c r="B92" t="s">
        <v>9</v>
      </c>
      <c r="C92" t="s">
        <v>37</v>
      </c>
      <c r="D92">
        <v>327786.81000000006</v>
      </c>
      <c r="E92">
        <v>334238.28000000003</v>
      </c>
      <c r="F92">
        <v>1367.4</v>
      </c>
      <c r="G92">
        <v>8723.9499999999989</v>
      </c>
      <c r="H92">
        <v>13361959.732087545</v>
      </c>
    </row>
    <row r="93" spans="1:8" x14ac:dyDescent="0.3">
      <c r="A93" t="s">
        <v>1</v>
      </c>
      <c r="B93" t="s">
        <v>12</v>
      </c>
      <c r="C93" t="s">
        <v>38</v>
      </c>
      <c r="D93">
        <v>276041.75999999995</v>
      </c>
      <c r="E93">
        <v>257146.63999999996</v>
      </c>
      <c r="F93">
        <v>1143.9699999999998</v>
      </c>
      <c r="G93">
        <v>6304.0399999999991</v>
      </c>
      <c r="H93">
        <v>11231585.813487124</v>
      </c>
    </row>
    <row r="94" spans="1:8" x14ac:dyDescent="0.3">
      <c r="A94" t="s">
        <v>1</v>
      </c>
      <c r="B94" t="s">
        <v>12</v>
      </c>
      <c r="C94" t="s">
        <v>37</v>
      </c>
      <c r="D94">
        <v>384343.01999999996</v>
      </c>
      <c r="E94">
        <v>371336.18000000011</v>
      </c>
      <c r="F94">
        <v>1308.9199999999998</v>
      </c>
      <c r="G94">
        <v>11783.36</v>
      </c>
      <c r="H94">
        <v>13828479.169242168</v>
      </c>
    </row>
    <row r="95" spans="1:8" x14ac:dyDescent="0.3">
      <c r="A95" t="s">
        <v>1</v>
      </c>
      <c r="B95" t="s">
        <v>8</v>
      </c>
      <c r="C95" t="s">
        <v>38</v>
      </c>
      <c r="D95">
        <v>378220.03000000009</v>
      </c>
      <c r="E95">
        <v>366540.24999999994</v>
      </c>
      <c r="F95">
        <v>1917.5799999999997</v>
      </c>
      <c r="G95">
        <v>11315.199999999997</v>
      </c>
      <c r="H95">
        <v>15702817.19849542</v>
      </c>
    </row>
    <row r="96" spans="1:8" x14ac:dyDescent="0.3">
      <c r="A96" t="s">
        <v>1</v>
      </c>
      <c r="B96" t="s">
        <v>8</v>
      </c>
      <c r="C96" t="s">
        <v>37</v>
      </c>
      <c r="D96">
        <v>329343.33</v>
      </c>
      <c r="E96">
        <v>320566.75</v>
      </c>
      <c r="F96">
        <v>1262.0800000000002</v>
      </c>
      <c r="G96">
        <v>6577.2</v>
      </c>
      <c r="H96">
        <v>12699319.656463422</v>
      </c>
    </row>
    <row r="97" spans="1:8" x14ac:dyDescent="0.3">
      <c r="A97" t="s">
        <v>1</v>
      </c>
      <c r="B97" t="s">
        <v>4</v>
      </c>
      <c r="C97" t="s">
        <v>38</v>
      </c>
      <c r="D97">
        <v>496977.32999999996</v>
      </c>
      <c r="E97">
        <v>484906.78</v>
      </c>
      <c r="F97">
        <v>2099.12</v>
      </c>
      <c r="G97">
        <v>9344.0899999999983</v>
      </c>
      <c r="H97">
        <v>15701780.954923211</v>
      </c>
    </row>
    <row r="98" spans="1:8" x14ac:dyDescent="0.3">
      <c r="A98" t="s">
        <v>1</v>
      </c>
      <c r="B98" t="s">
        <v>4</v>
      </c>
      <c r="C98" t="s">
        <v>37</v>
      </c>
      <c r="D98">
        <v>299285.11</v>
      </c>
      <c r="E98">
        <v>301394.34999999998</v>
      </c>
      <c r="F98">
        <v>1141.51</v>
      </c>
      <c r="G98">
        <v>9181.1200000000008</v>
      </c>
      <c r="H98">
        <v>10990754.646602869</v>
      </c>
    </row>
    <row r="99" spans="1:8" x14ac:dyDescent="0.3">
      <c r="A99" t="s">
        <v>1</v>
      </c>
      <c r="B99" t="s">
        <v>6</v>
      </c>
      <c r="C99" t="s">
        <v>38</v>
      </c>
      <c r="D99">
        <v>448551.98</v>
      </c>
      <c r="E99">
        <v>435313.61</v>
      </c>
      <c r="F99">
        <v>1734.2300000000002</v>
      </c>
      <c r="G99">
        <v>12446.16</v>
      </c>
      <c r="H99">
        <v>15670957.874570338</v>
      </c>
    </row>
    <row r="100" spans="1:8" x14ac:dyDescent="0.3">
      <c r="A100" t="s">
        <v>1</v>
      </c>
      <c r="B100" t="s">
        <v>6</v>
      </c>
      <c r="C100" t="s">
        <v>37</v>
      </c>
      <c r="D100">
        <v>396000.54</v>
      </c>
      <c r="E100">
        <v>409079.56</v>
      </c>
      <c r="F100">
        <v>2197.0600000000004</v>
      </c>
      <c r="G100">
        <v>11238.83</v>
      </c>
      <c r="H100">
        <v>15041878.716951812</v>
      </c>
    </row>
    <row r="101" spans="1:8" x14ac:dyDescent="0.3">
      <c r="A101" t="s">
        <v>15</v>
      </c>
      <c r="B101" t="s">
        <v>0</v>
      </c>
      <c r="C101" t="s">
        <v>38</v>
      </c>
      <c r="D101">
        <v>573136.45000000007</v>
      </c>
      <c r="E101">
        <v>559029.02</v>
      </c>
      <c r="F101">
        <v>2663.0800000000004</v>
      </c>
      <c r="G101">
        <v>18495.620000000003</v>
      </c>
      <c r="H101">
        <v>24454644.602729209</v>
      </c>
    </row>
    <row r="102" spans="1:8" x14ac:dyDescent="0.3">
      <c r="A102" t="s">
        <v>15</v>
      </c>
      <c r="B102" t="s">
        <v>0</v>
      </c>
      <c r="C102" t="s">
        <v>37</v>
      </c>
      <c r="D102">
        <v>229032.70000000004</v>
      </c>
      <c r="E102">
        <v>236270.22999999998</v>
      </c>
      <c r="F102">
        <v>1369.03</v>
      </c>
      <c r="G102">
        <v>7338.8600000000006</v>
      </c>
      <c r="H102">
        <v>10234757.568303945</v>
      </c>
    </row>
    <row r="103" spans="1:8" x14ac:dyDescent="0.3">
      <c r="A103" t="s">
        <v>15</v>
      </c>
      <c r="B103" t="s">
        <v>2</v>
      </c>
      <c r="C103" t="s">
        <v>38</v>
      </c>
      <c r="D103">
        <v>600717.05999999994</v>
      </c>
      <c r="E103">
        <v>598093.76000000013</v>
      </c>
      <c r="F103">
        <v>3550.5</v>
      </c>
      <c r="G103">
        <v>18835.82</v>
      </c>
      <c r="H103">
        <v>28637995.008779995</v>
      </c>
    </row>
    <row r="104" spans="1:8" x14ac:dyDescent="0.3">
      <c r="A104" t="s">
        <v>15</v>
      </c>
      <c r="B104" t="s">
        <v>2</v>
      </c>
      <c r="C104" t="s">
        <v>37</v>
      </c>
      <c r="D104">
        <v>427668.98</v>
      </c>
      <c r="E104">
        <v>418488.91999999987</v>
      </c>
      <c r="F104">
        <v>1823.7599999999998</v>
      </c>
      <c r="G104">
        <v>12582.33</v>
      </c>
      <c r="H104">
        <v>16536898.09107702</v>
      </c>
    </row>
    <row r="105" spans="1:8" x14ac:dyDescent="0.3">
      <c r="A105" t="s">
        <v>15</v>
      </c>
      <c r="B105" t="s">
        <v>14</v>
      </c>
      <c r="C105" t="s">
        <v>38</v>
      </c>
      <c r="D105">
        <v>532584.22000000009</v>
      </c>
      <c r="E105">
        <v>533344.11</v>
      </c>
      <c r="F105">
        <v>2748.61</v>
      </c>
      <c r="G105">
        <v>16489.8</v>
      </c>
      <c r="H105">
        <v>24195354.625108328</v>
      </c>
    </row>
    <row r="106" spans="1:8" x14ac:dyDescent="0.3">
      <c r="A106" t="s">
        <v>15</v>
      </c>
      <c r="B106" t="s">
        <v>14</v>
      </c>
      <c r="C106" t="s">
        <v>37</v>
      </c>
      <c r="D106">
        <v>223510.18999999994</v>
      </c>
      <c r="E106">
        <v>217864.43000000002</v>
      </c>
      <c r="F106">
        <v>1607.63</v>
      </c>
      <c r="G106">
        <v>9947.4500000000007</v>
      </c>
      <c r="H106">
        <v>11740337.473732453</v>
      </c>
    </row>
    <row r="107" spans="1:8" x14ac:dyDescent="0.3">
      <c r="A107" t="s">
        <v>15</v>
      </c>
      <c r="B107" t="s">
        <v>9</v>
      </c>
      <c r="C107" t="s">
        <v>38</v>
      </c>
      <c r="D107">
        <v>433730.29000000004</v>
      </c>
      <c r="E107">
        <v>414382.7</v>
      </c>
      <c r="F107">
        <v>2370.9600000000005</v>
      </c>
      <c r="G107">
        <v>11002.9</v>
      </c>
      <c r="H107">
        <v>16550979.19957724</v>
      </c>
    </row>
    <row r="108" spans="1:8" x14ac:dyDescent="0.3">
      <c r="A108" t="s">
        <v>15</v>
      </c>
      <c r="B108" t="s">
        <v>9</v>
      </c>
      <c r="C108" t="s">
        <v>37</v>
      </c>
      <c r="D108">
        <v>387259.04000000004</v>
      </c>
      <c r="E108">
        <v>405789.08</v>
      </c>
      <c r="F108">
        <v>1814.69</v>
      </c>
      <c r="G108">
        <v>12798.93</v>
      </c>
      <c r="H108">
        <v>18030117.724218119</v>
      </c>
    </row>
    <row r="109" spans="1:8" x14ac:dyDescent="0.3">
      <c r="A109" t="s">
        <v>15</v>
      </c>
      <c r="B109" t="s">
        <v>12</v>
      </c>
      <c r="C109" t="s">
        <v>38</v>
      </c>
      <c r="D109">
        <v>597005.89000000013</v>
      </c>
      <c r="E109">
        <v>600074.81999999995</v>
      </c>
      <c r="F109">
        <v>2697.2799999999997</v>
      </c>
      <c r="G109">
        <v>16034.730000000003</v>
      </c>
      <c r="H109">
        <v>24320802.802966639</v>
      </c>
    </row>
    <row r="110" spans="1:8" x14ac:dyDescent="0.3">
      <c r="A110" t="s">
        <v>15</v>
      </c>
      <c r="B110" t="s">
        <v>12</v>
      </c>
      <c r="C110" t="s">
        <v>37</v>
      </c>
      <c r="D110">
        <v>348108.95000000007</v>
      </c>
      <c r="E110">
        <v>353531.94</v>
      </c>
      <c r="F110">
        <v>1942.4400000000003</v>
      </c>
      <c r="G110">
        <v>11362.3</v>
      </c>
      <c r="H110">
        <v>17563787.554574687</v>
      </c>
    </row>
    <row r="111" spans="1:8" x14ac:dyDescent="0.3">
      <c r="A111" t="s">
        <v>15</v>
      </c>
      <c r="B111" t="s">
        <v>8</v>
      </c>
      <c r="C111" t="s">
        <v>38</v>
      </c>
      <c r="D111">
        <v>585035.5199999999</v>
      </c>
      <c r="E111">
        <v>572337.30000000005</v>
      </c>
      <c r="F111">
        <v>1806.1</v>
      </c>
      <c r="G111">
        <v>9272.4500000000007</v>
      </c>
      <c r="H111">
        <v>18638556.577268083</v>
      </c>
    </row>
    <row r="112" spans="1:8" x14ac:dyDescent="0.3">
      <c r="A112" t="s">
        <v>15</v>
      </c>
      <c r="B112" t="s">
        <v>8</v>
      </c>
      <c r="C112" t="s">
        <v>37</v>
      </c>
      <c r="D112">
        <v>209579.01</v>
      </c>
      <c r="E112">
        <v>213706.44</v>
      </c>
      <c r="F112">
        <v>1006.3199999999999</v>
      </c>
      <c r="G112">
        <v>6349.0499999999993</v>
      </c>
      <c r="H112">
        <v>7884864.8660326824</v>
      </c>
    </row>
    <row r="113" spans="1:8" x14ac:dyDescent="0.3">
      <c r="A113" t="s">
        <v>15</v>
      </c>
      <c r="B113" t="s">
        <v>4</v>
      </c>
      <c r="C113" t="s">
        <v>38</v>
      </c>
      <c r="D113">
        <v>374580.24</v>
      </c>
      <c r="E113">
        <v>384724.49</v>
      </c>
      <c r="F113">
        <v>1797.6500000000003</v>
      </c>
      <c r="G113">
        <v>14477.220000000003</v>
      </c>
      <c r="H113">
        <v>16322862.873467661</v>
      </c>
    </row>
    <row r="114" spans="1:8" x14ac:dyDescent="0.3">
      <c r="A114" t="s">
        <v>15</v>
      </c>
      <c r="B114" t="s">
        <v>4</v>
      </c>
      <c r="C114" t="s">
        <v>37</v>
      </c>
      <c r="D114">
        <v>195025.47</v>
      </c>
      <c r="E114">
        <v>195510.72999999998</v>
      </c>
      <c r="F114">
        <v>1062.02</v>
      </c>
      <c r="G114">
        <v>6849.31</v>
      </c>
      <c r="H114">
        <v>9538343.2140406575</v>
      </c>
    </row>
    <row r="115" spans="1:8" x14ac:dyDescent="0.3">
      <c r="A115" t="s">
        <v>15</v>
      </c>
      <c r="B115" t="s">
        <v>6</v>
      </c>
      <c r="C115" t="s">
        <v>38</v>
      </c>
      <c r="D115">
        <v>448496.04000000004</v>
      </c>
      <c r="E115">
        <v>438273.70999999996</v>
      </c>
      <c r="F115">
        <v>2494.6299999999997</v>
      </c>
      <c r="G115">
        <v>16004.510000000004</v>
      </c>
      <c r="H115">
        <v>19833657.625923656</v>
      </c>
    </row>
    <row r="116" spans="1:8" x14ac:dyDescent="0.3">
      <c r="A116" t="s">
        <v>15</v>
      </c>
      <c r="B116" t="s">
        <v>6</v>
      </c>
      <c r="C116" t="s">
        <v>37</v>
      </c>
      <c r="D116">
        <v>594582.96000000008</v>
      </c>
      <c r="E116">
        <v>589298.26</v>
      </c>
      <c r="F116">
        <v>2459</v>
      </c>
      <c r="G116">
        <v>13252.010000000002</v>
      </c>
      <c r="H116">
        <v>21797611.824076913</v>
      </c>
    </row>
    <row r="117" spans="1:8" x14ac:dyDescent="0.3">
      <c r="A117" t="s">
        <v>25</v>
      </c>
      <c r="B117" t="s">
        <v>0</v>
      </c>
      <c r="C117" t="s">
        <v>38</v>
      </c>
      <c r="D117">
        <v>470210.51999999996</v>
      </c>
      <c r="E117">
        <v>479837.24999999994</v>
      </c>
      <c r="F117">
        <v>1468.0799999999997</v>
      </c>
      <c r="G117">
        <v>11944.89</v>
      </c>
      <c r="H117">
        <v>15448350.19263305</v>
      </c>
    </row>
    <row r="118" spans="1:8" x14ac:dyDescent="0.3">
      <c r="A118" t="s">
        <v>25</v>
      </c>
      <c r="B118" t="s">
        <v>0</v>
      </c>
      <c r="C118" t="s">
        <v>37</v>
      </c>
      <c r="D118">
        <v>338800.77999999997</v>
      </c>
      <c r="E118">
        <v>308092.39999999997</v>
      </c>
      <c r="F118">
        <v>1093.3899999999999</v>
      </c>
      <c r="G118">
        <v>8643.619999999999</v>
      </c>
      <c r="H118">
        <v>11755547.420759834</v>
      </c>
    </row>
    <row r="119" spans="1:8" x14ac:dyDescent="0.3">
      <c r="A119" t="s">
        <v>25</v>
      </c>
      <c r="B119" t="s">
        <v>2</v>
      </c>
      <c r="C119" t="s">
        <v>38</v>
      </c>
      <c r="D119">
        <v>675941.51000000036</v>
      </c>
      <c r="E119">
        <v>693920.20000000019</v>
      </c>
      <c r="F119">
        <v>3030.8099999999995</v>
      </c>
      <c r="G119">
        <v>21397.08</v>
      </c>
      <c r="H119">
        <v>26160531.36019738</v>
      </c>
    </row>
    <row r="120" spans="1:8" x14ac:dyDescent="0.3">
      <c r="A120" t="s">
        <v>25</v>
      </c>
      <c r="B120" t="s">
        <v>2</v>
      </c>
      <c r="C120" t="s">
        <v>37</v>
      </c>
      <c r="D120">
        <v>443908.37000000005</v>
      </c>
      <c r="E120">
        <v>451662.18000000005</v>
      </c>
      <c r="F120">
        <v>1529.13</v>
      </c>
      <c r="G120">
        <v>10188.240000000002</v>
      </c>
      <c r="H120">
        <v>17636718.771988653</v>
      </c>
    </row>
    <row r="121" spans="1:8" x14ac:dyDescent="0.3">
      <c r="A121" t="s">
        <v>25</v>
      </c>
      <c r="B121" t="s">
        <v>14</v>
      </c>
      <c r="C121" t="s">
        <v>38</v>
      </c>
      <c r="D121">
        <v>486444.86999999994</v>
      </c>
      <c r="E121">
        <v>510880.69999999995</v>
      </c>
      <c r="F121">
        <v>2671.6800000000003</v>
      </c>
      <c r="G121">
        <v>14891.55</v>
      </c>
      <c r="H121">
        <v>22193389.849286638</v>
      </c>
    </row>
    <row r="122" spans="1:8" x14ac:dyDescent="0.3">
      <c r="A122" t="s">
        <v>25</v>
      </c>
      <c r="B122" t="s">
        <v>14</v>
      </c>
      <c r="C122" t="s">
        <v>37</v>
      </c>
      <c r="D122">
        <v>177608.51</v>
      </c>
      <c r="E122">
        <v>184291.33</v>
      </c>
      <c r="F122">
        <v>748.03000000000009</v>
      </c>
      <c r="G122">
        <v>4159.5399999999991</v>
      </c>
      <c r="H122">
        <v>7928685.5724511938</v>
      </c>
    </row>
    <row r="123" spans="1:8" x14ac:dyDescent="0.3">
      <c r="A123" t="s">
        <v>25</v>
      </c>
      <c r="B123" t="s">
        <v>9</v>
      </c>
      <c r="C123" t="s">
        <v>38</v>
      </c>
      <c r="D123">
        <v>544998.68000000005</v>
      </c>
      <c r="E123">
        <v>537036.9</v>
      </c>
      <c r="F123">
        <v>2121.2199999999998</v>
      </c>
      <c r="G123">
        <v>14046.94</v>
      </c>
      <c r="H123">
        <v>19397595.562777545</v>
      </c>
    </row>
    <row r="124" spans="1:8" x14ac:dyDescent="0.3">
      <c r="A124" t="s">
        <v>25</v>
      </c>
      <c r="B124" t="s">
        <v>9</v>
      </c>
      <c r="C124" t="s">
        <v>37</v>
      </c>
      <c r="D124">
        <v>289660.84999999998</v>
      </c>
      <c r="E124">
        <v>282608.98000000004</v>
      </c>
      <c r="F124">
        <v>1425.06</v>
      </c>
      <c r="G124">
        <v>10009.619999999999</v>
      </c>
      <c r="H124">
        <v>12786820.663211877</v>
      </c>
    </row>
    <row r="125" spans="1:8" x14ac:dyDescent="0.3">
      <c r="A125" t="s">
        <v>25</v>
      </c>
      <c r="B125" t="s">
        <v>12</v>
      </c>
      <c r="C125" t="s">
        <v>38</v>
      </c>
      <c r="D125">
        <v>527861.87000000011</v>
      </c>
      <c r="E125">
        <v>516216.67000000004</v>
      </c>
      <c r="F125">
        <v>2596.73</v>
      </c>
      <c r="G125">
        <v>15063.150000000005</v>
      </c>
      <c r="H125">
        <v>22620595.061109945</v>
      </c>
    </row>
    <row r="126" spans="1:8" x14ac:dyDescent="0.3">
      <c r="A126" t="s">
        <v>25</v>
      </c>
      <c r="B126" t="s">
        <v>12</v>
      </c>
      <c r="C126" t="s">
        <v>37</v>
      </c>
      <c r="D126">
        <v>340058.27999999997</v>
      </c>
      <c r="E126">
        <v>336582.14999999997</v>
      </c>
      <c r="F126">
        <v>1648.21</v>
      </c>
      <c r="G126">
        <v>9262.08</v>
      </c>
      <c r="H126">
        <v>13508113.592468407</v>
      </c>
    </row>
    <row r="127" spans="1:8" x14ac:dyDescent="0.3">
      <c r="A127" t="s">
        <v>25</v>
      </c>
      <c r="B127" t="s">
        <v>8</v>
      </c>
      <c r="C127" t="s">
        <v>38</v>
      </c>
      <c r="D127">
        <v>291591.23</v>
      </c>
      <c r="E127">
        <v>303648.61</v>
      </c>
      <c r="F127">
        <v>2099.2099999999996</v>
      </c>
      <c r="G127">
        <v>12915.340000000002</v>
      </c>
      <c r="H127">
        <v>17486884.626143154</v>
      </c>
    </row>
    <row r="128" spans="1:8" x14ac:dyDescent="0.3">
      <c r="A128" t="s">
        <v>25</v>
      </c>
      <c r="B128" t="s">
        <v>8</v>
      </c>
      <c r="C128" t="s">
        <v>37</v>
      </c>
      <c r="D128">
        <v>236637.22000000003</v>
      </c>
      <c r="E128">
        <v>211199.65</v>
      </c>
      <c r="F128">
        <v>1029.07</v>
      </c>
      <c r="G128">
        <v>7267.85</v>
      </c>
      <c r="H128">
        <v>9020101.19330265</v>
      </c>
    </row>
    <row r="129" spans="1:8" x14ac:dyDescent="0.3">
      <c r="A129" t="s">
        <v>25</v>
      </c>
      <c r="B129" t="s">
        <v>4</v>
      </c>
      <c r="C129" t="s">
        <v>38</v>
      </c>
      <c r="D129">
        <v>423801.79000000004</v>
      </c>
      <c r="E129">
        <v>434802.4</v>
      </c>
      <c r="F129">
        <v>1828.8999999999999</v>
      </c>
      <c r="G129">
        <v>13506.140000000001</v>
      </c>
      <c r="H129">
        <v>18379685.157184225</v>
      </c>
    </row>
    <row r="130" spans="1:8" x14ac:dyDescent="0.3">
      <c r="A130" t="s">
        <v>25</v>
      </c>
      <c r="B130" t="s">
        <v>4</v>
      </c>
      <c r="C130" t="s">
        <v>37</v>
      </c>
      <c r="D130">
        <v>264052.78000000003</v>
      </c>
      <c r="E130">
        <v>270656.74000000005</v>
      </c>
      <c r="F130">
        <v>965.8</v>
      </c>
      <c r="G130">
        <v>4306.32</v>
      </c>
      <c r="H130">
        <v>8257420.7681241184</v>
      </c>
    </row>
    <row r="131" spans="1:8" x14ac:dyDescent="0.3">
      <c r="A131" t="s">
        <v>25</v>
      </c>
      <c r="B131" t="s">
        <v>6</v>
      </c>
      <c r="C131" t="s">
        <v>38</v>
      </c>
      <c r="D131">
        <v>430655.89</v>
      </c>
      <c r="E131">
        <v>433155.61000000004</v>
      </c>
      <c r="F131">
        <v>1962.0100000000002</v>
      </c>
      <c r="G131">
        <v>12280.82</v>
      </c>
      <c r="H131">
        <v>18064494.856729072</v>
      </c>
    </row>
    <row r="132" spans="1:8" x14ac:dyDescent="0.3">
      <c r="A132" t="s">
        <v>25</v>
      </c>
      <c r="B132" t="s">
        <v>6</v>
      </c>
      <c r="C132" t="s">
        <v>37</v>
      </c>
      <c r="D132">
        <v>303080.62</v>
      </c>
      <c r="E132">
        <v>305757.37</v>
      </c>
      <c r="F132">
        <v>1773.7599999999998</v>
      </c>
      <c r="G132">
        <v>10366.23</v>
      </c>
      <c r="H132">
        <v>16211595.297967531</v>
      </c>
    </row>
    <row r="133" spans="1:8" x14ac:dyDescent="0.3">
      <c r="A133" t="s">
        <v>7</v>
      </c>
      <c r="B133" t="s">
        <v>0</v>
      </c>
      <c r="C133" t="s">
        <v>38</v>
      </c>
      <c r="D133">
        <v>312141.78000000003</v>
      </c>
      <c r="E133">
        <v>306277.05000000005</v>
      </c>
      <c r="F133">
        <v>1316.54</v>
      </c>
      <c r="G133">
        <v>8025.29</v>
      </c>
      <c r="H133">
        <v>12142262.087510489</v>
      </c>
    </row>
    <row r="134" spans="1:8" x14ac:dyDescent="0.3">
      <c r="A134" t="s">
        <v>7</v>
      </c>
      <c r="B134" t="s">
        <v>0</v>
      </c>
      <c r="C134" t="s">
        <v>37</v>
      </c>
      <c r="D134">
        <v>446466.66000000003</v>
      </c>
      <c r="E134">
        <v>413083.99000000011</v>
      </c>
      <c r="F134">
        <v>2050.5399999999995</v>
      </c>
      <c r="G134">
        <v>12088.720000000001</v>
      </c>
      <c r="H134">
        <v>18107709.775005102</v>
      </c>
    </row>
    <row r="135" spans="1:8" x14ac:dyDescent="0.3">
      <c r="A135" t="s">
        <v>7</v>
      </c>
      <c r="B135" t="s">
        <v>2</v>
      </c>
      <c r="C135" t="s">
        <v>38</v>
      </c>
      <c r="D135">
        <v>643328.2699999999</v>
      </c>
      <c r="E135">
        <v>649296.18000000005</v>
      </c>
      <c r="F135">
        <v>2192.9599999999996</v>
      </c>
      <c r="G135">
        <v>15493.650000000001</v>
      </c>
      <c r="H135">
        <v>22646483.604957435</v>
      </c>
    </row>
    <row r="136" spans="1:8" x14ac:dyDescent="0.3">
      <c r="A136" t="s">
        <v>7</v>
      </c>
      <c r="B136" t="s">
        <v>2</v>
      </c>
      <c r="C136" t="s">
        <v>37</v>
      </c>
      <c r="D136">
        <v>464808.38000000006</v>
      </c>
      <c r="E136">
        <v>476234.19999999995</v>
      </c>
      <c r="F136">
        <v>1714.9600000000005</v>
      </c>
      <c r="G136">
        <v>12412.21</v>
      </c>
      <c r="H136">
        <v>17348440.317123152</v>
      </c>
    </row>
    <row r="137" spans="1:8" x14ac:dyDescent="0.3">
      <c r="A137" t="s">
        <v>7</v>
      </c>
      <c r="B137" t="s">
        <v>14</v>
      </c>
      <c r="C137" t="s">
        <v>38</v>
      </c>
      <c r="D137">
        <v>525808.81999999995</v>
      </c>
      <c r="E137">
        <v>556882.25000000012</v>
      </c>
      <c r="F137">
        <v>1657.93</v>
      </c>
      <c r="G137">
        <v>12582.900000000001</v>
      </c>
      <c r="H137">
        <v>18734786.826730009</v>
      </c>
    </row>
    <row r="138" spans="1:8" x14ac:dyDescent="0.3">
      <c r="A138" t="s">
        <v>7</v>
      </c>
      <c r="B138" t="s">
        <v>14</v>
      </c>
      <c r="C138" t="s">
        <v>37</v>
      </c>
      <c r="D138">
        <v>334974.05</v>
      </c>
      <c r="E138">
        <v>336563.04000000004</v>
      </c>
      <c r="F138">
        <v>1496.71</v>
      </c>
      <c r="G138">
        <v>9946.64</v>
      </c>
      <c r="H138">
        <v>14741028.669060556</v>
      </c>
    </row>
    <row r="139" spans="1:8" x14ac:dyDescent="0.3">
      <c r="A139" t="s">
        <v>7</v>
      </c>
      <c r="B139" t="s">
        <v>9</v>
      </c>
      <c r="C139" t="s">
        <v>38</v>
      </c>
      <c r="D139">
        <v>421340.56000000006</v>
      </c>
      <c r="E139">
        <v>424310.12999999989</v>
      </c>
      <c r="F139">
        <v>1785.6100000000001</v>
      </c>
      <c r="G139">
        <v>12919.530000000002</v>
      </c>
      <c r="H139">
        <v>14781214.994067917</v>
      </c>
    </row>
    <row r="140" spans="1:8" x14ac:dyDescent="0.3">
      <c r="A140" t="s">
        <v>7</v>
      </c>
      <c r="B140" t="s">
        <v>9</v>
      </c>
      <c r="C140" t="s">
        <v>37</v>
      </c>
      <c r="D140">
        <v>320507.78000000003</v>
      </c>
      <c r="E140">
        <v>322297.64</v>
      </c>
      <c r="F140">
        <v>1146.75</v>
      </c>
      <c r="G140">
        <v>8445.8599999999988</v>
      </c>
      <c r="H140">
        <v>12878496.136110421</v>
      </c>
    </row>
    <row r="141" spans="1:8" x14ac:dyDescent="0.3">
      <c r="A141" t="s">
        <v>7</v>
      </c>
      <c r="B141" t="s">
        <v>12</v>
      </c>
      <c r="C141" t="s">
        <v>38</v>
      </c>
      <c r="D141">
        <v>467198.89999999997</v>
      </c>
      <c r="E141">
        <v>484634.93</v>
      </c>
      <c r="F141">
        <v>1632.8700000000001</v>
      </c>
      <c r="G141">
        <v>11598.359999999997</v>
      </c>
      <c r="H141">
        <v>17356471.843793057</v>
      </c>
    </row>
    <row r="142" spans="1:8" x14ac:dyDescent="0.3">
      <c r="A142" t="s">
        <v>7</v>
      </c>
      <c r="B142" t="s">
        <v>12</v>
      </c>
      <c r="C142" t="s">
        <v>37</v>
      </c>
      <c r="D142">
        <v>279689.67000000004</v>
      </c>
      <c r="E142">
        <v>284835.65999999997</v>
      </c>
      <c r="F142">
        <v>1451.85</v>
      </c>
      <c r="G142">
        <v>8724.0899999999983</v>
      </c>
      <c r="H142">
        <v>13953358.637303935</v>
      </c>
    </row>
    <row r="143" spans="1:8" x14ac:dyDescent="0.3">
      <c r="A143" t="s">
        <v>7</v>
      </c>
      <c r="B143" t="s">
        <v>8</v>
      </c>
      <c r="C143" t="s">
        <v>38</v>
      </c>
      <c r="D143">
        <v>299724.48000000004</v>
      </c>
      <c r="E143">
        <v>281837.58999999997</v>
      </c>
      <c r="F143">
        <v>1185.08</v>
      </c>
      <c r="G143">
        <v>5711.64</v>
      </c>
      <c r="H143">
        <v>11552854.352040473</v>
      </c>
    </row>
    <row r="144" spans="1:8" x14ac:dyDescent="0.3">
      <c r="A144" t="s">
        <v>7</v>
      </c>
      <c r="B144" t="s">
        <v>8</v>
      </c>
      <c r="C144" t="s">
        <v>37</v>
      </c>
      <c r="D144">
        <v>242552.56</v>
      </c>
      <c r="E144">
        <v>247449.38</v>
      </c>
      <c r="F144">
        <v>1094.4200000000003</v>
      </c>
      <c r="G144">
        <v>6868.2100000000009</v>
      </c>
      <c r="H144">
        <v>9178436.696171049</v>
      </c>
    </row>
    <row r="145" spans="1:8" x14ac:dyDescent="0.3">
      <c r="A145" t="s">
        <v>7</v>
      </c>
      <c r="B145" t="s">
        <v>4</v>
      </c>
      <c r="C145" t="s">
        <v>38</v>
      </c>
      <c r="D145">
        <v>327681.55999999994</v>
      </c>
      <c r="E145">
        <v>323040.31</v>
      </c>
      <c r="F145">
        <v>2256.84</v>
      </c>
      <c r="G145">
        <v>12258.07</v>
      </c>
      <c r="H145">
        <v>16186046.141192663</v>
      </c>
    </row>
    <row r="146" spans="1:8" x14ac:dyDescent="0.3">
      <c r="A146" t="s">
        <v>7</v>
      </c>
      <c r="B146" t="s">
        <v>4</v>
      </c>
      <c r="C146" t="s">
        <v>37</v>
      </c>
      <c r="D146">
        <v>482704.12999999995</v>
      </c>
      <c r="E146">
        <v>479776.91000000003</v>
      </c>
      <c r="F146">
        <v>1847.39</v>
      </c>
      <c r="G146">
        <v>12424.33</v>
      </c>
      <c r="H146">
        <v>15798567.108224344</v>
      </c>
    </row>
    <row r="147" spans="1:8" x14ac:dyDescent="0.3">
      <c r="A147" t="s">
        <v>7</v>
      </c>
      <c r="B147" t="s">
        <v>6</v>
      </c>
      <c r="C147" t="s">
        <v>38</v>
      </c>
      <c r="D147">
        <v>454755.25</v>
      </c>
      <c r="E147">
        <v>443197.30999999994</v>
      </c>
      <c r="F147">
        <v>1727.95</v>
      </c>
      <c r="G147">
        <v>13353.929999999998</v>
      </c>
      <c r="H147">
        <v>16684074.696203979</v>
      </c>
    </row>
    <row r="148" spans="1:8" x14ac:dyDescent="0.3">
      <c r="A148" t="s">
        <v>7</v>
      </c>
      <c r="B148" t="s">
        <v>6</v>
      </c>
      <c r="C148" t="s">
        <v>37</v>
      </c>
      <c r="D148">
        <v>270764.88999999996</v>
      </c>
      <c r="E148">
        <v>246039.11</v>
      </c>
      <c r="F148">
        <v>1021.32</v>
      </c>
      <c r="G148">
        <v>7324.02</v>
      </c>
      <c r="H148">
        <v>9393715.100583639</v>
      </c>
    </row>
    <row r="149" spans="1:8" x14ac:dyDescent="0.3">
      <c r="A149" t="s">
        <v>16</v>
      </c>
      <c r="B149" t="s">
        <v>0</v>
      </c>
      <c r="C149" t="s">
        <v>38</v>
      </c>
      <c r="D149">
        <v>355538.1</v>
      </c>
      <c r="E149">
        <v>367581.89</v>
      </c>
      <c r="F149">
        <v>2133.2399999999998</v>
      </c>
      <c r="G149">
        <v>13459.849999999999</v>
      </c>
      <c r="H149">
        <v>18137560.012913004</v>
      </c>
    </row>
    <row r="150" spans="1:8" x14ac:dyDescent="0.3">
      <c r="A150" t="s">
        <v>16</v>
      </c>
      <c r="B150" t="s">
        <v>0</v>
      </c>
      <c r="C150" t="s">
        <v>37</v>
      </c>
      <c r="D150">
        <v>390702.42</v>
      </c>
      <c r="E150">
        <v>391993.49</v>
      </c>
      <c r="F150">
        <v>2008.6400000000003</v>
      </c>
      <c r="G150">
        <v>10694.289999999997</v>
      </c>
      <c r="H150">
        <v>15800898.696088843</v>
      </c>
    </row>
    <row r="151" spans="1:8" x14ac:dyDescent="0.3">
      <c r="A151" t="s">
        <v>16</v>
      </c>
      <c r="B151" t="s">
        <v>2</v>
      </c>
      <c r="C151" t="s">
        <v>38</v>
      </c>
      <c r="D151">
        <v>328742.41000000003</v>
      </c>
      <c r="E151">
        <v>325144.15999999997</v>
      </c>
      <c r="F151">
        <v>1678.21</v>
      </c>
      <c r="G151">
        <v>8617.7199999999993</v>
      </c>
      <c r="H151">
        <v>15265216.608350517</v>
      </c>
    </row>
    <row r="152" spans="1:8" x14ac:dyDescent="0.3">
      <c r="A152" t="s">
        <v>16</v>
      </c>
      <c r="B152" t="s">
        <v>2</v>
      </c>
      <c r="C152" t="s">
        <v>37</v>
      </c>
      <c r="D152">
        <v>336294.66000000003</v>
      </c>
      <c r="E152">
        <v>350732.4</v>
      </c>
      <c r="F152">
        <v>1579.9399999999998</v>
      </c>
      <c r="G152">
        <v>9550.84</v>
      </c>
      <c r="H152">
        <v>13580818.971257767</v>
      </c>
    </row>
    <row r="153" spans="1:8" x14ac:dyDescent="0.3">
      <c r="A153" t="s">
        <v>16</v>
      </c>
      <c r="B153" t="s">
        <v>14</v>
      </c>
      <c r="C153" t="s">
        <v>38</v>
      </c>
      <c r="D153">
        <v>491946.96</v>
      </c>
      <c r="E153">
        <v>498831.30000000005</v>
      </c>
      <c r="F153">
        <v>2419.75</v>
      </c>
      <c r="G153">
        <v>13393.590000000002</v>
      </c>
      <c r="H153">
        <v>20205183.799470946</v>
      </c>
    </row>
    <row r="154" spans="1:8" x14ac:dyDescent="0.3">
      <c r="A154" t="s">
        <v>16</v>
      </c>
      <c r="B154" t="s">
        <v>14</v>
      </c>
      <c r="C154" t="s">
        <v>37</v>
      </c>
      <c r="D154">
        <v>409352.20000000007</v>
      </c>
      <c r="E154">
        <v>382772.71000000008</v>
      </c>
      <c r="F154">
        <v>1859.73</v>
      </c>
      <c r="G154">
        <v>11785.29</v>
      </c>
      <c r="H154">
        <v>15481878.762321614</v>
      </c>
    </row>
    <row r="155" spans="1:8" x14ac:dyDescent="0.3">
      <c r="A155" t="s">
        <v>16</v>
      </c>
      <c r="B155" t="s">
        <v>9</v>
      </c>
      <c r="C155" t="s">
        <v>38</v>
      </c>
      <c r="D155">
        <v>126930.96</v>
      </c>
      <c r="E155">
        <v>122227.98</v>
      </c>
      <c r="F155">
        <v>679.06</v>
      </c>
      <c r="G155">
        <v>5225.79</v>
      </c>
      <c r="H155">
        <v>5846316.8213228835</v>
      </c>
    </row>
    <row r="156" spans="1:8" x14ac:dyDescent="0.3">
      <c r="A156" t="s">
        <v>16</v>
      </c>
      <c r="B156" t="s">
        <v>9</v>
      </c>
      <c r="C156" t="s">
        <v>37</v>
      </c>
      <c r="D156">
        <v>280347.04000000004</v>
      </c>
      <c r="E156">
        <v>278572.15000000002</v>
      </c>
      <c r="F156">
        <v>927.28000000000009</v>
      </c>
      <c r="G156">
        <v>7886.04</v>
      </c>
      <c r="H156">
        <v>9189778.9872285537</v>
      </c>
    </row>
    <row r="157" spans="1:8" x14ac:dyDescent="0.3">
      <c r="A157" t="s">
        <v>16</v>
      </c>
      <c r="B157" t="s">
        <v>12</v>
      </c>
      <c r="C157" t="s">
        <v>38</v>
      </c>
      <c r="D157">
        <v>345127.7</v>
      </c>
      <c r="E157">
        <v>345307.04</v>
      </c>
      <c r="F157">
        <v>1729.96</v>
      </c>
      <c r="G157">
        <v>10313.16</v>
      </c>
      <c r="H157">
        <v>13996882.902655968</v>
      </c>
    </row>
    <row r="158" spans="1:8" x14ac:dyDescent="0.3">
      <c r="A158" t="s">
        <v>16</v>
      </c>
      <c r="B158" t="s">
        <v>12</v>
      </c>
      <c r="C158" t="s">
        <v>37</v>
      </c>
      <c r="D158">
        <v>408757.97000000009</v>
      </c>
      <c r="E158">
        <v>409352.67000000004</v>
      </c>
      <c r="F158">
        <v>1969.7799999999997</v>
      </c>
      <c r="G158">
        <v>11957.35</v>
      </c>
      <c r="H158">
        <v>18397169.95199725</v>
      </c>
    </row>
    <row r="159" spans="1:8" x14ac:dyDescent="0.3">
      <c r="A159" t="s">
        <v>16</v>
      </c>
      <c r="B159" t="s">
        <v>8</v>
      </c>
      <c r="C159" t="s">
        <v>38</v>
      </c>
      <c r="D159">
        <v>365317.35</v>
      </c>
      <c r="E159">
        <v>374680.59</v>
      </c>
      <c r="F159">
        <v>2009.5299999999997</v>
      </c>
      <c r="G159">
        <v>13497.37</v>
      </c>
      <c r="H159">
        <v>20968293.374177109</v>
      </c>
    </row>
    <row r="160" spans="1:8" x14ac:dyDescent="0.3">
      <c r="A160" t="s">
        <v>16</v>
      </c>
      <c r="B160" t="s">
        <v>8</v>
      </c>
      <c r="C160" t="s">
        <v>37</v>
      </c>
      <c r="D160">
        <v>374130.83999999997</v>
      </c>
      <c r="E160">
        <v>376202.86000000004</v>
      </c>
      <c r="F160">
        <v>1482.4099999999999</v>
      </c>
      <c r="G160">
        <v>10364.410000000002</v>
      </c>
      <c r="H160">
        <v>15003609.164349495</v>
      </c>
    </row>
    <row r="161" spans="1:8" x14ac:dyDescent="0.3">
      <c r="A161" t="s">
        <v>16</v>
      </c>
      <c r="B161" t="s">
        <v>4</v>
      </c>
      <c r="C161" t="s">
        <v>38</v>
      </c>
      <c r="D161">
        <v>572617.21000000008</v>
      </c>
      <c r="E161">
        <v>568208.3899999999</v>
      </c>
      <c r="F161">
        <v>2342.15</v>
      </c>
      <c r="G161">
        <v>12130.09</v>
      </c>
      <c r="H161">
        <v>21263487.984079141</v>
      </c>
    </row>
    <row r="162" spans="1:8" x14ac:dyDescent="0.3">
      <c r="A162" t="s">
        <v>16</v>
      </c>
      <c r="B162" t="s">
        <v>4</v>
      </c>
      <c r="C162" t="s">
        <v>37</v>
      </c>
      <c r="D162">
        <v>407093.18000000005</v>
      </c>
      <c r="E162">
        <v>402725.02000000008</v>
      </c>
      <c r="F162">
        <v>1279.98</v>
      </c>
      <c r="G162">
        <v>7856.0000000000009</v>
      </c>
      <c r="H162">
        <v>11750533.393541031</v>
      </c>
    </row>
    <row r="163" spans="1:8" x14ac:dyDescent="0.3">
      <c r="A163" t="s">
        <v>16</v>
      </c>
      <c r="B163" t="s">
        <v>6</v>
      </c>
      <c r="C163" t="s">
        <v>38</v>
      </c>
      <c r="D163">
        <v>394665.25</v>
      </c>
      <c r="E163">
        <v>384736.54</v>
      </c>
      <c r="F163">
        <v>1765.1100000000001</v>
      </c>
      <c r="G163">
        <v>10928.109999999997</v>
      </c>
      <c r="H163">
        <v>16631323.587126609</v>
      </c>
    </row>
    <row r="164" spans="1:8" x14ac:dyDescent="0.3">
      <c r="A164" t="s">
        <v>16</v>
      </c>
      <c r="B164" t="s">
        <v>6</v>
      </c>
      <c r="C164" t="s">
        <v>37</v>
      </c>
      <c r="D164">
        <v>620143.03</v>
      </c>
      <c r="E164">
        <v>627256.29999999993</v>
      </c>
      <c r="F164">
        <v>2519.9</v>
      </c>
      <c r="G164">
        <v>14804.91</v>
      </c>
      <c r="H164">
        <v>23067094.150232419</v>
      </c>
    </row>
    <row r="165" spans="1:8" x14ac:dyDescent="0.3">
      <c r="A165" t="s">
        <v>20</v>
      </c>
      <c r="B165" t="s">
        <v>0</v>
      </c>
      <c r="C165" t="s">
        <v>38</v>
      </c>
      <c r="D165">
        <v>411183.95999999996</v>
      </c>
      <c r="E165">
        <v>398823.63000000006</v>
      </c>
      <c r="F165">
        <v>1985.8</v>
      </c>
      <c r="G165">
        <v>12376.100000000002</v>
      </c>
      <c r="H165">
        <v>17525298.780854251</v>
      </c>
    </row>
    <row r="166" spans="1:8" x14ac:dyDescent="0.3">
      <c r="A166" t="s">
        <v>20</v>
      </c>
      <c r="B166" t="s">
        <v>0</v>
      </c>
      <c r="C166" t="s">
        <v>37</v>
      </c>
      <c r="D166">
        <v>260656.72999999998</v>
      </c>
      <c r="E166">
        <v>244805.93</v>
      </c>
      <c r="F166">
        <v>1159.6200000000001</v>
      </c>
      <c r="G166">
        <v>6164.8899999999994</v>
      </c>
      <c r="H166">
        <v>7685793.8906725068</v>
      </c>
    </row>
    <row r="167" spans="1:8" x14ac:dyDescent="0.3">
      <c r="A167" t="s">
        <v>20</v>
      </c>
      <c r="B167" t="s">
        <v>2</v>
      </c>
      <c r="C167" t="s">
        <v>38</v>
      </c>
      <c r="D167">
        <v>760312.95</v>
      </c>
      <c r="E167">
        <v>749156.02000000014</v>
      </c>
      <c r="F167">
        <v>2843.4900000000007</v>
      </c>
      <c r="G167">
        <v>16660.470000000005</v>
      </c>
      <c r="H167">
        <v>24978105.743244078</v>
      </c>
    </row>
    <row r="168" spans="1:8" x14ac:dyDescent="0.3">
      <c r="A168" t="s">
        <v>20</v>
      </c>
      <c r="B168" t="s">
        <v>2</v>
      </c>
      <c r="C168" t="s">
        <v>37</v>
      </c>
      <c r="D168">
        <v>344180.89999999997</v>
      </c>
      <c r="E168">
        <v>355857.01</v>
      </c>
      <c r="F168">
        <v>1019.44</v>
      </c>
      <c r="G168">
        <v>7966.7599999999993</v>
      </c>
      <c r="H168">
        <v>12388224.079090757</v>
      </c>
    </row>
    <row r="169" spans="1:8" x14ac:dyDescent="0.3">
      <c r="A169" t="s">
        <v>20</v>
      </c>
      <c r="B169" t="s">
        <v>14</v>
      </c>
      <c r="C169" t="s">
        <v>38</v>
      </c>
      <c r="D169">
        <v>338967.33</v>
      </c>
      <c r="E169">
        <v>348404.79999999993</v>
      </c>
      <c r="F169">
        <v>1732.8799999999997</v>
      </c>
      <c r="G169">
        <v>7102.1399999999985</v>
      </c>
      <c r="H169">
        <v>14141773.266500385</v>
      </c>
    </row>
    <row r="170" spans="1:8" x14ac:dyDescent="0.3">
      <c r="A170" t="s">
        <v>20</v>
      </c>
      <c r="B170" t="s">
        <v>14</v>
      </c>
      <c r="C170" t="s">
        <v>37</v>
      </c>
      <c r="D170">
        <v>270614.64999999997</v>
      </c>
      <c r="E170">
        <v>243467.61</v>
      </c>
      <c r="F170">
        <v>1152.1299999999999</v>
      </c>
      <c r="G170">
        <v>5231</v>
      </c>
      <c r="H170">
        <v>9075939.2896530814</v>
      </c>
    </row>
    <row r="171" spans="1:8" x14ac:dyDescent="0.3">
      <c r="A171" t="s">
        <v>20</v>
      </c>
      <c r="B171" t="s">
        <v>9</v>
      </c>
      <c r="C171" t="s">
        <v>38</v>
      </c>
      <c r="D171">
        <v>389764.70000000007</v>
      </c>
      <c r="E171">
        <v>380038.75000000006</v>
      </c>
      <c r="F171">
        <v>2450.7000000000003</v>
      </c>
      <c r="G171">
        <v>16076.67</v>
      </c>
      <c r="H171">
        <v>21295798.883986555</v>
      </c>
    </row>
    <row r="172" spans="1:8" x14ac:dyDescent="0.3">
      <c r="A172" t="s">
        <v>20</v>
      </c>
      <c r="B172" t="s">
        <v>9</v>
      </c>
      <c r="C172" t="s">
        <v>37</v>
      </c>
      <c r="D172">
        <v>308165.75</v>
      </c>
      <c r="E172">
        <v>324786.55</v>
      </c>
      <c r="F172">
        <v>1052.8900000000001</v>
      </c>
      <c r="G172">
        <v>7552.19</v>
      </c>
      <c r="H172">
        <v>11807255.675322911</v>
      </c>
    </row>
    <row r="173" spans="1:8" x14ac:dyDescent="0.3">
      <c r="A173" t="s">
        <v>20</v>
      </c>
      <c r="B173" t="s">
        <v>12</v>
      </c>
      <c r="C173" t="s">
        <v>38</v>
      </c>
      <c r="D173">
        <v>259890.83</v>
      </c>
      <c r="E173">
        <v>263096.90999999997</v>
      </c>
      <c r="F173">
        <v>1401.9999999999998</v>
      </c>
      <c r="G173">
        <v>8677.32</v>
      </c>
      <c r="H173">
        <v>11820398.012770733</v>
      </c>
    </row>
    <row r="174" spans="1:8" x14ac:dyDescent="0.3">
      <c r="A174" t="s">
        <v>20</v>
      </c>
      <c r="B174" t="s">
        <v>12</v>
      </c>
      <c r="C174" t="s">
        <v>37</v>
      </c>
      <c r="D174">
        <v>304013</v>
      </c>
      <c r="E174">
        <v>330335.18999999994</v>
      </c>
      <c r="F174">
        <v>1586.8</v>
      </c>
      <c r="G174">
        <v>10219.529999999999</v>
      </c>
      <c r="H174">
        <v>12960409.854291487</v>
      </c>
    </row>
    <row r="175" spans="1:8" x14ac:dyDescent="0.3">
      <c r="A175" t="s">
        <v>20</v>
      </c>
      <c r="B175" t="s">
        <v>8</v>
      </c>
      <c r="C175" t="s">
        <v>38</v>
      </c>
      <c r="D175">
        <v>473468.38</v>
      </c>
      <c r="E175">
        <v>478613.17</v>
      </c>
      <c r="F175">
        <v>2047.5799999999997</v>
      </c>
      <c r="G175">
        <v>13136.939999999997</v>
      </c>
      <c r="H175">
        <v>22175607.04573299</v>
      </c>
    </row>
    <row r="176" spans="1:8" x14ac:dyDescent="0.3">
      <c r="A176" t="s">
        <v>20</v>
      </c>
      <c r="B176" t="s">
        <v>8</v>
      </c>
      <c r="C176" t="s">
        <v>37</v>
      </c>
      <c r="D176">
        <v>277177.12</v>
      </c>
      <c r="E176">
        <v>264345.78000000009</v>
      </c>
      <c r="F176">
        <v>1472.2599999999998</v>
      </c>
      <c r="G176">
        <v>12040.73</v>
      </c>
      <c r="H176">
        <v>13395679.839406909</v>
      </c>
    </row>
    <row r="177" spans="1:8" x14ac:dyDescent="0.3">
      <c r="A177" t="s">
        <v>20</v>
      </c>
      <c r="B177" t="s">
        <v>4</v>
      </c>
      <c r="C177" t="s">
        <v>38</v>
      </c>
      <c r="D177">
        <v>440366.93000000005</v>
      </c>
      <c r="E177">
        <v>431236.61999999982</v>
      </c>
      <c r="F177">
        <v>1656.27</v>
      </c>
      <c r="G177">
        <v>13046.450000000003</v>
      </c>
      <c r="H177">
        <v>15948003.447218437</v>
      </c>
    </row>
    <row r="178" spans="1:8" x14ac:dyDescent="0.3">
      <c r="A178" t="s">
        <v>20</v>
      </c>
      <c r="B178" t="s">
        <v>4</v>
      </c>
      <c r="C178" t="s">
        <v>37</v>
      </c>
      <c r="D178">
        <v>266136.02</v>
      </c>
      <c r="E178">
        <v>267873.23</v>
      </c>
      <c r="F178">
        <v>1220.5300000000002</v>
      </c>
      <c r="G178">
        <v>6718.74</v>
      </c>
      <c r="H178">
        <v>10105865.365323465</v>
      </c>
    </row>
    <row r="179" spans="1:8" x14ac:dyDescent="0.3">
      <c r="A179" t="s">
        <v>20</v>
      </c>
      <c r="B179" t="s">
        <v>6</v>
      </c>
      <c r="C179" t="s">
        <v>38</v>
      </c>
      <c r="D179">
        <v>531375.57999999984</v>
      </c>
      <c r="E179">
        <v>551458.75</v>
      </c>
      <c r="F179">
        <v>2285.6999999999998</v>
      </c>
      <c r="G179">
        <v>17890.129999999997</v>
      </c>
      <c r="H179">
        <v>23889427.07231776</v>
      </c>
    </row>
    <row r="180" spans="1:8" x14ac:dyDescent="0.3">
      <c r="A180" t="s">
        <v>20</v>
      </c>
      <c r="B180" t="s">
        <v>6</v>
      </c>
      <c r="C180" t="s">
        <v>37</v>
      </c>
      <c r="D180">
        <v>271216.23</v>
      </c>
      <c r="E180">
        <v>251663.23000000004</v>
      </c>
      <c r="F180">
        <v>1186.7599999999998</v>
      </c>
      <c r="G180">
        <v>5661.5500000000011</v>
      </c>
      <c r="H180">
        <v>10285823.625303937</v>
      </c>
    </row>
    <row r="181" spans="1:8" x14ac:dyDescent="0.3">
      <c r="A181" t="s">
        <v>24</v>
      </c>
      <c r="B181" t="s">
        <v>0</v>
      </c>
      <c r="C181" t="s">
        <v>38</v>
      </c>
      <c r="D181">
        <v>376626.53</v>
      </c>
      <c r="E181">
        <v>360822.45000000007</v>
      </c>
      <c r="F181">
        <v>1218.97</v>
      </c>
      <c r="G181">
        <v>6625.34</v>
      </c>
      <c r="H181">
        <v>11520222.377862705</v>
      </c>
    </row>
    <row r="182" spans="1:8" x14ac:dyDescent="0.3">
      <c r="A182" t="s">
        <v>24</v>
      </c>
      <c r="B182" t="s">
        <v>0</v>
      </c>
      <c r="C182" t="s">
        <v>37</v>
      </c>
      <c r="D182">
        <v>315909.01999999996</v>
      </c>
      <c r="E182">
        <v>319380.27</v>
      </c>
      <c r="F182">
        <v>1415.25</v>
      </c>
      <c r="G182">
        <v>6669.4700000000012</v>
      </c>
      <c r="H182">
        <v>11205598.942293046</v>
      </c>
    </row>
    <row r="183" spans="1:8" x14ac:dyDescent="0.3">
      <c r="A183" t="s">
        <v>24</v>
      </c>
      <c r="B183" t="s">
        <v>2</v>
      </c>
      <c r="C183" t="s">
        <v>38</v>
      </c>
      <c r="D183">
        <v>372636.88</v>
      </c>
      <c r="E183">
        <v>387302.97000000003</v>
      </c>
      <c r="F183">
        <v>2188.4800000000005</v>
      </c>
      <c r="G183">
        <v>13938.869999999999</v>
      </c>
      <c r="H183">
        <v>19790825.040665187</v>
      </c>
    </row>
    <row r="184" spans="1:8" x14ac:dyDescent="0.3">
      <c r="A184" t="s">
        <v>24</v>
      </c>
      <c r="B184" t="s">
        <v>2</v>
      </c>
      <c r="C184" t="s">
        <v>37</v>
      </c>
      <c r="D184">
        <v>453256.37</v>
      </c>
      <c r="E184">
        <v>442459.42999999993</v>
      </c>
      <c r="F184">
        <v>1893.44</v>
      </c>
      <c r="G184">
        <v>14738.160000000002</v>
      </c>
      <c r="H184">
        <v>17830066.815171916</v>
      </c>
    </row>
    <row r="185" spans="1:8" x14ac:dyDescent="0.3">
      <c r="A185" t="s">
        <v>24</v>
      </c>
      <c r="B185" t="s">
        <v>14</v>
      </c>
      <c r="C185" t="s">
        <v>38</v>
      </c>
      <c r="D185">
        <v>263790.67</v>
      </c>
      <c r="E185">
        <v>257189.36000000004</v>
      </c>
      <c r="F185">
        <v>1634.6900000000003</v>
      </c>
      <c r="G185">
        <v>13316.46</v>
      </c>
      <c r="H185">
        <v>13563935.900807945</v>
      </c>
    </row>
    <row r="186" spans="1:8" x14ac:dyDescent="0.3">
      <c r="A186" t="s">
        <v>24</v>
      </c>
      <c r="B186" t="s">
        <v>14</v>
      </c>
      <c r="C186" t="s">
        <v>37</v>
      </c>
      <c r="D186">
        <v>517905.59999999992</v>
      </c>
      <c r="E186">
        <v>500769.11999999994</v>
      </c>
      <c r="F186">
        <v>2112.86</v>
      </c>
      <c r="G186">
        <v>16898.069999999996</v>
      </c>
      <c r="H186">
        <v>19361523.149691269</v>
      </c>
    </row>
    <row r="187" spans="1:8" x14ac:dyDescent="0.3">
      <c r="A187" t="s">
        <v>24</v>
      </c>
      <c r="B187" t="s">
        <v>9</v>
      </c>
      <c r="C187" t="s">
        <v>38</v>
      </c>
      <c r="D187">
        <v>508858.29999999993</v>
      </c>
      <c r="E187">
        <v>520780.49000000005</v>
      </c>
      <c r="F187">
        <v>1754.8700000000003</v>
      </c>
      <c r="G187">
        <v>12070.500000000002</v>
      </c>
      <c r="H187">
        <v>17002003.20410328</v>
      </c>
    </row>
    <row r="188" spans="1:8" x14ac:dyDescent="0.3">
      <c r="A188" t="s">
        <v>24</v>
      </c>
      <c r="B188" t="s">
        <v>9</v>
      </c>
      <c r="C188" t="s">
        <v>37</v>
      </c>
      <c r="D188">
        <v>264763.27</v>
      </c>
      <c r="E188">
        <v>269789.8</v>
      </c>
      <c r="F188">
        <v>1309.0999999999997</v>
      </c>
      <c r="G188">
        <v>8291.4500000000007</v>
      </c>
      <c r="H188">
        <v>11250517.680751009</v>
      </c>
    </row>
    <row r="189" spans="1:8" x14ac:dyDescent="0.3">
      <c r="A189" t="s">
        <v>24</v>
      </c>
      <c r="B189" t="s">
        <v>12</v>
      </c>
      <c r="C189" t="s">
        <v>38</v>
      </c>
      <c r="D189">
        <v>270808.92000000004</v>
      </c>
      <c r="E189">
        <v>276749.45</v>
      </c>
      <c r="F189">
        <v>1486.56</v>
      </c>
      <c r="G189">
        <v>8751.5499999999993</v>
      </c>
      <c r="H189">
        <v>11412447.252965717</v>
      </c>
    </row>
    <row r="190" spans="1:8" x14ac:dyDescent="0.3">
      <c r="A190" t="s">
        <v>24</v>
      </c>
      <c r="B190" t="s">
        <v>12</v>
      </c>
      <c r="C190" t="s">
        <v>37</v>
      </c>
      <c r="D190">
        <v>374375.32000000012</v>
      </c>
      <c r="E190">
        <v>373093.88999999996</v>
      </c>
      <c r="F190">
        <v>1657.9399999999996</v>
      </c>
      <c r="G190">
        <v>9096.6200000000008</v>
      </c>
      <c r="H190">
        <v>14829047.968428269</v>
      </c>
    </row>
    <row r="191" spans="1:8" x14ac:dyDescent="0.3">
      <c r="A191" t="s">
        <v>24</v>
      </c>
      <c r="B191" t="s">
        <v>8</v>
      </c>
      <c r="C191" t="s">
        <v>38</v>
      </c>
      <c r="D191">
        <v>464782.54000000004</v>
      </c>
      <c r="E191">
        <v>434391.6</v>
      </c>
      <c r="F191">
        <v>1684.7699999999998</v>
      </c>
      <c r="G191">
        <v>10752.91</v>
      </c>
      <c r="H191">
        <v>14323483.00224033</v>
      </c>
    </row>
    <row r="192" spans="1:8" x14ac:dyDescent="0.3">
      <c r="A192" t="s">
        <v>24</v>
      </c>
      <c r="B192" t="s">
        <v>8</v>
      </c>
      <c r="C192" t="s">
        <v>37</v>
      </c>
      <c r="D192">
        <v>295470.98</v>
      </c>
      <c r="E192">
        <v>314330.84000000003</v>
      </c>
      <c r="F192">
        <v>1193.04</v>
      </c>
      <c r="G192">
        <v>7049.8799999999992</v>
      </c>
      <c r="H192">
        <v>11539993.831233758</v>
      </c>
    </row>
    <row r="193" spans="1:8" x14ac:dyDescent="0.3">
      <c r="A193" t="s">
        <v>24</v>
      </c>
      <c r="B193" t="s">
        <v>4</v>
      </c>
      <c r="C193" t="s">
        <v>38</v>
      </c>
      <c r="D193">
        <v>514289.04</v>
      </c>
      <c r="E193">
        <v>516378.29999999993</v>
      </c>
      <c r="F193">
        <v>2196.25</v>
      </c>
      <c r="G193">
        <v>12564.099999999999</v>
      </c>
      <c r="H193">
        <v>18251986.462638553</v>
      </c>
    </row>
    <row r="194" spans="1:8" x14ac:dyDescent="0.3">
      <c r="A194" t="s">
        <v>24</v>
      </c>
      <c r="B194" t="s">
        <v>4</v>
      </c>
      <c r="C194" t="s">
        <v>37</v>
      </c>
      <c r="D194">
        <v>390254.26000000007</v>
      </c>
      <c r="E194">
        <v>390335.88</v>
      </c>
      <c r="F194">
        <v>1831.69</v>
      </c>
      <c r="G194">
        <v>12014.929999999998</v>
      </c>
      <c r="H194">
        <v>16780027.649116285</v>
      </c>
    </row>
    <row r="195" spans="1:8" x14ac:dyDescent="0.3">
      <c r="A195" t="s">
        <v>24</v>
      </c>
      <c r="B195" t="s">
        <v>6</v>
      </c>
      <c r="C195" t="s">
        <v>38</v>
      </c>
      <c r="D195">
        <v>601431.12999999989</v>
      </c>
      <c r="E195">
        <v>607652.23</v>
      </c>
      <c r="F195">
        <v>2397.19</v>
      </c>
      <c r="G195">
        <v>17074</v>
      </c>
      <c r="H195">
        <v>21469749.520561598</v>
      </c>
    </row>
    <row r="196" spans="1:8" x14ac:dyDescent="0.3">
      <c r="A196" t="s">
        <v>24</v>
      </c>
      <c r="B196" t="s">
        <v>6</v>
      </c>
      <c r="C196" t="s">
        <v>37</v>
      </c>
      <c r="D196">
        <v>604010.68999999994</v>
      </c>
      <c r="E196">
        <v>605051.19999999995</v>
      </c>
      <c r="F196">
        <v>1700.9900000000002</v>
      </c>
      <c r="G196">
        <v>11563.099999999999</v>
      </c>
      <c r="H196">
        <v>20814179.751653109</v>
      </c>
    </row>
    <row r="197" spans="1:8" x14ac:dyDescent="0.3">
      <c r="A197" t="s">
        <v>26</v>
      </c>
      <c r="B197" t="s">
        <v>0</v>
      </c>
      <c r="C197" t="s">
        <v>38</v>
      </c>
      <c r="D197">
        <v>483254.91000000003</v>
      </c>
      <c r="E197">
        <v>469607.40000000008</v>
      </c>
      <c r="F197">
        <v>2636.72</v>
      </c>
      <c r="G197">
        <v>17116.53</v>
      </c>
      <c r="H197">
        <v>21083358.420633264</v>
      </c>
    </row>
    <row r="198" spans="1:8" x14ac:dyDescent="0.3">
      <c r="A198" t="s">
        <v>26</v>
      </c>
      <c r="B198" t="s">
        <v>0</v>
      </c>
      <c r="C198" t="s">
        <v>37</v>
      </c>
      <c r="D198">
        <v>337340.08</v>
      </c>
      <c r="E198">
        <v>327502.14</v>
      </c>
      <c r="F198">
        <v>1325.94</v>
      </c>
      <c r="G198">
        <v>6527.5300000000007</v>
      </c>
      <c r="H198">
        <v>10925121.609102516</v>
      </c>
    </row>
    <row r="199" spans="1:8" x14ac:dyDescent="0.3">
      <c r="A199" t="s">
        <v>26</v>
      </c>
      <c r="B199" t="s">
        <v>2</v>
      </c>
      <c r="C199" t="s">
        <v>38</v>
      </c>
      <c r="D199">
        <v>450640.95</v>
      </c>
      <c r="E199">
        <v>430656.86000000004</v>
      </c>
      <c r="F199">
        <v>1769.3300000000004</v>
      </c>
      <c r="G199">
        <v>12093.24</v>
      </c>
      <c r="H199">
        <v>16819283.571963385</v>
      </c>
    </row>
    <row r="200" spans="1:8" x14ac:dyDescent="0.3">
      <c r="A200" t="s">
        <v>26</v>
      </c>
      <c r="B200" t="s">
        <v>2</v>
      </c>
      <c r="C200" t="s">
        <v>37</v>
      </c>
      <c r="D200">
        <v>304304.45</v>
      </c>
      <c r="E200">
        <v>294108.13</v>
      </c>
      <c r="F200">
        <v>1409.6200000000001</v>
      </c>
      <c r="G200">
        <v>8826.2400000000016</v>
      </c>
      <c r="H200">
        <v>12312989.38805555</v>
      </c>
    </row>
    <row r="201" spans="1:8" x14ac:dyDescent="0.3">
      <c r="A201" t="s">
        <v>26</v>
      </c>
      <c r="B201" t="s">
        <v>14</v>
      </c>
      <c r="C201" t="s">
        <v>38</v>
      </c>
      <c r="D201">
        <v>310448.98</v>
      </c>
      <c r="E201">
        <v>295828.66000000003</v>
      </c>
      <c r="F201">
        <v>1827.7099999999998</v>
      </c>
      <c r="G201">
        <v>9394.5400000000009</v>
      </c>
      <c r="H201">
        <v>14808629.220337307</v>
      </c>
    </row>
    <row r="202" spans="1:8" x14ac:dyDescent="0.3">
      <c r="A202" t="s">
        <v>26</v>
      </c>
      <c r="B202" t="s">
        <v>14</v>
      </c>
      <c r="C202" t="s">
        <v>37</v>
      </c>
      <c r="D202">
        <v>354185.58999999997</v>
      </c>
      <c r="E202">
        <v>370228.44000000006</v>
      </c>
      <c r="F202">
        <v>1342.32</v>
      </c>
      <c r="G202">
        <v>11371.920000000002</v>
      </c>
      <c r="H202">
        <v>12281768.003217354</v>
      </c>
    </row>
    <row r="203" spans="1:8" x14ac:dyDescent="0.3">
      <c r="A203" t="s">
        <v>26</v>
      </c>
      <c r="B203" t="s">
        <v>9</v>
      </c>
      <c r="C203" t="s">
        <v>38</v>
      </c>
      <c r="D203">
        <v>427949.41000000009</v>
      </c>
      <c r="E203">
        <v>450607.51</v>
      </c>
      <c r="F203">
        <v>1796.56</v>
      </c>
      <c r="G203">
        <v>11729.49</v>
      </c>
      <c r="H203">
        <v>17767604.334277079</v>
      </c>
    </row>
    <row r="204" spans="1:8" x14ac:dyDescent="0.3">
      <c r="A204" t="s">
        <v>26</v>
      </c>
      <c r="B204" t="s">
        <v>9</v>
      </c>
      <c r="C204" t="s">
        <v>37</v>
      </c>
      <c r="D204">
        <v>142014.51999999999</v>
      </c>
      <c r="E204">
        <v>142487.94999999998</v>
      </c>
      <c r="F204">
        <v>862.31000000000006</v>
      </c>
      <c r="G204">
        <v>7800.2800000000007</v>
      </c>
      <c r="H204">
        <v>8045988.9809800731</v>
      </c>
    </row>
    <row r="205" spans="1:8" x14ac:dyDescent="0.3">
      <c r="A205" t="s">
        <v>26</v>
      </c>
      <c r="B205" t="s">
        <v>12</v>
      </c>
      <c r="C205" t="s">
        <v>38</v>
      </c>
      <c r="D205">
        <v>282521.59999999998</v>
      </c>
      <c r="E205">
        <v>276789.62</v>
      </c>
      <c r="F205">
        <v>1214.8900000000003</v>
      </c>
      <c r="G205">
        <v>7450.86</v>
      </c>
      <c r="H205">
        <v>9621281.7835162636</v>
      </c>
    </row>
    <row r="206" spans="1:8" x14ac:dyDescent="0.3">
      <c r="A206" t="s">
        <v>26</v>
      </c>
      <c r="B206" t="s">
        <v>12</v>
      </c>
      <c r="C206" t="s">
        <v>37</v>
      </c>
      <c r="D206">
        <v>456432.25</v>
      </c>
      <c r="E206">
        <v>463917.18000000017</v>
      </c>
      <c r="F206">
        <v>2252.65</v>
      </c>
      <c r="G206">
        <v>16300.85</v>
      </c>
      <c r="H206">
        <v>22100567.044676609</v>
      </c>
    </row>
    <row r="207" spans="1:8" x14ac:dyDescent="0.3">
      <c r="A207" t="s">
        <v>26</v>
      </c>
      <c r="B207" t="s">
        <v>8</v>
      </c>
      <c r="C207" t="s">
        <v>38</v>
      </c>
      <c r="D207">
        <v>254360.46999999997</v>
      </c>
      <c r="E207">
        <v>249413.96999999997</v>
      </c>
      <c r="F207">
        <v>1037.1299999999999</v>
      </c>
      <c r="G207">
        <v>7211.2999999999993</v>
      </c>
      <c r="H207">
        <v>11156786.955139032</v>
      </c>
    </row>
    <row r="208" spans="1:8" x14ac:dyDescent="0.3">
      <c r="A208" t="s">
        <v>26</v>
      </c>
      <c r="B208" t="s">
        <v>8</v>
      </c>
      <c r="C208" t="s">
        <v>37</v>
      </c>
      <c r="D208">
        <v>249308.25999999998</v>
      </c>
      <c r="E208">
        <v>255007.23</v>
      </c>
      <c r="F208">
        <v>1007.5899999999999</v>
      </c>
      <c r="G208">
        <v>6791.2399999999989</v>
      </c>
      <c r="H208">
        <v>10544233.137624409</v>
      </c>
    </row>
    <row r="209" spans="1:8" x14ac:dyDescent="0.3">
      <c r="A209" t="s">
        <v>26</v>
      </c>
      <c r="B209" t="s">
        <v>4</v>
      </c>
      <c r="C209" t="s">
        <v>38</v>
      </c>
      <c r="D209">
        <v>388309.8</v>
      </c>
      <c r="E209">
        <v>398078.58</v>
      </c>
      <c r="F209">
        <v>1694.89</v>
      </c>
      <c r="G209">
        <v>8280.98</v>
      </c>
      <c r="H209">
        <v>14309442.862768095</v>
      </c>
    </row>
    <row r="210" spans="1:8" x14ac:dyDescent="0.3">
      <c r="A210" t="s">
        <v>26</v>
      </c>
      <c r="B210" t="s">
        <v>4</v>
      </c>
      <c r="C210" t="s">
        <v>37</v>
      </c>
      <c r="D210">
        <v>541513.09999999986</v>
      </c>
      <c r="E210">
        <v>549673.7300000001</v>
      </c>
      <c r="F210">
        <v>2002.3299999999997</v>
      </c>
      <c r="G210">
        <v>16128.999999999998</v>
      </c>
      <c r="H210">
        <v>20315523.609734844</v>
      </c>
    </row>
    <row r="211" spans="1:8" x14ac:dyDescent="0.3">
      <c r="A211" t="s">
        <v>26</v>
      </c>
      <c r="B211" t="s">
        <v>6</v>
      </c>
      <c r="C211" t="s">
        <v>38</v>
      </c>
      <c r="D211">
        <v>443120.28</v>
      </c>
      <c r="E211">
        <v>436653.73</v>
      </c>
      <c r="F211">
        <v>2276.7900000000004</v>
      </c>
      <c r="G211">
        <v>11041.77</v>
      </c>
      <c r="H211">
        <v>18826476.437376373</v>
      </c>
    </row>
    <row r="212" spans="1:8" x14ac:dyDescent="0.3">
      <c r="A212" t="s">
        <v>26</v>
      </c>
      <c r="B212" t="s">
        <v>6</v>
      </c>
      <c r="C212" t="s">
        <v>37</v>
      </c>
      <c r="D212">
        <v>406984.81000000006</v>
      </c>
      <c r="E212">
        <v>402989.61000000004</v>
      </c>
      <c r="F212">
        <v>1988.83</v>
      </c>
      <c r="G212">
        <v>12310.900000000001</v>
      </c>
      <c r="H212">
        <v>15861875.21020399</v>
      </c>
    </row>
    <row r="213" spans="1:8" x14ac:dyDescent="0.3">
      <c r="A213" t="s">
        <v>13</v>
      </c>
      <c r="B213" t="s">
        <v>0</v>
      </c>
      <c r="C213" t="s">
        <v>38</v>
      </c>
      <c r="D213">
        <v>333322.06</v>
      </c>
      <c r="E213">
        <v>330551.15000000002</v>
      </c>
      <c r="F213">
        <v>1708.24</v>
      </c>
      <c r="G213">
        <v>7863.4</v>
      </c>
      <c r="H213">
        <v>13829505.851682335</v>
      </c>
    </row>
    <row r="214" spans="1:8" x14ac:dyDescent="0.3">
      <c r="A214" t="s">
        <v>13</v>
      </c>
      <c r="B214" t="s">
        <v>0</v>
      </c>
      <c r="C214" t="s">
        <v>37</v>
      </c>
      <c r="D214">
        <v>484147.07000000007</v>
      </c>
      <c r="E214">
        <v>503375.10000000003</v>
      </c>
      <c r="F214">
        <v>1809.4700000000003</v>
      </c>
      <c r="G214">
        <v>13579.98</v>
      </c>
      <c r="H214">
        <v>15225357.522990508</v>
      </c>
    </row>
    <row r="215" spans="1:8" x14ac:dyDescent="0.3">
      <c r="A215" t="s">
        <v>13</v>
      </c>
      <c r="B215" t="s">
        <v>2</v>
      </c>
      <c r="C215" t="s">
        <v>38</v>
      </c>
      <c r="D215">
        <v>453539.22999999992</v>
      </c>
      <c r="E215">
        <v>448080.54000000004</v>
      </c>
      <c r="F215">
        <v>1888.04</v>
      </c>
      <c r="G215">
        <v>11469.179999999998</v>
      </c>
      <c r="H215">
        <v>16884982.234444145</v>
      </c>
    </row>
    <row r="216" spans="1:8" x14ac:dyDescent="0.3">
      <c r="A216" t="s">
        <v>13</v>
      </c>
      <c r="B216" t="s">
        <v>2</v>
      </c>
      <c r="C216" t="s">
        <v>37</v>
      </c>
      <c r="D216">
        <v>277971.43000000005</v>
      </c>
      <c r="E216">
        <v>266025.12</v>
      </c>
      <c r="F216">
        <v>1811.5499999999995</v>
      </c>
      <c r="G216">
        <v>10561.159999999998</v>
      </c>
      <c r="H216">
        <v>13832976.062477907</v>
      </c>
    </row>
    <row r="217" spans="1:8" x14ac:dyDescent="0.3">
      <c r="A217" t="s">
        <v>13</v>
      </c>
      <c r="B217" t="s">
        <v>14</v>
      </c>
      <c r="C217" t="s">
        <v>38</v>
      </c>
      <c r="D217">
        <v>540007.96</v>
      </c>
      <c r="E217">
        <v>563613.95999999985</v>
      </c>
      <c r="F217">
        <v>2002.4100000000003</v>
      </c>
      <c r="G217">
        <v>15630.59</v>
      </c>
      <c r="H217">
        <v>21303430.511802897</v>
      </c>
    </row>
    <row r="218" spans="1:8" x14ac:dyDescent="0.3">
      <c r="A218" t="s">
        <v>13</v>
      </c>
      <c r="B218" t="s">
        <v>14</v>
      </c>
      <c r="C218" t="s">
        <v>37</v>
      </c>
      <c r="D218">
        <v>392784.91000000003</v>
      </c>
      <c r="E218">
        <v>402326.63000000006</v>
      </c>
      <c r="F218">
        <v>1914.7100000000003</v>
      </c>
      <c r="G218">
        <v>8688.4500000000007</v>
      </c>
      <c r="H218">
        <v>15546766.790614061</v>
      </c>
    </row>
    <row r="219" spans="1:8" x14ac:dyDescent="0.3">
      <c r="A219" t="s">
        <v>13</v>
      </c>
      <c r="B219" t="s">
        <v>9</v>
      </c>
      <c r="C219" t="s">
        <v>38</v>
      </c>
      <c r="D219">
        <v>389891.00999999989</v>
      </c>
      <c r="E219">
        <v>381158.98999999993</v>
      </c>
      <c r="F219">
        <v>2067.3199999999997</v>
      </c>
      <c r="G219">
        <v>11660.75</v>
      </c>
      <c r="H219">
        <v>16236141.232334496</v>
      </c>
    </row>
    <row r="220" spans="1:8" x14ac:dyDescent="0.3">
      <c r="A220" t="s">
        <v>13</v>
      </c>
      <c r="B220" t="s">
        <v>9</v>
      </c>
      <c r="C220" t="s">
        <v>37</v>
      </c>
      <c r="D220">
        <v>214474.47999999998</v>
      </c>
      <c r="E220">
        <v>216398.87</v>
      </c>
      <c r="F220">
        <v>1211.83</v>
      </c>
      <c r="G220">
        <v>7062.15</v>
      </c>
      <c r="H220">
        <v>10135896.276066815</v>
      </c>
    </row>
    <row r="221" spans="1:8" x14ac:dyDescent="0.3">
      <c r="A221" t="s">
        <v>13</v>
      </c>
      <c r="B221" t="s">
        <v>12</v>
      </c>
      <c r="C221" t="s">
        <v>38</v>
      </c>
      <c r="D221">
        <v>282773.32</v>
      </c>
      <c r="E221">
        <v>263458.53000000003</v>
      </c>
      <c r="F221">
        <v>1193.26</v>
      </c>
      <c r="G221">
        <v>10026.709999999999</v>
      </c>
      <c r="H221">
        <v>12199993.860187167</v>
      </c>
    </row>
    <row r="222" spans="1:8" x14ac:dyDescent="0.3">
      <c r="A222" t="s">
        <v>13</v>
      </c>
      <c r="B222" t="s">
        <v>12</v>
      </c>
      <c r="C222" t="s">
        <v>37</v>
      </c>
      <c r="D222">
        <v>252748.38000000003</v>
      </c>
      <c r="E222">
        <v>263949.86</v>
      </c>
      <c r="F222">
        <v>1173.74</v>
      </c>
      <c r="G222">
        <v>9497.6200000000008</v>
      </c>
      <c r="H222">
        <v>11579277.547188653</v>
      </c>
    </row>
    <row r="223" spans="1:8" x14ac:dyDescent="0.3">
      <c r="A223" t="s">
        <v>13</v>
      </c>
      <c r="B223" t="s">
        <v>8</v>
      </c>
      <c r="C223" t="s">
        <v>38</v>
      </c>
      <c r="D223">
        <v>345319.97000000003</v>
      </c>
      <c r="E223">
        <v>354963.11</v>
      </c>
      <c r="F223">
        <v>1204.8300000000002</v>
      </c>
      <c r="G223">
        <v>7726.5800000000008</v>
      </c>
      <c r="H223">
        <v>12562793.461670831</v>
      </c>
    </row>
    <row r="224" spans="1:8" x14ac:dyDescent="0.3">
      <c r="A224" t="s">
        <v>13</v>
      </c>
      <c r="B224" t="s">
        <v>8</v>
      </c>
      <c r="C224" t="s">
        <v>37</v>
      </c>
      <c r="D224">
        <v>303643.54000000004</v>
      </c>
      <c r="E224">
        <v>294943.31999999995</v>
      </c>
      <c r="F224">
        <v>1177.3499999999999</v>
      </c>
      <c r="G224">
        <v>7971.7300000000005</v>
      </c>
      <c r="H224">
        <v>9903140.4714558218</v>
      </c>
    </row>
    <row r="225" spans="1:8" x14ac:dyDescent="0.3">
      <c r="A225" t="s">
        <v>13</v>
      </c>
      <c r="B225" t="s">
        <v>4</v>
      </c>
      <c r="C225" t="s">
        <v>38</v>
      </c>
      <c r="D225">
        <v>442622.23999999993</v>
      </c>
      <c r="E225">
        <v>441717.04</v>
      </c>
      <c r="F225">
        <v>2098.09</v>
      </c>
      <c r="G225">
        <v>11495.949999999997</v>
      </c>
      <c r="H225">
        <v>18005794.134486772</v>
      </c>
    </row>
    <row r="226" spans="1:8" x14ac:dyDescent="0.3">
      <c r="A226" t="s">
        <v>13</v>
      </c>
      <c r="B226" t="s">
        <v>4</v>
      </c>
      <c r="C226" t="s">
        <v>37</v>
      </c>
      <c r="D226">
        <v>271149.54000000004</v>
      </c>
      <c r="E226">
        <v>287867.23000000004</v>
      </c>
      <c r="F226">
        <v>1592.7900000000002</v>
      </c>
      <c r="G226">
        <v>10925.3</v>
      </c>
      <c r="H226">
        <v>15742033.437767617</v>
      </c>
    </row>
    <row r="227" spans="1:8" x14ac:dyDescent="0.3">
      <c r="A227" t="s">
        <v>13</v>
      </c>
      <c r="B227" t="s">
        <v>6</v>
      </c>
      <c r="C227" t="s">
        <v>38</v>
      </c>
      <c r="D227">
        <v>771273.07</v>
      </c>
      <c r="E227">
        <v>775769.87999999989</v>
      </c>
      <c r="F227">
        <v>3346.7299999999996</v>
      </c>
      <c r="G227">
        <v>16264.74</v>
      </c>
      <c r="H227">
        <v>27904408.536379792</v>
      </c>
    </row>
    <row r="228" spans="1:8" x14ac:dyDescent="0.3">
      <c r="A228" t="s">
        <v>13</v>
      </c>
      <c r="B228" t="s">
        <v>6</v>
      </c>
      <c r="C228" t="s">
        <v>37</v>
      </c>
      <c r="D228">
        <v>227615.65999999997</v>
      </c>
      <c r="E228">
        <v>222986.99</v>
      </c>
      <c r="F228">
        <v>1165.8999999999999</v>
      </c>
      <c r="G228">
        <v>5590.59</v>
      </c>
      <c r="H228">
        <v>10120064.649196984</v>
      </c>
    </row>
    <row r="229" spans="1:8" x14ac:dyDescent="0.3">
      <c r="A229" t="s">
        <v>11</v>
      </c>
      <c r="B229" t="s">
        <v>0</v>
      </c>
      <c r="C229" t="s">
        <v>38</v>
      </c>
      <c r="D229">
        <v>454751.92000000004</v>
      </c>
      <c r="E229">
        <v>461266.24</v>
      </c>
      <c r="F229">
        <v>1643.0200000000002</v>
      </c>
      <c r="G229">
        <v>11881.2</v>
      </c>
      <c r="H229">
        <v>18975130.247920249</v>
      </c>
    </row>
    <row r="230" spans="1:8" x14ac:dyDescent="0.3">
      <c r="A230" t="s">
        <v>11</v>
      </c>
      <c r="B230" t="s">
        <v>0</v>
      </c>
      <c r="C230" t="s">
        <v>37</v>
      </c>
      <c r="D230">
        <v>356683.08999999997</v>
      </c>
      <c r="E230">
        <v>367782.74</v>
      </c>
      <c r="F230">
        <v>1744.2400000000002</v>
      </c>
      <c r="G230">
        <v>9202.5399999999991</v>
      </c>
      <c r="H230">
        <v>14287949.423182771</v>
      </c>
    </row>
    <row r="231" spans="1:8" x14ac:dyDescent="0.3">
      <c r="A231" t="s">
        <v>11</v>
      </c>
      <c r="B231" t="s">
        <v>2</v>
      </c>
      <c r="C231" t="s">
        <v>38</v>
      </c>
      <c r="D231">
        <v>530739.67000000004</v>
      </c>
      <c r="E231">
        <v>512241.61</v>
      </c>
      <c r="F231">
        <v>1949.1299999999999</v>
      </c>
      <c r="G231">
        <v>13890.900000000003</v>
      </c>
      <c r="H231">
        <v>16164883.29546663</v>
      </c>
    </row>
    <row r="232" spans="1:8" x14ac:dyDescent="0.3">
      <c r="A232" t="s">
        <v>11</v>
      </c>
      <c r="B232" t="s">
        <v>2</v>
      </c>
      <c r="C232" t="s">
        <v>37</v>
      </c>
      <c r="D232">
        <v>398012.87999999995</v>
      </c>
      <c r="E232">
        <v>384221.27</v>
      </c>
      <c r="F232">
        <v>1846.87</v>
      </c>
      <c r="G232">
        <v>13132.05</v>
      </c>
      <c r="H232">
        <v>15403211.072997008</v>
      </c>
    </row>
    <row r="233" spans="1:8" x14ac:dyDescent="0.3">
      <c r="A233" t="s">
        <v>11</v>
      </c>
      <c r="B233" t="s">
        <v>14</v>
      </c>
      <c r="C233" t="s">
        <v>38</v>
      </c>
      <c r="D233">
        <v>321969.96000000002</v>
      </c>
      <c r="E233">
        <v>325874.83999999991</v>
      </c>
      <c r="F233">
        <v>1619.76</v>
      </c>
      <c r="G233">
        <v>9072.98</v>
      </c>
      <c r="H233">
        <v>13792038.911199944</v>
      </c>
    </row>
    <row r="234" spans="1:8" x14ac:dyDescent="0.3">
      <c r="A234" t="s">
        <v>11</v>
      </c>
      <c r="B234" t="s">
        <v>14</v>
      </c>
      <c r="C234" t="s">
        <v>37</v>
      </c>
      <c r="D234">
        <v>173227.63999999998</v>
      </c>
      <c r="E234">
        <v>174581.92</v>
      </c>
      <c r="F234">
        <v>828.04</v>
      </c>
      <c r="G234">
        <v>4801.3999999999996</v>
      </c>
      <c r="H234">
        <v>6988725.1011397317</v>
      </c>
    </row>
    <row r="235" spans="1:8" x14ac:dyDescent="0.3">
      <c r="A235" t="s">
        <v>11</v>
      </c>
      <c r="B235" t="s">
        <v>9</v>
      </c>
      <c r="C235" t="s">
        <v>38</v>
      </c>
      <c r="D235">
        <v>365912.46</v>
      </c>
      <c r="E235">
        <v>359941.41</v>
      </c>
      <c r="F235">
        <v>1631.35</v>
      </c>
      <c r="G235">
        <v>11887.54</v>
      </c>
      <c r="H235">
        <v>14886859.473362861</v>
      </c>
    </row>
    <row r="236" spans="1:8" x14ac:dyDescent="0.3">
      <c r="A236" t="s">
        <v>11</v>
      </c>
      <c r="B236" t="s">
        <v>9</v>
      </c>
      <c r="C236" t="s">
        <v>37</v>
      </c>
      <c r="D236">
        <v>240136.43</v>
      </c>
      <c r="E236">
        <v>230425.36</v>
      </c>
      <c r="F236">
        <v>1169.1299999999999</v>
      </c>
      <c r="G236">
        <v>9427.65</v>
      </c>
      <c r="H236">
        <v>10807437.748746177</v>
      </c>
    </row>
    <row r="237" spans="1:8" x14ac:dyDescent="0.3">
      <c r="A237" t="s">
        <v>11</v>
      </c>
      <c r="B237" t="s">
        <v>12</v>
      </c>
      <c r="C237" t="s">
        <v>38</v>
      </c>
      <c r="D237">
        <v>493814.73999999993</v>
      </c>
      <c r="E237">
        <v>495412.08</v>
      </c>
      <c r="F237">
        <v>2513.1800000000003</v>
      </c>
      <c r="G237">
        <v>9609.82</v>
      </c>
      <c r="H237">
        <v>19782662.847914942</v>
      </c>
    </row>
    <row r="238" spans="1:8" x14ac:dyDescent="0.3">
      <c r="A238" t="s">
        <v>11</v>
      </c>
      <c r="B238" t="s">
        <v>12</v>
      </c>
      <c r="C238" t="s">
        <v>37</v>
      </c>
      <c r="D238">
        <v>388250.17999999993</v>
      </c>
      <c r="E238">
        <v>401961.29999999993</v>
      </c>
      <c r="F238">
        <v>1266.73</v>
      </c>
      <c r="G238">
        <v>9262.4900000000016</v>
      </c>
      <c r="H238">
        <v>12441049.64364651</v>
      </c>
    </row>
    <row r="239" spans="1:8" x14ac:dyDescent="0.3">
      <c r="A239" t="s">
        <v>11</v>
      </c>
      <c r="B239" t="s">
        <v>8</v>
      </c>
      <c r="C239" t="s">
        <v>38</v>
      </c>
      <c r="D239">
        <v>581590.60999999987</v>
      </c>
      <c r="E239">
        <v>606063.9</v>
      </c>
      <c r="F239">
        <v>2543.86</v>
      </c>
      <c r="G239">
        <v>16582.39</v>
      </c>
      <c r="H239">
        <v>25831502.188434992</v>
      </c>
    </row>
    <row r="240" spans="1:8" x14ac:dyDescent="0.3">
      <c r="A240" t="s">
        <v>11</v>
      </c>
      <c r="B240" t="s">
        <v>8</v>
      </c>
      <c r="C240" t="s">
        <v>37</v>
      </c>
      <c r="D240">
        <v>319361.74000000011</v>
      </c>
      <c r="E240">
        <v>304166.85000000003</v>
      </c>
      <c r="F240">
        <v>1828.73</v>
      </c>
      <c r="G240">
        <v>10953.880000000003</v>
      </c>
      <c r="H240">
        <v>14517532.192764379</v>
      </c>
    </row>
    <row r="241" spans="1:8" x14ac:dyDescent="0.3">
      <c r="A241" t="s">
        <v>11</v>
      </c>
      <c r="B241" t="s">
        <v>4</v>
      </c>
      <c r="C241" t="s">
        <v>38</v>
      </c>
      <c r="D241">
        <v>511428.56</v>
      </c>
      <c r="E241">
        <v>512456.18999999994</v>
      </c>
      <c r="F241">
        <v>1811.88</v>
      </c>
      <c r="G241">
        <v>13153.09</v>
      </c>
      <c r="H241">
        <v>18039980.929061383</v>
      </c>
    </row>
    <row r="242" spans="1:8" x14ac:dyDescent="0.3">
      <c r="A242" t="s">
        <v>11</v>
      </c>
      <c r="B242" t="s">
        <v>4</v>
      </c>
      <c r="C242" t="s">
        <v>37</v>
      </c>
      <c r="D242">
        <v>269628.89</v>
      </c>
      <c r="E242">
        <v>265818.03999999998</v>
      </c>
      <c r="F242">
        <v>1479.1200000000001</v>
      </c>
      <c r="G242">
        <v>9959.7800000000007</v>
      </c>
      <c r="H242">
        <v>13945834.866525447</v>
      </c>
    </row>
    <row r="243" spans="1:8" x14ac:dyDescent="0.3">
      <c r="A243" t="s">
        <v>11</v>
      </c>
      <c r="B243" t="s">
        <v>6</v>
      </c>
      <c r="C243" t="s">
        <v>38</v>
      </c>
      <c r="D243">
        <v>324320.81999999995</v>
      </c>
      <c r="E243">
        <v>314455.45</v>
      </c>
      <c r="F243">
        <v>996.05</v>
      </c>
      <c r="G243">
        <v>10755.200000000003</v>
      </c>
      <c r="H243">
        <v>12784042.648205806</v>
      </c>
    </row>
    <row r="244" spans="1:8" x14ac:dyDescent="0.3">
      <c r="A244" t="s">
        <v>11</v>
      </c>
      <c r="B244" t="s">
        <v>6</v>
      </c>
      <c r="C244" t="s">
        <v>37</v>
      </c>
      <c r="D244">
        <v>326640.70999999996</v>
      </c>
      <c r="E244">
        <v>343233.24999999994</v>
      </c>
      <c r="F244">
        <v>1483.3899999999999</v>
      </c>
      <c r="G244">
        <v>9215.7199999999993</v>
      </c>
      <c r="H244">
        <v>15203556.817126278</v>
      </c>
    </row>
    <row r="245" spans="1:8" x14ac:dyDescent="0.3">
      <c r="A245" t="s">
        <v>27</v>
      </c>
      <c r="B245" t="s">
        <v>0</v>
      </c>
      <c r="C245" t="s">
        <v>38</v>
      </c>
      <c r="D245">
        <v>255973.33000000002</v>
      </c>
      <c r="E245">
        <v>257353.11</v>
      </c>
      <c r="F245">
        <v>2032.8700000000001</v>
      </c>
      <c r="G245">
        <v>12613.13</v>
      </c>
      <c r="H245">
        <v>17830539.118838489</v>
      </c>
    </row>
    <row r="246" spans="1:8" x14ac:dyDescent="0.3">
      <c r="A246" t="s">
        <v>27</v>
      </c>
      <c r="B246" t="s">
        <v>0</v>
      </c>
      <c r="C246" t="s">
        <v>37</v>
      </c>
      <c r="D246">
        <v>250071.83000000002</v>
      </c>
      <c r="E246">
        <v>240048.84</v>
      </c>
      <c r="F246">
        <v>1653.7000000000003</v>
      </c>
      <c r="G246">
        <v>8484.8799999999992</v>
      </c>
      <c r="H246">
        <v>12620718.173934814</v>
      </c>
    </row>
    <row r="247" spans="1:8" x14ac:dyDescent="0.3">
      <c r="A247" t="s">
        <v>27</v>
      </c>
      <c r="B247" t="s">
        <v>2</v>
      </c>
      <c r="C247" t="s">
        <v>38</v>
      </c>
      <c r="D247">
        <v>525215.49999999988</v>
      </c>
      <c r="E247">
        <v>550300.57999999996</v>
      </c>
      <c r="F247">
        <v>1986.1100000000001</v>
      </c>
      <c r="G247">
        <v>11775.99</v>
      </c>
      <c r="H247">
        <v>20230355.462394882</v>
      </c>
    </row>
    <row r="248" spans="1:8" x14ac:dyDescent="0.3">
      <c r="A248" t="s">
        <v>27</v>
      </c>
      <c r="B248" t="s">
        <v>2</v>
      </c>
      <c r="C248" t="s">
        <v>37</v>
      </c>
      <c r="D248">
        <v>252270.55</v>
      </c>
      <c r="E248">
        <v>246739.85000000003</v>
      </c>
      <c r="F248">
        <v>1656.22</v>
      </c>
      <c r="G248">
        <v>8840.9999999999982</v>
      </c>
      <c r="H248">
        <v>12492971.814306039</v>
      </c>
    </row>
    <row r="249" spans="1:8" x14ac:dyDescent="0.3">
      <c r="A249" t="s">
        <v>27</v>
      </c>
      <c r="B249" t="s">
        <v>14</v>
      </c>
      <c r="C249" t="s">
        <v>38</v>
      </c>
      <c r="D249">
        <v>417482.73999999993</v>
      </c>
      <c r="E249">
        <v>429136.13000000006</v>
      </c>
      <c r="F249">
        <v>2017.3700000000001</v>
      </c>
      <c r="G249">
        <v>11465.76</v>
      </c>
      <c r="H249">
        <v>18527474.90153724</v>
      </c>
    </row>
    <row r="250" spans="1:8" x14ac:dyDescent="0.3">
      <c r="A250" t="s">
        <v>27</v>
      </c>
      <c r="B250" t="s">
        <v>14</v>
      </c>
      <c r="C250" t="s">
        <v>37</v>
      </c>
      <c r="D250">
        <v>312794.56999999995</v>
      </c>
      <c r="E250">
        <v>305503.49000000005</v>
      </c>
      <c r="F250">
        <v>1180.96</v>
      </c>
      <c r="G250">
        <v>8704.1200000000008</v>
      </c>
      <c r="H250">
        <v>11915048.710156566</v>
      </c>
    </row>
    <row r="251" spans="1:8" x14ac:dyDescent="0.3">
      <c r="A251" t="s">
        <v>27</v>
      </c>
      <c r="B251" t="s">
        <v>9</v>
      </c>
      <c r="C251" t="s">
        <v>38</v>
      </c>
      <c r="D251">
        <v>504905.72</v>
      </c>
      <c r="E251">
        <v>509549.4599999999</v>
      </c>
      <c r="F251">
        <v>2273.67</v>
      </c>
      <c r="G251">
        <v>12571.389999999998</v>
      </c>
      <c r="H251">
        <v>21247968.903602816</v>
      </c>
    </row>
    <row r="252" spans="1:8" x14ac:dyDescent="0.3">
      <c r="A252" t="s">
        <v>27</v>
      </c>
      <c r="B252" t="s">
        <v>9</v>
      </c>
      <c r="C252" t="s">
        <v>37</v>
      </c>
      <c r="D252">
        <v>403128.94999999995</v>
      </c>
      <c r="E252">
        <v>427725.54</v>
      </c>
      <c r="F252">
        <v>1489.7199999999998</v>
      </c>
      <c r="G252">
        <v>9230.7899999999991</v>
      </c>
      <c r="H252">
        <v>15605829.844298437</v>
      </c>
    </row>
    <row r="253" spans="1:8" x14ac:dyDescent="0.3">
      <c r="A253" t="s">
        <v>27</v>
      </c>
      <c r="B253" t="s">
        <v>12</v>
      </c>
      <c r="C253" t="s">
        <v>38</v>
      </c>
      <c r="D253">
        <v>553948.31999999995</v>
      </c>
      <c r="E253">
        <v>554610.69000000006</v>
      </c>
      <c r="F253">
        <v>2175.71</v>
      </c>
      <c r="G253">
        <v>14220</v>
      </c>
      <c r="H253">
        <v>21222339.859985601</v>
      </c>
    </row>
    <row r="254" spans="1:8" x14ac:dyDescent="0.3">
      <c r="A254" t="s">
        <v>27</v>
      </c>
      <c r="B254" t="s">
        <v>12</v>
      </c>
      <c r="C254" t="s">
        <v>37</v>
      </c>
      <c r="D254">
        <v>328478.2</v>
      </c>
      <c r="E254">
        <v>329537.85000000003</v>
      </c>
      <c r="F254">
        <v>1153.47</v>
      </c>
      <c r="G254">
        <v>4579.66</v>
      </c>
      <c r="H254">
        <v>11269870.349471776</v>
      </c>
    </row>
    <row r="255" spans="1:8" x14ac:dyDescent="0.3">
      <c r="A255" t="s">
        <v>27</v>
      </c>
      <c r="B255" t="s">
        <v>8</v>
      </c>
      <c r="C255" t="s">
        <v>38</v>
      </c>
      <c r="D255">
        <v>448913.10000000003</v>
      </c>
      <c r="E255">
        <v>438126.36000000004</v>
      </c>
      <c r="F255">
        <v>2232.4499999999998</v>
      </c>
      <c r="G255">
        <v>15563.570000000003</v>
      </c>
      <c r="H255">
        <v>18448575.907675713</v>
      </c>
    </row>
    <row r="256" spans="1:8" x14ac:dyDescent="0.3">
      <c r="A256" t="s">
        <v>27</v>
      </c>
      <c r="B256" t="s">
        <v>8</v>
      </c>
      <c r="C256" t="s">
        <v>37</v>
      </c>
      <c r="D256">
        <v>295785.93</v>
      </c>
      <c r="E256">
        <v>278922.13</v>
      </c>
      <c r="F256">
        <v>1220.6499999999999</v>
      </c>
      <c r="G256">
        <v>7071.44</v>
      </c>
      <c r="H256">
        <v>9536960.5549270436</v>
      </c>
    </row>
    <row r="257" spans="1:8" x14ac:dyDescent="0.3">
      <c r="A257" t="s">
        <v>27</v>
      </c>
      <c r="B257" t="s">
        <v>4</v>
      </c>
      <c r="C257" t="s">
        <v>38</v>
      </c>
      <c r="D257">
        <v>166129.48000000001</v>
      </c>
      <c r="E257">
        <v>162526.29</v>
      </c>
      <c r="F257">
        <v>858.6</v>
      </c>
      <c r="G257">
        <v>3515.01</v>
      </c>
      <c r="H257">
        <v>7237559.017856448</v>
      </c>
    </row>
    <row r="258" spans="1:8" x14ac:dyDescent="0.3">
      <c r="A258" t="s">
        <v>27</v>
      </c>
      <c r="B258" t="s">
        <v>4</v>
      </c>
      <c r="C258" t="s">
        <v>37</v>
      </c>
      <c r="D258">
        <v>160081.56000000003</v>
      </c>
      <c r="E258">
        <v>164615.72</v>
      </c>
      <c r="F258">
        <v>880.3</v>
      </c>
      <c r="G258">
        <v>5814.38</v>
      </c>
      <c r="H258">
        <v>7950443.3354760697</v>
      </c>
    </row>
    <row r="259" spans="1:8" x14ac:dyDescent="0.3">
      <c r="A259" t="s">
        <v>27</v>
      </c>
      <c r="B259" t="s">
        <v>6</v>
      </c>
      <c r="C259" t="s">
        <v>38</v>
      </c>
      <c r="D259">
        <v>415683.23</v>
      </c>
      <c r="E259">
        <v>420413.24999999994</v>
      </c>
      <c r="F259">
        <v>2477.9899999999998</v>
      </c>
      <c r="G259">
        <v>16334.880000000001</v>
      </c>
      <c r="H259">
        <v>20447458.103275638</v>
      </c>
    </row>
    <row r="260" spans="1:8" x14ac:dyDescent="0.3">
      <c r="A260" t="s">
        <v>27</v>
      </c>
      <c r="B260" t="s">
        <v>6</v>
      </c>
      <c r="C260" t="s">
        <v>37</v>
      </c>
      <c r="D260">
        <v>318244.06000000006</v>
      </c>
      <c r="E260">
        <v>322978.46999999997</v>
      </c>
      <c r="F260">
        <v>1976.76</v>
      </c>
      <c r="G260">
        <v>12687.96</v>
      </c>
      <c r="H260">
        <v>15056206.388684029</v>
      </c>
    </row>
    <row r="261" spans="1:8" x14ac:dyDescent="0.3">
      <c r="A261" t="s">
        <v>23</v>
      </c>
      <c r="B261" t="s">
        <v>0</v>
      </c>
      <c r="C261" t="s">
        <v>38</v>
      </c>
      <c r="D261">
        <v>368273.97000000009</v>
      </c>
      <c r="E261">
        <v>358180.01999999996</v>
      </c>
      <c r="F261">
        <v>1858.0599999999997</v>
      </c>
      <c r="G261">
        <v>15676.09</v>
      </c>
      <c r="H261">
        <v>20390370.946586825</v>
      </c>
    </row>
    <row r="262" spans="1:8" x14ac:dyDescent="0.3">
      <c r="A262" t="s">
        <v>23</v>
      </c>
      <c r="B262" t="s">
        <v>0</v>
      </c>
      <c r="C262" t="s">
        <v>37</v>
      </c>
      <c r="D262">
        <v>366958.58999999991</v>
      </c>
      <c r="E262">
        <v>366668.51999999996</v>
      </c>
      <c r="F262">
        <v>1895.1499999999999</v>
      </c>
      <c r="G262">
        <v>12675.31</v>
      </c>
      <c r="H262">
        <v>16001141.558398839</v>
      </c>
    </row>
    <row r="263" spans="1:8" x14ac:dyDescent="0.3">
      <c r="A263" t="s">
        <v>23</v>
      </c>
      <c r="B263" t="s">
        <v>2</v>
      </c>
      <c r="C263" t="s">
        <v>38</v>
      </c>
      <c r="D263">
        <v>442551.99</v>
      </c>
      <c r="E263">
        <v>442358.69</v>
      </c>
      <c r="F263">
        <v>1776.86</v>
      </c>
      <c r="G263">
        <v>9822.2900000000009</v>
      </c>
      <c r="H263">
        <v>16053327.795925358</v>
      </c>
    </row>
    <row r="264" spans="1:8" x14ac:dyDescent="0.3">
      <c r="A264" t="s">
        <v>23</v>
      </c>
      <c r="B264" t="s">
        <v>2</v>
      </c>
      <c r="C264" t="s">
        <v>37</v>
      </c>
      <c r="D264">
        <v>335893.57</v>
      </c>
      <c r="E264">
        <v>332333.46999999997</v>
      </c>
      <c r="F264">
        <v>1274.9499999999998</v>
      </c>
      <c r="G264">
        <v>8643.5999999999985</v>
      </c>
      <c r="H264">
        <v>10761334.772770867</v>
      </c>
    </row>
    <row r="265" spans="1:8" x14ac:dyDescent="0.3">
      <c r="A265" t="s">
        <v>23</v>
      </c>
      <c r="B265" t="s">
        <v>14</v>
      </c>
      <c r="C265" t="s">
        <v>38</v>
      </c>
      <c r="D265">
        <v>432471.52</v>
      </c>
      <c r="E265">
        <v>415144.56000000006</v>
      </c>
      <c r="F265">
        <v>2030.21</v>
      </c>
      <c r="G265">
        <v>15336.360000000002</v>
      </c>
      <c r="H265">
        <v>21933783.78536199</v>
      </c>
    </row>
    <row r="266" spans="1:8" x14ac:dyDescent="0.3">
      <c r="A266" t="s">
        <v>23</v>
      </c>
      <c r="B266" t="s">
        <v>14</v>
      </c>
      <c r="C266" t="s">
        <v>37</v>
      </c>
      <c r="D266">
        <v>277058.93</v>
      </c>
      <c r="E266">
        <v>279583.15000000002</v>
      </c>
      <c r="F266">
        <v>1276.6300000000001</v>
      </c>
      <c r="G266">
        <v>7714.7099999999991</v>
      </c>
      <c r="H266">
        <v>12298566.23645938</v>
      </c>
    </row>
    <row r="267" spans="1:8" x14ac:dyDescent="0.3">
      <c r="A267" t="s">
        <v>23</v>
      </c>
      <c r="B267" t="s">
        <v>9</v>
      </c>
      <c r="C267" t="s">
        <v>38</v>
      </c>
      <c r="D267">
        <v>467512.68000000005</v>
      </c>
      <c r="E267">
        <v>495045.43</v>
      </c>
      <c r="F267">
        <v>1277.54</v>
      </c>
      <c r="G267">
        <v>12194.52</v>
      </c>
      <c r="H267">
        <v>16444119.187183857</v>
      </c>
    </row>
    <row r="268" spans="1:8" x14ac:dyDescent="0.3">
      <c r="A268" t="s">
        <v>23</v>
      </c>
      <c r="B268" t="s">
        <v>9</v>
      </c>
      <c r="C268" t="s">
        <v>37</v>
      </c>
      <c r="D268">
        <v>479471.69</v>
      </c>
      <c r="E268">
        <v>491645.52999999991</v>
      </c>
      <c r="F268">
        <v>1973.8599999999997</v>
      </c>
      <c r="G268">
        <v>15699.349999999999</v>
      </c>
      <c r="H268">
        <v>17649462.683023676</v>
      </c>
    </row>
    <row r="269" spans="1:8" x14ac:dyDescent="0.3">
      <c r="A269" t="s">
        <v>23</v>
      </c>
      <c r="B269" t="s">
        <v>12</v>
      </c>
      <c r="C269" t="s">
        <v>38</v>
      </c>
      <c r="D269">
        <v>464412.38</v>
      </c>
      <c r="E269">
        <v>464158.09</v>
      </c>
      <c r="F269">
        <v>1940.8200000000002</v>
      </c>
      <c r="G269">
        <v>12489.980000000001</v>
      </c>
      <c r="H269">
        <v>17319272.668263353</v>
      </c>
    </row>
    <row r="270" spans="1:8" x14ac:dyDescent="0.3">
      <c r="A270" t="s">
        <v>23</v>
      </c>
      <c r="B270" t="s">
        <v>12</v>
      </c>
      <c r="C270" t="s">
        <v>37</v>
      </c>
      <c r="D270">
        <v>357892.79000000004</v>
      </c>
      <c r="E270">
        <v>357262.95999999996</v>
      </c>
      <c r="F270">
        <v>1677.8900000000003</v>
      </c>
      <c r="G270">
        <v>8278.4699999999993</v>
      </c>
      <c r="H270">
        <v>14086341.536648845</v>
      </c>
    </row>
    <row r="271" spans="1:8" x14ac:dyDescent="0.3">
      <c r="A271" t="s">
        <v>23</v>
      </c>
      <c r="B271" t="s">
        <v>8</v>
      </c>
      <c r="C271" t="s">
        <v>38</v>
      </c>
      <c r="D271">
        <v>604904.91999999981</v>
      </c>
      <c r="E271">
        <v>610600.82999999996</v>
      </c>
      <c r="F271">
        <v>2492.7800000000002</v>
      </c>
      <c r="G271">
        <v>15423.569999999998</v>
      </c>
      <c r="H271">
        <v>23079479.784945577</v>
      </c>
    </row>
    <row r="272" spans="1:8" x14ac:dyDescent="0.3">
      <c r="A272" t="s">
        <v>23</v>
      </c>
      <c r="B272" t="s">
        <v>8</v>
      </c>
      <c r="C272" t="s">
        <v>37</v>
      </c>
      <c r="D272">
        <v>215643.33000000002</v>
      </c>
      <c r="E272">
        <v>211285.79</v>
      </c>
      <c r="F272">
        <v>1004.53</v>
      </c>
      <c r="G272">
        <v>5837.63</v>
      </c>
      <c r="H272">
        <v>8781561.8174162377</v>
      </c>
    </row>
    <row r="273" spans="1:8" x14ac:dyDescent="0.3">
      <c r="A273" t="s">
        <v>23</v>
      </c>
      <c r="B273" t="s">
        <v>4</v>
      </c>
      <c r="C273" t="s">
        <v>38</v>
      </c>
      <c r="D273">
        <v>596799.85</v>
      </c>
      <c r="E273">
        <v>591048.63</v>
      </c>
      <c r="F273">
        <v>2326.21</v>
      </c>
      <c r="G273">
        <v>17045.440000000002</v>
      </c>
      <c r="H273">
        <v>22158998.303773519</v>
      </c>
    </row>
    <row r="274" spans="1:8" x14ac:dyDescent="0.3">
      <c r="A274" t="s">
        <v>23</v>
      </c>
      <c r="B274" t="s">
        <v>4</v>
      </c>
      <c r="C274" t="s">
        <v>37</v>
      </c>
      <c r="D274">
        <v>228953.43</v>
      </c>
      <c r="E274">
        <v>229005.32</v>
      </c>
      <c r="F274">
        <v>986.22000000000014</v>
      </c>
      <c r="G274">
        <v>9841.84</v>
      </c>
      <c r="H274">
        <v>11552131.400508726</v>
      </c>
    </row>
    <row r="275" spans="1:8" x14ac:dyDescent="0.3">
      <c r="A275" t="s">
        <v>23</v>
      </c>
      <c r="B275" t="s">
        <v>6</v>
      </c>
      <c r="C275" t="s">
        <v>38</v>
      </c>
      <c r="D275">
        <v>619540.45000000007</v>
      </c>
      <c r="E275">
        <v>619697.37999999989</v>
      </c>
      <c r="F275">
        <v>2666.4800000000005</v>
      </c>
      <c r="G275">
        <v>20170.32</v>
      </c>
      <c r="H275">
        <v>26075315.104983468</v>
      </c>
    </row>
    <row r="276" spans="1:8" x14ac:dyDescent="0.3">
      <c r="A276" t="s">
        <v>23</v>
      </c>
      <c r="B276" t="s">
        <v>6</v>
      </c>
      <c r="C276" t="s">
        <v>37</v>
      </c>
      <c r="D276">
        <v>532234.15999999992</v>
      </c>
      <c r="E276">
        <v>561134</v>
      </c>
      <c r="F276">
        <v>1893.0900000000004</v>
      </c>
      <c r="G276">
        <v>11715.560000000001</v>
      </c>
      <c r="H276">
        <v>18817642.806818914</v>
      </c>
    </row>
    <row r="277" spans="1:8" x14ac:dyDescent="0.3">
      <c r="A277" t="s">
        <v>22</v>
      </c>
      <c r="B277" t="s">
        <v>0</v>
      </c>
      <c r="C277" t="s">
        <v>38</v>
      </c>
      <c r="D277">
        <v>508202.27000000014</v>
      </c>
      <c r="E277">
        <v>492423.08000000007</v>
      </c>
      <c r="F277">
        <v>1565.37</v>
      </c>
      <c r="G277">
        <v>14176.130000000001</v>
      </c>
      <c r="H277">
        <v>18934798.587716118</v>
      </c>
    </row>
    <row r="278" spans="1:8" x14ac:dyDescent="0.3">
      <c r="A278" t="s">
        <v>22</v>
      </c>
      <c r="B278" t="s">
        <v>0</v>
      </c>
      <c r="C278" t="s">
        <v>37</v>
      </c>
      <c r="D278">
        <v>323650.11</v>
      </c>
      <c r="E278">
        <v>322973.88</v>
      </c>
      <c r="F278">
        <v>1743.7500000000002</v>
      </c>
      <c r="G278">
        <v>10294.75</v>
      </c>
      <c r="H278">
        <v>14921796.211506441</v>
      </c>
    </row>
    <row r="279" spans="1:8" x14ac:dyDescent="0.3">
      <c r="A279" t="s">
        <v>22</v>
      </c>
      <c r="B279" t="s">
        <v>2</v>
      </c>
      <c r="C279" t="s">
        <v>38</v>
      </c>
      <c r="D279">
        <v>726717.41999999993</v>
      </c>
      <c r="E279">
        <v>719509.5</v>
      </c>
      <c r="F279">
        <v>2637.39</v>
      </c>
      <c r="G279">
        <v>13919.03</v>
      </c>
      <c r="H279">
        <v>23663132.225748952</v>
      </c>
    </row>
    <row r="280" spans="1:8" x14ac:dyDescent="0.3">
      <c r="A280" t="s">
        <v>22</v>
      </c>
      <c r="B280" t="s">
        <v>2</v>
      </c>
      <c r="C280" t="s">
        <v>37</v>
      </c>
      <c r="D280">
        <v>251185.78</v>
      </c>
      <c r="E280">
        <v>244750.60000000003</v>
      </c>
      <c r="F280">
        <v>1248.5600000000002</v>
      </c>
      <c r="G280">
        <v>6354.0700000000006</v>
      </c>
      <c r="H280">
        <v>10808626.139595427</v>
      </c>
    </row>
    <row r="281" spans="1:8" x14ac:dyDescent="0.3">
      <c r="A281" t="s">
        <v>22</v>
      </c>
      <c r="B281" t="s">
        <v>14</v>
      </c>
      <c r="C281" t="s">
        <v>38</v>
      </c>
      <c r="D281">
        <v>321505</v>
      </c>
      <c r="E281">
        <v>315863.27999999997</v>
      </c>
      <c r="F281">
        <v>1454.51</v>
      </c>
      <c r="G281">
        <v>8309.66</v>
      </c>
      <c r="H281">
        <v>11943881.272363443</v>
      </c>
    </row>
    <row r="282" spans="1:8" x14ac:dyDescent="0.3">
      <c r="A282" t="s">
        <v>22</v>
      </c>
      <c r="B282" t="s">
        <v>14</v>
      </c>
      <c r="C282" t="s">
        <v>37</v>
      </c>
      <c r="D282">
        <v>260182.25</v>
      </c>
      <c r="E282">
        <v>261692.91</v>
      </c>
      <c r="F282">
        <v>890.21</v>
      </c>
      <c r="G282">
        <v>6108.83</v>
      </c>
      <c r="H282">
        <v>7983148.8165059229</v>
      </c>
    </row>
    <row r="283" spans="1:8" x14ac:dyDescent="0.3">
      <c r="A283" t="s">
        <v>22</v>
      </c>
      <c r="B283" t="s">
        <v>9</v>
      </c>
      <c r="C283" t="s">
        <v>38</v>
      </c>
      <c r="D283">
        <v>570325.61</v>
      </c>
      <c r="E283">
        <v>584110.34</v>
      </c>
      <c r="F283">
        <v>2477.7299999999996</v>
      </c>
      <c r="G283">
        <v>17486.170000000006</v>
      </c>
      <c r="H283">
        <v>21049388.460264802</v>
      </c>
    </row>
    <row r="284" spans="1:8" x14ac:dyDescent="0.3">
      <c r="A284" t="s">
        <v>22</v>
      </c>
      <c r="B284" t="s">
        <v>9</v>
      </c>
      <c r="C284" t="s">
        <v>37</v>
      </c>
      <c r="D284">
        <v>250005.1</v>
      </c>
      <c r="E284">
        <v>232134.50999999998</v>
      </c>
      <c r="F284">
        <v>999.68</v>
      </c>
      <c r="G284">
        <v>6397.0700000000006</v>
      </c>
      <c r="H284">
        <v>8224514.5627152454</v>
      </c>
    </row>
    <row r="285" spans="1:8" x14ac:dyDescent="0.3">
      <c r="A285" t="s">
        <v>22</v>
      </c>
      <c r="B285" t="s">
        <v>12</v>
      </c>
      <c r="C285" t="s">
        <v>38</v>
      </c>
      <c r="D285">
        <v>532691.50000000012</v>
      </c>
      <c r="E285">
        <v>513779.78</v>
      </c>
      <c r="F285">
        <v>1808.38</v>
      </c>
      <c r="G285">
        <v>15377.989999999996</v>
      </c>
      <c r="H285">
        <v>18254092.728724781</v>
      </c>
    </row>
    <row r="286" spans="1:8" x14ac:dyDescent="0.3">
      <c r="A286" t="s">
        <v>22</v>
      </c>
      <c r="B286" t="s">
        <v>12</v>
      </c>
      <c r="C286" t="s">
        <v>37</v>
      </c>
      <c r="D286">
        <v>329026.23999999993</v>
      </c>
      <c r="E286">
        <v>339989.85</v>
      </c>
      <c r="F286">
        <v>1385.35</v>
      </c>
      <c r="G286">
        <v>10706.289999999999</v>
      </c>
      <c r="H286">
        <v>14313220.538232848</v>
      </c>
    </row>
    <row r="287" spans="1:8" x14ac:dyDescent="0.3">
      <c r="A287" t="s">
        <v>22</v>
      </c>
      <c r="B287" t="s">
        <v>8</v>
      </c>
      <c r="C287" t="s">
        <v>38</v>
      </c>
      <c r="D287">
        <v>477086.67999999993</v>
      </c>
      <c r="E287">
        <v>460465.38999999996</v>
      </c>
      <c r="F287">
        <v>2173.4399999999996</v>
      </c>
      <c r="G287">
        <v>10919.43</v>
      </c>
      <c r="H287">
        <v>17296493.987974171</v>
      </c>
    </row>
    <row r="288" spans="1:8" x14ac:dyDescent="0.3">
      <c r="A288" t="s">
        <v>22</v>
      </c>
      <c r="B288" t="s">
        <v>8</v>
      </c>
      <c r="C288" t="s">
        <v>37</v>
      </c>
      <c r="D288">
        <v>464248.12</v>
      </c>
      <c r="E288">
        <v>468450.33000000007</v>
      </c>
      <c r="F288">
        <v>1849.7000000000003</v>
      </c>
      <c r="G288">
        <v>15667.489999999998</v>
      </c>
      <c r="H288">
        <v>17893696.449657537</v>
      </c>
    </row>
    <row r="289" spans="1:8" x14ac:dyDescent="0.3">
      <c r="A289" t="s">
        <v>22</v>
      </c>
      <c r="B289" t="s">
        <v>4</v>
      </c>
      <c r="C289" t="s">
        <v>38</v>
      </c>
      <c r="D289">
        <v>521119.03999999992</v>
      </c>
      <c r="E289">
        <v>511892.61999999988</v>
      </c>
      <c r="F289">
        <v>1926.31</v>
      </c>
      <c r="G289">
        <v>13209.730000000003</v>
      </c>
      <c r="H289">
        <v>17865685.97662954</v>
      </c>
    </row>
    <row r="290" spans="1:8" x14ac:dyDescent="0.3">
      <c r="A290" t="s">
        <v>22</v>
      </c>
      <c r="B290" t="s">
        <v>4</v>
      </c>
      <c r="C290" t="s">
        <v>37</v>
      </c>
      <c r="D290">
        <v>429391.61000000004</v>
      </c>
      <c r="E290">
        <v>401453.52</v>
      </c>
      <c r="F290">
        <v>1095.22</v>
      </c>
      <c r="G290">
        <v>8851.84</v>
      </c>
      <c r="H290">
        <v>12323268.681705041</v>
      </c>
    </row>
    <row r="291" spans="1:8" x14ac:dyDescent="0.3">
      <c r="A291" t="s">
        <v>22</v>
      </c>
      <c r="B291" t="s">
        <v>6</v>
      </c>
      <c r="C291" t="s">
        <v>38</v>
      </c>
      <c r="D291">
        <v>366122.14999999997</v>
      </c>
      <c r="E291">
        <v>369069.55999999994</v>
      </c>
      <c r="F291">
        <v>1769.4899999999998</v>
      </c>
      <c r="G291">
        <v>10545.519999999999</v>
      </c>
      <c r="H291">
        <v>15786263.80069248</v>
      </c>
    </row>
    <row r="292" spans="1:8" x14ac:dyDescent="0.3">
      <c r="A292" t="s">
        <v>22</v>
      </c>
      <c r="B292" t="s">
        <v>6</v>
      </c>
      <c r="C292" t="s">
        <v>37</v>
      </c>
      <c r="D292">
        <v>548426.92999999993</v>
      </c>
      <c r="E292">
        <v>571001.47</v>
      </c>
      <c r="F292">
        <v>2085.23</v>
      </c>
      <c r="G292">
        <v>12463.140000000003</v>
      </c>
      <c r="H292">
        <v>21501103.514430787</v>
      </c>
    </row>
    <row r="293" spans="1:8" x14ac:dyDescent="0.3">
      <c r="A293" t="s">
        <v>10</v>
      </c>
      <c r="B293" t="s">
        <v>0</v>
      </c>
      <c r="C293" t="s">
        <v>38</v>
      </c>
      <c r="D293">
        <v>346623.59999999992</v>
      </c>
      <c r="E293">
        <v>355250.97000000003</v>
      </c>
      <c r="F293">
        <v>2023.8500000000001</v>
      </c>
      <c r="G293">
        <v>10611</v>
      </c>
      <c r="H293">
        <v>16297103.64372134</v>
      </c>
    </row>
    <row r="294" spans="1:8" x14ac:dyDescent="0.3">
      <c r="A294" t="s">
        <v>10</v>
      </c>
      <c r="B294" t="s">
        <v>0</v>
      </c>
      <c r="C294" t="s">
        <v>37</v>
      </c>
      <c r="D294">
        <v>235959.66999999998</v>
      </c>
      <c r="E294">
        <v>251006.78</v>
      </c>
      <c r="F294">
        <v>1679.97</v>
      </c>
      <c r="G294">
        <v>9588.98</v>
      </c>
      <c r="H294">
        <v>13133703.482823325</v>
      </c>
    </row>
    <row r="295" spans="1:8" x14ac:dyDescent="0.3">
      <c r="A295" t="s">
        <v>10</v>
      </c>
      <c r="B295" t="s">
        <v>2</v>
      </c>
      <c r="C295" t="s">
        <v>38</v>
      </c>
      <c r="D295">
        <v>408089.8</v>
      </c>
      <c r="E295">
        <v>386960.31</v>
      </c>
      <c r="F295">
        <v>1501.35</v>
      </c>
      <c r="G295">
        <v>9916.0300000000007</v>
      </c>
      <c r="H295">
        <v>14265803.952712692</v>
      </c>
    </row>
    <row r="296" spans="1:8" x14ac:dyDescent="0.3">
      <c r="A296" t="s">
        <v>10</v>
      </c>
      <c r="B296" t="s">
        <v>2</v>
      </c>
      <c r="C296" t="s">
        <v>37</v>
      </c>
      <c r="D296">
        <v>334593.53999999998</v>
      </c>
      <c r="E296">
        <v>333542.56000000006</v>
      </c>
      <c r="F296">
        <v>1465.97</v>
      </c>
      <c r="G296">
        <v>6936.52</v>
      </c>
      <c r="H296">
        <v>13242229.98744344</v>
      </c>
    </row>
    <row r="297" spans="1:8" x14ac:dyDescent="0.3">
      <c r="A297" t="s">
        <v>10</v>
      </c>
      <c r="B297" t="s">
        <v>14</v>
      </c>
      <c r="C297" t="s">
        <v>38</v>
      </c>
      <c r="D297">
        <v>401367.5799999999</v>
      </c>
      <c r="E297">
        <v>377319.90000000008</v>
      </c>
      <c r="F297">
        <v>1279.55</v>
      </c>
      <c r="G297">
        <v>12839.110000000002</v>
      </c>
      <c r="H297">
        <v>17152252.031511288</v>
      </c>
    </row>
    <row r="298" spans="1:8" x14ac:dyDescent="0.3">
      <c r="A298" t="s">
        <v>10</v>
      </c>
      <c r="B298" t="s">
        <v>14</v>
      </c>
      <c r="C298" t="s">
        <v>37</v>
      </c>
      <c r="D298">
        <v>427727.46000000008</v>
      </c>
      <c r="E298">
        <v>417473.86</v>
      </c>
      <c r="F298">
        <v>1177.74</v>
      </c>
      <c r="G298">
        <v>10228.730000000001</v>
      </c>
      <c r="H298">
        <v>12910912.849312283</v>
      </c>
    </row>
    <row r="299" spans="1:8" x14ac:dyDescent="0.3">
      <c r="A299" t="s">
        <v>10</v>
      </c>
      <c r="B299" t="s">
        <v>9</v>
      </c>
      <c r="C299" t="s">
        <v>38</v>
      </c>
      <c r="D299">
        <v>432497.6</v>
      </c>
      <c r="E299">
        <v>433997.54</v>
      </c>
      <c r="F299">
        <v>1468.2400000000002</v>
      </c>
      <c r="G299">
        <v>15368.769999999997</v>
      </c>
      <c r="H299">
        <v>15916157.477148354</v>
      </c>
    </row>
    <row r="300" spans="1:8" x14ac:dyDescent="0.3">
      <c r="A300" t="s">
        <v>10</v>
      </c>
      <c r="B300" t="s">
        <v>9</v>
      </c>
      <c r="C300" t="s">
        <v>37</v>
      </c>
      <c r="D300">
        <v>499418.32999999996</v>
      </c>
      <c r="E300">
        <v>499113.53999999992</v>
      </c>
      <c r="F300">
        <v>2194.17</v>
      </c>
      <c r="G300">
        <v>11770.439999999999</v>
      </c>
      <c r="H300">
        <v>16201855.302891757</v>
      </c>
    </row>
    <row r="301" spans="1:8" x14ac:dyDescent="0.3">
      <c r="A301" t="s">
        <v>10</v>
      </c>
      <c r="B301" t="s">
        <v>12</v>
      </c>
      <c r="C301" t="s">
        <v>38</v>
      </c>
      <c r="D301">
        <v>365103.56</v>
      </c>
      <c r="E301">
        <v>366158.49</v>
      </c>
      <c r="F301">
        <v>1401.2</v>
      </c>
      <c r="G301">
        <v>8559.9699999999993</v>
      </c>
      <c r="H301">
        <v>14045391.856594019</v>
      </c>
    </row>
    <row r="302" spans="1:8" x14ac:dyDescent="0.3">
      <c r="A302" t="s">
        <v>10</v>
      </c>
      <c r="B302" t="s">
        <v>12</v>
      </c>
      <c r="C302" t="s">
        <v>37</v>
      </c>
      <c r="D302">
        <v>278339.15999999997</v>
      </c>
      <c r="E302">
        <v>291187.15000000002</v>
      </c>
      <c r="F302">
        <v>990.34999999999991</v>
      </c>
      <c r="G302">
        <v>10237.75</v>
      </c>
      <c r="H302">
        <v>14557220.088889807</v>
      </c>
    </row>
    <row r="303" spans="1:8" x14ac:dyDescent="0.3">
      <c r="A303" t="s">
        <v>10</v>
      </c>
      <c r="B303" t="s">
        <v>8</v>
      </c>
      <c r="C303" t="s">
        <v>38</v>
      </c>
      <c r="D303">
        <v>248009.16</v>
      </c>
      <c r="E303">
        <v>244357.79</v>
      </c>
      <c r="F303">
        <v>933.98000000000013</v>
      </c>
      <c r="G303">
        <v>8343.7100000000009</v>
      </c>
      <c r="H303">
        <v>12993579.230559321</v>
      </c>
    </row>
    <row r="304" spans="1:8" x14ac:dyDescent="0.3">
      <c r="A304" t="s">
        <v>10</v>
      </c>
      <c r="B304" t="s">
        <v>8</v>
      </c>
      <c r="C304" t="s">
        <v>37</v>
      </c>
      <c r="D304">
        <v>302969.44000000006</v>
      </c>
      <c r="E304">
        <v>296002.61</v>
      </c>
      <c r="F304">
        <v>1408.1299999999999</v>
      </c>
      <c r="G304">
        <v>14584.440000000002</v>
      </c>
      <c r="H304">
        <v>16041974.72349862</v>
      </c>
    </row>
    <row r="305" spans="1:8" x14ac:dyDescent="0.3">
      <c r="A305" t="s">
        <v>10</v>
      </c>
      <c r="B305" t="s">
        <v>4</v>
      </c>
      <c r="C305" t="s">
        <v>38</v>
      </c>
      <c r="D305">
        <v>310386.26</v>
      </c>
      <c r="E305">
        <v>309745.17999999993</v>
      </c>
      <c r="F305">
        <v>1349.97</v>
      </c>
      <c r="G305">
        <v>8374.0399999999991</v>
      </c>
      <c r="H305">
        <v>11979935.911420725</v>
      </c>
    </row>
    <row r="306" spans="1:8" x14ac:dyDescent="0.3">
      <c r="A306" t="s">
        <v>10</v>
      </c>
      <c r="B306" t="s">
        <v>4</v>
      </c>
      <c r="C306" t="s">
        <v>37</v>
      </c>
      <c r="D306">
        <v>227929.38</v>
      </c>
      <c r="E306">
        <v>204070.61999999997</v>
      </c>
      <c r="F306">
        <v>1238.8400000000001</v>
      </c>
      <c r="G306">
        <v>11434.119999999999</v>
      </c>
      <c r="H306">
        <v>10788361.300600026</v>
      </c>
    </row>
    <row r="307" spans="1:8" x14ac:dyDescent="0.3">
      <c r="A307" t="s">
        <v>10</v>
      </c>
      <c r="B307" t="s">
        <v>6</v>
      </c>
      <c r="C307" t="s">
        <v>38</v>
      </c>
      <c r="D307">
        <v>395092.67000000004</v>
      </c>
      <c r="E307">
        <v>389822.97000000009</v>
      </c>
      <c r="F307">
        <v>1462.26</v>
      </c>
      <c r="G307">
        <v>11833.81</v>
      </c>
      <c r="H307">
        <v>16126232.440668494</v>
      </c>
    </row>
    <row r="308" spans="1:8" x14ac:dyDescent="0.3">
      <c r="A308" t="s">
        <v>10</v>
      </c>
      <c r="B308" t="s">
        <v>6</v>
      </c>
      <c r="C308" t="s">
        <v>37</v>
      </c>
      <c r="D308">
        <v>594514.39999999979</v>
      </c>
      <c r="E308">
        <v>590395.24000000011</v>
      </c>
      <c r="F308">
        <v>2708.8300000000004</v>
      </c>
      <c r="G308">
        <v>15433.55</v>
      </c>
      <c r="H308">
        <v>24989048.291909635</v>
      </c>
    </row>
    <row r="309" spans="1:8" x14ac:dyDescent="0.3">
      <c r="A309" t="s">
        <v>17</v>
      </c>
      <c r="B309" t="s">
        <v>0</v>
      </c>
      <c r="C309" t="s">
        <v>38</v>
      </c>
      <c r="D309">
        <v>473680.52999999997</v>
      </c>
      <c r="E309">
        <v>476678.77000000008</v>
      </c>
      <c r="F309">
        <v>1781.0099999999998</v>
      </c>
      <c r="G309">
        <v>9359.0799999999963</v>
      </c>
      <c r="H309">
        <v>18379986.442302786</v>
      </c>
    </row>
    <row r="310" spans="1:8" x14ac:dyDescent="0.3">
      <c r="A310" t="s">
        <v>17</v>
      </c>
      <c r="B310" t="s">
        <v>0</v>
      </c>
      <c r="C310" t="s">
        <v>37</v>
      </c>
      <c r="D310">
        <v>583756.36</v>
      </c>
      <c r="E310">
        <v>592278.7699999999</v>
      </c>
      <c r="F310">
        <v>2022.39</v>
      </c>
      <c r="G310">
        <v>14025.359999999999</v>
      </c>
      <c r="H310">
        <v>18403677.293425765</v>
      </c>
    </row>
    <row r="311" spans="1:8" x14ac:dyDescent="0.3">
      <c r="A311" t="s">
        <v>17</v>
      </c>
      <c r="B311" t="s">
        <v>2</v>
      </c>
      <c r="C311" t="s">
        <v>38</v>
      </c>
      <c r="D311">
        <v>183494.78</v>
      </c>
      <c r="E311">
        <v>190712.51</v>
      </c>
      <c r="F311">
        <v>916.06</v>
      </c>
      <c r="G311">
        <v>4123.57</v>
      </c>
      <c r="H311">
        <v>7398858.5486438973</v>
      </c>
    </row>
    <row r="312" spans="1:8" x14ac:dyDescent="0.3">
      <c r="A312" t="s">
        <v>17</v>
      </c>
      <c r="B312" t="s">
        <v>2</v>
      </c>
      <c r="C312" t="s">
        <v>37</v>
      </c>
      <c r="D312">
        <v>389887.81</v>
      </c>
      <c r="E312">
        <v>409129.46</v>
      </c>
      <c r="F312">
        <v>1763.47</v>
      </c>
      <c r="G312">
        <v>12317.770000000002</v>
      </c>
      <c r="H312">
        <v>15487073.551923132</v>
      </c>
    </row>
    <row r="313" spans="1:8" x14ac:dyDescent="0.3">
      <c r="A313" t="s">
        <v>17</v>
      </c>
      <c r="B313" t="s">
        <v>14</v>
      </c>
      <c r="C313" t="s">
        <v>38</v>
      </c>
      <c r="D313">
        <v>614674.57999999996</v>
      </c>
      <c r="E313">
        <v>603023.27999999991</v>
      </c>
      <c r="F313">
        <v>3123.61</v>
      </c>
      <c r="G313">
        <v>15849.600000000002</v>
      </c>
      <c r="H313">
        <v>25766217.226878703</v>
      </c>
    </row>
    <row r="314" spans="1:8" x14ac:dyDescent="0.3">
      <c r="A314" t="s">
        <v>17</v>
      </c>
      <c r="B314" t="s">
        <v>14</v>
      </c>
      <c r="C314" t="s">
        <v>37</v>
      </c>
      <c r="D314">
        <v>313183.25999999995</v>
      </c>
      <c r="E314">
        <v>287344.89999999997</v>
      </c>
      <c r="F314">
        <v>1568.54</v>
      </c>
      <c r="G314">
        <v>8855.7199999999993</v>
      </c>
      <c r="H314">
        <v>13408563.096740248</v>
      </c>
    </row>
    <row r="315" spans="1:8" x14ac:dyDescent="0.3">
      <c r="A315" t="s">
        <v>17</v>
      </c>
      <c r="B315" t="s">
        <v>9</v>
      </c>
      <c r="C315" t="s">
        <v>38</v>
      </c>
      <c r="D315">
        <v>373100.88</v>
      </c>
      <c r="E315">
        <v>379824.32</v>
      </c>
      <c r="F315">
        <v>1451.49</v>
      </c>
      <c r="G315">
        <v>13317.799999999997</v>
      </c>
      <c r="H315">
        <v>15985326.292160548</v>
      </c>
    </row>
    <row r="316" spans="1:8" x14ac:dyDescent="0.3">
      <c r="A316" t="s">
        <v>17</v>
      </c>
      <c r="B316" t="s">
        <v>9</v>
      </c>
      <c r="C316" t="s">
        <v>37</v>
      </c>
      <c r="D316">
        <v>432582.75000000012</v>
      </c>
      <c r="E316">
        <v>451444.94999999995</v>
      </c>
      <c r="F316">
        <v>2313.4299999999998</v>
      </c>
      <c r="G316">
        <v>16999.89</v>
      </c>
      <c r="H316">
        <v>20369307.589626782</v>
      </c>
    </row>
    <row r="317" spans="1:8" x14ac:dyDescent="0.3">
      <c r="A317" t="s">
        <v>17</v>
      </c>
      <c r="B317" t="s">
        <v>12</v>
      </c>
      <c r="C317" t="s">
        <v>38</v>
      </c>
      <c r="D317">
        <v>574171.70000000007</v>
      </c>
      <c r="E317">
        <v>573036.59</v>
      </c>
      <c r="F317">
        <v>2714.9999999999995</v>
      </c>
      <c r="G317">
        <v>15671.169999999998</v>
      </c>
      <c r="H317">
        <v>20565428.008388653</v>
      </c>
    </row>
    <row r="318" spans="1:8" x14ac:dyDescent="0.3">
      <c r="A318" t="s">
        <v>17</v>
      </c>
      <c r="B318" t="s">
        <v>12</v>
      </c>
      <c r="C318" t="s">
        <v>37</v>
      </c>
      <c r="D318">
        <v>338967.39</v>
      </c>
      <c r="E318">
        <v>331099.55000000005</v>
      </c>
      <c r="F318">
        <v>1245.22</v>
      </c>
      <c r="G318">
        <v>10299.76</v>
      </c>
      <c r="H318">
        <v>11627025.589832053</v>
      </c>
    </row>
    <row r="319" spans="1:8" x14ac:dyDescent="0.3">
      <c r="A319" t="s">
        <v>17</v>
      </c>
      <c r="B319" t="s">
        <v>8</v>
      </c>
      <c r="C319" t="s">
        <v>38</v>
      </c>
      <c r="D319">
        <v>311213.01999999996</v>
      </c>
      <c r="E319">
        <v>305303.76</v>
      </c>
      <c r="F319">
        <v>1435.44</v>
      </c>
      <c r="G319">
        <v>10607.74</v>
      </c>
      <c r="H319">
        <v>13934538.484573131</v>
      </c>
    </row>
    <row r="320" spans="1:8" x14ac:dyDescent="0.3">
      <c r="A320" t="s">
        <v>17</v>
      </c>
      <c r="B320" t="s">
        <v>8</v>
      </c>
      <c r="C320" t="s">
        <v>37</v>
      </c>
      <c r="D320">
        <v>250467.90000000005</v>
      </c>
      <c r="E320">
        <v>240830.91999999998</v>
      </c>
      <c r="F320">
        <v>1658.91</v>
      </c>
      <c r="G320">
        <v>10383.64</v>
      </c>
      <c r="H320">
        <v>14188096.991310915</v>
      </c>
    </row>
    <row r="321" spans="1:8" x14ac:dyDescent="0.3">
      <c r="A321" t="s">
        <v>17</v>
      </c>
      <c r="B321" t="s">
        <v>4</v>
      </c>
      <c r="C321" t="s">
        <v>38</v>
      </c>
      <c r="D321">
        <v>447486.32</v>
      </c>
      <c r="E321">
        <v>459202.74</v>
      </c>
      <c r="F321">
        <v>1367.1</v>
      </c>
      <c r="G321">
        <v>11539.250000000002</v>
      </c>
      <c r="H321">
        <v>15170001.470946753</v>
      </c>
    </row>
    <row r="322" spans="1:8" x14ac:dyDescent="0.3">
      <c r="A322" t="s">
        <v>17</v>
      </c>
      <c r="B322" t="s">
        <v>4</v>
      </c>
      <c r="C322" t="s">
        <v>37</v>
      </c>
      <c r="D322">
        <v>427411.65999999992</v>
      </c>
      <c r="E322">
        <v>422538.60000000003</v>
      </c>
      <c r="F322">
        <v>1795.7699999999998</v>
      </c>
      <c r="G322">
        <v>11722.369999999997</v>
      </c>
      <c r="H322">
        <v>18100481.443455327</v>
      </c>
    </row>
    <row r="323" spans="1:8" x14ac:dyDescent="0.3">
      <c r="A323" t="s">
        <v>17</v>
      </c>
      <c r="B323" t="s">
        <v>6</v>
      </c>
      <c r="C323" t="s">
        <v>38</v>
      </c>
      <c r="D323">
        <v>418093.86</v>
      </c>
      <c r="E323">
        <v>398715.26</v>
      </c>
      <c r="F323">
        <v>2003.63</v>
      </c>
      <c r="G323">
        <v>12224.51</v>
      </c>
      <c r="H323">
        <v>15212717.802693844</v>
      </c>
    </row>
    <row r="324" spans="1:8" x14ac:dyDescent="0.3">
      <c r="A324" t="s">
        <v>17</v>
      </c>
      <c r="B324" t="s">
        <v>6</v>
      </c>
      <c r="C324" t="s">
        <v>37</v>
      </c>
      <c r="D324">
        <v>314161.83</v>
      </c>
      <c r="E324">
        <v>318959.06</v>
      </c>
      <c r="F324">
        <v>1564.22</v>
      </c>
      <c r="G324">
        <v>8462.7999999999993</v>
      </c>
      <c r="H324">
        <v>13420444.708871465</v>
      </c>
    </row>
    <row r="325" spans="1:8" x14ac:dyDescent="0.3">
      <c r="A325" t="s">
        <v>44</v>
      </c>
      <c r="D325">
        <v>125308900.35999997</v>
      </c>
      <c r="E325">
        <v>125198519.34999998</v>
      </c>
      <c r="F325">
        <v>547319.84999999986</v>
      </c>
      <c r="G325">
        <v>3533032.0799999991</v>
      </c>
      <c r="H325">
        <v>4995081241.6086445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DEBD3-6956-4FE7-95E1-FAF024FE08FE}">
  <dimension ref="A1:H321"/>
  <sheetViews>
    <sheetView workbookViewId="0"/>
  </sheetViews>
  <sheetFormatPr defaultRowHeight="14.4" x14ac:dyDescent="0.3"/>
  <cols>
    <col min="1" max="1" width="11" bestFit="1" customWidth="1"/>
    <col min="2" max="2" width="16.44140625" bestFit="1" customWidth="1"/>
    <col min="3" max="3" width="12.109375" bestFit="1" customWidth="1"/>
    <col min="4" max="4" width="21.6640625" bestFit="1" customWidth="1"/>
    <col min="5" max="5" width="27.21875" bestFit="1" customWidth="1"/>
    <col min="6" max="6" width="27.33203125" bestFit="1" customWidth="1"/>
    <col min="7" max="7" width="22.33203125" bestFit="1" customWidth="1"/>
    <col min="8" max="8" width="25.44140625" bestFit="1" customWidth="1"/>
  </cols>
  <sheetData>
    <row r="1" spans="1:8" x14ac:dyDescent="0.3">
      <c r="A1" t="s">
        <v>36</v>
      </c>
      <c r="B1" t="s">
        <v>34</v>
      </c>
      <c r="C1" t="s">
        <v>28</v>
      </c>
      <c r="D1" t="s">
        <v>43</v>
      </c>
      <c r="E1" t="s">
        <v>42</v>
      </c>
      <c r="F1" t="s">
        <v>41</v>
      </c>
      <c r="G1" t="s">
        <v>40</v>
      </c>
      <c r="H1" t="s">
        <v>39</v>
      </c>
    </row>
    <row r="2" spans="1:8" x14ac:dyDescent="0.3">
      <c r="A2" t="s">
        <v>21</v>
      </c>
      <c r="B2" t="s">
        <v>0</v>
      </c>
      <c r="C2" t="s">
        <v>38</v>
      </c>
      <c r="D2">
        <v>593605.94000000006</v>
      </c>
      <c r="E2">
        <v>581663.97000000009</v>
      </c>
      <c r="F2">
        <v>2126.9100000000003</v>
      </c>
      <c r="G2">
        <v>12247.11</v>
      </c>
      <c r="H2">
        <v>19390408.716868363</v>
      </c>
    </row>
    <row r="3" spans="1:8" x14ac:dyDescent="0.3">
      <c r="A3" t="s">
        <v>21</v>
      </c>
      <c r="B3" t="s">
        <v>0</v>
      </c>
      <c r="C3" t="s">
        <v>37</v>
      </c>
      <c r="D3">
        <v>261049.93000000002</v>
      </c>
      <c r="E3">
        <v>265337.64</v>
      </c>
      <c r="F3">
        <v>690.07</v>
      </c>
      <c r="G3">
        <v>7592.6299999999992</v>
      </c>
      <c r="H3">
        <v>9127281.0028149262</v>
      </c>
    </row>
    <row r="4" spans="1:8" x14ac:dyDescent="0.3">
      <c r="A4" t="s">
        <v>21</v>
      </c>
      <c r="B4" t="s">
        <v>2</v>
      </c>
      <c r="C4" t="s">
        <v>38</v>
      </c>
      <c r="D4">
        <v>452659.17000000016</v>
      </c>
      <c r="E4">
        <v>436797.31999999995</v>
      </c>
      <c r="F4">
        <v>2129.4699999999998</v>
      </c>
      <c r="G4">
        <v>11640.349999999999</v>
      </c>
      <c r="H4">
        <v>17406492.447938364</v>
      </c>
    </row>
    <row r="5" spans="1:8" x14ac:dyDescent="0.3">
      <c r="A5" t="s">
        <v>21</v>
      </c>
      <c r="B5" t="s">
        <v>2</v>
      </c>
      <c r="C5" t="s">
        <v>37</v>
      </c>
      <c r="D5">
        <v>172876.58000000002</v>
      </c>
      <c r="E5">
        <v>175753.18000000002</v>
      </c>
      <c r="F5">
        <v>818.78000000000009</v>
      </c>
      <c r="G5">
        <v>5008.43</v>
      </c>
      <c r="H5">
        <v>9065318.98210462</v>
      </c>
    </row>
    <row r="6" spans="1:8" x14ac:dyDescent="0.3">
      <c r="A6" t="s">
        <v>21</v>
      </c>
      <c r="B6" t="s">
        <v>14</v>
      </c>
      <c r="C6" t="s">
        <v>38</v>
      </c>
      <c r="D6">
        <v>193561.33</v>
      </c>
      <c r="E6">
        <v>198329.24</v>
      </c>
      <c r="F6">
        <v>1303.49</v>
      </c>
      <c r="G6">
        <v>9223.7999999999993</v>
      </c>
      <c r="H6">
        <v>11207293.782044146</v>
      </c>
    </row>
    <row r="7" spans="1:8" x14ac:dyDescent="0.3">
      <c r="A7" t="s">
        <v>21</v>
      </c>
      <c r="B7" t="s">
        <v>14</v>
      </c>
      <c r="C7" t="s">
        <v>37</v>
      </c>
      <c r="D7">
        <v>248428.56000000003</v>
      </c>
      <c r="E7">
        <v>244267.94999999995</v>
      </c>
      <c r="F7">
        <v>1291.7600000000002</v>
      </c>
      <c r="G7">
        <v>6355.38</v>
      </c>
      <c r="H7">
        <v>10114469.76502387</v>
      </c>
    </row>
    <row r="8" spans="1:8" x14ac:dyDescent="0.3">
      <c r="A8" t="s">
        <v>21</v>
      </c>
      <c r="B8" t="s">
        <v>9</v>
      </c>
      <c r="C8" t="s">
        <v>38</v>
      </c>
      <c r="D8">
        <v>349834.62000000005</v>
      </c>
      <c r="E8">
        <v>359851.24</v>
      </c>
      <c r="F8">
        <v>1658.12</v>
      </c>
      <c r="G8">
        <v>16362.53</v>
      </c>
      <c r="H8">
        <v>17437937.75583493</v>
      </c>
    </row>
    <row r="9" spans="1:8" x14ac:dyDescent="0.3">
      <c r="A9" t="s">
        <v>21</v>
      </c>
      <c r="B9" t="s">
        <v>9</v>
      </c>
      <c r="C9" t="s">
        <v>37</v>
      </c>
      <c r="D9">
        <v>471892.81999999995</v>
      </c>
      <c r="E9">
        <v>478195.23</v>
      </c>
      <c r="F9">
        <v>2397.9599999999991</v>
      </c>
      <c r="G9">
        <v>12074.240000000002</v>
      </c>
      <c r="H9">
        <v>17194740.980815239</v>
      </c>
    </row>
    <row r="10" spans="1:8" x14ac:dyDescent="0.3">
      <c r="A10" t="s">
        <v>21</v>
      </c>
      <c r="B10" t="s">
        <v>12</v>
      </c>
      <c r="C10" t="s">
        <v>38</v>
      </c>
      <c r="D10">
        <v>549033.92000000004</v>
      </c>
      <c r="E10">
        <v>575843.53</v>
      </c>
      <c r="F10">
        <v>1742.89</v>
      </c>
      <c r="G10">
        <v>11793.01</v>
      </c>
      <c r="H10">
        <v>18624962.078152731</v>
      </c>
    </row>
    <row r="11" spans="1:8" x14ac:dyDescent="0.3">
      <c r="A11" t="s">
        <v>21</v>
      </c>
      <c r="B11" t="s">
        <v>12</v>
      </c>
      <c r="C11" t="s">
        <v>37</v>
      </c>
      <c r="D11">
        <v>480551.48999999993</v>
      </c>
      <c r="E11">
        <v>468510.18</v>
      </c>
      <c r="F11">
        <v>1588.52</v>
      </c>
      <c r="G11">
        <v>10900.069999999998</v>
      </c>
      <c r="H11">
        <v>13924253.086924277</v>
      </c>
    </row>
    <row r="12" spans="1:8" x14ac:dyDescent="0.3">
      <c r="A12" t="s">
        <v>21</v>
      </c>
      <c r="B12" t="s">
        <v>8</v>
      </c>
      <c r="C12" t="s">
        <v>38</v>
      </c>
      <c r="D12">
        <v>421900.04000000004</v>
      </c>
      <c r="E12">
        <v>445602.14999999991</v>
      </c>
      <c r="F12">
        <v>2102.1799999999998</v>
      </c>
      <c r="G12">
        <v>13650.100000000002</v>
      </c>
      <c r="H12">
        <v>18400652.611703683</v>
      </c>
    </row>
    <row r="13" spans="1:8" x14ac:dyDescent="0.3">
      <c r="A13" t="s">
        <v>21</v>
      </c>
      <c r="B13" t="s">
        <v>8</v>
      </c>
      <c r="C13" t="s">
        <v>37</v>
      </c>
      <c r="D13">
        <v>147562.33000000002</v>
      </c>
      <c r="E13">
        <v>138593.94</v>
      </c>
      <c r="F13">
        <v>1178.9000000000001</v>
      </c>
      <c r="G13">
        <v>5351.63</v>
      </c>
      <c r="H13">
        <v>9297618.132046517</v>
      </c>
    </row>
    <row r="14" spans="1:8" x14ac:dyDescent="0.3">
      <c r="A14" t="s">
        <v>21</v>
      </c>
      <c r="B14" t="s">
        <v>4</v>
      </c>
      <c r="C14" t="s">
        <v>38</v>
      </c>
      <c r="D14">
        <v>689057.11999999988</v>
      </c>
      <c r="E14">
        <v>698618.3</v>
      </c>
      <c r="F14">
        <v>2559.4399999999996</v>
      </c>
      <c r="G14">
        <v>14315.010000000004</v>
      </c>
      <c r="H14">
        <v>22398536.985206384</v>
      </c>
    </row>
    <row r="15" spans="1:8" x14ac:dyDescent="0.3">
      <c r="A15" t="s">
        <v>21</v>
      </c>
      <c r="B15" t="s">
        <v>4</v>
      </c>
      <c r="C15" t="s">
        <v>37</v>
      </c>
      <c r="D15">
        <v>116981.91</v>
      </c>
      <c r="E15">
        <v>120389.1</v>
      </c>
      <c r="F15">
        <v>753.28</v>
      </c>
      <c r="G15">
        <v>4989.1499999999996</v>
      </c>
      <c r="H15">
        <v>6928304.6061113644</v>
      </c>
    </row>
    <row r="16" spans="1:8" x14ac:dyDescent="0.3">
      <c r="A16" t="s">
        <v>21</v>
      </c>
      <c r="B16" t="s">
        <v>6</v>
      </c>
      <c r="C16" t="s">
        <v>38</v>
      </c>
      <c r="D16">
        <v>661592.49</v>
      </c>
      <c r="E16">
        <v>663806.2300000001</v>
      </c>
      <c r="F16">
        <v>2298.5800000000004</v>
      </c>
      <c r="G16">
        <v>17372.759999999998</v>
      </c>
      <c r="H16">
        <v>25158920.625539154</v>
      </c>
    </row>
    <row r="17" spans="1:8" x14ac:dyDescent="0.3">
      <c r="A17" t="s">
        <v>21</v>
      </c>
      <c r="B17" t="s">
        <v>6</v>
      </c>
      <c r="C17" t="s">
        <v>37</v>
      </c>
      <c r="D17">
        <v>271779.26999999996</v>
      </c>
      <c r="E17">
        <v>281326.74000000005</v>
      </c>
      <c r="F17">
        <v>1493.2799999999997</v>
      </c>
      <c r="G17">
        <v>8287.4499999999989</v>
      </c>
      <c r="H17">
        <v>13484311.094791267</v>
      </c>
    </row>
    <row r="18" spans="1:8" x14ac:dyDescent="0.3">
      <c r="A18" t="s">
        <v>3</v>
      </c>
      <c r="B18" t="s">
        <v>0</v>
      </c>
      <c r="C18" t="s">
        <v>38</v>
      </c>
      <c r="D18">
        <v>317629.67</v>
      </c>
      <c r="E18">
        <v>334199.51000000007</v>
      </c>
      <c r="F18">
        <v>1344.03</v>
      </c>
      <c r="G18">
        <v>7036.09</v>
      </c>
      <c r="H18">
        <v>12704658.853507647</v>
      </c>
    </row>
    <row r="19" spans="1:8" x14ac:dyDescent="0.3">
      <c r="A19" t="s">
        <v>3</v>
      </c>
      <c r="B19" t="s">
        <v>0</v>
      </c>
      <c r="C19" t="s">
        <v>37</v>
      </c>
      <c r="D19">
        <v>474639.56000000006</v>
      </c>
      <c r="E19">
        <v>478674.35999999993</v>
      </c>
      <c r="F19">
        <v>2029.6200000000001</v>
      </c>
      <c r="G19">
        <v>13116.08</v>
      </c>
      <c r="H19">
        <v>16843781.872527063</v>
      </c>
    </row>
    <row r="20" spans="1:8" x14ac:dyDescent="0.3">
      <c r="A20" t="s">
        <v>3</v>
      </c>
      <c r="B20" t="s">
        <v>2</v>
      </c>
      <c r="C20" t="s">
        <v>38</v>
      </c>
      <c r="D20">
        <v>374056.34000000008</v>
      </c>
      <c r="E20">
        <v>372094.89</v>
      </c>
      <c r="F20">
        <v>1754.9399999999996</v>
      </c>
      <c r="G20">
        <v>8966.4</v>
      </c>
      <c r="H20">
        <v>15123606.665365092</v>
      </c>
    </row>
    <row r="21" spans="1:8" x14ac:dyDescent="0.3">
      <c r="A21" t="s">
        <v>3</v>
      </c>
      <c r="B21" t="s">
        <v>2</v>
      </c>
      <c r="C21" t="s">
        <v>37</v>
      </c>
      <c r="D21">
        <v>215119.53999999998</v>
      </c>
      <c r="E21">
        <v>219273.83</v>
      </c>
      <c r="F21">
        <v>871.67999999999984</v>
      </c>
      <c r="G21">
        <v>7761.4</v>
      </c>
      <c r="H21">
        <v>9115581.6844113991</v>
      </c>
    </row>
    <row r="22" spans="1:8" x14ac:dyDescent="0.3">
      <c r="A22" t="s">
        <v>3</v>
      </c>
      <c r="B22" t="s">
        <v>14</v>
      </c>
      <c r="C22" t="s">
        <v>38</v>
      </c>
      <c r="D22">
        <v>491398.79</v>
      </c>
      <c r="E22">
        <v>485167.89999999991</v>
      </c>
      <c r="F22">
        <v>1770.41</v>
      </c>
      <c r="G22">
        <v>13026.630000000001</v>
      </c>
      <c r="H22">
        <v>17873702.702752598</v>
      </c>
    </row>
    <row r="23" spans="1:8" x14ac:dyDescent="0.3">
      <c r="A23" t="s">
        <v>3</v>
      </c>
      <c r="B23" t="s">
        <v>14</v>
      </c>
      <c r="C23" t="s">
        <v>37</v>
      </c>
      <c r="D23">
        <v>303493.04000000004</v>
      </c>
      <c r="E23">
        <v>304468.91999999993</v>
      </c>
      <c r="F23">
        <v>1290.6300000000001</v>
      </c>
      <c r="G23">
        <v>8027.07</v>
      </c>
      <c r="H23">
        <v>11116794.65980904</v>
      </c>
    </row>
    <row r="24" spans="1:8" x14ac:dyDescent="0.3">
      <c r="A24" t="s">
        <v>3</v>
      </c>
      <c r="B24" t="s">
        <v>9</v>
      </c>
      <c r="C24" t="s">
        <v>38</v>
      </c>
      <c r="D24">
        <v>355099.35</v>
      </c>
      <c r="E24">
        <v>376381.51999999996</v>
      </c>
      <c r="F24">
        <v>1502.5600000000002</v>
      </c>
      <c r="G24">
        <v>10559.97</v>
      </c>
      <c r="H24">
        <v>15249927.688332576</v>
      </c>
    </row>
    <row r="25" spans="1:8" x14ac:dyDescent="0.3">
      <c r="A25" t="s">
        <v>3</v>
      </c>
      <c r="B25" t="s">
        <v>9</v>
      </c>
      <c r="C25" t="s">
        <v>37</v>
      </c>
      <c r="D25">
        <v>350815.93</v>
      </c>
      <c r="E25">
        <v>366308.76000000007</v>
      </c>
      <c r="F25">
        <v>1264.5699999999997</v>
      </c>
      <c r="G25">
        <v>7733.91</v>
      </c>
      <c r="H25">
        <v>11407087.890390735</v>
      </c>
    </row>
    <row r="26" spans="1:8" x14ac:dyDescent="0.3">
      <c r="A26" t="s">
        <v>3</v>
      </c>
      <c r="B26" t="s">
        <v>12</v>
      </c>
      <c r="C26" t="s">
        <v>38</v>
      </c>
      <c r="D26">
        <v>328039.84000000003</v>
      </c>
      <c r="E26">
        <v>325732.26999999996</v>
      </c>
      <c r="F26">
        <v>1701.49</v>
      </c>
      <c r="G26">
        <v>12007.869999999999</v>
      </c>
      <c r="H26">
        <v>16738438.252768775</v>
      </c>
    </row>
    <row r="27" spans="1:8" x14ac:dyDescent="0.3">
      <c r="A27" t="s">
        <v>3</v>
      </c>
      <c r="B27" t="s">
        <v>12</v>
      </c>
      <c r="C27" t="s">
        <v>37</v>
      </c>
      <c r="D27">
        <v>510658.61</v>
      </c>
      <c r="E27">
        <v>511790.25999999989</v>
      </c>
      <c r="F27">
        <v>2073.7200000000003</v>
      </c>
      <c r="G27">
        <v>10572.009999999998</v>
      </c>
      <c r="H27">
        <v>16130349.784509134</v>
      </c>
    </row>
    <row r="28" spans="1:8" x14ac:dyDescent="0.3">
      <c r="A28" t="s">
        <v>3</v>
      </c>
      <c r="B28" t="s">
        <v>8</v>
      </c>
      <c r="C28" t="s">
        <v>38</v>
      </c>
      <c r="D28">
        <v>438284.12</v>
      </c>
      <c r="E28">
        <v>443171.46000000008</v>
      </c>
      <c r="F28">
        <v>1663.95</v>
      </c>
      <c r="G28">
        <v>9468.98</v>
      </c>
      <c r="H28">
        <v>16152257.686751211</v>
      </c>
    </row>
    <row r="29" spans="1:8" x14ac:dyDescent="0.3">
      <c r="A29" t="s">
        <v>3</v>
      </c>
      <c r="B29" t="s">
        <v>8</v>
      </c>
      <c r="C29" t="s">
        <v>37</v>
      </c>
      <c r="D29">
        <v>339491.92999999993</v>
      </c>
      <c r="E29">
        <v>341934.83999999997</v>
      </c>
      <c r="F29">
        <v>1833.3799999999999</v>
      </c>
      <c r="G29">
        <v>10534.14</v>
      </c>
      <c r="H29">
        <v>13291536.650552748</v>
      </c>
    </row>
    <row r="30" spans="1:8" x14ac:dyDescent="0.3">
      <c r="A30" t="s">
        <v>3</v>
      </c>
      <c r="B30" t="s">
        <v>4</v>
      </c>
      <c r="C30" t="s">
        <v>38</v>
      </c>
      <c r="D30">
        <v>359985.73999999987</v>
      </c>
      <c r="E30">
        <v>375571.76</v>
      </c>
      <c r="F30">
        <v>1604.54</v>
      </c>
      <c r="G30">
        <v>11224</v>
      </c>
      <c r="H30">
        <v>16294712.264888605</v>
      </c>
    </row>
    <row r="31" spans="1:8" x14ac:dyDescent="0.3">
      <c r="A31" t="s">
        <v>3</v>
      </c>
      <c r="B31" t="s">
        <v>4</v>
      </c>
      <c r="C31" t="s">
        <v>37</v>
      </c>
      <c r="D31">
        <v>231128.85000000003</v>
      </c>
      <c r="E31">
        <v>220309.97999999998</v>
      </c>
      <c r="F31">
        <v>1267.6399999999999</v>
      </c>
      <c r="G31">
        <v>7519.0700000000006</v>
      </c>
      <c r="H31">
        <v>9515124.1949635725</v>
      </c>
    </row>
    <row r="32" spans="1:8" x14ac:dyDescent="0.3">
      <c r="A32" t="s">
        <v>3</v>
      </c>
      <c r="B32" t="s">
        <v>6</v>
      </c>
      <c r="C32" t="s">
        <v>38</v>
      </c>
      <c r="D32">
        <v>514236.16000000009</v>
      </c>
      <c r="E32">
        <v>493314.33999999997</v>
      </c>
      <c r="F32">
        <v>1525.69</v>
      </c>
      <c r="G32">
        <v>14372.62</v>
      </c>
      <c r="H32">
        <v>19187572.074590821</v>
      </c>
    </row>
    <row r="33" spans="1:8" x14ac:dyDescent="0.3">
      <c r="A33" t="s">
        <v>3</v>
      </c>
      <c r="B33" t="s">
        <v>6</v>
      </c>
      <c r="C33" t="s">
        <v>37</v>
      </c>
      <c r="D33">
        <v>283283.82</v>
      </c>
      <c r="E33">
        <v>279394.51</v>
      </c>
      <c r="F33">
        <v>1012.03</v>
      </c>
      <c r="G33">
        <v>4206.79</v>
      </c>
      <c r="H33">
        <v>10056945.339944875</v>
      </c>
    </row>
    <row r="34" spans="1:8" x14ac:dyDescent="0.3">
      <c r="A34" t="s">
        <v>18</v>
      </c>
      <c r="B34" t="s">
        <v>0</v>
      </c>
      <c r="C34" t="s">
        <v>38</v>
      </c>
      <c r="D34">
        <v>446230.35000000003</v>
      </c>
      <c r="E34">
        <v>448301.86</v>
      </c>
      <c r="F34">
        <v>1990.47</v>
      </c>
      <c r="G34">
        <v>13604.049999999997</v>
      </c>
      <c r="H34">
        <v>18021526.051040709</v>
      </c>
    </row>
    <row r="35" spans="1:8" x14ac:dyDescent="0.3">
      <c r="A35" t="s">
        <v>18</v>
      </c>
      <c r="B35" t="s">
        <v>0</v>
      </c>
      <c r="C35" t="s">
        <v>37</v>
      </c>
      <c r="D35">
        <v>356960.67</v>
      </c>
      <c r="E35">
        <v>352279.66</v>
      </c>
      <c r="F35">
        <v>1101.98</v>
      </c>
      <c r="G35">
        <v>10480.029999999999</v>
      </c>
      <c r="H35">
        <v>13991554.673583178</v>
      </c>
    </row>
    <row r="36" spans="1:8" x14ac:dyDescent="0.3">
      <c r="A36" t="s">
        <v>18</v>
      </c>
      <c r="B36" t="s">
        <v>2</v>
      </c>
      <c r="C36" t="s">
        <v>38</v>
      </c>
      <c r="D36">
        <v>607029.40999999992</v>
      </c>
      <c r="E36">
        <v>614596.85</v>
      </c>
      <c r="F36">
        <v>2337.6</v>
      </c>
      <c r="G36">
        <v>17232.480000000003</v>
      </c>
      <c r="H36">
        <v>23339424.852473695</v>
      </c>
    </row>
    <row r="37" spans="1:8" x14ac:dyDescent="0.3">
      <c r="A37" t="s">
        <v>18</v>
      </c>
      <c r="B37" t="s">
        <v>2</v>
      </c>
      <c r="C37" t="s">
        <v>37</v>
      </c>
      <c r="D37">
        <v>145495.97</v>
      </c>
      <c r="E37">
        <v>133910.04</v>
      </c>
      <c r="F37">
        <v>466.88</v>
      </c>
      <c r="G37">
        <v>1910.09</v>
      </c>
      <c r="H37">
        <v>3744001.2008570833</v>
      </c>
    </row>
    <row r="38" spans="1:8" x14ac:dyDescent="0.3">
      <c r="A38" t="s">
        <v>18</v>
      </c>
      <c r="B38" t="s">
        <v>14</v>
      </c>
      <c r="C38" t="s">
        <v>38</v>
      </c>
      <c r="D38">
        <v>295200.42000000004</v>
      </c>
      <c r="E38">
        <v>298550.36</v>
      </c>
      <c r="F38">
        <v>1460.15</v>
      </c>
      <c r="G38">
        <v>9229.8799999999992</v>
      </c>
      <c r="H38">
        <v>14204414.009519931</v>
      </c>
    </row>
    <row r="39" spans="1:8" x14ac:dyDescent="0.3">
      <c r="A39" t="s">
        <v>18</v>
      </c>
      <c r="B39" t="s">
        <v>14</v>
      </c>
      <c r="C39" t="s">
        <v>37</v>
      </c>
      <c r="D39">
        <v>383427.7099999999</v>
      </c>
      <c r="E39">
        <v>402582.81</v>
      </c>
      <c r="F39">
        <v>2023.93</v>
      </c>
      <c r="G39">
        <v>12718.689999999999</v>
      </c>
      <c r="H39">
        <v>17503992.834353156</v>
      </c>
    </row>
    <row r="40" spans="1:8" x14ac:dyDescent="0.3">
      <c r="A40" t="s">
        <v>18</v>
      </c>
      <c r="B40" t="s">
        <v>9</v>
      </c>
      <c r="C40" t="s">
        <v>38</v>
      </c>
      <c r="D40">
        <v>436213.70999999996</v>
      </c>
      <c r="E40">
        <v>442299.6</v>
      </c>
      <c r="F40">
        <v>2176.89</v>
      </c>
      <c r="G40">
        <v>10705.46</v>
      </c>
      <c r="H40">
        <v>19257746.595366716</v>
      </c>
    </row>
    <row r="41" spans="1:8" x14ac:dyDescent="0.3">
      <c r="A41" t="s">
        <v>18</v>
      </c>
      <c r="B41" t="s">
        <v>9</v>
      </c>
      <c r="C41" t="s">
        <v>37</v>
      </c>
      <c r="D41">
        <v>298135.23</v>
      </c>
      <c r="E41">
        <v>281122.8</v>
      </c>
      <c r="F41">
        <v>1293.1100000000001</v>
      </c>
      <c r="G41">
        <v>5718.0800000000008</v>
      </c>
      <c r="H41">
        <v>10374608.726592189</v>
      </c>
    </row>
    <row r="42" spans="1:8" x14ac:dyDescent="0.3">
      <c r="A42" t="s">
        <v>18</v>
      </c>
      <c r="B42" t="s">
        <v>12</v>
      </c>
      <c r="C42" t="s">
        <v>38</v>
      </c>
      <c r="D42">
        <v>470654.33</v>
      </c>
      <c r="E42">
        <v>479591.54</v>
      </c>
      <c r="F42">
        <v>2479.3900000000003</v>
      </c>
      <c r="G42">
        <v>14623.189999999999</v>
      </c>
      <c r="H42">
        <v>21919968.933696222</v>
      </c>
    </row>
    <row r="43" spans="1:8" x14ac:dyDescent="0.3">
      <c r="A43" t="s">
        <v>18</v>
      </c>
      <c r="B43" t="s">
        <v>12</v>
      </c>
      <c r="C43" t="s">
        <v>37</v>
      </c>
      <c r="D43">
        <v>333019.56000000006</v>
      </c>
      <c r="E43">
        <v>320729.64</v>
      </c>
      <c r="F43">
        <v>1449.6899999999998</v>
      </c>
      <c r="G43">
        <v>10172.049999999999</v>
      </c>
      <c r="H43">
        <v>13648145.545979924</v>
      </c>
    </row>
    <row r="44" spans="1:8" x14ac:dyDescent="0.3">
      <c r="A44" t="s">
        <v>18</v>
      </c>
      <c r="B44" t="s">
        <v>8</v>
      </c>
      <c r="C44" t="s">
        <v>38</v>
      </c>
      <c r="D44">
        <v>394319.72000000003</v>
      </c>
      <c r="E44">
        <v>380106.39</v>
      </c>
      <c r="F44">
        <v>1739.4400000000003</v>
      </c>
      <c r="G44">
        <v>12150.460000000001</v>
      </c>
      <c r="H44">
        <v>17549969.830454733</v>
      </c>
    </row>
    <row r="45" spans="1:8" x14ac:dyDescent="0.3">
      <c r="A45" t="s">
        <v>18</v>
      </c>
      <c r="B45" t="s">
        <v>8</v>
      </c>
      <c r="C45" t="s">
        <v>37</v>
      </c>
      <c r="D45">
        <v>373366.51999999996</v>
      </c>
      <c r="E45">
        <v>352668.07000000007</v>
      </c>
      <c r="F45">
        <v>1392.51</v>
      </c>
      <c r="G45">
        <v>10037.26</v>
      </c>
      <c r="H45">
        <v>13373570.81163867</v>
      </c>
    </row>
    <row r="46" spans="1:8" x14ac:dyDescent="0.3">
      <c r="A46" t="s">
        <v>18</v>
      </c>
      <c r="B46" t="s">
        <v>4</v>
      </c>
      <c r="C46" t="s">
        <v>38</v>
      </c>
      <c r="D46">
        <v>308792.09999999998</v>
      </c>
      <c r="E46">
        <v>290134.12</v>
      </c>
      <c r="F46">
        <v>1289.0500000000002</v>
      </c>
      <c r="G46">
        <v>7955.6500000000005</v>
      </c>
      <c r="H46">
        <v>11295032.846104272</v>
      </c>
    </row>
    <row r="47" spans="1:8" x14ac:dyDescent="0.3">
      <c r="A47" t="s">
        <v>18</v>
      </c>
      <c r="B47" t="s">
        <v>4</v>
      </c>
      <c r="C47" t="s">
        <v>37</v>
      </c>
      <c r="D47">
        <v>343590.42000000004</v>
      </c>
      <c r="E47">
        <v>336843.24999999994</v>
      </c>
      <c r="F47">
        <v>1727.58</v>
      </c>
      <c r="G47">
        <v>12116.670000000002</v>
      </c>
      <c r="H47">
        <v>15532636.513394991</v>
      </c>
    </row>
    <row r="48" spans="1:8" x14ac:dyDescent="0.3">
      <c r="A48" t="s">
        <v>18</v>
      </c>
      <c r="B48" t="s">
        <v>6</v>
      </c>
      <c r="C48" t="s">
        <v>38</v>
      </c>
      <c r="D48">
        <v>660134.89</v>
      </c>
      <c r="E48">
        <v>639197.71</v>
      </c>
      <c r="F48">
        <v>2652</v>
      </c>
      <c r="G48">
        <v>16610.579999999998</v>
      </c>
      <c r="H48">
        <v>23377974.564856697</v>
      </c>
    </row>
    <row r="49" spans="1:8" x14ac:dyDescent="0.3">
      <c r="A49" t="s">
        <v>18</v>
      </c>
      <c r="B49" t="s">
        <v>6</v>
      </c>
      <c r="C49" t="s">
        <v>37</v>
      </c>
      <c r="D49">
        <v>539181.49</v>
      </c>
      <c r="E49">
        <v>522677.48999999993</v>
      </c>
      <c r="F49">
        <v>2216.4699999999998</v>
      </c>
      <c r="G49">
        <v>14200.359999999999</v>
      </c>
      <c r="H49">
        <v>18707554.754379112</v>
      </c>
    </row>
    <row r="50" spans="1:8" x14ac:dyDescent="0.3">
      <c r="A50" t="s">
        <v>19</v>
      </c>
      <c r="B50" t="s">
        <v>0</v>
      </c>
      <c r="C50" t="s">
        <v>38</v>
      </c>
      <c r="D50">
        <v>694617.04000000015</v>
      </c>
      <c r="E50">
        <v>713120.74</v>
      </c>
      <c r="F50">
        <v>2762.0799999999995</v>
      </c>
      <c r="G50">
        <v>17604.159999999996</v>
      </c>
      <c r="H50">
        <v>24626724.563089024</v>
      </c>
    </row>
    <row r="51" spans="1:8" x14ac:dyDescent="0.3">
      <c r="A51" t="s">
        <v>19</v>
      </c>
      <c r="B51" t="s">
        <v>0</v>
      </c>
      <c r="C51" t="s">
        <v>37</v>
      </c>
      <c r="D51">
        <v>450501.09999999992</v>
      </c>
      <c r="E51">
        <v>436446.93000000005</v>
      </c>
      <c r="F51">
        <v>1693.15</v>
      </c>
      <c r="G51">
        <v>9338.2500000000018</v>
      </c>
      <c r="H51">
        <v>14927993.139409386</v>
      </c>
    </row>
    <row r="52" spans="1:8" x14ac:dyDescent="0.3">
      <c r="A52" t="s">
        <v>19</v>
      </c>
      <c r="B52" t="s">
        <v>2</v>
      </c>
      <c r="C52" t="s">
        <v>38</v>
      </c>
      <c r="D52">
        <v>580930.03</v>
      </c>
      <c r="E52">
        <v>572168.87</v>
      </c>
      <c r="F52">
        <v>2880.5600000000004</v>
      </c>
      <c r="G52">
        <v>17916.170000000002</v>
      </c>
      <c r="H52">
        <v>24326047.44076737</v>
      </c>
    </row>
    <row r="53" spans="1:8" x14ac:dyDescent="0.3">
      <c r="A53" t="s">
        <v>19</v>
      </c>
      <c r="B53" t="s">
        <v>2</v>
      </c>
      <c r="C53" t="s">
        <v>37</v>
      </c>
      <c r="D53">
        <v>219008.42</v>
      </c>
      <c r="E53">
        <v>211284.77000000002</v>
      </c>
      <c r="F53">
        <v>1075.92</v>
      </c>
      <c r="G53">
        <v>9256.7300000000014</v>
      </c>
      <c r="H53">
        <v>9538553.4161869474</v>
      </c>
    </row>
    <row r="54" spans="1:8" x14ac:dyDescent="0.3">
      <c r="A54" t="s">
        <v>19</v>
      </c>
      <c r="B54" t="s">
        <v>14</v>
      </c>
      <c r="C54" t="s">
        <v>38</v>
      </c>
      <c r="D54">
        <v>640503.91000000015</v>
      </c>
      <c r="E54">
        <v>642360.79</v>
      </c>
      <c r="F54">
        <v>2054.6800000000003</v>
      </c>
      <c r="G54">
        <v>14406.34</v>
      </c>
      <c r="H54">
        <v>18208610.559616394</v>
      </c>
    </row>
    <row r="55" spans="1:8" x14ac:dyDescent="0.3">
      <c r="A55" t="s">
        <v>19</v>
      </c>
      <c r="B55" t="s">
        <v>14</v>
      </c>
      <c r="C55" t="s">
        <v>37</v>
      </c>
      <c r="D55">
        <v>465029.35999999993</v>
      </c>
      <c r="E55">
        <v>475710.27</v>
      </c>
      <c r="F55">
        <v>1876.66</v>
      </c>
      <c r="G55">
        <v>12398.950000000003</v>
      </c>
      <c r="H55">
        <v>18430364.691180941</v>
      </c>
    </row>
    <row r="56" spans="1:8" x14ac:dyDescent="0.3">
      <c r="A56" t="s">
        <v>19</v>
      </c>
      <c r="B56" t="s">
        <v>9</v>
      </c>
      <c r="C56" t="s">
        <v>38</v>
      </c>
      <c r="D56">
        <v>369856.25999999995</v>
      </c>
      <c r="E56">
        <v>368191.54000000004</v>
      </c>
      <c r="F56">
        <v>2060.6400000000003</v>
      </c>
      <c r="G56">
        <v>13263.849999999997</v>
      </c>
      <c r="H56">
        <v>18257211.93673265</v>
      </c>
    </row>
    <row r="57" spans="1:8" x14ac:dyDescent="0.3">
      <c r="A57" t="s">
        <v>19</v>
      </c>
      <c r="B57" t="s">
        <v>9</v>
      </c>
      <c r="C57" t="s">
        <v>37</v>
      </c>
      <c r="D57">
        <v>138933.67000000001</v>
      </c>
      <c r="E57">
        <v>144452.54</v>
      </c>
      <c r="F57">
        <v>768.29</v>
      </c>
      <c r="G57">
        <v>4522.8700000000008</v>
      </c>
      <c r="H57">
        <v>7343028.7767149955</v>
      </c>
    </row>
    <row r="58" spans="1:8" x14ac:dyDescent="0.3">
      <c r="A58" t="s">
        <v>19</v>
      </c>
      <c r="B58" t="s">
        <v>12</v>
      </c>
      <c r="C58" t="s">
        <v>38</v>
      </c>
      <c r="D58">
        <v>374322.93</v>
      </c>
      <c r="E58">
        <v>391524.98999999993</v>
      </c>
      <c r="F58">
        <v>1654.0599999999997</v>
      </c>
      <c r="G58">
        <v>10874.470000000003</v>
      </c>
      <c r="H58">
        <v>15424232.053769285</v>
      </c>
    </row>
    <row r="59" spans="1:8" x14ac:dyDescent="0.3">
      <c r="A59" t="s">
        <v>19</v>
      </c>
      <c r="B59" t="s">
        <v>12</v>
      </c>
      <c r="C59" t="s">
        <v>37</v>
      </c>
      <c r="D59">
        <v>288708.36</v>
      </c>
      <c r="E59">
        <v>305123.44</v>
      </c>
      <c r="F59">
        <v>1187.48</v>
      </c>
      <c r="G59">
        <v>9726.0600000000013</v>
      </c>
      <c r="H59">
        <v>12578453.101814171</v>
      </c>
    </row>
    <row r="60" spans="1:8" x14ac:dyDescent="0.3">
      <c r="A60" t="s">
        <v>19</v>
      </c>
      <c r="B60" t="s">
        <v>8</v>
      </c>
      <c r="C60" t="s">
        <v>38</v>
      </c>
      <c r="D60">
        <v>340575.61000000004</v>
      </c>
      <c r="E60">
        <v>336972</v>
      </c>
      <c r="F60">
        <v>1368.0900000000001</v>
      </c>
      <c r="G60">
        <v>8591.4</v>
      </c>
      <c r="H60">
        <v>11819622.059886705</v>
      </c>
    </row>
    <row r="61" spans="1:8" x14ac:dyDescent="0.3">
      <c r="A61" t="s">
        <v>19</v>
      </c>
      <c r="B61" t="s">
        <v>8</v>
      </c>
      <c r="C61" t="s">
        <v>37</v>
      </c>
      <c r="D61">
        <v>399752.51</v>
      </c>
      <c r="E61">
        <v>389555.48</v>
      </c>
      <c r="F61">
        <v>1315.6900000000003</v>
      </c>
      <c r="G61">
        <v>11011.66</v>
      </c>
      <c r="H61">
        <v>13591869.556414779</v>
      </c>
    </row>
    <row r="62" spans="1:8" x14ac:dyDescent="0.3">
      <c r="A62" t="s">
        <v>19</v>
      </c>
      <c r="B62" t="s">
        <v>4</v>
      </c>
      <c r="C62" t="s">
        <v>38</v>
      </c>
      <c r="D62">
        <v>601400.38000000012</v>
      </c>
      <c r="E62">
        <v>598200.64</v>
      </c>
      <c r="F62">
        <v>2354.27</v>
      </c>
      <c r="G62">
        <v>14492.070000000002</v>
      </c>
      <c r="H62">
        <v>22282296.554239303</v>
      </c>
    </row>
    <row r="63" spans="1:8" x14ac:dyDescent="0.3">
      <c r="A63" t="s">
        <v>19</v>
      </c>
      <c r="B63" t="s">
        <v>4</v>
      </c>
      <c r="C63" t="s">
        <v>37</v>
      </c>
      <c r="D63">
        <v>416852.78</v>
      </c>
      <c r="E63">
        <v>399212.28999999992</v>
      </c>
      <c r="F63">
        <v>1845.5800000000002</v>
      </c>
      <c r="G63">
        <v>11915.219999999998</v>
      </c>
      <c r="H63">
        <v>14333103.956043437</v>
      </c>
    </row>
    <row r="64" spans="1:8" x14ac:dyDescent="0.3">
      <c r="A64" t="s">
        <v>19</v>
      </c>
      <c r="B64" t="s">
        <v>6</v>
      </c>
      <c r="C64" t="s">
        <v>38</v>
      </c>
      <c r="D64">
        <v>465899.82999999996</v>
      </c>
      <c r="E64">
        <v>482016.50000000006</v>
      </c>
      <c r="F64">
        <v>1735.42</v>
      </c>
      <c r="G64">
        <v>10274.4</v>
      </c>
      <c r="H64">
        <v>17437297.375682414</v>
      </c>
    </row>
    <row r="65" spans="1:8" x14ac:dyDescent="0.3">
      <c r="A65" t="s">
        <v>19</v>
      </c>
      <c r="B65" t="s">
        <v>6</v>
      </c>
      <c r="C65" t="s">
        <v>37</v>
      </c>
      <c r="D65">
        <v>343786.29999999993</v>
      </c>
      <c r="E65">
        <v>327559.37</v>
      </c>
      <c r="F65">
        <v>1388.9</v>
      </c>
      <c r="G65">
        <v>9471.82</v>
      </c>
      <c r="H65">
        <v>11564128.443089444</v>
      </c>
    </row>
    <row r="66" spans="1:8" x14ac:dyDescent="0.3">
      <c r="A66" t="s">
        <v>5</v>
      </c>
      <c r="B66" t="s">
        <v>0</v>
      </c>
      <c r="C66" t="s">
        <v>38</v>
      </c>
      <c r="D66">
        <v>466681.96000000008</v>
      </c>
      <c r="E66">
        <v>470905.12</v>
      </c>
      <c r="F66">
        <v>2696.9100000000008</v>
      </c>
      <c r="G66">
        <v>14401.949999999999</v>
      </c>
      <c r="H66">
        <v>21267010.73518458</v>
      </c>
    </row>
    <row r="67" spans="1:8" x14ac:dyDescent="0.3">
      <c r="A67" t="s">
        <v>5</v>
      </c>
      <c r="B67" t="s">
        <v>0</v>
      </c>
      <c r="C67" t="s">
        <v>37</v>
      </c>
      <c r="D67">
        <v>252290.6</v>
      </c>
      <c r="E67">
        <v>253868.00000000003</v>
      </c>
      <c r="F67">
        <v>1305.6199999999999</v>
      </c>
      <c r="G67">
        <v>12434.87</v>
      </c>
      <c r="H67">
        <v>12892345.662324606</v>
      </c>
    </row>
    <row r="68" spans="1:8" x14ac:dyDescent="0.3">
      <c r="A68" t="s">
        <v>5</v>
      </c>
      <c r="B68" t="s">
        <v>2</v>
      </c>
      <c r="C68" t="s">
        <v>38</v>
      </c>
      <c r="D68">
        <v>301193.91000000003</v>
      </c>
      <c r="E68">
        <v>320145.23999999993</v>
      </c>
      <c r="F68">
        <v>1241.1599999999999</v>
      </c>
      <c r="G68">
        <v>11492.58</v>
      </c>
      <c r="H68">
        <v>12794708.678559067</v>
      </c>
    </row>
    <row r="69" spans="1:8" x14ac:dyDescent="0.3">
      <c r="A69" t="s">
        <v>5</v>
      </c>
      <c r="B69" t="s">
        <v>2</v>
      </c>
      <c r="C69" t="s">
        <v>37</v>
      </c>
      <c r="D69">
        <v>316275.84000000003</v>
      </c>
      <c r="E69">
        <v>333103.76999999996</v>
      </c>
      <c r="F69">
        <v>1430.2300000000002</v>
      </c>
      <c r="G69">
        <v>8352.3700000000008</v>
      </c>
      <c r="H69">
        <v>12527349.771168785</v>
      </c>
    </row>
    <row r="70" spans="1:8" x14ac:dyDescent="0.3">
      <c r="A70" t="s">
        <v>5</v>
      </c>
      <c r="B70" t="s">
        <v>14</v>
      </c>
      <c r="C70" t="s">
        <v>38</v>
      </c>
      <c r="D70">
        <v>527647.80999999994</v>
      </c>
      <c r="E70">
        <v>506917.24</v>
      </c>
      <c r="F70">
        <v>2292.8000000000002</v>
      </c>
      <c r="G70">
        <v>17082.440000000002</v>
      </c>
      <c r="H70">
        <v>19524063.797843762</v>
      </c>
    </row>
    <row r="71" spans="1:8" x14ac:dyDescent="0.3">
      <c r="A71" t="s">
        <v>5</v>
      </c>
      <c r="B71" t="s">
        <v>14</v>
      </c>
      <c r="C71" t="s">
        <v>37</v>
      </c>
      <c r="D71">
        <v>338534.74000000005</v>
      </c>
      <c r="E71">
        <v>346003.06</v>
      </c>
      <c r="F71">
        <v>1377.7500000000002</v>
      </c>
      <c r="G71">
        <v>6610.8899999999994</v>
      </c>
      <c r="H71">
        <v>12253813.981514527</v>
      </c>
    </row>
    <row r="72" spans="1:8" x14ac:dyDescent="0.3">
      <c r="A72" t="s">
        <v>5</v>
      </c>
      <c r="B72" t="s">
        <v>9</v>
      </c>
      <c r="C72" t="s">
        <v>38</v>
      </c>
      <c r="D72">
        <v>478429.04</v>
      </c>
      <c r="E72">
        <v>467632.62999999995</v>
      </c>
      <c r="F72">
        <v>1801.1699999999998</v>
      </c>
      <c r="G72">
        <v>13807.7</v>
      </c>
      <c r="H72">
        <v>18071674.64785561</v>
      </c>
    </row>
    <row r="73" spans="1:8" x14ac:dyDescent="0.3">
      <c r="A73" t="s">
        <v>5</v>
      </c>
      <c r="B73" t="s">
        <v>9</v>
      </c>
      <c r="C73" t="s">
        <v>37</v>
      </c>
      <c r="D73">
        <v>444475.94999999995</v>
      </c>
      <c r="E73">
        <v>448794.43999999994</v>
      </c>
      <c r="F73">
        <v>1889.4099999999999</v>
      </c>
      <c r="G73">
        <v>9547.51</v>
      </c>
      <c r="H73">
        <v>16681127.163488338</v>
      </c>
    </row>
    <row r="74" spans="1:8" x14ac:dyDescent="0.3">
      <c r="A74" t="s">
        <v>5</v>
      </c>
      <c r="B74" t="s">
        <v>12</v>
      </c>
      <c r="C74" t="s">
        <v>38</v>
      </c>
      <c r="D74">
        <v>486713.75</v>
      </c>
      <c r="E74">
        <v>506588.66999999993</v>
      </c>
      <c r="F74">
        <v>2487.4799999999996</v>
      </c>
      <c r="G74">
        <v>14118.990000000002</v>
      </c>
      <c r="H74">
        <v>21642369.767064121</v>
      </c>
    </row>
    <row r="75" spans="1:8" x14ac:dyDescent="0.3">
      <c r="A75" t="s">
        <v>5</v>
      </c>
      <c r="B75" t="s">
        <v>12</v>
      </c>
      <c r="C75" t="s">
        <v>37</v>
      </c>
      <c r="D75">
        <v>237524.62</v>
      </c>
      <c r="E75">
        <v>247994.95</v>
      </c>
      <c r="F75">
        <v>990.58999999999992</v>
      </c>
      <c r="G75">
        <v>8237.11</v>
      </c>
      <c r="H75">
        <v>10431004.1981968</v>
      </c>
    </row>
    <row r="76" spans="1:8" x14ac:dyDescent="0.3">
      <c r="A76" t="s">
        <v>5</v>
      </c>
      <c r="B76" t="s">
        <v>8</v>
      </c>
      <c r="C76" t="s">
        <v>38</v>
      </c>
      <c r="D76">
        <v>715602.92000000016</v>
      </c>
      <c r="E76">
        <v>723485.08000000007</v>
      </c>
      <c r="F76">
        <v>3000.06</v>
      </c>
      <c r="G76">
        <v>19218.79</v>
      </c>
      <c r="H76">
        <v>25300950.369554516</v>
      </c>
    </row>
    <row r="77" spans="1:8" x14ac:dyDescent="0.3">
      <c r="A77" t="s">
        <v>5</v>
      </c>
      <c r="B77" t="s">
        <v>8</v>
      </c>
      <c r="C77" t="s">
        <v>37</v>
      </c>
      <c r="D77">
        <v>139748.09000000003</v>
      </c>
      <c r="E77">
        <v>142573.91999999998</v>
      </c>
      <c r="F77">
        <v>517.87</v>
      </c>
      <c r="G77">
        <v>3101.24</v>
      </c>
      <c r="H77">
        <v>5243277.4569709012</v>
      </c>
    </row>
    <row r="78" spans="1:8" x14ac:dyDescent="0.3">
      <c r="A78" t="s">
        <v>5</v>
      </c>
      <c r="B78" t="s">
        <v>4</v>
      </c>
      <c r="C78" t="s">
        <v>38</v>
      </c>
      <c r="D78">
        <v>554417.29999999993</v>
      </c>
      <c r="E78">
        <v>587123.14000000013</v>
      </c>
      <c r="F78">
        <v>2966.7699999999995</v>
      </c>
      <c r="G78">
        <v>16514.86</v>
      </c>
      <c r="H78">
        <v>28012735.94748899</v>
      </c>
    </row>
    <row r="79" spans="1:8" x14ac:dyDescent="0.3">
      <c r="A79" t="s">
        <v>5</v>
      </c>
      <c r="B79" t="s">
        <v>4</v>
      </c>
      <c r="C79" t="s">
        <v>37</v>
      </c>
      <c r="D79">
        <v>353935.15</v>
      </c>
      <c r="E79">
        <v>362545.61000000004</v>
      </c>
      <c r="F79">
        <v>1614.1200000000001</v>
      </c>
      <c r="G79">
        <v>8532.6099999999988</v>
      </c>
      <c r="H79">
        <v>15154107.546140125</v>
      </c>
    </row>
    <row r="80" spans="1:8" x14ac:dyDescent="0.3">
      <c r="A80" t="s">
        <v>5</v>
      </c>
      <c r="B80" t="s">
        <v>6</v>
      </c>
      <c r="C80" t="s">
        <v>38</v>
      </c>
      <c r="D80">
        <v>513776.93999999994</v>
      </c>
      <c r="E80">
        <v>513925.66000000003</v>
      </c>
      <c r="F80">
        <v>2210.5600000000004</v>
      </c>
      <c r="G80">
        <v>20575.04</v>
      </c>
      <c r="H80">
        <v>23352050.488499213</v>
      </c>
    </row>
    <row r="81" spans="1:8" x14ac:dyDescent="0.3">
      <c r="A81" t="s">
        <v>5</v>
      </c>
      <c r="B81" t="s">
        <v>6</v>
      </c>
      <c r="C81" t="s">
        <v>37</v>
      </c>
      <c r="D81">
        <v>283847.56</v>
      </c>
      <c r="E81">
        <v>289217.03000000003</v>
      </c>
      <c r="F81">
        <v>1275.6100000000001</v>
      </c>
      <c r="G81">
        <v>6882.3700000000008</v>
      </c>
      <c r="H81">
        <v>10931266.11558976</v>
      </c>
    </row>
    <row r="82" spans="1:8" x14ac:dyDescent="0.3">
      <c r="A82" t="s">
        <v>1</v>
      </c>
      <c r="B82" t="s">
        <v>0</v>
      </c>
      <c r="C82" t="s">
        <v>38</v>
      </c>
      <c r="D82">
        <v>328143.96000000008</v>
      </c>
      <c r="E82">
        <v>339237.64</v>
      </c>
      <c r="F82">
        <v>1398.73</v>
      </c>
      <c r="G82">
        <v>8599.58</v>
      </c>
      <c r="H82">
        <v>14006245.673473971</v>
      </c>
    </row>
    <row r="83" spans="1:8" x14ac:dyDescent="0.3">
      <c r="A83" t="s">
        <v>1</v>
      </c>
      <c r="B83" t="s">
        <v>0</v>
      </c>
      <c r="C83" t="s">
        <v>37</v>
      </c>
      <c r="D83">
        <v>302549.69</v>
      </c>
      <c r="E83">
        <v>303993.39</v>
      </c>
      <c r="F83">
        <v>1607.47</v>
      </c>
      <c r="G83">
        <v>10093.650000000001</v>
      </c>
      <c r="H83">
        <v>13507942.576274516</v>
      </c>
    </row>
    <row r="84" spans="1:8" x14ac:dyDescent="0.3">
      <c r="A84" t="s">
        <v>1</v>
      </c>
      <c r="B84" t="s">
        <v>2</v>
      </c>
      <c r="C84" t="s">
        <v>38</v>
      </c>
      <c r="D84">
        <v>590581.68999999994</v>
      </c>
      <c r="E84">
        <v>580150.24</v>
      </c>
      <c r="F84">
        <v>2389.0700000000002</v>
      </c>
      <c r="G84">
        <v>18224.439999999999</v>
      </c>
      <c r="H84">
        <v>23805516.511515323</v>
      </c>
    </row>
    <row r="85" spans="1:8" x14ac:dyDescent="0.3">
      <c r="A85" t="s">
        <v>1</v>
      </c>
      <c r="B85" t="s">
        <v>2</v>
      </c>
      <c r="C85" t="s">
        <v>37</v>
      </c>
      <c r="D85">
        <v>262322.3</v>
      </c>
      <c r="E85">
        <v>271882.33999999997</v>
      </c>
      <c r="F85">
        <v>1018.2900000000001</v>
      </c>
      <c r="G85">
        <v>7074.2599999999993</v>
      </c>
      <c r="H85">
        <v>9401180.9563360084</v>
      </c>
    </row>
    <row r="86" spans="1:8" x14ac:dyDescent="0.3">
      <c r="A86" t="s">
        <v>1</v>
      </c>
      <c r="B86" t="s">
        <v>14</v>
      </c>
      <c r="C86" t="s">
        <v>38</v>
      </c>
      <c r="D86">
        <v>489576.63</v>
      </c>
      <c r="E86">
        <v>459180.56000000006</v>
      </c>
      <c r="F86">
        <v>2292.6999999999998</v>
      </c>
      <c r="G86">
        <v>12926.850000000002</v>
      </c>
      <c r="H86">
        <v>16885115.438915495</v>
      </c>
    </row>
    <row r="87" spans="1:8" x14ac:dyDescent="0.3">
      <c r="A87" t="s">
        <v>1</v>
      </c>
      <c r="B87" t="s">
        <v>14</v>
      </c>
      <c r="C87" t="s">
        <v>37</v>
      </c>
      <c r="D87">
        <v>470784.02999999997</v>
      </c>
      <c r="E87">
        <v>464118.93</v>
      </c>
      <c r="F87">
        <v>2180.1</v>
      </c>
      <c r="G87">
        <v>14168.67</v>
      </c>
      <c r="H87">
        <v>17634508.380714349</v>
      </c>
    </row>
    <row r="88" spans="1:8" x14ac:dyDescent="0.3">
      <c r="A88" t="s">
        <v>1</v>
      </c>
      <c r="B88" t="s">
        <v>9</v>
      </c>
      <c r="C88" t="s">
        <v>38</v>
      </c>
      <c r="D88">
        <v>553986.79</v>
      </c>
      <c r="E88">
        <v>544881.97</v>
      </c>
      <c r="F88">
        <v>1696.0800000000002</v>
      </c>
      <c r="G88">
        <v>10543.980000000001</v>
      </c>
      <c r="H88">
        <v>15891312.077471402</v>
      </c>
    </row>
    <row r="89" spans="1:8" x14ac:dyDescent="0.3">
      <c r="A89" t="s">
        <v>1</v>
      </c>
      <c r="B89" t="s">
        <v>9</v>
      </c>
      <c r="C89" t="s">
        <v>37</v>
      </c>
      <c r="D89">
        <v>327786.81000000006</v>
      </c>
      <c r="E89">
        <v>334238.28000000003</v>
      </c>
      <c r="F89">
        <v>1367.4</v>
      </c>
      <c r="G89">
        <v>8723.9499999999989</v>
      </c>
      <c r="H89">
        <v>13361959.732087545</v>
      </c>
    </row>
    <row r="90" spans="1:8" x14ac:dyDescent="0.3">
      <c r="A90" t="s">
        <v>1</v>
      </c>
      <c r="B90" t="s">
        <v>12</v>
      </c>
      <c r="C90" t="s">
        <v>38</v>
      </c>
      <c r="D90">
        <v>276041.75999999995</v>
      </c>
      <c r="E90">
        <v>257146.63999999996</v>
      </c>
      <c r="F90">
        <v>1143.9699999999998</v>
      </c>
      <c r="G90">
        <v>6304.0399999999991</v>
      </c>
      <c r="H90">
        <v>11231585.813487124</v>
      </c>
    </row>
    <row r="91" spans="1:8" x14ac:dyDescent="0.3">
      <c r="A91" t="s">
        <v>1</v>
      </c>
      <c r="B91" t="s">
        <v>12</v>
      </c>
      <c r="C91" t="s">
        <v>37</v>
      </c>
      <c r="D91">
        <v>384343.01999999996</v>
      </c>
      <c r="E91">
        <v>371336.18000000011</v>
      </c>
      <c r="F91">
        <v>1308.9199999999998</v>
      </c>
      <c r="G91">
        <v>11783.36</v>
      </c>
      <c r="H91">
        <v>13828479.169242168</v>
      </c>
    </row>
    <row r="92" spans="1:8" x14ac:dyDescent="0.3">
      <c r="A92" t="s">
        <v>1</v>
      </c>
      <c r="B92" t="s">
        <v>8</v>
      </c>
      <c r="C92" t="s">
        <v>38</v>
      </c>
      <c r="D92">
        <v>378220.03000000009</v>
      </c>
      <c r="E92">
        <v>366540.24999999994</v>
      </c>
      <c r="F92">
        <v>1917.5799999999997</v>
      </c>
      <c r="G92">
        <v>11315.199999999997</v>
      </c>
      <c r="H92">
        <v>15702817.19849542</v>
      </c>
    </row>
    <row r="93" spans="1:8" x14ac:dyDescent="0.3">
      <c r="A93" t="s">
        <v>1</v>
      </c>
      <c r="B93" t="s">
        <v>8</v>
      </c>
      <c r="C93" t="s">
        <v>37</v>
      </c>
      <c r="D93">
        <v>329343.33</v>
      </c>
      <c r="E93">
        <v>320566.75</v>
      </c>
      <c r="F93">
        <v>1262.0800000000002</v>
      </c>
      <c r="G93">
        <v>6577.2</v>
      </c>
      <c r="H93">
        <v>12699319.656463422</v>
      </c>
    </row>
    <row r="94" spans="1:8" x14ac:dyDescent="0.3">
      <c r="A94" t="s">
        <v>1</v>
      </c>
      <c r="B94" t="s">
        <v>4</v>
      </c>
      <c r="C94" t="s">
        <v>38</v>
      </c>
      <c r="D94">
        <v>496977.32999999996</v>
      </c>
      <c r="E94">
        <v>484906.78</v>
      </c>
      <c r="F94">
        <v>2099.12</v>
      </c>
      <c r="G94">
        <v>9344.0899999999983</v>
      </c>
      <c r="H94">
        <v>15701780.954923211</v>
      </c>
    </row>
    <row r="95" spans="1:8" x14ac:dyDescent="0.3">
      <c r="A95" t="s">
        <v>1</v>
      </c>
      <c r="B95" t="s">
        <v>4</v>
      </c>
      <c r="C95" t="s">
        <v>37</v>
      </c>
      <c r="D95">
        <v>299285.11</v>
      </c>
      <c r="E95">
        <v>301394.34999999998</v>
      </c>
      <c r="F95">
        <v>1141.51</v>
      </c>
      <c r="G95">
        <v>9181.1200000000008</v>
      </c>
      <c r="H95">
        <v>10990754.646602869</v>
      </c>
    </row>
    <row r="96" spans="1:8" x14ac:dyDescent="0.3">
      <c r="A96" t="s">
        <v>1</v>
      </c>
      <c r="B96" t="s">
        <v>6</v>
      </c>
      <c r="C96" t="s">
        <v>38</v>
      </c>
      <c r="D96">
        <v>448551.98</v>
      </c>
      <c r="E96">
        <v>435313.61</v>
      </c>
      <c r="F96">
        <v>1734.2300000000002</v>
      </c>
      <c r="G96">
        <v>12446.16</v>
      </c>
      <c r="H96">
        <v>15670957.874570338</v>
      </c>
    </row>
    <row r="97" spans="1:8" x14ac:dyDescent="0.3">
      <c r="A97" t="s">
        <v>1</v>
      </c>
      <c r="B97" t="s">
        <v>6</v>
      </c>
      <c r="C97" t="s">
        <v>37</v>
      </c>
      <c r="D97">
        <v>396000.54</v>
      </c>
      <c r="E97">
        <v>409079.56</v>
      </c>
      <c r="F97">
        <v>2197.0600000000004</v>
      </c>
      <c r="G97">
        <v>11238.83</v>
      </c>
      <c r="H97">
        <v>15041878.716951812</v>
      </c>
    </row>
    <row r="98" spans="1:8" x14ac:dyDescent="0.3">
      <c r="A98" t="s">
        <v>15</v>
      </c>
      <c r="B98" t="s">
        <v>0</v>
      </c>
      <c r="C98" t="s">
        <v>38</v>
      </c>
      <c r="D98">
        <v>573136.45000000007</v>
      </c>
      <c r="E98">
        <v>559029.02</v>
      </c>
      <c r="F98">
        <v>2663.0800000000004</v>
      </c>
      <c r="G98">
        <v>18495.620000000003</v>
      </c>
      <c r="H98">
        <v>24454644.602729209</v>
      </c>
    </row>
    <row r="99" spans="1:8" x14ac:dyDescent="0.3">
      <c r="A99" t="s">
        <v>15</v>
      </c>
      <c r="B99" t="s">
        <v>0</v>
      </c>
      <c r="C99" t="s">
        <v>37</v>
      </c>
      <c r="D99">
        <v>229032.70000000004</v>
      </c>
      <c r="E99">
        <v>236270.22999999998</v>
      </c>
      <c r="F99">
        <v>1369.03</v>
      </c>
      <c r="G99">
        <v>7338.8600000000006</v>
      </c>
      <c r="H99">
        <v>10234757.568303945</v>
      </c>
    </row>
    <row r="100" spans="1:8" x14ac:dyDescent="0.3">
      <c r="A100" t="s">
        <v>15</v>
      </c>
      <c r="B100" t="s">
        <v>2</v>
      </c>
      <c r="C100" t="s">
        <v>38</v>
      </c>
      <c r="D100">
        <v>600717.05999999994</v>
      </c>
      <c r="E100">
        <v>598093.76000000013</v>
      </c>
      <c r="F100">
        <v>3550.5</v>
      </c>
      <c r="G100">
        <v>18835.82</v>
      </c>
      <c r="H100">
        <v>28637995.008779995</v>
      </c>
    </row>
    <row r="101" spans="1:8" x14ac:dyDescent="0.3">
      <c r="A101" t="s">
        <v>15</v>
      </c>
      <c r="B101" t="s">
        <v>2</v>
      </c>
      <c r="C101" t="s">
        <v>37</v>
      </c>
      <c r="D101">
        <v>427668.98</v>
      </c>
      <c r="E101">
        <v>418488.91999999987</v>
      </c>
      <c r="F101">
        <v>1823.7599999999998</v>
      </c>
      <c r="G101">
        <v>12582.33</v>
      </c>
      <c r="H101">
        <v>16536898.09107702</v>
      </c>
    </row>
    <row r="102" spans="1:8" x14ac:dyDescent="0.3">
      <c r="A102" t="s">
        <v>15</v>
      </c>
      <c r="B102" t="s">
        <v>14</v>
      </c>
      <c r="C102" t="s">
        <v>38</v>
      </c>
      <c r="D102">
        <v>532584.22000000009</v>
      </c>
      <c r="E102">
        <v>533344.11</v>
      </c>
      <c r="F102">
        <v>2748.61</v>
      </c>
      <c r="G102">
        <v>16489.8</v>
      </c>
      <c r="H102">
        <v>24195354.625108328</v>
      </c>
    </row>
    <row r="103" spans="1:8" x14ac:dyDescent="0.3">
      <c r="A103" t="s">
        <v>15</v>
      </c>
      <c r="B103" t="s">
        <v>14</v>
      </c>
      <c r="C103" t="s">
        <v>37</v>
      </c>
      <c r="D103">
        <v>223510.18999999994</v>
      </c>
      <c r="E103">
        <v>217864.43000000002</v>
      </c>
      <c r="F103">
        <v>1607.63</v>
      </c>
      <c r="G103">
        <v>9947.4500000000007</v>
      </c>
      <c r="H103">
        <v>11740337.473732453</v>
      </c>
    </row>
    <row r="104" spans="1:8" x14ac:dyDescent="0.3">
      <c r="A104" t="s">
        <v>15</v>
      </c>
      <c r="B104" t="s">
        <v>9</v>
      </c>
      <c r="C104" t="s">
        <v>38</v>
      </c>
      <c r="D104">
        <v>433730.29000000004</v>
      </c>
      <c r="E104">
        <v>414382.7</v>
      </c>
      <c r="F104">
        <v>2370.9600000000005</v>
      </c>
      <c r="G104">
        <v>11002.9</v>
      </c>
      <c r="H104">
        <v>16550979.19957724</v>
      </c>
    </row>
    <row r="105" spans="1:8" x14ac:dyDescent="0.3">
      <c r="A105" t="s">
        <v>15</v>
      </c>
      <c r="B105" t="s">
        <v>9</v>
      </c>
      <c r="C105" t="s">
        <v>37</v>
      </c>
      <c r="D105">
        <v>387259.04000000004</v>
      </c>
      <c r="E105">
        <v>405789.08</v>
      </c>
      <c r="F105">
        <v>1814.69</v>
      </c>
      <c r="G105">
        <v>12798.93</v>
      </c>
      <c r="H105">
        <v>18030117.724218119</v>
      </c>
    </row>
    <row r="106" spans="1:8" x14ac:dyDescent="0.3">
      <c r="A106" t="s">
        <v>15</v>
      </c>
      <c r="B106" t="s">
        <v>12</v>
      </c>
      <c r="C106" t="s">
        <v>38</v>
      </c>
      <c r="D106">
        <v>597005.89000000013</v>
      </c>
      <c r="E106">
        <v>600074.81999999995</v>
      </c>
      <c r="F106">
        <v>2697.2799999999997</v>
      </c>
      <c r="G106">
        <v>16034.730000000003</v>
      </c>
      <c r="H106">
        <v>24320802.802966639</v>
      </c>
    </row>
    <row r="107" spans="1:8" x14ac:dyDescent="0.3">
      <c r="A107" t="s">
        <v>15</v>
      </c>
      <c r="B107" t="s">
        <v>12</v>
      </c>
      <c r="C107" t="s">
        <v>37</v>
      </c>
      <c r="D107">
        <v>348108.95000000007</v>
      </c>
      <c r="E107">
        <v>353531.94</v>
      </c>
      <c r="F107">
        <v>1942.4400000000003</v>
      </c>
      <c r="G107">
        <v>11362.3</v>
      </c>
      <c r="H107">
        <v>17563787.554574687</v>
      </c>
    </row>
    <row r="108" spans="1:8" x14ac:dyDescent="0.3">
      <c r="A108" t="s">
        <v>15</v>
      </c>
      <c r="B108" t="s">
        <v>8</v>
      </c>
      <c r="C108" t="s">
        <v>38</v>
      </c>
      <c r="D108">
        <v>585035.5199999999</v>
      </c>
      <c r="E108">
        <v>572337.30000000005</v>
      </c>
      <c r="F108">
        <v>1806.1</v>
      </c>
      <c r="G108">
        <v>9272.4500000000007</v>
      </c>
      <c r="H108">
        <v>18638556.577268083</v>
      </c>
    </row>
    <row r="109" spans="1:8" x14ac:dyDescent="0.3">
      <c r="A109" t="s">
        <v>15</v>
      </c>
      <c r="B109" t="s">
        <v>8</v>
      </c>
      <c r="C109" t="s">
        <v>37</v>
      </c>
      <c r="D109">
        <v>209579.01</v>
      </c>
      <c r="E109">
        <v>213706.44</v>
      </c>
      <c r="F109">
        <v>1006.3199999999999</v>
      </c>
      <c r="G109">
        <v>6349.0499999999993</v>
      </c>
      <c r="H109">
        <v>7884864.8660326824</v>
      </c>
    </row>
    <row r="110" spans="1:8" x14ac:dyDescent="0.3">
      <c r="A110" t="s">
        <v>15</v>
      </c>
      <c r="B110" t="s">
        <v>4</v>
      </c>
      <c r="C110" t="s">
        <v>38</v>
      </c>
      <c r="D110">
        <v>374580.24</v>
      </c>
      <c r="E110">
        <v>384724.49</v>
      </c>
      <c r="F110">
        <v>1797.6500000000003</v>
      </c>
      <c r="G110">
        <v>14477.220000000003</v>
      </c>
      <c r="H110">
        <v>16322862.873467661</v>
      </c>
    </row>
    <row r="111" spans="1:8" x14ac:dyDescent="0.3">
      <c r="A111" t="s">
        <v>15</v>
      </c>
      <c r="B111" t="s">
        <v>4</v>
      </c>
      <c r="C111" t="s">
        <v>37</v>
      </c>
      <c r="D111">
        <v>195025.47</v>
      </c>
      <c r="E111">
        <v>195510.72999999998</v>
      </c>
      <c r="F111">
        <v>1062.02</v>
      </c>
      <c r="G111">
        <v>6849.31</v>
      </c>
      <c r="H111">
        <v>9538343.2140406575</v>
      </c>
    </row>
    <row r="112" spans="1:8" x14ac:dyDescent="0.3">
      <c r="A112" t="s">
        <v>15</v>
      </c>
      <c r="B112" t="s">
        <v>6</v>
      </c>
      <c r="C112" t="s">
        <v>38</v>
      </c>
      <c r="D112">
        <v>448496.04000000004</v>
      </c>
      <c r="E112">
        <v>438273.70999999996</v>
      </c>
      <c r="F112">
        <v>2494.6299999999997</v>
      </c>
      <c r="G112">
        <v>16004.510000000004</v>
      </c>
      <c r="H112">
        <v>19833657.625923656</v>
      </c>
    </row>
    <row r="113" spans="1:8" x14ac:dyDescent="0.3">
      <c r="A113" t="s">
        <v>15</v>
      </c>
      <c r="B113" t="s">
        <v>6</v>
      </c>
      <c r="C113" t="s">
        <v>37</v>
      </c>
      <c r="D113">
        <v>594582.96000000008</v>
      </c>
      <c r="E113">
        <v>589298.26</v>
      </c>
      <c r="F113">
        <v>2459</v>
      </c>
      <c r="G113">
        <v>13252.010000000002</v>
      </c>
      <c r="H113">
        <v>21797611.824076913</v>
      </c>
    </row>
    <row r="114" spans="1:8" x14ac:dyDescent="0.3">
      <c r="A114" t="s">
        <v>25</v>
      </c>
      <c r="B114" t="s">
        <v>0</v>
      </c>
      <c r="C114" t="s">
        <v>38</v>
      </c>
      <c r="D114">
        <v>470210.51999999996</v>
      </c>
      <c r="E114">
        <v>479837.24999999994</v>
      </c>
      <c r="F114">
        <v>1468.0799999999997</v>
      </c>
      <c r="G114">
        <v>11944.89</v>
      </c>
      <c r="H114">
        <v>15448350.19263305</v>
      </c>
    </row>
    <row r="115" spans="1:8" x14ac:dyDescent="0.3">
      <c r="A115" t="s">
        <v>25</v>
      </c>
      <c r="B115" t="s">
        <v>0</v>
      </c>
      <c r="C115" t="s">
        <v>37</v>
      </c>
      <c r="D115">
        <v>338800.77999999997</v>
      </c>
      <c r="E115">
        <v>308092.39999999997</v>
      </c>
      <c r="F115">
        <v>1093.3899999999999</v>
      </c>
      <c r="G115">
        <v>8643.619999999999</v>
      </c>
      <c r="H115">
        <v>11755547.420759834</v>
      </c>
    </row>
    <row r="116" spans="1:8" x14ac:dyDescent="0.3">
      <c r="A116" t="s">
        <v>25</v>
      </c>
      <c r="B116" t="s">
        <v>2</v>
      </c>
      <c r="C116" t="s">
        <v>38</v>
      </c>
      <c r="D116">
        <v>675941.51000000036</v>
      </c>
      <c r="E116">
        <v>693920.20000000019</v>
      </c>
      <c r="F116">
        <v>3030.8099999999995</v>
      </c>
      <c r="G116">
        <v>21397.08</v>
      </c>
      <c r="H116">
        <v>26160531.36019738</v>
      </c>
    </row>
    <row r="117" spans="1:8" x14ac:dyDescent="0.3">
      <c r="A117" t="s">
        <v>25</v>
      </c>
      <c r="B117" t="s">
        <v>2</v>
      </c>
      <c r="C117" t="s">
        <v>37</v>
      </c>
      <c r="D117">
        <v>443908.37000000005</v>
      </c>
      <c r="E117">
        <v>451662.18000000005</v>
      </c>
      <c r="F117">
        <v>1529.13</v>
      </c>
      <c r="G117">
        <v>10188.240000000002</v>
      </c>
      <c r="H117">
        <v>17636718.771988653</v>
      </c>
    </row>
    <row r="118" spans="1:8" x14ac:dyDescent="0.3">
      <c r="A118" t="s">
        <v>25</v>
      </c>
      <c r="B118" t="s">
        <v>14</v>
      </c>
      <c r="C118" t="s">
        <v>38</v>
      </c>
      <c r="D118">
        <v>486444.86999999994</v>
      </c>
      <c r="E118">
        <v>510880.69999999995</v>
      </c>
      <c r="F118">
        <v>2671.6800000000003</v>
      </c>
      <c r="G118">
        <v>14891.55</v>
      </c>
      <c r="H118">
        <v>22193389.849286638</v>
      </c>
    </row>
    <row r="119" spans="1:8" x14ac:dyDescent="0.3">
      <c r="A119" t="s">
        <v>25</v>
      </c>
      <c r="B119" t="s">
        <v>14</v>
      </c>
      <c r="C119" t="s">
        <v>37</v>
      </c>
      <c r="D119">
        <v>177608.51</v>
      </c>
      <c r="E119">
        <v>184291.33</v>
      </c>
      <c r="F119">
        <v>748.03000000000009</v>
      </c>
      <c r="G119">
        <v>4159.5399999999991</v>
      </c>
      <c r="H119">
        <v>7928685.5724511938</v>
      </c>
    </row>
    <row r="120" spans="1:8" x14ac:dyDescent="0.3">
      <c r="A120" t="s">
        <v>25</v>
      </c>
      <c r="B120" t="s">
        <v>9</v>
      </c>
      <c r="C120" t="s">
        <v>38</v>
      </c>
      <c r="D120">
        <v>544998.68000000005</v>
      </c>
      <c r="E120">
        <v>537036.9</v>
      </c>
      <c r="F120">
        <v>2121.2199999999998</v>
      </c>
      <c r="G120">
        <v>14046.94</v>
      </c>
      <c r="H120">
        <v>19397595.562777545</v>
      </c>
    </row>
    <row r="121" spans="1:8" x14ac:dyDescent="0.3">
      <c r="A121" t="s">
        <v>25</v>
      </c>
      <c r="B121" t="s">
        <v>9</v>
      </c>
      <c r="C121" t="s">
        <v>37</v>
      </c>
      <c r="D121">
        <v>289660.84999999998</v>
      </c>
      <c r="E121">
        <v>282608.98000000004</v>
      </c>
      <c r="F121">
        <v>1425.06</v>
      </c>
      <c r="G121">
        <v>10009.619999999999</v>
      </c>
      <c r="H121">
        <v>12786820.663211877</v>
      </c>
    </row>
    <row r="122" spans="1:8" x14ac:dyDescent="0.3">
      <c r="A122" t="s">
        <v>25</v>
      </c>
      <c r="B122" t="s">
        <v>12</v>
      </c>
      <c r="C122" t="s">
        <v>38</v>
      </c>
      <c r="D122">
        <v>527861.87000000011</v>
      </c>
      <c r="E122">
        <v>516216.67000000004</v>
      </c>
      <c r="F122">
        <v>2596.73</v>
      </c>
      <c r="G122">
        <v>15063.150000000005</v>
      </c>
      <c r="H122">
        <v>22620595.061109945</v>
      </c>
    </row>
    <row r="123" spans="1:8" x14ac:dyDescent="0.3">
      <c r="A123" t="s">
        <v>25</v>
      </c>
      <c r="B123" t="s">
        <v>12</v>
      </c>
      <c r="C123" t="s">
        <v>37</v>
      </c>
      <c r="D123">
        <v>340058.27999999997</v>
      </c>
      <c r="E123">
        <v>336582.14999999997</v>
      </c>
      <c r="F123">
        <v>1648.21</v>
      </c>
      <c r="G123">
        <v>9262.08</v>
      </c>
      <c r="H123">
        <v>13508113.592468407</v>
      </c>
    </row>
    <row r="124" spans="1:8" x14ac:dyDescent="0.3">
      <c r="A124" t="s">
        <v>25</v>
      </c>
      <c r="B124" t="s">
        <v>8</v>
      </c>
      <c r="C124" t="s">
        <v>38</v>
      </c>
      <c r="D124">
        <v>291591.23</v>
      </c>
      <c r="E124">
        <v>303648.61</v>
      </c>
      <c r="F124">
        <v>2099.2099999999996</v>
      </c>
      <c r="G124">
        <v>12915.340000000002</v>
      </c>
      <c r="H124">
        <v>17486884.626143154</v>
      </c>
    </row>
    <row r="125" spans="1:8" x14ac:dyDescent="0.3">
      <c r="A125" t="s">
        <v>25</v>
      </c>
      <c r="B125" t="s">
        <v>8</v>
      </c>
      <c r="C125" t="s">
        <v>37</v>
      </c>
      <c r="D125">
        <v>236637.22000000003</v>
      </c>
      <c r="E125">
        <v>211199.65</v>
      </c>
      <c r="F125">
        <v>1029.07</v>
      </c>
      <c r="G125">
        <v>7267.85</v>
      </c>
      <c r="H125">
        <v>9020101.19330265</v>
      </c>
    </row>
    <row r="126" spans="1:8" x14ac:dyDescent="0.3">
      <c r="A126" t="s">
        <v>25</v>
      </c>
      <c r="B126" t="s">
        <v>4</v>
      </c>
      <c r="C126" t="s">
        <v>38</v>
      </c>
      <c r="D126">
        <v>423801.79000000004</v>
      </c>
      <c r="E126">
        <v>434802.4</v>
      </c>
      <c r="F126">
        <v>1828.8999999999999</v>
      </c>
      <c r="G126">
        <v>13506.140000000001</v>
      </c>
      <c r="H126">
        <v>18379685.157184225</v>
      </c>
    </row>
    <row r="127" spans="1:8" x14ac:dyDescent="0.3">
      <c r="A127" t="s">
        <v>25</v>
      </c>
      <c r="B127" t="s">
        <v>4</v>
      </c>
      <c r="C127" t="s">
        <v>37</v>
      </c>
      <c r="D127">
        <v>264052.78000000003</v>
      </c>
      <c r="E127">
        <v>270656.74000000005</v>
      </c>
      <c r="F127">
        <v>965.8</v>
      </c>
      <c r="G127">
        <v>4306.32</v>
      </c>
      <c r="H127">
        <v>8257420.7681241184</v>
      </c>
    </row>
    <row r="128" spans="1:8" x14ac:dyDescent="0.3">
      <c r="A128" t="s">
        <v>25</v>
      </c>
      <c r="B128" t="s">
        <v>6</v>
      </c>
      <c r="C128" t="s">
        <v>38</v>
      </c>
      <c r="D128">
        <v>430655.89</v>
      </c>
      <c r="E128">
        <v>433155.61000000004</v>
      </c>
      <c r="F128">
        <v>1962.0100000000002</v>
      </c>
      <c r="G128">
        <v>12280.82</v>
      </c>
      <c r="H128">
        <v>18064494.856729072</v>
      </c>
    </row>
    <row r="129" spans="1:8" x14ac:dyDescent="0.3">
      <c r="A129" t="s">
        <v>25</v>
      </c>
      <c r="B129" t="s">
        <v>6</v>
      </c>
      <c r="C129" t="s">
        <v>37</v>
      </c>
      <c r="D129">
        <v>303080.62</v>
      </c>
      <c r="E129">
        <v>305757.37</v>
      </c>
      <c r="F129">
        <v>1773.7599999999998</v>
      </c>
      <c r="G129">
        <v>10366.23</v>
      </c>
      <c r="H129">
        <v>16211595.297967531</v>
      </c>
    </row>
    <row r="130" spans="1:8" x14ac:dyDescent="0.3">
      <c r="A130" t="s">
        <v>7</v>
      </c>
      <c r="B130" t="s">
        <v>0</v>
      </c>
      <c r="C130" t="s">
        <v>38</v>
      </c>
      <c r="D130">
        <v>312141.78000000003</v>
      </c>
      <c r="E130">
        <v>306277.05000000005</v>
      </c>
      <c r="F130">
        <v>1316.54</v>
      </c>
      <c r="G130">
        <v>8025.29</v>
      </c>
      <c r="H130">
        <v>12142262.087510489</v>
      </c>
    </row>
    <row r="131" spans="1:8" x14ac:dyDescent="0.3">
      <c r="A131" t="s">
        <v>7</v>
      </c>
      <c r="B131" t="s">
        <v>0</v>
      </c>
      <c r="C131" t="s">
        <v>37</v>
      </c>
      <c r="D131">
        <v>446466.66000000003</v>
      </c>
      <c r="E131">
        <v>413083.99000000011</v>
      </c>
      <c r="F131">
        <v>2050.5399999999995</v>
      </c>
      <c r="G131">
        <v>12088.720000000001</v>
      </c>
      <c r="H131">
        <v>18107709.775005102</v>
      </c>
    </row>
    <row r="132" spans="1:8" x14ac:dyDescent="0.3">
      <c r="A132" t="s">
        <v>7</v>
      </c>
      <c r="B132" t="s">
        <v>2</v>
      </c>
      <c r="C132" t="s">
        <v>38</v>
      </c>
      <c r="D132">
        <v>643328.2699999999</v>
      </c>
      <c r="E132">
        <v>649296.18000000005</v>
      </c>
      <c r="F132">
        <v>2192.9599999999996</v>
      </c>
      <c r="G132">
        <v>15493.650000000001</v>
      </c>
      <c r="H132">
        <v>22646483.604957435</v>
      </c>
    </row>
    <row r="133" spans="1:8" x14ac:dyDescent="0.3">
      <c r="A133" t="s">
        <v>7</v>
      </c>
      <c r="B133" t="s">
        <v>2</v>
      </c>
      <c r="C133" t="s">
        <v>37</v>
      </c>
      <c r="D133">
        <v>464808.38000000006</v>
      </c>
      <c r="E133">
        <v>476234.19999999995</v>
      </c>
      <c r="F133">
        <v>1714.9600000000005</v>
      </c>
      <c r="G133">
        <v>12412.21</v>
      </c>
      <c r="H133">
        <v>17348440.317123152</v>
      </c>
    </row>
    <row r="134" spans="1:8" x14ac:dyDescent="0.3">
      <c r="A134" t="s">
        <v>7</v>
      </c>
      <c r="B134" t="s">
        <v>14</v>
      </c>
      <c r="C134" t="s">
        <v>38</v>
      </c>
      <c r="D134">
        <v>525808.81999999995</v>
      </c>
      <c r="E134">
        <v>556882.25000000012</v>
      </c>
      <c r="F134">
        <v>1657.93</v>
      </c>
      <c r="G134">
        <v>12582.900000000001</v>
      </c>
      <c r="H134">
        <v>18734786.826730009</v>
      </c>
    </row>
    <row r="135" spans="1:8" x14ac:dyDescent="0.3">
      <c r="A135" t="s">
        <v>7</v>
      </c>
      <c r="B135" t="s">
        <v>14</v>
      </c>
      <c r="C135" t="s">
        <v>37</v>
      </c>
      <c r="D135">
        <v>334974.05</v>
      </c>
      <c r="E135">
        <v>336563.04000000004</v>
      </c>
      <c r="F135">
        <v>1496.71</v>
      </c>
      <c r="G135">
        <v>9946.64</v>
      </c>
      <c r="H135">
        <v>14741028.669060556</v>
      </c>
    </row>
    <row r="136" spans="1:8" x14ac:dyDescent="0.3">
      <c r="A136" t="s">
        <v>7</v>
      </c>
      <c r="B136" t="s">
        <v>9</v>
      </c>
      <c r="C136" t="s">
        <v>38</v>
      </c>
      <c r="D136">
        <v>421340.56000000006</v>
      </c>
      <c r="E136">
        <v>424310.12999999989</v>
      </c>
      <c r="F136">
        <v>1785.6100000000001</v>
      </c>
      <c r="G136">
        <v>12919.530000000002</v>
      </c>
      <c r="H136">
        <v>14781214.994067917</v>
      </c>
    </row>
    <row r="137" spans="1:8" x14ac:dyDescent="0.3">
      <c r="A137" t="s">
        <v>7</v>
      </c>
      <c r="B137" t="s">
        <v>9</v>
      </c>
      <c r="C137" t="s">
        <v>37</v>
      </c>
      <c r="D137">
        <v>320507.78000000003</v>
      </c>
      <c r="E137">
        <v>322297.64</v>
      </c>
      <c r="F137">
        <v>1146.75</v>
      </c>
      <c r="G137">
        <v>8445.8599999999988</v>
      </c>
      <c r="H137">
        <v>12878496.136110421</v>
      </c>
    </row>
    <row r="138" spans="1:8" x14ac:dyDescent="0.3">
      <c r="A138" t="s">
        <v>7</v>
      </c>
      <c r="B138" t="s">
        <v>12</v>
      </c>
      <c r="C138" t="s">
        <v>38</v>
      </c>
      <c r="D138">
        <v>467198.89999999997</v>
      </c>
      <c r="E138">
        <v>484634.93</v>
      </c>
      <c r="F138">
        <v>1632.8700000000001</v>
      </c>
      <c r="G138">
        <v>11598.359999999997</v>
      </c>
      <c r="H138">
        <v>17356471.843793057</v>
      </c>
    </row>
    <row r="139" spans="1:8" x14ac:dyDescent="0.3">
      <c r="A139" t="s">
        <v>7</v>
      </c>
      <c r="B139" t="s">
        <v>12</v>
      </c>
      <c r="C139" t="s">
        <v>37</v>
      </c>
      <c r="D139">
        <v>279689.67000000004</v>
      </c>
      <c r="E139">
        <v>284835.65999999997</v>
      </c>
      <c r="F139">
        <v>1451.85</v>
      </c>
      <c r="G139">
        <v>8724.0899999999983</v>
      </c>
      <c r="H139">
        <v>13953358.637303935</v>
      </c>
    </row>
    <row r="140" spans="1:8" x14ac:dyDescent="0.3">
      <c r="A140" t="s">
        <v>7</v>
      </c>
      <c r="B140" t="s">
        <v>8</v>
      </c>
      <c r="C140" t="s">
        <v>38</v>
      </c>
      <c r="D140">
        <v>299724.48000000004</v>
      </c>
      <c r="E140">
        <v>281837.58999999997</v>
      </c>
      <c r="F140">
        <v>1185.08</v>
      </c>
      <c r="G140">
        <v>5711.64</v>
      </c>
      <c r="H140">
        <v>11552854.352040473</v>
      </c>
    </row>
    <row r="141" spans="1:8" x14ac:dyDescent="0.3">
      <c r="A141" t="s">
        <v>7</v>
      </c>
      <c r="B141" t="s">
        <v>8</v>
      </c>
      <c r="C141" t="s">
        <v>37</v>
      </c>
      <c r="D141">
        <v>242552.56</v>
      </c>
      <c r="E141">
        <v>247449.38</v>
      </c>
      <c r="F141">
        <v>1094.4200000000003</v>
      </c>
      <c r="G141">
        <v>6868.2100000000009</v>
      </c>
      <c r="H141">
        <v>9178436.696171049</v>
      </c>
    </row>
    <row r="142" spans="1:8" x14ac:dyDescent="0.3">
      <c r="A142" t="s">
        <v>7</v>
      </c>
      <c r="B142" t="s">
        <v>4</v>
      </c>
      <c r="C142" t="s">
        <v>38</v>
      </c>
      <c r="D142">
        <v>327681.55999999994</v>
      </c>
      <c r="E142">
        <v>323040.31</v>
      </c>
      <c r="F142">
        <v>2256.84</v>
      </c>
      <c r="G142">
        <v>12258.07</v>
      </c>
      <c r="H142">
        <v>16186046.141192663</v>
      </c>
    </row>
    <row r="143" spans="1:8" x14ac:dyDescent="0.3">
      <c r="A143" t="s">
        <v>7</v>
      </c>
      <c r="B143" t="s">
        <v>4</v>
      </c>
      <c r="C143" t="s">
        <v>37</v>
      </c>
      <c r="D143">
        <v>482704.12999999995</v>
      </c>
      <c r="E143">
        <v>479776.91000000003</v>
      </c>
      <c r="F143">
        <v>1847.39</v>
      </c>
      <c r="G143">
        <v>12424.33</v>
      </c>
      <c r="H143">
        <v>15798567.108224344</v>
      </c>
    </row>
    <row r="144" spans="1:8" x14ac:dyDescent="0.3">
      <c r="A144" t="s">
        <v>7</v>
      </c>
      <c r="B144" t="s">
        <v>6</v>
      </c>
      <c r="C144" t="s">
        <v>38</v>
      </c>
      <c r="D144">
        <v>454755.25</v>
      </c>
      <c r="E144">
        <v>443197.30999999994</v>
      </c>
      <c r="F144">
        <v>1727.95</v>
      </c>
      <c r="G144">
        <v>13353.929999999998</v>
      </c>
      <c r="H144">
        <v>16684074.696203979</v>
      </c>
    </row>
    <row r="145" spans="1:8" x14ac:dyDescent="0.3">
      <c r="A145" t="s">
        <v>7</v>
      </c>
      <c r="B145" t="s">
        <v>6</v>
      </c>
      <c r="C145" t="s">
        <v>37</v>
      </c>
      <c r="D145">
        <v>270764.88999999996</v>
      </c>
      <c r="E145">
        <v>246039.11</v>
      </c>
      <c r="F145">
        <v>1021.32</v>
      </c>
      <c r="G145">
        <v>7324.02</v>
      </c>
      <c r="H145">
        <v>9393715.100583639</v>
      </c>
    </row>
    <row r="146" spans="1:8" x14ac:dyDescent="0.3">
      <c r="A146" t="s">
        <v>16</v>
      </c>
      <c r="B146" t="s">
        <v>0</v>
      </c>
      <c r="C146" t="s">
        <v>38</v>
      </c>
      <c r="D146">
        <v>355538.1</v>
      </c>
      <c r="E146">
        <v>367581.89</v>
      </c>
      <c r="F146">
        <v>2133.2399999999998</v>
      </c>
      <c r="G146">
        <v>13459.849999999999</v>
      </c>
      <c r="H146">
        <v>18137560.012913004</v>
      </c>
    </row>
    <row r="147" spans="1:8" x14ac:dyDescent="0.3">
      <c r="A147" t="s">
        <v>16</v>
      </c>
      <c r="B147" t="s">
        <v>0</v>
      </c>
      <c r="C147" t="s">
        <v>37</v>
      </c>
      <c r="D147">
        <v>390702.42</v>
      </c>
      <c r="E147">
        <v>391993.49</v>
      </c>
      <c r="F147">
        <v>2008.6400000000003</v>
      </c>
      <c r="G147">
        <v>10694.289999999997</v>
      </c>
      <c r="H147">
        <v>15800898.696088843</v>
      </c>
    </row>
    <row r="148" spans="1:8" x14ac:dyDescent="0.3">
      <c r="A148" t="s">
        <v>16</v>
      </c>
      <c r="B148" t="s">
        <v>2</v>
      </c>
      <c r="C148" t="s">
        <v>38</v>
      </c>
      <c r="D148">
        <v>328742.41000000003</v>
      </c>
      <c r="E148">
        <v>325144.15999999997</v>
      </c>
      <c r="F148">
        <v>1678.21</v>
      </c>
      <c r="G148">
        <v>8617.7199999999993</v>
      </c>
      <c r="H148">
        <v>15265216.608350517</v>
      </c>
    </row>
    <row r="149" spans="1:8" x14ac:dyDescent="0.3">
      <c r="A149" t="s">
        <v>16</v>
      </c>
      <c r="B149" t="s">
        <v>2</v>
      </c>
      <c r="C149" t="s">
        <v>37</v>
      </c>
      <c r="D149">
        <v>336294.66000000003</v>
      </c>
      <c r="E149">
        <v>350732.4</v>
      </c>
      <c r="F149">
        <v>1579.9399999999998</v>
      </c>
      <c r="G149">
        <v>9550.84</v>
      </c>
      <c r="H149">
        <v>13580818.971257767</v>
      </c>
    </row>
    <row r="150" spans="1:8" x14ac:dyDescent="0.3">
      <c r="A150" t="s">
        <v>16</v>
      </c>
      <c r="B150" t="s">
        <v>14</v>
      </c>
      <c r="C150" t="s">
        <v>38</v>
      </c>
      <c r="D150">
        <v>491946.96</v>
      </c>
      <c r="E150">
        <v>498831.30000000005</v>
      </c>
      <c r="F150">
        <v>2419.75</v>
      </c>
      <c r="G150">
        <v>13393.590000000002</v>
      </c>
      <c r="H150">
        <v>20205183.799470946</v>
      </c>
    </row>
    <row r="151" spans="1:8" x14ac:dyDescent="0.3">
      <c r="A151" t="s">
        <v>16</v>
      </c>
      <c r="B151" t="s">
        <v>14</v>
      </c>
      <c r="C151" t="s">
        <v>37</v>
      </c>
      <c r="D151">
        <v>409352.20000000007</v>
      </c>
      <c r="E151">
        <v>382772.71000000008</v>
      </c>
      <c r="F151">
        <v>1859.73</v>
      </c>
      <c r="G151">
        <v>11785.29</v>
      </c>
      <c r="H151">
        <v>15481878.762321614</v>
      </c>
    </row>
    <row r="152" spans="1:8" x14ac:dyDescent="0.3">
      <c r="A152" t="s">
        <v>16</v>
      </c>
      <c r="B152" t="s">
        <v>9</v>
      </c>
      <c r="C152" t="s">
        <v>38</v>
      </c>
      <c r="D152">
        <v>126930.96</v>
      </c>
      <c r="E152">
        <v>122227.98</v>
      </c>
      <c r="F152">
        <v>679.06</v>
      </c>
      <c r="G152">
        <v>5225.79</v>
      </c>
      <c r="H152">
        <v>5846316.8213228835</v>
      </c>
    </row>
    <row r="153" spans="1:8" x14ac:dyDescent="0.3">
      <c r="A153" t="s">
        <v>16</v>
      </c>
      <c r="B153" t="s">
        <v>9</v>
      </c>
      <c r="C153" t="s">
        <v>37</v>
      </c>
      <c r="D153">
        <v>280347.04000000004</v>
      </c>
      <c r="E153">
        <v>278572.15000000002</v>
      </c>
      <c r="F153">
        <v>927.28000000000009</v>
      </c>
      <c r="G153">
        <v>7886.04</v>
      </c>
      <c r="H153">
        <v>9189778.9872285537</v>
      </c>
    </row>
    <row r="154" spans="1:8" x14ac:dyDescent="0.3">
      <c r="A154" t="s">
        <v>16</v>
      </c>
      <c r="B154" t="s">
        <v>12</v>
      </c>
      <c r="C154" t="s">
        <v>38</v>
      </c>
      <c r="D154">
        <v>345127.7</v>
      </c>
      <c r="E154">
        <v>345307.04</v>
      </c>
      <c r="F154">
        <v>1729.96</v>
      </c>
      <c r="G154">
        <v>10313.16</v>
      </c>
      <c r="H154">
        <v>13996882.902655968</v>
      </c>
    </row>
    <row r="155" spans="1:8" x14ac:dyDescent="0.3">
      <c r="A155" t="s">
        <v>16</v>
      </c>
      <c r="B155" t="s">
        <v>12</v>
      </c>
      <c r="C155" t="s">
        <v>37</v>
      </c>
      <c r="D155">
        <v>408757.97000000009</v>
      </c>
      <c r="E155">
        <v>409352.67000000004</v>
      </c>
      <c r="F155">
        <v>1969.7799999999997</v>
      </c>
      <c r="G155">
        <v>11957.35</v>
      </c>
      <c r="H155">
        <v>18397169.95199725</v>
      </c>
    </row>
    <row r="156" spans="1:8" x14ac:dyDescent="0.3">
      <c r="A156" t="s">
        <v>16</v>
      </c>
      <c r="B156" t="s">
        <v>8</v>
      </c>
      <c r="C156" t="s">
        <v>38</v>
      </c>
      <c r="D156">
        <v>365317.35</v>
      </c>
      <c r="E156">
        <v>374680.59</v>
      </c>
      <c r="F156">
        <v>2009.5299999999997</v>
      </c>
      <c r="G156">
        <v>13497.37</v>
      </c>
      <c r="H156">
        <v>20968293.374177109</v>
      </c>
    </row>
    <row r="157" spans="1:8" x14ac:dyDescent="0.3">
      <c r="A157" t="s">
        <v>16</v>
      </c>
      <c r="B157" t="s">
        <v>8</v>
      </c>
      <c r="C157" t="s">
        <v>37</v>
      </c>
      <c r="D157">
        <v>374130.83999999997</v>
      </c>
      <c r="E157">
        <v>376202.86000000004</v>
      </c>
      <c r="F157">
        <v>1482.4099999999999</v>
      </c>
      <c r="G157">
        <v>10364.410000000002</v>
      </c>
      <c r="H157">
        <v>15003609.164349495</v>
      </c>
    </row>
    <row r="158" spans="1:8" x14ac:dyDescent="0.3">
      <c r="A158" t="s">
        <v>16</v>
      </c>
      <c r="B158" t="s">
        <v>4</v>
      </c>
      <c r="C158" t="s">
        <v>38</v>
      </c>
      <c r="D158">
        <v>572617.21000000008</v>
      </c>
      <c r="E158">
        <v>568208.3899999999</v>
      </c>
      <c r="F158">
        <v>2342.15</v>
      </c>
      <c r="G158">
        <v>12130.09</v>
      </c>
      <c r="H158">
        <v>21263487.984079141</v>
      </c>
    </row>
    <row r="159" spans="1:8" x14ac:dyDescent="0.3">
      <c r="A159" t="s">
        <v>16</v>
      </c>
      <c r="B159" t="s">
        <v>4</v>
      </c>
      <c r="C159" t="s">
        <v>37</v>
      </c>
      <c r="D159">
        <v>407093.18000000005</v>
      </c>
      <c r="E159">
        <v>402725.02000000008</v>
      </c>
      <c r="F159">
        <v>1279.98</v>
      </c>
      <c r="G159">
        <v>7856.0000000000009</v>
      </c>
      <c r="H159">
        <v>11750533.393541031</v>
      </c>
    </row>
    <row r="160" spans="1:8" x14ac:dyDescent="0.3">
      <c r="A160" t="s">
        <v>16</v>
      </c>
      <c r="B160" t="s">
        <v>6</v>
      </c>
      <c r="C160" t="s">
        <v>38</v>
      </c>
      <c r="D160">
        <v>394665.25</v>
      </c>
      <c r="E160">
        <v>384736.54</v>
      </c>
      <c r="F160">
        <v>1765.1100000000001</v>
      </c>
      <c r="G160">
        <v>10928.109999999997</v>
      </c>
      <c r="H160">
        <v>16631323.587126609</v>
      </c>
    </row>
    <row r="161" spans="1:8" x14ac:dyDescent="0.3">
      <c r="A161" t="s">
        <v>16</v>
      </c>
      <c r="B161" t="s">
        <v>6</v>
      </c>
      <c r="C161" t="s">
        <v>37</v>
      </c>
      <c r="D161">
        <v>620143.03</v>
      </c>
      <c r="E161">
        <v>627256.29999999993</v>
      </c>
      <c r="F161">
        <v>2519.9</v>
      </c>
      <c r="G161">
        <v>14804.91</v>
      </c>
      <c r="H161">
        <v>23067094.150232419</v>
      </c>
    </row>
    <row r="162" spans="1:8" x14ac:dyDescent="0.3">
      <c r="A162" t="s">
        <v>20</v>
      </c>
      <c r="B162" t="s">
        <v>0</v>
      </c>
      <c r="C162" t="s">
        <v>38</v>
      </c>
      <c r="D162">
        <v>411183.95999999996</v>
      </c>
      <c r="E162">
        <v>398823.63000000006</v>
      </c>
      <c r="F162">
        <v>1985.8</v>
      </c>
      <c r="G162">
        <v>12376.100000000002</v>
      </c>
      <c r="H162">
        <v>17525298.780854251</v>
      </c>
    </row>
    <row r="163" spans="1:8" x14ac:dyDescent="0.3">
      <c r="A163" t="s">
        <v>20</v>
      </c>
      <c r="B163" t="s">
        <v>0</v>
      </c>
      <c r="C163" t="s">
        <v>37</v>
      </c>
      <c r="D163">
        <v>260656.72999999998</v>
      </c>
      <c r="E163">
        <v>244805.93</v>
      </c>
      <c r="F163">
        <v>1159.6200000000001</v>
      </c>
      <c r="G163">
        <v>6164.8899999999994</v>
      </c>
      <c r="H163">
        <v>7685793.8906725068</v>
      </c>
    </row>
    <row r="164" spans="1:8" x14ac:dyDescent="0.3">
      <c r="A164" t="s">
        <v>20</v>
      </c>
      <c r="B164" t="s">
        <v>2</v>
      </c>
      <c r="C164" t="s">
        <v>38</v>
      </c>
      <c r="D164">
        <v>760312.95</v>
      </c>
      <c r="E164">
        <v>749156.02000000014</v>
      </c>
      <c r="F164">
        <v>2843.4900000000007</v>
      </c>
      <c r="G164">
        <v>16660.470000000005</v>
      </c>
      <c r="H164">
        <v>24978105.743244078</v>
      </c>
    </row>
    <row r="165" spans="1:8" x14ac:dyDescent="0.3">
      <c r="A165" t="s">
        <v>20</v>
      </c>
      <c r="B165" t="s">
        <v>2</v>
      </c>
      <c r="C165" t="s">
        <v>37</v>
      </c>
      <c r="D165">
        <v>344180.89999999997</v>
      </c>
      <c r="E165">
        <v>355857.01</v>
      </c>
      <c r="F165">
        <v>1019.44</v>
      </c>
      <c r="G165">
        <v>7966.7599999999993</v>
      </c>
      <c r="H165">
        <v>12388224.079090757</v>
      </c>
    </row>
    <row r="166" spans="1:8" x14ac:dyDescent="0.3">
      <c r="A166" t="s">
        <v>20</v>
      </c>
      <c r="B166" t="s">
        <v>14</v>
      </c>
      <c r="C166" t="s">
        <v>38</v>
      </c>
      <c r="D166">
        <v>338967.33</v>
      </c>
      <c r="E166">
        <v>348404.79999999993</v>
      </c>
      <c r="F166">
        <v>1732.8799999999997</v>
      </c>
      <c r="G166">
        <v>7102.1399999999985</v>
      </c>
      <c r="H166">
        <v>14141773.266500385</v>
      </c>
    </row>
    <row r="167" spans="1:8" x14ac:dyDescent="0.3">
      <c r="A167" t="s">
        <v>20</v>
      </c>
      <c r="B167" t="s">
        <v>14</v>
      </c>
      <c r="C167" t="s">
        <v>37</v>
      </c>
      <c r="D167">
        <v>270614.64999999997</v>
      </c>
      <c r="E167">
        <v>243467.61</v>
      </c>
      <c r="F167">
        <v>1152.1299999999999</v>
      </c>
      <c r="G167">
        <v>5231</v>
      </c>
      <c r="H167">
        <v>9075939.2896530814</v>
      </c>
    </row>
    <row r="168" spans="1:8" x14ac:dyDescent="0.3">
      <c r="A168" t="s">
        <v>20</v>
      </c>
      <c r="B168" t="s">
        <v>9</v>
      </c>
      <c r="C168" t="s">
        <v>38</v>
      </c>
      <c r="D168">
        <v>389764.70000000007</v>
      </c>
      <c r="E168">
        <v>380038.75000000006</v>
      </c>
      <c r="F168">
        <v>2450.7000000000003</v>
      </c>
      <c r="G168">
        <v>16076.67</v>
      </c>
      <c r="H168">
        <v>21295798.883986555</v>
      </c>
    </row>
    <row r="169" spans="1:8" x14ac:dyDescent="0.3">
      <c r="A169" t="s">
        <v>20</v>
      </c>
      <c r="B169" t="s">
        <v>9</v>
      </c>
      <c r="C169" t="s">
        <v>37</v>
      </c>
      <c r="D169">
        <v>308165.75</v>
      </c>
      <c r="E169">
        <v>324786.55</v>
      </c>
      <c r="F169">
        <v>1052.8900000000001</v>
      </c>
      <c r="G169">
        <v>7552.19</v>
      </c>
      <c r="H169">
        <v>11807255.675322911</v>
      </c>
    </row>
    <row r="170" spans="1:8" x14ac:dyDescent="0.3">
      <c r="A170" t="s">
        <v>20</v>
      </c>
      <c r="B170" t="s">
        <v>12</v>
      </c>
      <c r="C170" t="s">
        <v>38</v>
      </c>
      <c r="D170">
        <v>259890.83</v>
      </c>
      <c r="E170">
        <v>263096.90999999997</v>
      </c>
      <c r="F170">
        <v>1401.9999999999998</v>
      </c>
      <c r="G170">
        <v>8677.32</v>
      </c>
      <c r="H170">
        <v>11820398.012770733</v>
      </c>
    </row>
    <row r="171" spans="1:8" x14ac:dyDescent="0.3">
      <c r="A171" t="s">
        <v>20</v>
      </c>
      <c r="B171" t="s">
        <v>12</v>
      </c>
      <c r="C171" t="s">
        <v>37</v>
      </c>
      <c r="D171">
        <v>304013</v>
      </c>
      <c r="E171">
        <v>330335.18999999994</v>
      </c>
      <c r="F171">
        <v>1586.8</v>
      </c>
      <c r="G171">
        <v>10219.529999999999</v>
      </c>
      <c r="H171">
        <v>12960409.854291487</v>
      </c>
    </row>
    <row r="172" spans="1:8" x14ac:dyDescent="0.3">
      <c r="A172" t="s">
        <v>20</v>
      </c>
      <c r="B172" t="s">
        <v>8</v>
      </c>
      <c r="C172" t="s">
        <v>38</v>
      </c>
      <c r="D172">
        <v>473468.38</v>
      </c>
      <c r="E172">
        <v>478613.17</v>
      </c>
      <c r="F172">
        <v>2047.5799999999997</v>
      </c>
      <c r="G172">
        <v>13136.939999999997</v>
      </c>
      <c r="H172">
        <v>22175607.04573299</v>
      </c>
    </row>
    <row r="173" spans="1:8" x14ac:dyDescent="0.3">
      <c r="A173" t="s">
        <v>20</v>
      </c>
      <c r="B173" t="s">
        <v>8</v>
      </c>
      <c r="C173" t="s">
        <v>37</v>
      </c>
      <c r="D173">
        <v>277177.12</v>
      </c>
      <c r="E173">
        <v>264345.78000000009</v>
      </c>
      <c r="F173">
        <v>1472.2599999999998</v>
      </c>
      <c r="G173">
        <v>12040.73</v>
      </c>
      <c r="H173">
        <v>13395679.839406909</v>
      </c>
    </row>
    <row r="174" spans="1:8" x14ac:dyDescent="0.3">
      <c r="A174" t="s">
        <v>20</v>
      </c>
      <c r="B174" t="s">
        <v>4</v>
      </c>
      <c r="C174" t="s">
        <v>38</v>
      </c>
      <c r="D174">
        <v>440366.93000000005</v>
      </c>
      <c r="E174">
        <v>431236.61999999982</v>
      </c>
      <c r="F174">
        <v>1656.27</v>
      </c>
      <c r="G174">
        <v>13046.450000000003</v>
      </c>
      <c r="H174">
        <v>15948003.447218437</v>
      </c>
    </row>
    <row r="175" spans="1:8" x14ac:dyDescent="0.3">
      <c r="A175" t="s">
        <v>20</v>
      </c>
      <c r="B175" t="s">
        <v>4</v>
      </c>
      <c r="C175" t="s">
        <v>37</v>
      </c>
      <c r="D175">
        <v>266136.02</v>
      </c>
      <c r="E175">
        <v>267873.23</v>
      </c>
      <c r="F175">
        <v>1220.5300000000002</v>
      </c>
      <c r="G175">
        <v>6718.74</v>
      </c>
      <c r="H175">
        <v>10105865.365323465</v>
      </c>
    </row>
    <row r="176" spans="1:8" x14ac:dyDescent="0.3">
      <c r="A176" t="s">
        <v>20</v>
      </c>
      <c r="B176" t="s">
        <v>6</v>
      </c>
      <c r="C176" t="s">
        <v>38</v>
      </c>
      <c r="D176">
        <v>531375.57999999984</v>
      </c>
      <c r="E176">
        <v>551458.75</v>
      </c>
      <c r="F176">
        <v>2285.6999999999998</v>
      </c>
      <c r="G176">
        <v>17890.129999999997</v>
      </c>
      <c r="H176">
        <v>23889427.07231776</v>
      </c>
    </row>
    <row r="177" spans="1:8" x14ac:dyDescent="0.3">
      <c r="A177" t="s">
        <v>20</v>
      </c>
      <c r="B177" t="s">
        <v>6</v>
      </c>
      <c r="C177" t="s">
        <v>37</v>
      </c>
      <c r="D177">
        <v>271216.23</v>
      </c>
      <c r="E177">
        <v>251663.23000000004</v>
      </c>
      <c r="F177">
        <v>1186.7599999999998</v>
      </c>
      <c r="G177">
        <v>5661.5500000000011</v>
      </c>
      <c r="H177">
        <v>10285823.625303937</v>
      </c>
    </row>
    <row r="178" spans="1:8" x14ac:dyDescent="0.3">
      <c r="A178" t="s">
        <v>24</v>
      </c>
      <c r="B178" t="s">
        <v>0</v>
      </c>
      <c r="C178" t="s">
        <v>38</v>
      </c>
      <c r="D178">
        <v>376626.53</v>
      </c>
      <c r="E178">
        <v>360822.45000000007</v>
      </c>
      <c r="F178">
        <v>1218.97</v>
      </c>
      <c r="G178">
        <v>6625.34</v>
      </c>
      <c r="H178">
        <v>11520222.377862705</v>
      </c>
    </row>
    <row r="179" spans="1:8" x14ac:dyDescent="0.3">
      <c r="A179" t="s">
        <v>24</v>
      </c>
      <c r="B179" t="s">
        <v>0</v>
      </c>
      <c r="C179" t="s">
        <v>37</v>
      </c>
      <c r="D179">
        <v>315909.01999999996</v>
      </c>
      <c r="E179">
        <v>319380.27</v>
      </c>
      <c r="F179">
        <v>1415.25</v>
      </c>
      <c r="G179">
        <v>6669.4700000000012</v>
      </c>
      <c r="H179">
        <v>11205598.942293046</v>
      </c>
    </row>
    <row r="180" spans="1:8" x14ac:dyDescent="0.3">
      <c r="A180" t="s">
        <v>24</v>
      </c>
      <c r="B180" t="s">
        <v>2</v>
      </c>
      <c r="C180" t="s">
        <v>38</v>
      </c>
      <c r="D180">
        <v>372636.88</v>
      </c>
      <c r="E180">
        <v>387302.97000000003</v>
      </c>
      <c r="F180">
        <v>2188.4800000000005</v>
      </c>
      <c r="G180">
        <v>13938.869999999999</v>
      </c>
      <c r="H180">
        <v>19790825.040665187</v>
      </c>
    </row>
    <row r="181" spans="1:8" x14ac:dyDescent="0.3">
      <c r="A181" t="s">
        <v>24</v>
      </c>
      <c r="B181" t="s">
        <v>2</v>
      </c>
      <c r="C181" t="s">
        <v>37</v>
      </c>
      <c r="D181">
        <v>453256.37</v>
      </c>
      <c r="E181">
        <v>442459.42999999993</v>
      </c>
      <c r="F181">
        <v>1893.44</v>
      </c>
      <c r="G181">
        <v>14738.160000000002</v>
      </c>
      <c r="H181">
        <v>17830066.815171916</v>
      </c>
    </row>
    <row r="182" spans="1:8" x14ac:dyDescent="0.3">
      <c r="A182" t="s">
        <v>24</v>
      </c>
      <c r="B182" t="s">
        <v>14</v>
      </c>
      <c r="C182" t="s">
        <v>38</v>
      </c>
      <c r="D182">
        <v>263790.67</v>
      </c>
      <c r="E182">
        <v>257189.36000000004</v>
      </c>
      <c r="F182">
        <v>1634.6900000000003</v>
      </c>
      <c r="G182">
        <v>13316.46</v>
      </c>
      <c r="H182">
        <v>13563935.900807945</v>
      </c>
    </row>
    <row r="183" spans="1:8" x14ac:dyDescent="0.3">
      <c r="A183" t="s">
        <v>24</v>
      </c>
      <c r="B183" t="s">
        <v>14</v>
      </c>
      <c r="C183" t="s">
        <v>37</v>
      </c>
      <c r="D183">
        <v>517905.59999999992</v>
      </c>
      <c r="E183">
        <v>500769.11999999994</v>
      </c>
      <c r="F183">
        <v>2112.86</v>
      </c>
      <c r="G183">
        <v>16898.069999999996</v>
      </c>
      <c r="H183">
        <v>19361523.149691269</v>
      </c>
    </row>
    <row r="184" spans="1:8" x14ac:dyDescent="0.3">
      <c r="A184" t="s">
        <v>24</v>
      </c>
      <c r="B184" t="s">
        <v>9</v>
      </c>
      <c r="C184" t="s">
        <v>38</v>
      </c>
      <c r="D184">
        <v>508858.29999999993</v>
      </c>
      <c r="E184">
        <v>520780.49000000005</v>
      </c>
      <c r="F184">
        <v>1754.8700000000003</v>
      </c>
      <c r="G184">
        <v>12070.500000000002</v>
      </c>
      <c r="H184">
        <v>17002003.20410328</v>
      </c>
    </row>
    <row r="185" spans="1:8" x14ac:dyDescent="0.3">
      <c r="A185" t="s">
        <v>24</v>
      </c>
      <c r="B185" t="s">
        <v>9</v>
      </c>
      <c r="C185" t="s">
        <v>37</v>
      </c>
      <c r="D185">
        <v>264763.27</v>
      </c>
      <c r="E185">
        <v>269789.8</v>
      </c>
      <c r="F185">
        <v>1309.0999999999997</v>
      </c>
      <c r="G185">
        <v>8291.4500000000007</v>
      </c>
      <c r="H185">
        <v>11250517.680751009</v>
      </c>
    </row>
    <row r="186" spans="1:8" x14ac:dyDescent="0.3">
      <c r="A186" t="s">
        <v>24</v>
      </c>
      <c r="B186" t="s">
        <v>12</v>
      </c>
      <c r="C186" t="s">
        <v>38</v>
      </c>
      <c r="D186">
        <v>270808.92000000004</v>
      </c>
      <c r="E186">
        <v>276749.45</v>
      </c>
      <c r="F186">
        <v>1486.56</v>
      </c>
      <c r="G186">
        <v>8751.5499999999993</v>
      </c>
      <c r="H186">
        <v>11412447.252965717</v>
      </c>
    </row>
    <row r="187" spans="1:8" x14ac:dyDescent="0.3">
      <c r="A187" t="s">
        <v>24</v>
      </c>
      <c r="B187" t="s">
        <v>12</v>
      </c>
      <c r="C187" t="s">
        <v>37</v>
      </c>
      <c r="D187">
        <v>374375.32000000012</v>
      </c>
      <c r="E187">
        <v>373093.88999999996</v>
      </c>
      <c r="F187">
        <v>1657.9399999999996</v>
      </c>
      <c r="G187">
        <v>9096.6200000000008</v>
      </c>
      <c r="H187">
        <v>14829047.968428269</v>
      </c>
    </row>
    <row r="188" spans="1:8" x14ac:dyDescent="0.3">
      <c r="A188" t="s">
        <v>24</v>
      </c>
      <c r="B188" t="s">
        <v>8</v>
      </c>
      <c r="C188" t="s">
        <v>38</v>
      </c>
      <c r="D188">
        <v>464782.54000000004</v>
      </c>
      <c r="E188">
        <v>434391.6</v>
      </c>
      <c r="F188">
        <v>1684.7699999999998</v>
      </c>
      <c r="G188">
        <v>10752.91</v>
      </c>
      <c r="H188">
        <v>14323483.00224033</v>
      </c>
    </row>
    <row r="189" spans="1:8" x14ac:dyDescent="0.3">
      <c r="A189" t="s">
        <v>24</v>
      </c>
      <c r="B189" t="s">
        <v>8</v>
      </c>
      <c r="C189" t="s">
        <v>37</v>
      </c>
      <c r="D189">
        <v>295470.98</v>
      </c>
      <c r="E189">
        <v>314330.84000000003</v>
      </c>
      <c r="F189">
        <v>1193.04</v>
      </c>
      <c r="G189">
        <v>7049.8799999999992</v>
      </c>
      <c r="H189">
        <v>11539993.831233758</v>
      </c>
    </row>
    <row r="190" spans="1:8" x14ac:dyDescent="0.3">
      <c r="A190" t="s">
        <v>24</v>
      </c>
      <c r="B190" t="s">
        <v>4</v>
      </c>
      <c r="C190" t="s">
        <v>38</v>
      </c>
      <c r="D190">
        <v>514289.04</v>
      </c>
      <c r="E190">
        <v>516378.29999999993</v>
      </c>
      <c r="F190">
        <v>2196.25</v>
      </c>
      <c r="G190">
        <v>12564.099999999999</v>
      </c>
      <c r="H190">
        <v>18251986.462638553</v>
      </c>
    </row>
    <row r="191" spans="1:8" x14ac:dyDescent="0.3">
      <c r="A191" t="s">
        <v>24</v>
      </c>
      <c r="B191" t="s">
        <v>4</v>
      </c>
      <c r="C191" t="s">
        <v>37</v>
      </c>
      <c r="D191">
        <v>390254.26000000007</v>
      </c>
      <c r="E191">
        <v>390335.88</v>
      </c>
      <c r="F191">
        <v>1831.69</v>
      </c>
      <c r="G191">
        <v>12014.929999999998</v>
      </c>
      <c r="H191">
        <v>16780027.649116285</v>
      </c>
    </row>
    <row r="192" spans="1:8" x14ac:dyDescent="0.3">
      <c r="A192" t="s">
        <v>24</v>
      </c>
      <c r="B192" t="s">
        <v>6</v>
      </c>
      <c r="C192" t="s">
        <v>38</v>
      </c>
      <c r="D192">
        <v>601431.12999999989</v>
      </c>
      <c r="E192">
        <v>607652.23</v>
      </c>
      <c r="F192">
        <v>2397.19</v>
      </c>
      <c r="G192">
        <v>17074</v>
      </c>
      <c r="H192">
        <v>21469749.520561598</v>
      </c>
    </row>
    <row r="193" spans="1:8" x14ac:dyDescent="0.3">
      <c r="A193" t="s">
        <v>24</v>
      </c>
      <c r="B193" t="s">
        <v>6</v>
      </c>
      <c r="C193" t="s">
        <v>37</v>
      </c>
      <c r="D193">
        <v>604010.68999999994</v>
      </c>
      <c r="E193">
        <v>605051.19999999995</v>
      </c>
      <c r="F193">
        <v>1700.9900000000002</v>
      </c>
      <c r="G193">
        <v>11563.099999999999</v>
      </c>
      <c r="H193">
        <v>20814179.751653109</v>
      </c>
    </row>
    <row r="194" spans="1:8" x14ac:dyDescent="0.3">
      <c r="A194" t="s">
        <v>26</v>
      </c>
      <c r="B194" t="s">
        <v>0</v>
      </c>
      <c r="C194" t="s">
        <v>38</v>
      </c>
      <c r="D194">
        <v>483254.91000000003</v>
      </c>
      <c r="E194">
        <v>469607.40000000008</v>
      </c>
      <c r="F194">
        <v>2636.72</v>
      </c>
      <c r="G194">
        <v>17116.53</v>
      </c>
      <c r="H194">
        <v>21083358.420633264</v>
      </c>
    </row>
    <row r="195" spans="1:8" x14ac:dyDescent="0.3">
      <c r="A195" t="s">
        <v>26</v>
      </c>
      <c r="B195" t="s">
        <v>0</v>
      </c>
      <c r="C195" t="s">
        <v>37</v>
      </c>
      <c r="D195">
        <v>337340.08</v>
      </c>
      <c r="E195">
        <v>327502.14</v>
      </c>
      <c r="F195">
        <v>1325.94</v>
      </c>
      <c r="G195">
        <v>6527.5300000000007</v>
      </c>
      <c r="H195">
        <v>10925121.609102516</v>
      </c>
    </row>
    <row r="196" spans="1:8" x14ac:dyDescent="0.3">
      <c r="A196" t="s">
        <v>26</v>
      </c>
      <c r="B196" t="s">
        <v>2</v>
      </c>
      <c r="C196" t="s">
        <v>38</v>
      </c>
      <c r="D196">
        <v>450640.95</v>
      </c>
      <c r="E196">
        <v>430656.86000000004</v>
      </c>
      <c r="F196">
        <v>1769.3300000000004</v>
      </c>
      <c r="G196">
        <v>12093.24</v>
      </c>
      <c r="H196">
        <v>16819283.571963385</v>
      </c>
    </row>
    <row r="197" spans="1:8" x14ac:dyDescent="0.3">
      <c r="A197" t="s">
        <v>26</v>
      </c>
      <c r="B197" t="s">
        <v>2</v>
      </c>
      <c r="C197" t="s">
        <v>37</v>
      </c>
      <c r="D197">
        <v>304304.45</v>
      </c>
      <c r="E197">
        <v>294108.13</v>
      </c>
      <c r="F197">
        <v>1409.6200000000001</v>
      </c>
      <c r="G197">
        <v>8826.2400000000016</v>
      </c>
      <c r="H197">
        <v>12312989.38805555</v>
      </c>
    </row>
    <row r="198" spans="1:8" x14ac:dyDescent="0.3">
      <c r="A198" t="s">
        <v>26</v>
      </c>
      <c r="B198" t="s">
        <v>14</v>
      </c>
      <c r="C198" t="s">
        <v>38</v>
      </c>
      <c r="D198">
        <v>310448.98</v>
      </c>
      <c r="E198">
        <v>295828.66000000003</v>
      </c>
      <c r="F198">
        <v>1827.7099999999998</v>
      </c>
      <c r="G198">
        <v>9394.5400000000009</v>
      </c>
      <c r="H198">
        <v>14808629.220337307</v>
      </c>
    </row>
    <row r="199" spans="1:8" x14ac:dyDescent="0.3">
      <c r="A199" t="s">
        <v>26</v>
      </c>
      <c r="B199" t="s">
        <v>14</v>
      </c>
      <c r="C199" t="s">
        <v>37</v>
      </c>
      <c r="D199">
        <v>354185.58999999997</v>
      </c>
      <c r="E199">
        <v>370228.44000000006</v>
      </c>
      <c r="F199">
        <v>1342.32</v>
      </c>
      <c r="G199">
        <v>11371.920000000002</v>
      </c>
      <c r="H199">
        <v>12281768.003217354</v>
      </c>
    </row>
    <row r="200" spans="1:8" x14ac:dyDescent="0.3">
      <c r="A200" t="s">
        <v>26</v>
      </c>
      <c r="B200" t="s">
        <v>9</v>
      </c>
      <c r="C200" t="s">
        <v>38</v>
      </c>
      <c r="D200">
        <v>427949.41000000009</v>
      </c>
      <c r="E200">
        <v>450607.51</v>
      </c>
      <c r="F200">
        <v>1796.56</v>
      </c>
      <c r="G200">
        <v>11729.49</v>
      </c>
      <c r="H200">
        <v>17767604.334277079</v>
      </c>
    </row>
    <row r="201" spans="1:8" x14ac:dyDescent="0.3">
      <c r="A201" t="s">
        <v>26</v>
      </c>
      <c r="B201" t="s">
        <v>9</v>
      </c>
      <c r="C201" t="s">
        <v>37</v>
      </c>
      <c r="D201">
        <v>142014.51999999999</v>
      </c>
      <c r="E201">
        <v>142487.94999999998</v>
      </c>
      <c r="F201">
        <v>862.31000000000006</v>
      </c>
      <c r="G201">
        <v>7800.2800000000007</v>
      </c>
      <c r="H201">
        <v>8045988.9809800731</v>
      </c>
    </row>
    <row r="202" spans="1:8" x14ac:dyDescent="0.3">
      <c r="A202" t="s">
        <v>26</v>
      </c>
      <c r="B202" t="s">
        <v>12</v>
      </c>
      <c r="C202" t="s">
        <v>38</v>
      </c>
      <c r="D202">
        <v>282521.59999999998</v>
      </c>
      <c r="E202">
        <v>276789.62</v>
      </c>
      <c r="F202">
        <v>1214.8900000000003</v>
      </c>
      <c r="G202">
        <v>7450.86</v>
      </c>
      <c r="H202">
        <v>9621281.7835162636</v>
      </c>
    </row>
    <row r="203" spans="1:8" x14ac:dyDescent="0.3">
      <c r="A203" t="s">
        <v>26</v>
      </c>
      <c r="B203" t="s">
        <v>12</v>
      </c>
      <c r="C203" t="s">
        <v>37</v>
      </c>
      <c r="D203">
        <v>456432.25</v>
      </c>
      <c r="E203">
        <v>463917.18000000017</v>
      </c>
      <c r="F203">
        <v>2252.65</v>
      </c>
      <c r="G203">
        <v>16300.85</v>
      </c>
      <c r="H203">
        <v>22100567.044676609</v>
      </c>
    </row>
    <row r="204" spans="1:8" x14ac:dyDescent="0.3">
      <c r="A204" t="s">
        <v>26</v>
      </c>
      <c r="B204" t="s">
        <v>8</v>
      </c>
      <c r="C204" t="s">
        <v>38</v>
      </c>
      <c r="D204">
        <v>254360.46999999997</v>
      </c>
      <c r="E204">
        <v>249413.96999999997</v>
      </c>
      <c r="F204">
        <v>1037.1299999999999</v>
      </c>
      <c r="G204">
        <v>7211.2999999999993</v>
      </c>
      <c r="H204">
        <v>11156786.955139032</v>
      </c>
    </row>
    <row r="205" spans="1:8" x14ac:dyDescent="0.3">
      <c r="A205" t="s">
        <v>26</v>
      </c>
      <c r="B205" t="s">
        <v>8</v>
      </c>
      <c r="C205" t="s">
        <v>37</v>
      </c>
      <c r="D205">
        <v>249308.25999999998</v>
      </c>
      <c r="E205">
        <v>255007.23</v>
      </c>
      <c r="F205">
        <v>1007.5899999999999</v>
      </c>
      <c r="G205">
        <v>6791.2399999999989</v>
      </c>
      <c r="H205">
        <v>10544233.137624409</v>
      </c>
    </row>
    <row r="206" spans="1:8" x14ac:dyDescent="0.3">
      <c r="A206" t="s">
        <v>26</v>
      </c>
      <c r="B206" t="s">
        <v>4</v>
      </c>
      <c r="C206" t="s">
        <v>38</v>
      </c>
      <c r="D206">
        <v>388309.8</v>
      </c>
      <c r="E206">
        <v>398078.58</v>
      </c>
      <c r="F206">
        <v>1694.89</v>
      </c>
      <c r="G206">
        <v>8280.98</v>
      </c>
      <c r="H206">
        <v>14309442.862768095</v>
      </c>
    </row>
    <row r="207" spans="1:8" x14ac:dyDescent="0.3">
      <c r="A207" t="s">
        <v>26</v>
      </c>
      <c r="B207" t="s">
        <v>4</v>
      </c>
      <c r="C207" t="s">
        <v>37</v>
      </c>
      <c r="D207">
        <v>541513.09999999986</v>
      </c>
      <c r="E207">
        <v>549673.7300000001</v>
      </c>
      <c r="F207">
        <v>2002.3299999999997</v>
      </c>
      <c r="G207">
        <v>16128.999999999998</v>
      </c>
      <c r="H207">
        <v>20315523.609734844</v>
      </c>
    </row>
    <row r="208" spans="1:8" x14ac:dyDescent="0.3">
      <c r="A208" t="s">
        <v>26</v>
      </c>
      <c r="B208" t="s">
        <v>6</v>
      </c>
      <c r="C208" t="s">
        <v>38</v>
      </c>
      <c r="D208">
        <v>443120.28</v>
      </c>
      <c r="E208">
        <v>436653.73</v>
      </c>
      <c r="F208">
        <v>2276.7900000000004</v>
      </c>
      <c r="G208">
        <v>11041.77</v>
      </c>
      <c r="H208">
        <v>18826476.437376373</v>
      </c>
    </row>
    <row r="209" spans="1:8" x14ac:dyDescent="0.3">
      <c r="A209" t="s">
        <v>26</v>
      </c>
      <c r="B209" t="s">
        <v>6</v>
      </c>
      <c r="C209" t="s">
        <v>37</v>
      </c>
      <c r="D209">
        <v>406984.81000000006</v>
      </c>
      <c r="E209">
        <v>402989.61000000004</v>
      </c>
      <c r="F209">
        <v>1988.83</v>
      </c>
      <c r="G209">
        <v>12310.900000000001</v>
      </c>
      <c r="H209">
        <v>15861875.21020399</v>
      </c>
    </row>
    <row r="210" spans="1:8" x14ac:dyDescent="0.3">
      <c r="A210" t="s">
        <v>13</v>
      </c>
      <c r="B210" t="s">
        <v>0</v>
      </c>
      <c r="C210" t="s">
        <v>38</v>
      </c>
      <c r="D210">
        <v>333322.06</v>
      </c>
      <c r="E210">
        <v>330551.15000000002</v>
      </c>
      <c r="F210">
        <v>1708.24</v>
      </c>
      <c r="G210">
        <v>7863.4</v>
      </c>
      <c r="H210">
        <v>13829505.851682335</v>
      </c>
    </row>
    <row r="211" spans="1:8" x14ac:dyDescent="0.3">
      <c r="A211" t="s">
        <v>13</v>
      </c>
      <c r="B211" t="s">
        <v>0</v>
      </c>
      <c r="C211" t="s">
        <v>37</v>
      </c>
      <c r="D211">
        <v>484147.07000000007</v>
      </c>
      <c r="E211">
        <v>503375.10000000003</v>
      </c>
      <c r="F211">
        <v>1809.4700000000003</v>
      </c>
      <c r="G211">
        <v>13579.98</v>
      </c>
      <c r="H211">
        <v>15225357.522990508</v>
      </c>
    </row>
    <row r="212" spans="1:8" x14ac:dyDescent="0.3">
      <c r="A212" t="s">
        <v>13</v>
      </c>
      <c r="B212" t="s">
        <v>2</v>
      </c>
      <c r="C212" t="s">
        <v>38</v>
      </c>
      <c r="D212">
        <v>453539.22999999992</v>
      </c>
      <c r="E212">
        <v>448080.54000000004</v>
      </c>
      <c r="F212">
        <v>1888.04</v>
      </c>
      <c r="G212">
        <v>11469.179999999998</v>
      </c>
      <c r="H212">
        <v>16884982.234444145</v>
      </c>
    </row>
    <row r="213" spans="1:8" x14ac:dyDescent="0.3">
      <c r="A213" t="s">
        <v>13</v>
      </c>
      <c r="B213" t="s">
        <v>2</v>
      </c>
      <c r="C213" t="s">
        <v>37</v>
      </c>
      <c r="D213">
        <v>277971.43000000005</v>
      </c>
      <c r="E213">
        <v>266025.12</v>
      </c>
      <c r="F213">
        <v>1811.5499999999995</v>
      </c>
      <c r="G213">
        <v>10561.159999999998</v>
      </c>
      <c r="H213">
        <v>13832976.062477907</v>
      </c>
    </row>
    <row r="214" spans="1:8" x14ac:dyDescent="0.3">
      <c r="A214" t="s">
        <v>13</v>
      </c>
      <c r="B214" t="s">
        <v>14</v>
      </c>
      <c r="C214" t="s">
        <v>38</v>
      </c>
      <c r="D214">
        <v>540007.96</v>
      </c>
      <c r="E214">
        <v>563613.95999999985</v>
      </c>
      <c r="F214">
        <v>2002.4100000000003</v>
      </c>
      <c r="G214">
        <v>15630.59</v>
      </c>
      <c r="H214">
        <v>21303430.511802897</v>
      </c>
    </row>
    <row r="215" spans="1:8" x14ac:dyDescent="0.3">
      <c r="A215" t="s">
        <v>13</v>
      </c>
      <c r="B215" t="s">
        <v>14</v>
      </c>
      <c r="C215" t="s">
        <v>37</v>
      </c>
      <c r="D215">
        <v>392784.91000000003</v>
      </c>
      <c r="E215">
        <v>402326.63000000006</v>
      </c>
      <c r="F215">
        <v>1914.7100000000003</v>
      </c>
      <c r="G215">
        <v>8688.4500000000007</v>
      </c>
      <c r="H215">
        <v>15546766.790614061</v>
      </c>
    </row>
    <row r="216" spans="1:8" x14ac:dyDescent="0.3">
      <c r="A216" t="s">
        <v>13</v>
      </c>
      <c r="B216" t="s">
        <v>9</v>
      </c>
      <c r="C216" t="s">
        <v>38</v>
      </c>
      <c r="D216">
        <v>389891.00999999989</v>
      </c>
      <c r="E216">
        <v>381158.98999999993</v>
      </c>
      <c r="F216">
        <v>2067.3199999999997</v>
      </c>
      <c r="G216">
        <v>11660.75</v>
      </c>
      <c r="H216">
        <v>16236141.232334496</v>
      </c>
    </row>
    <row r="217" spans="1:8" x14ac:dyDescent="0.3">
      <c r="A217" t="s">
        <v>13</v>
      </c>
      <c r="B217" t="s">
        <v>9</v>
      </c>
      <c r="C217" t="s">
        <v>37</v>
      </c>
      <c r="D217">
        <v>214474.47999999998</v>
      </c>
      <c r="E217">
        <v>216398.87</v>
      </c>
      <c r="F217">
        <v>1211.83</v>
      </c>
      <c r="G217">
        <v>7062.15</v>
      </c>
      <c r="H217">
        <v>10135896.276066815</v>
      </c>
    </row>
    <row r="218" spans="1:8" x14ac:dyDescent="0.3">
      <c r="A218" t="s">
        <v>13</v>
      </c>
      <c r="B218" t="s">
        <v>12</v>
      </c>
      <c r="C218" t="s">
        <v>38</v>
      </c>
      <c r="D218">
        <v>282773.32</v>
      </c>
      <c r="E218">
        <v>263458.53000000003</v>
      </c>
      <c r="F218">
        <v>1193.26</v>
      </c>
      <c r="G218">
        <v>10026.709999999999</v>
      </c>
      <c r="H218">
        <v>12199993.860187167</v>
      </c>
    </row>
    <row r="219" spans="1:8" x14ac:dyDescent="0.3">
      <c r="A219" t="s">
        <v>13</v>
      </c>
      <c r="B219" t="s">
        <v>12</v>
      </c>
      <c r="C219" t="s">
        <v>37</v>
      </c>
      <c r="D219">
        <v>252748.38000000003</v>
      </c>
      <c r="E219">
        <v>263949.86</v>
      </c>
      <c r="F219">
        <v>1173.74</v>
      </c>
      <c r="G219">
        <v>9497.6200000000008</v>
      </c>
      <c r="H219">
        <v>11579277.547188653</v>
      </c>
    </row>
    <row r="220" spans="1:8" x14ac:dyDescent="0.3">
      <c r="A220" t="s">
        <v>13</v>
      </c>
      <c r="B220" t="s">
        <v>8</v>
      </c>
      <c r="C220" t="s">
        <v>38</v>
      </c>
      <c r="D220">
        <v>345319.97000000003</v>
      </c>
      <c r="E220">
        <v>354963.11</v>
      </c>
      <c r="F220">
        <v>1204.8300000000002</v>
      </c>
      <c r="G220">
        <v>7726.5800000000008</v>
      </c>
      <c r="H220">
        <v>12562793.461670831</v>
      </c>
    </row>
    <row r="221" spans="1:8" x14ac:dyDescent="0.3">
      <c r="A221" t="s">
        <v>13</v>
      </c>
      <c r="B221" t="s">
        <v>8</v>
      </c>
      <c r="C221" t="s">
        <v>37</v>
      </c>
      <c r="D221">
        <v>303643.54000000004</v>
      </c>
      <c r="E221">
        <v>294943.31999999995</v>
      </c>
      <c r="F221">
        <v>1177.3499999999999</v>
      </c>
      <c r="G221">
        <v>7971.7300000000005</v>
      </c>
      <c r="H221">
        <v>9903140.4714558218</v>
      </c>
    </row>
    <row r="222" spans="1:8" x14ac:dyDescent="0.3">
      <c r="A222" t="s">
        <v>13</v>
      </c>
      <c r="B222" t="s">
        <v>4</v>
      </c>
      <c r="C222" t="s">
        <v>38</v>
      </c>
      <c r="D222">
        <v>442622.23999999993</v>
      </c>
      <c r="E222">
        <v>441717.04</v>
      </c>
      <c r="F222">
        <v>2098.09</v>
      </c>
      <c r="G222">
        <v>11495.949999999997</v>
      </c>
      <c r="H222">
        <v>18005794.134486772</v>
      </c>
    </row>
    <row r="223" spans="1:8" x14ac:dyDescent="0.3">
      <c r="A223" t="s">
        <v>13</v>
      </c>
      <c r="B223" t="s">
        <v>4</v>
      </c>
      <c r="C223" t="s">
        <v>37</v>
      </c>
      <c r="D223">
        <v>271149.54000000004</v>
      </c>
      <c r="E223">
        <v>287867.23000000004</v>
      </c>
      <c r="F223">
        <v>1592.7900000000002</v>
      </c>
      <c r="G223">
        <v>10925.3</v>
      </c>
      <c r="H223">
        <v>15742033.437767617</v>
      </c>
    </row>
    <row r="224" spans="1:8" x14ac:dyDescent="0.3">
      <c r="A224" t="s">
        <v>13</v>
      </c>
      <c r="B224" t="s">
        <v>6</v>
      </c>
      <c r="C224" t="s">
        <v>38</v>
      </c>
      <c r="D224">
        <v>771273.07</v>
      </c>
      <c r="E224">
        <v>775769.87999999989</v>
      </c>
      <c r="F224">
        <v>3346.7299999999996</v>
      </c>
      <c r="G224">
        <v>16264.74</v>
      </c>
      <c r="H224">
        <v>27904408.536379792</v>
      </c>
    </row>
    <row r="225" spans="1:8" x14ac:dyDescent="0.3">
      <c r="A225" t="s">
        <v>13</v>
      </c>
      <c r="B225" t="s">
        <v>6</v>
      </c>
      <c r="C225" t="s">
        <v>37</v>
      </c>
      <c r="D225">
        <v>227615.65999999997</v>
      </c>
      <c r="E225">
        <v>222986.99</v>
      </c>
      <c r="F225">
        <v>1165.8999999999999</v>
      </c>
      <c r="G225">
        <v>5590.59</v>
      </c>
      <c r="H225">
        <v>10120064.649196984</v>
      </c>
    </row>
    <row r="226" spans="1:8" x14ac:dyDescent="0.3">
      <c r="A226" t="s">
        <v>11</v>
      </c>
      <c r="B226" t="s">
        <v>0</v>
      </c>
      <c r="C226" t="s">
        <v>38</v>
      </c>
      <c r="D226">
        <v>454751.92000000004</v>
      </c>
      <c r="E226">
        <v>461266.24</v>
      </c>
      <c r="F226">
        <v>1643.0200000000002</v>
      </c>
      <c r="G226">
        <v>11881.2</v>
      </c>
      <c r="H226">
        <v>18975130.247920249</v>
      </c>
    </row>
    <row r="227" spans="1:8" x14ac:dyDescent="0.3">
      <c r="A227" t="s">
        <v>11</v>
      </c>
      <c r="B227" t="s">
        <v>0</v>
      </c>
      <c r="C227" t="s">
        <v>37</v>
      </c>
      <c r="D227">
        <v>356683.08999999997</v>
      </c>
      <c r="E227">
        <v>367782.74</v>
      </c>
      <c r="F227">
        <v>1744.2400000000002</v>
      </c>
      <c r="G227">
        <v>9202.5399999999991</v>
      </c>
      <c r="H227">
        <v>14287949.423182771</v>
      </c>
    </row>
    <row r="228" spans="1:8" x14ac:dyDescent="0.3">
      <c r="A228" t="s">
        <v>11</v>
      </c>
      <c r="B228" t="s">
        <v>2</v>
      </c>
      <c r="C228" t="s">
        <v>38</v>
      </c>
      <c r="D228">
        <v>530739.67000000004</v>
      </c>
      <c r="E228">
        <v>512241.61</v>
      </c>
      <c r="F228">
        <v>1949.1299999999999</v>
      </c>
      <c r="G228">
        <v>13890.900000000003</v>
      </c>
      <c r="H228">
        <v>16164883.29546663</v>
      </c>
    </row>
    <row r="229" spans="1:8" x14ac:dyDescent="0.3">
      <c r="A229" t="s">
        <v>11</v>
      </c>
      <c r="B229" t="s">
        <v>2</v>
      </c>
      <c r="C229" t="s">
        <v>37</v>
      </c>
      <c r="D229">
        <v>398012.87999999995</v>
      </c>
      <c r="E229">
        <v>384221.27</v>
      </c>
      <c r="F229">
        <v>1846.87</v>
      </c>
      <c r="G229">
        <v>13132.05</v>
      </c>
      <c r="H229">
        <v>15403211.072997008</v>
      </c>
    </row>
    <row r="230" spans="1:8" x14ac:dyDescent="0.3">
      <c r="A230" t="s">
        <v>11</v>
      </c>
      <c r="B230" t="s">
        <v>14</v>
      </c>
      <c r="C230" t="s">
        <v>38</v>
      </c>
      <c r="D230">
        <v>321969.96000000002</v>
      </c>
      <c r="E230">
        <v>325874.83999999991</v>
      </c>
      <c r="F230">
        <v>1619.76</v>
      </c>
      <c r="G230">
        <v>9072.98</v>
      </c>
      <c r="H230">
        <v>13792038.911199944</v>
      </c>
    </row>
    <row r="231" spans="1:8" x14ac:dyDescent="0.3">
      <c r="A231" t="s">
        <v>11</v>
      </c>
      <c r="B231" t="s">
        <v>14</v>
      </c>
      <c r="C231" t="s">
        <v>37</v>
      </c>
      <c r="D231">
        <v>173227.63999999998</v>
      </c>
      <c r="E231">
        <v>174581.92</v>
      </c>
      <c r="F231">
        <v>828.04</v>
      </c>
      <c r="G231">
        <v>4801.3999999999996</v>
      </c>
      <c r="H231">
        <v>6988725.1011397317</v>
      </c>
    </row>
    <row r="232" spans="1:8" x14ac:dyDescent="0.3">
      <c r="A232" t="s">
        <v>11</v>
      </c>
      <c r="B232" t="s">
        <v>9</v>
      </c>
      <c r="C232" t="s">
        <v>38</v>
      </c>
      <c r="D232">
        <v>365912.46</v>
      </c>
      <c r="E232">
        <v>359941.41</v>
      </c>
      <c r="F232">
        <v>1631.35</v>
      </c>
      <c r="G232">
        <v>11887.54</v>
      </c>
      <c r="H232">
        <v>14886859.473362861</v>
      </c>
    </row>
    <row r="233" spans="1:8" x14ac:dyDescent="0.3">
      <c r="A233" t="s">
        <v>11</v>
      </c>
      <c r="B233" t="s">
        <v>9</v>
      </c>
      <c r="C233" t="s">
        <v>37</v>
      </c>
      <c r="D233">
        <v>240136.43</v>
      </c>
      <c r="E233">
        <v>230425.36</v>
      </c>
      <c r="F233">
        <v>1169.1299999999999</v>
      </c>
      <c r="G233">
        <v>9427.65</v>
      </c>
      <c r="H233">
        <v>10807437.748746177</v>
      </c>
    </row>
    <row r="234" spans="1:8" x14ac:dyDescent="0.3">
      <c r="A234" t="s">
        <v>11</v>
      </c>
      <c r="B234" t="s">
        <v>12</v>
      </c>
      <c r="C234" t="s">
        <v>38</v>
      </c>
      <c r="D234">
        <v>493814.73999999993</v>
      </c>
      <c r="E234">
        <v>495412.08</v>
      </c>
      <c r="F234">
        <v>2513.1800000000003</v>
      </c>
      <c r="G234">
        <v>9609.82</v>
      </c>
      <c r="H234">
        <v>19782662.847914942</v>
      </c>
    </row>
    <row r="235" spans="1:8" x14ac:dyDescent="0.3">
      <c r="A235" t="s">
        <v>11</v>
      </c>
      <c r="B235" t="s">
        <v>12</v>
      </c>
      <c r="C235" t="s">
        <v>37</v>
      </c>
      <c r="D235">
        <v>388250.17999999993</v>
      </c>
      <c r="E235">
        <v>401961.29999999993</v>
      </c>
      <c r="F235">
        <v>1266.73</v>
      </c>
      <c r="G235">
        <v>9262.4900000000016</v>
      </c>
      <c r="H235">
        <v>12441049.64364651</v>
      </c>
    </row>
    <row r="236" spans="1:8" x14ac:dyDescent="0.3">
      <c r="A236" t="s">
        <v>11</v>
      </c>
      <c r="B236" t="s">
        <v>8</v>
      </c>
      <c r="C236" t="s">
        <v>38</v>
      </c>
      <c r="D236">
        <v>581590.60999999987</v>
      </c>
      <c r="E236">
        <v>606063.9</v>
      </c>
      <c r="F236">
        <v>2543.86</v>
      </c>
      <c r="G236">
        <v>16582.39</v>
      </c>
      <c r="H236">
        <v>25831502.188434992</v>
      </c>
    </row>
    <row r="237" spans="1:8" x14ac:dyDescent="0.3">
      <c r="A237" t="s">
        <v>11</v>
      </c>
      <c r="B237" t="s">
        <v>8</v>
      </c>
      <c r="C237" t="s">
        <v>37</v>
      </c>
      <c r="D237">
        <v>319361.74000000011</v>
      </c>
      <c r="E237">
        <v>304166.85000000003</v>
      </c>
      <c r="F237">
        <v>1828.73</v>
      </c>
      <c r="G237">
        <v>10953.880000000003</v>
      </c>
      <c r="H237">
        <v>14517532.192764379</v>
      </c>
    </row>
    <row r="238" spans="1:8" x14ac:dyDescent="0.3">
      <c r="A238" t="s">
        <v>11</v>
      </c>
      <c r="B238" t="s">
        <v>4</v>
      </c>
      <c r="C238" t="s">
        <v>38</v>
      </c>
      <c r="D238">
        <v>511428.56</v>
      </c>
      <c r="E238">
        <v>512456.18999999994</v>
      </c>
      <c r="F238">
        <v>1811.88</v>
      </c>
      <c r="G238">
        <v>13153.09</v>
      </c>
      <c r="H238">
        <v>18039980.929061383</v>
      </c>
    </row>
    <row r="239" spans="1:8" x14ac:dyDescent="0.3">
      <c r="A239" t="s">
        <v>11</v>
      </c>
      <c r="B239" t="s">
        <v>4</v>
      </c>
      <c r="C239" t="s">
        <v>37</v>
      </c>
      <c r="D239">
        <v>269628.89</v>
      </c>
      <c r="E239">
        <v>265818.03999999998</v>
      </c>
      <c r="F239">
        <v>1479.1200000000001</v>
      </c>
      <c r="G239">
        <v>9959.7800000000007</v>
      </c>
      <c r="H239">
        <v>13945834.866525447</v>
      </c>
    </row>
    <row r="240" spans="1:8" x14ac:dyDescent="0.3">
      <c r="A240" t="s">
        <v>11</v>
      </c>
      <c r="B240" t="s">
        <v>6</v>
      </c>
      <c r="C240" t="s">
        <v>38</v>
      </c>
      <c r="D240">
        <v>324320.81999999995</v>
      </c>
      <c r="E240">
        <v>314455.45</v>
      </c>
      <c r="F240">
        <v>996.05</v>
      </c>
      <c r="G240">
        <v>10755.200000000003</v>
      </c>
      <c r="H240">
        <v>12784042.648205806</v>
      </c>
    </row>
    <row r="241" spans="1:8" x14ac:dyDescent="0.3">
      <c r="A241" t="s">
        <v>11</v>
      </c>
      <c r="B241" t="s">
        <v>6</v>
      </c>
      <c r="C241" t="s">
        <v>37</v>
      </c>
      <c r="D241">
        <v>326640.70999999996</v>
      </c>
      <c r="E241">
        <v>343233.24999999994</v>
      </c>
      <c r="F241">
        <v>1483.3899999999999</v>
      </c>
      <c r="G241">
        <v>9215.7199999999993</v>
      </c>
      <c r="H241">
        <v>15203556.817126278</v>
      </c>
    </row>
    <row r="242" spans="1:8" x14ac:dyDescent="0.3">
      <c r="A242" t="s">
        <v>27</v>
      </c>
      <c r="B242" t="s">
        <v>0</v>
      </c>
      <c r="C242" t="s">
        <v>38</v>
      </c>
      <c r="D242">
        <v>255973.33000000002</v>
      </c>
      <c r="E242">
        <v>257353.11</v>
      </c>
      <c r="F242">
        <v>2032.8700000000001</v>
      </c>
      <c r="G242">
        <v>12613.13</v>
      </c>
      <c r="H242">
        <v>17830539.118838489</v>
      </c>
    </row>
    <row r="243" spans="1:8" x14ac:dyDescent="0.3">
      <c r="A243" t="s">
        <v>27</v>
      </c>
      <c r="B243" t="s">
        <v>0</v>
      </c>
      <c r="C243" t="s">
        <v>37</v>
      </c>
      <c r="D243">
        <v>250071.83000000002</v>
      </c>
      <c r="E243">
        <v>240048.84</v>
      </c>
      <c r="F243">
        <v>1653.7000000000003</v>
      </c>
      <c r="G243">
        <v>8484.8799999999992</v>
      </c>
      <c r="H243">
        <v>12620718.173934814</v>
      </c>
    </row>
    <row r="244" spans="1:8" x14ac:dyDescent="0.3">
      <c r="A244" t="s">
        <v>27</v>
      </c>
      <c r="B244" t="s">
        <v>2</v>
      </c>
      <c r="C244" t="s">
        <v>38</v>
      </c>
      <c r="D244">
        <v>525215.49999999988</v>
      </c>
      <c r="E244">
        <v>550300.57999999996</v>
      </c>
      <c r="F244">
        <v>1986.1100000000001</v>
      </c>
      <c r="G244">
        <v>11775.99</v>
      </c>
      <c r="H244">
        <v>20230355.462394882</v>
      </c>
    </row>
    <row r="245" spans="1:8" x14ac:dyDescent="0.3">
      <c r="A245" t="s">
        <v>27</v>
      </c>
      <c r="B245" t="s">
        <v>2</v>
      </c>
      <c r="C245" t="s">
        <v>37</v>
      </c>
      <c r="D245">
        <v>252270.55</v>
      </c>
      <c r="E245">
        <v>246739.85000000003</v>
      </c>
      <c r="F245">
        <v>1656.22</v>
      </c>
      <c r="G245">
        <v>8840.9999999999982</v>
      </c>
      <c r="H245">
        <v>12492971.814306039</v>
      </c>
    </row>
    <row r="246" spans="1:8" x14ac:dyDescent="0.3">
      <c r="A246" t="s">
        <v>27</v>
      </c>
      <c r="B246" t="s">
        <v>14</v>
      </c>
      <c r="C246" t="s">
        <v>38</v>
      </c>
      <c r="D246">
        <v>417482.73999999993</v>
      </c>
      <c r="E246">
        <v>429136.13000000006</v>
      </c>
      <c r="F246">
        <v>2017.3700000000001</v>
      </c>
      <c r="G246">
        <v>11465.76</v>
      </c>
      <c r="H246">
        <v>18527474.90153724</v>
      </c>
    </row>
    <row r="247" spans="1:8" x14ac:dyDescent="0.3">
      <c r="A247" t="s">
        <v>27</v>
      </c>
      <c r="B247" t="s">
        <v>14</v>
      </c>
      <c r="C247" t="s">
        <v>37</v>
      </c>
      <c r="D247">
        <v>312794.56999999995</v>
      </c>
      <c r="E247">
        <v>305503.49000000005</v>
      </c>
      <c r="F247">
        <v>1180.96</v>
      </c>
      <c r="G247">
        <v>8704.1200000000008</v>
      </c>
      <c r="H247">
        <v>11915048.710156566</v>
      </c>
    </row>
    <row r="248" spans="1:8" x14ac:dyDescent="0.3">
      <c r="A248" t="s">
        <v>27</v>
      </c>
      <c r="B248" t="s">
        <v>9</v>
      </c>
      <c r="C248" t="s">
        <v>38</v>
      </c>
      <c r="D248">
        <v>504905.72</v>
      </c>
      <c r="E248">
        <v>509549.4599999999</v>
      </c>
      <c r="F248">
        <v>2273.67</v>
      </c>
      <c r="G248">
        <v>12571.389999999998</v>
      </c>
      <c r="H248">
        <v>21247968.903602816</v>
      </c>
    </row>
    <row r="249" spans="1:8" x14ac:dyDescent="0.3">
      <c r="A249" t="s">
        <v>27</v>
      </c>
      <c r="B249" t="s">
        <v>9</v>
      </c>
      <c r="C249" t="s">
        <v>37</v>
      </c>
      <c r="D249">
        <v>403128.94999999995</v>
      </c>
      <c r="E249">
        <v>427725.54</v>
      </c>
      <c r="F249">
        <v>1489.7199999999998</v>
      </c>
      <c r="G249">
        <v>9230.7899999999991</v>
      </c>
      <c r="H249">
        <v>15605829.844298437</v>
      </c>
    </row>
    <row r="250" spans="1:8" x14ac:dyDescent="0.3">
      <c r="A250" t="s">
        <v>27</v>
      </c>
      <c r="B250" t="s">
        <v>12</v>
      </c>
      <c r="C250" t="s">
        <v>38</v>
      </c>
      <c r="D250">
        <v>553948.31999999995</v>
      </c>
      <c r="E250">
        <v>554610.69000000006</v>
      </c>
      <c r="F250">
        <v>2175.71</v>
      </c>
      <c r="G250">
        <v>14220</v>
      </c>
      <c r="H250">
        <v>21222339.859985601</v>
      </c>
    </row>
    <row r="251" spans="1:8" x14ac:dyDescent="0.3">
      <c r="A251" t="s">
        <v>27</v>
      </c>
      <c r="B251" t="s">
        <v>12</v>
      </c>
      <c r="C251" t="s">
        <v>37</v>
      </c>
      <c r="D251">
        <v>328478.2</v>
      </c>
      <c r="E251">
        <v>329537.85000000003</v>
      </c>
      <c r="F251">
        <v>1153.47</v>
      </c>
      <c r="G251">
        <v>4579.66</v>
      </c>
      <c r="H251">
        <v>11269870.349471776</v>
      </c>
    </row>
    <row r="252" spans="1:8" x14ac:dyDescent="0.3">
      <c r="A252" t="s">
        <v>27</v>
      </c>
      <c r="B252" t="s">
        <v>8</v>
      </c>
      <c r="C252" t="s">
        <v>38</v>
      </c>
      <c r="D252">
        <v>448913.10000000003</v>
      </c>
      <c r="E252">
        <v>438126.36000000004</v>
      </c>
      <c r="F252">
        <v>2232.4499999999998</v>
      </c>
      <c r="G252">
        <v>15563.570000000003</v>
      </c>
      <c r="H252">
        <v>18448575.907675713</v>
      </c>
    </row>
    <row r="253" spans="1:8" x14ac:dyDescent="0.3">
      <c r="A253" t="s">
        <v>27</v>
      </c>
      <c r="B253" t="s">
        <v>8</v>
      </c>
      <c r="C253" t="s">
        <v>37</v>
      </c>
      <c r="D253">
        <v>295785.93</v>
      </c>
      <c r="E253">
        <v>278922.13</v>
      </c>
      <c r="F253">
        <v>1220.6499999999999</v>
      </c>
      <c r="G253">
        <v>7071.44</v>
      </c>
      <c r="H253">
        <v>9536960.5549270436</v>
      </c>
    </row>
    <row r="254" spans="1:8" x14ac:dyDescent="0.3">
      <c r="A254" t="s">
        <v>27</v>
      </c>
      <c r="B254" t="s">
        <v>4</v>
      </c>
      <c r="C254" t="s">
        <v>38</v>
      </c>
      <c r="D254">
        <v>166129.48000000001</v>
      </c>
      <c r="E254">
        <v>162526.29</v>
      </c>
      <c r="F254">
        <v>858.6</v>
      </c>
      <c r="G254">
        <v>3515.01</v>
      </c>
      <c r="H254">
        <v>7237559.017856448</v>
      </c>
    </row>
    <row r="255" spans="1:8" x14ac:dyDescent="0.3">
      <c r="A255" t="s">
        <v>27</v>
      </c>
      <c r="B255" t="s">
        <v>4</v>
      </c>
      <c r="C255" t="s">
        <v>37</v>
      </c>
      <c r="D255">
        <v>160081.56000000003</v>
      </c>
      <c r="E255">
        <v>164615.72</v>
      </c>
      <c r="F255">
        <v>880.3</v>
      </c>
      <c r="G255">
        <v>5814.38</v>
      </c>
      <c r="H255">
        <v>7950443.3354760697</v>
      </c>
    </row>
    <row r="256" spans="1:8" x14ac:dyDescent="0.3">
      <c r="A256" t="s">
        <v>27</v>
      </c>
      <c r="B256" t="s">
        <v>6</v>
      </c>
      <c r="C256" t="s">
        <v>38</v>
      </c>
      <c r="D256">
        <v>415683.23</v>
      </c>
      <c r="E256">
        <v>420413.24999999994</v>
      </c>
      <c r="F256">
        <v>2477.9899999999998</v>
      </c>
      <c r="G256">
        <v>16334.880000000001</v>
      </c>
      <c r="H256">
        <v>20447458.103275638</v>
      </c>
    </row>
    <row r="257" spans="1:8" x14ac:dyDescent="0.3">
      <c r="A257" t="s">
        <v>27</v>
      </c>
      <c r="B257" t="s">
        <v>6</v>
      </c>
      <c r="C257" t="s">
        <v>37</v>
      </c>
      <c r="D257">
        <v>318244.06000000006</v>
      </c>
      <c r="E257">
        <v>322978.46999999997</v>
      </c>
      <c r="F257">
        <v>1976.76</v>
      </c>
      <c r="G257">
        <v>12687.96</v>
      </c>
      <c r="H257">
        <v>15056206.388684029</v>
      </c>
    </row>
    <row r="258" spans="1:8" x14ac:dyDescent="0.3">
      <c r="A258" t="s">
        <v>23</v>
      </c>
      <c r="B258" t="s">
        <v>0</v>
      </c>
      <c r="C258" t="s">
        <v>38</v>
      </c>
      <c r="D258">
        <v>368273.97000000009</v>
      </c>
      <c r="E258">
        <v>358180.01999999996</v>
      </c>
      <c r="F258">
        <v>1858.0599999999997</v>
      </c>
      <c r="G258">
        <v>15676.09</v>
      </c>
      <c r="H258">
        <v>20390370.946586825</v>
      </c>
    </row>
    <row r="259" spans="1:8" x14ac:dyDescent="0.3">
      <c r="A259" t="s">
        <v>23</v>
      </c>
      <c r="B259" t="s">
        <v>0</v>
      </c>
      <c r="C259" t="s">
        <v>37</v>
      </c>
      <c r="D259">
        <v>366958.58999999991</v>
      </c>
      <c r="E259">
        <v>366668.51999999996</v>
      </c>
      <c r="F259">
        <v>1895.1499999999999</v>
      </c>
      <c r="G259">
        <v>12675.31</v>
      </c>
      <c r="H259">
        <v>16001141.558398839</v>
      </c>
    </row>
    <row r="260" spans="1:8" x14ac:dyDescent="0.3">
      <c r="A260" t="s">
        <v>23</v>
      </c>
      <c r="B260" t="s">
        <v>2</v>
      </c>
      <c r="C260" t="s">
        <v>38</v>
      </c>
      <c r="D260">
        <v>442551.99</v>
      </c>
      <c r="E260">
        <v>442358.69</v>
      </c>
      <c r="F260">
        <v>1776.86</v>
      </c>
      <c r="G260">
        <v>9822.2900000000009</v>
      </c>
      <c r="H260">
        <v>16053327.795925358</v>
      </c>
    </row>
    <row r="261" spans="1:8" x14ac:dyDescent="0.3">
      <c r="A261" t="s">
        <v>23</v>
      </c>
      <c r="B261" t="s">
        <v>2</v>
      </c>
      <c r="C261" t="s">
        <v>37</v>
      </c>
      <c r="D261">
        <v>335893.57</v>
      </c>
      <c r="E261">
        <v>332333.46999999997</v>
      </c>
      <c r="F261">
        <v>1274.9499999999998</v>
      </c>
      <c r="G261">
        <v>8643.5999999999985</v>
      </c>
      <c r="H261">
        <v>10761334.772770867</v>
      </c>
    </row>
    <row r="262" spans="1:8" x14ac:dyDescent="0.3">
      <c r="A262" t="s">
        <v>23</v>
      </c>
      <c r="B262" t="s">
        <v>14</v>
      </c>
      <c r="C262" t="s">
        <v>38</v>
      </c>
      <c r="D262">
        <v>432471.52</v>
      </c>
      <c r="E262">
        <v>415144.56000000006</v>
      </c>
      <c r="F262">
        <v>2030.21</v>
      </c>
      <c r="G262">
        <v>15336.360000000002</v>
      </c>
      <c r="H262">
        <v>21933783.78536199</v>
      </c>
    </row>
    <row r="263" spans="1:8" x14ac:dyDescent="0.3">
      <c r="A263" t="s">
        <v>23</v>
      </c>
      <c r="B263" t="s">
        <v>14</v>
      </c>
      <c r="C263" t="s">
        <v>37</v>
      </c>
      <c r="D263">
        <v>277058.93</v>
      </c>
      <c r="E263">
        <v>279583.15000000002</v>
      </c>
      <c r="F263">
        <v>1276.6300000000001</v>
      </c>
      <c r="G263">
        <v>7714.7099999999991</v>
      </c>
      <c r="H263">
        <v>12298566.23645938</v>
      </c>
    </row>
    <row r="264" spans="1:8" x14ac:dyDescent="0.3">
      <c r="A264" t="s">
        <v>23</v>
      </c>
      <c r="B264" t="s">
        <v>9</v>
      </c>
      <c r="C264" t="s">
        <v>38</v>
      </c>
      <c r="D264">
        <v>467512.68000000005</v>
      </c>
      <c r="E264">
        <v>495045.43</v>
      </c>
      <c r="F264">
        <v>1277.54</v>
      </c>
      <c r="G264">
        <v>12194.52</v>
      </c>
      <c r="H264">
        <v>16444119.187183857</v>
      </c>
    </row>
    <row r="265" spans="1:8" x14ac:dyDescent="0.3">
      <c r="A265" t="s">
        <v>23</v>
      </c>
      <c r="B265" t="s">
        <v>9</v>
      </c>
      <c r="C265" t="s">
        <v>37</v>
      </c>
      <c r="D265">
        <v>479471.69</v>
      </c>
      <c r="E265">
        <v>491645.52999999991</v>
      </c>
      <c r="F265">
        <v>1973.8599999999997</v>
      </c>
      <c r="G265">
        <v>15699.349999999999</v>
      </c>
      <c r="H265">
        <v>17649462.683023676</v>
      </c>
    </row>
    <row r="266" spans="1:8" x14ac:dyDescent="0.3">
      <c r="A266" t="s">
        <v>23</v>
      </c>
      <c r="B266" t="s">
        <v>12</v>
      </c>
      <c r="C266" t="s">
        <v>38</v>
      </c>
      <c r="D266">
        <v>464412.38</v>
      </c>
      <c r="E266">
        <v>464158.09</v>
      </c>
      <c r="F266">
        <v>1940.8200000000002</v>
      </c>
      <c r="G266">
        <v>12489.980000000001</v>
      </c>
      <c r="H266">
        <v>17319272.668263353</v>
      </c>
    </row>
    <row r="267" spans="1:8" x14ac:dyDescent="0.3">
      <c r="A267" t="s">
        <v>23</v>
      </c>
      <c r="B267" t="s">
        <v>12</v>
      </c>
      <c r="C267" t="s">
        <v>37</v>
      </c>
      <c r="D267">
        <v>357892.79000000004</v>
      </c>
      <c r="E267">
        <v>357262.95999999996</v>
      </c>
      <c r="F267">
        <v>1677.8900000000003</v>
      </c>
      <c r="G267">
        <v>8278.4699999999993</v>
      </c>
      <c r="H267">
        <v>14086341.536648845</v>
      </c>
    </row>
    <row r="268" spans="1:8" x14ac:dyDescent="0.3">
      <c r="A268" t="s">
        <v>23</v>
      </c>
      <c r="B268" t="s">
        <v>8</v>
      </c>
      <c r="C268" t="s">
        <v>38</v>
      </c>
      <c r="D268">
        <v>604904.91999999981</v>
      </c>
      <c r="E268">
        <v>610600.82999999996</v>
      </c>
      <c r="F268">
        <v>2492.7800000000002</v>
      </c>
      <c r="G268">
        <v>15423.569999999998</v>
      </c>
      <c r="H268">
        <v>23079479.784945577</v>
      </c>
    </row>
    <row r="269" spans="1:8" x14ac:dyDescent="0.3">
      <c r="A269" t="s">
        <v>23</v>
      </c>
      <c r="B269" t="s">
        <v>8</v>
      </c>
      <c r="C269" t="s">
        <v>37</v>
      </c>
      <c r="D269">
        <v>215643.33000000002</v>
      </c>
      <c r="E269">
        <v>211285.79</v>
      </c>
      <c r="F269">
        <v>1004.53</v>
      </c>
      <c r="G269">
        <v>5837.63</v>
      </c>
      <c r="H269">
        <v>8781561.8174162377</v>
      </c>
    </row>
    <row r="270" spans="1:8" x14ac:dyDescent="0.3">
      <c r="A270" t="s">
        <v>23</v>
      </c>
      <c r="B270" t="s">
        <v>4</v>
      </c>
      <c r="C270" t="s">
        <v>38</v>
      </c>
      <c r="D270">
        <v>596799.85</v>
      </c>
      <c r="E270">
        <v>591048.63</v>
      </c>
      <c r="F270">
        <v>2326.21</v>
      </c>
      <c r="G270">
        <v>17045.440000000002</v>
      </c>
      <c r="H270">
        <v>22158998.303773519</v>
      </c>
    </row>
    <row r="271" spans="1:8" x14ac:dyDescent="0.3">
      <c r="A271" t="s">
        <v>23</v>
      </c>
      <c r="B271" t="s">
        <v>4</v>
      </c>
      <c r="C271" t="s">
        <v>37</v>
      </c>
      <c r="D271">
        <v>228953.43</v>
      </c>
      <c r="E271">
        <v>229005.32</v>
      </c>
      <c r="F271">
        <v>986.22000000000014</v>
      </c>
      <c r="G271">
        <v>9841.84</v>
      </c>
      <c r="H271">
        <v>11552131.400508726</v>
      </c>
    </row>
    <row r="272" spans="1:8" x14ac:dyDescent="0.3">
      <c r="A272" t="s">
        <v>23</v>
      </c>
      <c r="B272" t="s">
        <v>6</v>
      </c>
      <c r="C272" t="s">
        <v>38</v>
      </c>
      <c r="D272">
        <v>619540.45000000007</v>
      </c>
      <c r="E272">
        <v>619697.37999999989</v>
      </c>
      <c r="F272">
        <v>2666.4800000000005</v>
      </c>
      <c r="G272">
        <v>20170.32</v>
      </c>
      <c r="H272">
        <v>26075315.104983468</v>
      </c>
    </row>
    <row r="273" spans="1:8" x14ac:dyDescent="0.3">
      <c r="A273" t="s">
        <v>23</v>
      </c>
      <c r="B273" t="s">
        <v>6</v>
      </c>
      <c r="C273" t="s">
        <v>37</v>
      </c>
      <c r="D273">
        <v>532234.15999999992</v>
      </c>
      <c r="E273">
        <v>561134</v>
      </c>
      <c r="F273">
        <v>1893.0900000000004</v>
      </c>
      <c r="G273">
        <v>11715.560000000001</v>
      </c>
      <c r="H273">
        <v>18817642.806818914</v>
      </c>
    </row>
    <row r="274" spans="1:8" x14ac:dyDescent="0.3">
      <c r="A274" t="s">
        <v>22</v>
      </c>
      <c r="B274" t="s">
        <v>0</v>
      </c>
      <c r="C274" t="s">
        <v>38</v>
      </c>
      <c r="D274">
        <v>508202.27000000014</v>
      </c>
      <c r="E274">
        <v>492423.08000000007</v>
      </c>
      <c r="F274">
        <v>1565.37</v>
      </c>
      <c r="G274">
        <v>14176.130000000001</v>
      </c>
      <c r="H274">
        <v>18934798.587716118</v>
      </c>
    </row>
    <row r="275" spans="1:8" x14ac:dyDescent="0.3">
      <c r="A275" t="s">
        <v>22</v>
      </c>
      <c r="B275" t="s">
        <v>0</v>
      </c>
      <c r="C275" t="s">
        <v>37</v>
      </c>
      <c r="D275">
        <v>323650.11</v>
      </c>
      <c r="E275">
        <v>322973.88</v>
      </c>
      <c r="F275">
        <v>1743.7500000000002</v>
      </c>
      <c r="G275">
        <v>10294.75</v>
      </c>
      <c r="H275">
        <v>14921796.211506441</v>
      </c>
    </row>
    <row r="276" spans="1:8" x14ac:dyDescent="0.3">
      <c r="A276" t="s">
        <v>22</v>
      </c>
      <c r="B276" t="s">
        <v>2</v>
      </c>
      <c r="C276" t="s">
        <v>38</v>
      </c>
      <c r="D276">
        <v>726717.41999999993</v>
      </c>
      <c r="E276">
        <v>719509.5</v>
      </c>
      <c r="F276">
        <v>2637.39</v>
      </c>
      <c r="G276">
        <v>13919.03</v>
      </c>
      <c r="H276">
        <v>23663132.225748952</v>
      </c>
    </row>
    <row r="277" spans="1:8" x14ac:dyDescent="0.3">
      <c r="A277" t="s">
        <v>22</v>
      </c>
      <c r="B277" t="s">
        <v>2</v>
      </c>
      <c r="C277" t="s">
        <v>37</v>
      </c>
      <c r="D277">
        <v>251185.78</v>
      </c>
      <c r="E277">
        <v>244750.60000000003</v>
      </c>
      <c r="F277">
        <v>1248.5600000000002</v>
      </c>
      <c r="G277">
        <v>6354.0700000000006</v>
      </c>
      <c r="H277">
        <v>10808626.139595427</v>
      </c>
    </row>
    <row r="278" spans="1:8" x14ac:dyDescent="0.3">
      <c r="A278" t="s">
        <v>22</v>
      </c>
      <c r="B278" t="s">
        <v>14</v>
      </c>
      <c r="C278" t="s">
        <v>38</v>
      </c>
      <c r="D278">
        <v>321505</v>
      </c>
      <c r="E278">
        <v>315863.27999999997</v>
      </c>
      <c r="F278">
        <v>1454.51</v>
      </c>
      <c r="G278">
        <v>8309.66</v>
      </c>
      <c r="H278">
        <v>11943881.272363443</v>
      </c>
    </row>
    <row r="279" spans="1:8" x14ac:dyDescent="0.3">
      <c r="A279" t="s">
        <v>22</v>
      </c>
      <c r="B279" t="s">
        <v>14</v>
      </c>
      <c r="C279" t="s">
        <v>37</v>
      </c>
      <c r="D279">
        <v>260182.25</v>
      </c>
      <c r="E279">
        <v>261692.91</v>
      </c>
      <c r="F279">
        <v>890.21</v>
      </c>
      <c r="G279">
        <v>6108.83</v>
      </c>
      <c r="H279">
        <v>7983148.8165059229</v>
      </c>
    </row>
    <row r="280" spans="1:8" x14ac:dyDescent="0.3">
      <c r="A280" t="s">
        <v>22</v>
      </c>
      <c r="B280" t="s">
        <v>9</v>
      </c>
      <c r="C280" t="s">
        <v>38</v>
      </c>
      <c r="D280">
        <v>570325.61</v>
      </c>
      <c r="E280">
        <v>584110.34</v>
      </c>
      <c r="F280">
        <v>2477.7299999999996</v>
      </c>
      <c r="G280">
        <v>17486.170000000006</v>
      </c>
      <c r="H280">
        <v>21049388.460264802</v>
      </c>
    </row>
    <row r="281" spans="1:8" x14ac:dyDescent="0.3">
      <c r="A281" t="s">
        <v>22</v>
      </c>
      <c r="B281" t="s">
        <v>9</v>
      </c>
      <c r="C281" t="s">
        <v>37</v>
      </c>
      <c r="D281">
        <v>250005.1</v>
      </c>
      <c r="E281">
        <v>232134.50999999998</v>
      </c>
      <c r="F281">
        <v>999.68</v>
      </c>
      <c r="G281">
        <v>6397.0700000000006</v>
      </c>
      <c r="H281">
        <v>8224514.5627152454</v>
      </c>
    </row>
    <row r="282" spans="1:8" x14ac:dyDescent="0.3">
      <c r="A282" t="s">
        <v>22</v>
      </c>
      <c r="B282" t="s">
        <v>12</v>
      </c>
      <c r="C282" t="s">
        <v>38</v>
      </c>
      <c r="D282">
        <v>532691.50000000012</v>
      </c>
      <c r="E282">
        <v>513779.78</v>
      </c>
      <c r="F282">
        <v>1808.38</v>
      </c>
      <c r="G282">
        <v>15377.989999999996</v>
      </c>
      <c r="H282">
        <v>18254092.728724781</v>
      </c>
    </row>
    <row r="283" spans="1:8" x14ac:dyDescent="0.3">
      <c r="A283" t="s">
        <v>22</v>
      </c>
      <c r="B283" t="s">
        <v>12</v>
      </c>
      <c r="C283" t="s">
        <v>37</v>
      </c>
      <c r="D283">
        <v>329026.23999999993</v>
      </c>
      <c r="E283">
        <v>339989.85</v>
      </c>
      <c r="F283">
        <v>1385.35</v>
      </c>
      <c r="G283">
        <v>10706.289999999999</v>
      </c>
      <c r="H283">
        <v>14313220.538232848</v>
      </c>
    </row>
    <row r="284" spans="1:8" x14ac:dyDescent="0.3">
      <c r="A284" t="s">
        <v>22</v>
      </c>
      <c r="B284" t="s">
        <v>8</v>
      </c>
      <c r="C284" t="s">
        <v>38</v>
      </c>
      <c r="D284">
        <v>477086.67999999993</v>
      </c>
      <c r="E284">
        <v>460465.38999999996</v>
      </c>
      <c r="F284">
        <v>2173.4399999999996</v>
      </c>
      <c r="G284">
        <v>10919.43</v>
      </c>
      <c r="H284">
        <v>17296493.987974171</v>
      </c>
    </row>
    <row r="285" spans="1:8" x14ac:dyDescent="0.3">
      <c r="A285" t="s">
        <v>22</v>
      </c>
      <c r="B285" t="s">
        <v>8</v>
      </c>
      <c r="C285" t="s">
        <v>37</v>
      </c>
      <c r="D285">
        <v>464248.12</v>
      </c>
      <c r="E285">
        <v>468450.33000000007</v>
      </c>
      <c r="F285">
        <v>1849.7000000000003</v>
      </c>
      <c r="G285">
        <v>15667.489999999998</v>
      </c>
      <c r="H285">
        <v>17893696.449657537</v>
      </c>
    </row>
    <row r="286" spans="1:8" x14ac:dyDescent="0.3">
      <c r="A286" t="s">
        <v>22</v>
      </c>
      <c r="B286" t="s">
        <v>4</v>
      </c>
      <c r="C286" t="s">
        <v>38</v>
      </c>
      <c r="D286">
        <v>521119.03999999992</v>
      </c>
      <c r="E286">
        <v>511892.61999999988</v>
      </c>
      <c r="F286">
        <v>1926.31</v>
      </c>
      <c r="G286">
        <v>13209.730000000003</v>
      </c>
      <c r="H286">
        <v>17865685.97662954</v>
      </c>
    </row>
    <row r="287" spans="1:8" x14ac:dyDescent="0.3">
      <c r="A287" t="s">
        <v>22</v>
      </c>
      <c r="B287" t="s">
        <v>4</v>
      </c>
      <c r="C287" t="s">
        <v>37</v>
      </c>
      <c r="D287">
        <v>429391.61000000004</v>
      </c>
      <c r="E287">
        <v>401453.52</v>
      </c>
      <c r="F287">
        <v>1095.22</v>
      </c>
      <c r="G287">
        <v>8851.84</v>
      </c>
      <c r="H287">
        <v>12323268.681705041</v>
      </c>
    </row>
    <row r="288" spans="1:8" x14ac:dyDescent="0.3">
      <c r="A288" t="s">
        <v>22</v>
      </c>
      <c r="B288" t="s">
        <v>6</v>
      </c>
      <c r="C288" t="s">
        <v>38</v>
      </c>
      <c r="D288">
        <v>366122.14999999997</v>
      </c>
      <c r="E288">
        <v>369069.55999999994</v>
      </c>
      <c r="F288">
        <v>1769.4899999999998</v>
      </c>
      <c r="G288">
        <v>10545.519999999999</v>
      </c>
      <c r="H288">
        <v>15786263.80069248</v>
      </c>
    </row>
    <row r="289" spans="1:8" x14ac:dyDescent="0.3">
      <c r="A289" t="s">
        <v>22</v>
      </c>
      <c r="B289" t="s">
        <v>6</v>
      </c>
      <c r="C289" t="s">
        <v>37</v>
      </c>
      <c r="D289">
        <v>548426.92999999993</v>
      </c>
      <c r="E289">
        <v>571001.47</v>
      </c>
      <c r="F289">
        <v>2085.23</v>
      </c>
      <c r="G289">
        <v>12463.140000000003</v>
      </c>
      <c r="H289">
        <v>21501103.514430787</v>
      </c>
    </row>
    <row r="290" spans="1:8" x14ac:dyDescent="0.3">
      <c r="A290" t="s">
        <v>10</v>
      </c>
      <c r="B290" t="s">
        <v>0</v>
      </c>
      <c r="C290" t="s">
        <v>38</v>
      </c>
      <c r="D290">
        <v>346623.59999999992</v>
      </c>
      <c r="E290">
        <v>355250.97000000003</v>
      </c>
      <c r="F290">
        <v>2023.8500000000001</v>
      </c>
      <c r="G290">
        <v>10611</v>
      </c>
      <c r="H290">
        <v>16297103.64372134</v>
      </c>
    </row>
    <row r="291" spans="1:8" x14ac:dyDescent="0.3">
      <c r="A291" t="s">
        <v>10</v>
      </c>
      <c r="B291" t="s">
        <v>0</v>
      </c>
      <c r="C291" t="s">
        <v>37</v>
      </c>
      <c r="D291">
        <v>235959.66999999998</v>
      </c>
      <c r="E291">
        <v>251006.78</v>
      </c>
      <c r="F291">
        <v>1679.97</v>
      </c>
      <c r="G291">
        <v>9588.98</v>
      </c>
      <c r="H291">
        <v>13133703.482823325</v>
      </c>
    </row>
    <row r="292" spans="1:8" x14ac:dyDescent="0.3">
      <c r="A292" t="s">
        <v>10</v>
      </c>
      <c r="B292" t="s">
        <v>2</v>
      </c>
      <c r="C292" t="s">
        <v>38</v>
      </c>
      <c r="D292">
        <v>408089.8</v>
      </c>
      <c r="E292">
        <v>386960.31</v>
      </c>
      <c r="F292">
        <v>1501.35</v>
      </c>
      <c r="G292">
        <v>9916.0300000000007</v>
      </c>
      <c r="H292">
        <v>14265803.952712692</v>
      </c>
    </row>
    <row r="293" spans="1:8" x14ac:dyDescent="0.3">
      <c r="A293" t="s">
        <v>10</v>
      </c>
      <c r="B293" t="s">
        <v>2</v>
      </c>
      <c r="C293" t="s">
        <v>37</v>
      </c>
      <c r="D293">
        <v>334593.53999999998</v>
      </c>
      <c r="E293">
        <v>333542.56000000006</v>
      </c>
      <c r="F293">
        <v>1465.97</v>
      </c>
      <c r="G293">
        <v>6936.52</v>
      </c>
      <c r="H293">
        <v>13242229.98744344</v>
      </c>
    </row>
    <row r="294" spans="1:8" x14ac:dyDescent="0.3">
      <c r="A294" t="s">
        <v>10</v>
      </c>
      <c r="B294" t="s">
        <v>14</v>
      </c>
      <c r="C294" t="s">
        <v>38</v>
      </c>
      <c r="D294">
        <v>401367.5799999999</v>
      </c>
      <c r="E294">
        <v>377319.90000000008</v>
      </c>
      <c r="F294">
        <v>1279.55</v>
      </c>
      <c r="G294">
        <v>12839.110000000002</v>
      </c>
      <c r="H294">
        <v>17152252.031511288</v>
      </c>
    </row>
    <row r="295" spans="1:8" x14ac:dyDescent="0.3">
      <c r="A295" t="s">
        <v>10</v>
      </c>
      <c r="B295" t="s">
        <v>14</v>
      </c>
      <c r="C295" t="s">
        <v>37</v>
      </c>
      <c r="D295">
        <v>427727.46000000008</v>
      </c>
      <c r="E295">
        <v>417473.86</v>
      </c>
      <c r="F295">
        <v>1177.74</v>
      </c>
      <c r="G295">
        <v>10228.730000000001</v>
      </c>
      <c r="H295">
        <v>12910912.849312283</v>
      </c>
    </row>
    <row r="296" spans="1:8" x14ac:dyDescent="0.3">
      <c r="A296" t="s">
        <v>10</v>
      </c>
      <c r="B296" t="s">
        <v>9</v>
      </c>
      <c r="C296" t="s">
        <v>38</v>
      </c>
      <c r="D296">
        <v>432497.6</v>
      </c>
      <c r="E296">
        <v>433997.54</v>
      </c>
      <c r="F296">
        <v>1468.2400000000002</v>
      </c>
      <c r="G296">
        <v>15368.769999999997</v>
      </c>
      <c r="H296">
        <v>15916157.477148354</v>
      </c>
    </row>
    <row r="297" spans="1:8" x14ac:dyDescent="0.3">
      <c r="A297" t="s">
        <v>10</v>
      </c>
      <c r="B297" t="s">
        <v>9</v>
      </c>
      <c r="C297" t="s">
        <v>37</v>
      </c>
      <c r="D297">
        <v>499418.32999999996</v>
      </c>
      <c r="E297">
        <v>499113.53999999992</v>
      </c>
      <c r="F297">
        <v>2194.17</v>
      </c>
      <c r="G297">
        <v>11770.439999999999</v>
      </c>
      <c r="H297">
        <v>16201855.302891757</v>
      </c>
    </row>
    <row r="298" spans="1:8" x14ac:dyDescent="0.3">
      <c r="A298" t="s">
        <v>10</v>
      </c>
      <c r="B298" t="s">
        <v>12</v>
      </c>
      <c r="C298" t="s">
        <v>38</v>
      </c>
      <c r="D298">
        <v>365103.56</v>
      </c>
      <c r="E298">
        <v>366158.49</v>
      </c>
      <c r="F298">
        <v>1401.2</v>
      </c>
      <c r="G298">
        <v>8559.9699999999993</v>
      </c>
      <c r="H298">
        <v>14045391.856594019</v>
      </c>
    </row>
    <row r="299" spans="1:8" x14ac:dyDescent="0.3">
      <c r="A299" t="s">
        <v>10</v>
      </c>
      <c r="B299" t="s">
        <v>12</v>
      </c>
      <c r="C299" t="s">
        <v>37</v>
      </c>
      <c r="D299">
        <v>278339.15999999997</v>
      </c>
      <c r="E299">
        <v>291187.15000000002</v>
      </c>
      <c r="F299">
        <v>990.34999999999991</v>
      </c>
      <c r="G299">
        <v>10237.75</v>
      </c>
      <c r="H299">
        <v>14557220.088889807</v>
      </c>
    </row>
    <row r="300" spans="1:8" x14ac:dyDescent="0.3">
      <c r="A300" t="s">
        <v>10</v>
      </c>
      <c r="B300" t="s">
        <v>8</v>
      </c>
      <c r="C300" t="s">
        <v>38</v>
      </c>
      <c r="D300">
        <v>248009.16</v>
      </c>
      <c r="E300">
        <v>244357.79</v>
      </c>
      <c r="F300">
        <v>933.98000000000013</v>
      </c>
      <c r="G300">
        <v>8343.7100000000009</v>
      </c>
      <c r="H300">
        <v>12993579.230559321</v>
      </c>
    </row>
    <row r="301" spans="1:8" x14ac:dyDescent="0.3">
      <c r="A301" t="s">
        <v>10</v>
      </c>
      <c r="B301" t="s">
        <v>8</v>
      </c>
      <c r="C301" t="s">
        <v>37</v>
      </c>
      <c r="D301">
        <v>302969.44000000006</v>
      </c>
      <c r="E301">
        <v>296002.61</v>
      </c>
      <c r="F301">
        <v>1408.1299999999999</v>
      </c>
      <c r="G301">
        <v>14584.440000000002</v>
      </c>
      <c r="H301">
        <v>16041974.72349862</v>
      </c>
    </row>
    <row r="302" spans="1:8" x14ac:dyDescent="0.3">
      <c r="A302" t="s">
        <v>10</v>
      </c>
      <c r="B302" t="s">
        <v>4</v>
      </c>
      <c r="C302" t="s">
        <v>38</v>
      </c>
      <c r="D302">
        <v>310386.26</v>
      </c>
      <c r="E302">
        <v>309745.17999999993</v>
      </c>
      <c r="F302">
        <v>1349.97</v>
      </c>
      <c r="G302">
        <v>8374.0399999999991</v>
      </c>
      <c r="H302">
        <v>11979935.911420725</v>
      </c>
    </row>
    <row r="303" spans="1:8" x14ac:dyDescent="0.3">
      <c r="A303" t="s">
        <v>10</v>
      </c>
      <c r="B303" t="s">
        <v>4</v>
      </c>
      <c r="C303" t="s">
        <v>37</v>
      </c>
      <c r="D303">
        <v>227929.38</v>
      </c>
      <c r="E303">
        <v>204070.61999999997</v>
      </c>
      <c r="F303">
        <v>1238.8400000000001</v>
      </c>
      <c r="G303">
        <v>11434.119999999999</v>
      </c>
      <c r="H303">
        <v>10788361.300600026</v>
      </c>
    </row>
    <row r="304" spans="1:8" x14ac:dyDescent="0.3">
      <c r="A304" t="s">
        <v>10</v>
      </c>
      <c r="B304" t="s">
        <v>6</v>
      </c>
      <c r="C304" t="s">
        <v>38</v>
      </c>
      <c r="D304">
        <v>395092.67000000004</v>
      </c>
      <c r="E304">
        <v>389822.97000000009</v>
      </c>
      <c r="F304">
        <v>1462.26</v>
      </c>
      <c r="G304">
        <v>11833.81</v>
      </c>
      <c r="H304">
        <v>16126232.440668494</v>
      </c>
    </row>
    <row r="305" spans="1:8" x14ac:dyDescent="0.3">
      <c r="A305" t="s">
        <v>10</v>
      </c>
      <c r="B305" t="s">
        <v>6</v>
      </c>
      <c r="C305" t="s">
        <v>37</v>
      </c>
      <c r="D305">
        <v>594514.39999999979</v>
      </c>
      <c r="E305">
        <v>590395.24000000011</v>
      </c>
      <c r="F305">
        <v>2708.8300000000004</v>
      </c>
      <c r="G305">
        <v>15433.55</v>
      </c>
      <c r="H305">
        <v>24989048.291909635</v>
      </c>
    </row>
    <row r="306" spans="1:8" x14ac:dyDescent="0.3">
      <c r="A306" t="s">
        <v>17</v>
      </c>
      <c r="B306" t="s">
        <v>0</v>
      </c>
      <c r="C306" t="s">
        <v>38</v>
      </c>
      <c r="D306">
        <v>473680.52999999997</v>
      </c>
      <c r="E306">
        <v>476678.77000000008</v>
      </c>
      <c r="F306">
        <v>1781.0099999999998</v>
      </c>
      <c r="G306">
        <v>9359.0799999999963</v>
      </c>
      <c r="H306">
        <v>18379986.442302786</v>
      </c>
    </row>
    <row r="307" spans="1:8" x14ac:dyDescent="0.3">
      <c r="A307" t="s">
        <v>17</v>
      </c>
      <c r="B307" t="s">
        <v>0</v>
      </c>
      <c r="C307" t="s">
        <v>37</v>
      </c>
      <c r="D307">
        <v>583756.36</v>
      </c>
      <c r="E307">
        <v>592278.7699999999</v>
      </c>
      <c r="F307">
        <v>2022.39</v>
      </c>
      <c r="G307">
        <v>14025.359999999999</v>
      </c>
      <c r="H307">
        <v>18403677.293425765</v>
      </c>
    </row>
    <row r="308" spans="1:8" x14ac:dyDescent="0.3">
      <c r="A308" t="s">
        <v>17</v>
      </c>
      <c r="B308" t="s">
        <v>2</v>
      </c>
      <c r="C308" t="s">
        <v>38</v>
      </c>
      <c r="D308">
        <v>183494.78</v>
      </c>
      <c r="E308">
        <v>190712.51</v>
      </c>
      <c r="F308">
        <v>916.06</v>
      </c>
      <c r="G308">
        <v>4123.57</v>
      </c>
      <c r="H308">
        <v>7398858.5486438973</v>
      </c>
    </row>
    <row r="309" spans="1:8" x14ac:dyDescent="0.3">
      <c r="A309" t="s">
        <v>17</v>
      </c>
      <c r="B309" t="s">
        <v>2</v>
      </c>
      <c r="C309" t="s">
        <v>37</v>
      </c>
      <c r="D309">
        <v>389887.81</v>
      </c>
      <c r="E309">
        <v>409129.46</v>
      </c>
      <c r="F309">
        <v>1763.47</v>
      </c>
      <c r="G309">
        <v>12317.770000000002</v>
      </c>
      <c r="H309">
        <v>15487073.551923132</v>
      </c>
    </row>
    <row r="310" spans="1:8" x14ac:dyDescent="0.3">
      <c r="A310" t="s">
        <v>17</v>
      </c>
      <c r="B310" t="s">
        <v>14</v>
      </c>
      <c r="C310" t="s">
        <v>38</v>
      </c>
      <c r="D310">
        <v>614674.57999999996</v>
      </c>
      <c r="E310">
        <v>603023.27999999991</v>
      </c>
      <c r="F310">
        <v>3123.61</v>
      </c>
      <c r="G310">
        <v>15849.600000000002</v>
      </c>
      <c r="H310">
        <v>25766217.226878703</v>
      </c>
    </row>
    <row r="311" spans="1:8" x14ac:dyDescent="0.3">
      <c r="A311" t="s">
        <v>17</v>
      </c>
      <c r="B311" t="s">
        <v>14</v>
      </c>
      <c r="C311" t="s">
        <v>37</v>
      </c>
      <c r="D311">
        <v>313183.25999999995</v>
      </c>
      <c r="E311">
        <v>287344.89999999997</v>
      </c>
      <c r="F311">
        <v>1568.54</v>
      </c>
      <c r="G311">
        <v>8855.7199999999993</v>
      </c>
      <c r="H311">
        <v>13408563.096740248</v>
      </c>
    </row>
    <row r="312" spans="1:8" x14ac:dyDescent="0.3">
      <c r="A312" t="s">
        <v>17</v>
      </c>
      <c r="B312" t="s">
        <v>9</v>
      </c>
      <c r="C312" t="s">
        <v>38</v>
      </c>
      <c r="D312">
        <v>373100.88</v>
      </c>
      <c r="E312">
        <v>379824.32</v>
      </c>
      <c r="F312">
        <v>1451.49</v>
      </c>
      <c r="G312">
        <v>13317.799999999997</v>
      </c>
      <c r="H312">
        <v>15985326.292160548</v>
      </c>
    </row>
    <row r="313" spans="1:8" x14ac:dyDescent="0.3">
      <c r="A313" t="s">
        <v>17</v>
      </c>
      <c r="B313" t="s">
        <v>9</v>
      </c>
      <c r="C313" t="s">
        <v>37</v>
      </c>
      <c r="D313">
        <v>432582.75000000012</v>
      </c>
      <c r="E313">
        <v>451444.94999999995</v>
      </c>
      <c r="F313">
        <v>2313.4299999999998</v>
      </c>
      <c r="G313">
        <v>16999.89</v>
      </c>
      <c r="H313">
        <v>20369307.589626782</v>
      </c>
    </row>
    <row r="314" spans="1:8" x14ac:dyDescent="0.3">
      <c r="A314" t="s">
        <v>17</v>
      </c>
      <c r="B314" t="s">
        <v>12</v>
      </c>
      <c r="C314" t="s">
        <v>38</v>
      </c>
      <c r="D314">
        <v>574171.70000000007</v>
      </c>
      <c r="E314">
        <v>573036.59</v>
      </c>
      <c r="F314">
        <v>2714.9999999999995</v>
      </c>
      <c r="G314">
        <v>15671.169999999998</v>
      </c>
      <c r="H314">
        <v>20565428.008388653</v>
      </c>
    </row>
    <row r="315" spans="1:8" x14ac:dyDescent="0.3">
      <c r="A315" t="s">
        <v>17</v>
      </c>
      <c r="B315" t="s">
        <v>12</v>
      </c>
      <c r="C315" t="s">
        <v>37</v>
      </c>
      <c r="D315">
        <v>338967.39</v>
      </c>
      <c r="E315">
        <v>331099.55000000005</v>
      </c>
      <c r="F315">
        <v>1245.22</v>
      </c>
      <c r="G315">
        <v>10299.76</v>
      </c>
      <c r="H315">
        <v>11627025.589832053</v>
      </c>
    </row>
    <row r="316" spans="1:8" x14ac:dyDescent="0.3">
      <c r="A316" t="s">
        <v>17</v>
      </c>
      <c r="B316" t="s">
        <v>8</v>
      </c>
      <c r="C316" t="s">
        <v>38</v>
      </c>
      <c r="D316">
        <v>311213.01999999996</v>
      </c>
      <c r="E316">
        <v>305303.76</v>
      </c>
      <c r="F316">
        <v>1435.44</v>
      </c>
      <c r="G316">
        <v>10607.74</v>
      </c>
      <c r="H316">
        <v>13934538.484573131</v>
      </c>
    </row>
    <row r="317" spans="1:8" x14ac:dyDescent="0.3">
      <c r="A317" t="s">
        <v>17</v>
      </c>
      <c r="B317" t="s">
        <v>8</v>
      </c>
      <c r="C317" t="s">
        <v>37</v>
      </c>
      <c r="D317">
        <v>250467.90000000005</v>
      </c>
      <c r="E317">
        <v>240830.91999999998</v>
      </c>
      <c r="F317">
        <v>1658.91</v>
      </c>
      <c r="G317">
        <v>10383.64</v>
      </c>
      <c r="H317">
        <v>14188096.991310915</v>
      </c>
    </row>
    <row r="318" spans="1:8" x14ac:dyDescent="0.3">
      <c r="A318" t="s">
        <v>17</v>
      </c>
      <c r="B318" t="s">
        <v>4</v>
      </c>
      <c r="C318" t="s">
        <v>38</v>
      </c>
      <c r="D318">
        <v>447486.32</v>
      </c>
      <c r="E318">
        <v>459202.74</v>
      </c>
      <c r="F318">
        <v>1367.1</v>
      </c>
      <c r="G318">
        <v>11539.250000000002</v>
      </c>
      <c r="H318">
        <v>15170001.470946753</v>
      </c>
    </row>
    <row r="319" spans="1:8" x14ac:dyDescent="0.3">
      <c r="A319" t="s">
        <v>17</v>
      </c>
      <c r="B319" t="s">
        <v>4</v>
      </c>
      <c r="C319" t="s">
        <v>37</v>
      </c>
      <c r="D319">
        <v>427411.65999999992</v>
      </c>
      <c r="E319">
        <v>422538.60000000003</v>
      </c>
      <c r="F319">
        <v>1795.7699999999998</v>
      </c>
      <c r="G319">
        <v>11722.369999999997</v>
      </c>
      <c r="H319">
        <v>18100481.443455327</v>
      </c>
    </row>
    <row r="320" spans="1:8" x14ac:dyDescent="0.3">
      <c r="A320" t="s">
        <v>17</v>
      </c>
      <c r="B320" t="s">
        <v>6</v>
      </c>
      <c r="C320" t="s">
        <v>38</v>
      </c>
      <c r="D320">
        <v>418093.86</v>
      </c>
      <c r="E320">
        <v>398715.26</v>
      </c>
      <c r="F320">
        <v>2003.63</v>
      </c>
      <c r="G320">
        <v>12224.51</v>
      </c>
      <c r="H320">
        <v>15212717.802693844</v>
      </c>
    </row>
    <row r="321" spans="1:8" x14ac:dyDescent="0.3">
      <c r="A321" t="s">
        <v>17</v>
      </c>
      <c r="B321" t="s">
        <v>6</v>
      </c>
      <c r="C321" t="s">
        <v>37</v>
      </c>
      <c r="D321">
        <v>314161.83</v>
      </c>
      <c r="E321">
        <v>318959.06</v>
      </c>
      <c r="F321">
        <v>1564.22</v>
      </c>
      <c r="G321">
        <v>8462.7999999999993</v>
      </c>
      <c r="H321">
        <v>13420444.708871465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CAD5-4200-4930-A510-A25F8D6EF109}">
  <dimension ref="A1:O27"/>
  <sheetViews>
    <sheetView tabSelected="1" workbookViewId="0">
      <selection activeCell="A2" sqref="A2"/>
    </sheetView>
  </sheetViews>
  <sheetFormatPr defaultRowHeight="14.4" x14ac:dyDescent="0.3"/>
  <cols>
    <col min="1" max="1" width="28.5546875" bestFit="1" customWidth="1"/>
    <col min="2" max="2" width="15.6640625" bestFit="1" customWidth="1"/>
    <col min="3" max="3" width="14.109375" bestFit="1" customWidth="1"/>
    <col min="4" max="4" width="15.109375" bestFit="1" customWidth="1"/>
  </cols>
  <sheetData>
    <row r="1" spans="1:12" x14ac:dyDescent="0.3">
      <c r="F1" s="5" t="s">
        <v>49</v>
      </c>
      <c r="G1" s="5"/>
      <c r="H1" s="5"/>
      <c r="I1" s="5"/>
      <c r="J1" s="5"/>
      <c r="K1" s="5"/>
      <c r="L1" s="5"/>
    </row>
    <row r="3" spans="1:12" x14ac:dyDescent="0.3">
      <c r="A3" s="1" t="s">
        <v>48</v>
      </c>
      <c r="B3" s="1" t="s">
        <v>47</v>
      </c>
    </row>
    <row r="4" spans="1:12" x14ac:dyDescent="0.3">
      <c r="A4" s="1" t="s">
        <v>46</v>
      </c>
      <c r="B4" t="s">
        <v>38</v>
      </c>
      <c r="C4" t="s">
        <v>37</v>
      </c>
      <c r="D4" t="s">
        <v>44</v>
      </c>
    </row>
    <row r="5" spans="1:12" x14ac:dyDescent="0.3">
      <c r="A5" s="4" t="s">
        <v>21</v>
      </c>
      <c r="B5" s="3">
        <v>3911244.6300000008</v>
      </c>
      <c r="C5" s="3">
        <v>2171122.89</v>
      </c>
      <c r="D5" s="3">
        <v>6082367.5200000014</v>
      </c>
    </row>
    <row r="6" spans="1:12" x14ac:dyDescent="0.3">
      <c r="A6" s="4" t="s">
        <v>3</v>
      </c>
      <c r="B6" s="3">
        <v>3178730.01</v>
      </c>
      <c r="C6" s="3">
        <v>2708631.2800000003</v>
      </c>
      <c r="D6" s="3">
        <v>5887361.29</v>
      </c>
    </row>
    <row r="7" spans="1:12" x14ac:dyDescent="0.3">
      <c r="A7" s="4" t="s">
        <v>18</v>
      </c>
      <c r="B7" s="3">
        <v>3618574.9300000006</v>
      </c>
      <c r="C7" s="3">
        <v>2773177.5700000003</v>
      </c>
      <c r="D7" s="3">
        <v>6391752.5000000009</v>
      </c>
    </row>
    <row r="8" spans="1:12" x14ac:dyDescent="0.3">
      <c r="A8" s="4" t="s">
        <v>19</v>
      </c>
      <c r="B8" s="3">
        <v>4068105.99</v>
      </c>
      <c r="C8" s="3">
        <v>2722572.4999999995</v>
      </c>
      <c r="D8" s="3">
        <v>6790678.4900000002</v>
      </c>
    </row>
    <row r="9" spans="1:12" x14ac:dyDescent="0.3">
      <c r="A9" s="4" t="s">
        <v>5</v>
      </c>
      <c r="B9" s="3">
        <v>4044463.6300000004</v>
      </c>
      <c r="C9" s="3">
        <v>2366632.5500000003</v>
      </c>
      <c r="D9" s="3">
        <v>6411096.1800000006</v>
      </c>
    </row>
    <row r="10" spans="1:12" x14ac:dyDescent="0.3">
      <c r="A10" s="4" t="s">
        <v>1</v>
      </c>
      <c r="B10" s="3">
        <v>3562080.1700000004</v>
      </c>
      <c r="C10" s="3">
        <v>2772414.83</v>
      </c>
      <c r="D10" s="3">
        <v>6334495</v>
      </c>
    </row>
    <row r="11" spans="1:12" x14ac:dyDescent="0.3">
      <c r="A11" s="4" t="s">
        <v>15</v>
      </c>
      <c r="B11" s="3">
        <v>4145285.71</v>
      </c>
      <c r="C11" s="3">
        <v>2614767.3000000003</v>
      </c>
      <c r="D11" s="3">
        <v>6760053.0099999998</v>
      </c>
    </row>
    <row r="12" spans="1:12" x14ac:dyDescent="0.3">
      <c r="A12" s="4" t="s">
        <v>25</v>
      </c>
      <c r="B12" s="3">
        <v>3851506.3600000003</v>
      </c>
      <c r="C12" s="3">
        <v>2393807.41</v>
      </c>
      <c r="D12" s="3">
        <v>6245313.7700000005</v>
      </c>
    </row>
    <row r="13" spans="1:12" x14ac:dyDescent="0.3">
      <c r="A13" s="4" t="s">
        <v>7</v>
      </c>
      <c r="B13" s="3">
        <v>3451979.62</v>
      </c>
      <c r="C13" s="3">
        <v>2842468.12</v>
      </c>
      <c r="D13" s="3">
        <v>6294447.7400000002</v>
      </c>
    </row>
    <row r="14" spans="1:12" x14ac:dyDescent="0.3">
      <c r="A14" s="4" t="s">
        <v>16</v>
      </c>
      <c r="B14" s="3">
        <v>2980885.94</v>
      </c>
      <c r="C14" s="3">
        <v>3226821.3400000008</v>
      </c>
      <c r="D14" s="3">
        <v>6207707.2800000012</v>
      </c>
    </row>
    <row r="15" spans="1:12" x14ac:dyDescent="0.3">
      <c r="A15" s="4" t="s">
        <v>20</v>
      </c>
      <c r="B15" s="3">
        <v>3605330.66</v>
      </c>
      <c r="C15" s="3">
        <v>2302160.4</v>
      </c>
      <c r="D15" s="3">
        <v>5907491.0600000005</v>
      </c>
    </row>
    <row r="16" spans="1:12" x14ac:dyDescent="0.3">
      <c r="A16" s="4" t="s">
        <v>24</v>
      </c>
      <c r="B16" s="3">
        <v>3373224.01</v>
      </c>
      <c r="C16" s="3">
        <v>3215945.51</v>
      </c>
      <c r="D16" s="3">
        <v>6589169.5199999996</v>
      </c>
    </row>
    <row r="17" spans="1:15" x14ac:dyDescent="0.3">
      <c r="A17" s="4" t="s">
        <v>26</v>
      </c>
      <c r="B17" s="3">
        <v>3040606.4000000004</v>
      </c>
      <c r="C17" s="3">
        <v>2792083.06</v>
      </c>
      <c r="D17" s="3">
        <v>5832689.4600000009</v>
      </c>
    </row>
    <row r="18" spans="1:15" x14ac:dyDescent="0.3">
      <c r="A18" s="4" t="s">
        <v>13</v>
      </c>
      <c r="B18" s="3">
        <v>3558748.8599999994</v>
      </c>
      <c r="C18" s="3">
        <v>2424535.0100000007</v>
      </c>
      <c r="D18" s="3">
        <v>5983283.8700000001</v>
      </c>
    </row>
    <row r="19" spans="1:15" x14ac:dyDescent="0.3">
      <c r="A19" s="4" t="s">
        <v>11</v>
      </c>
      <c r="B19" s="3">
        <v>3584528.7399999998</v>
      </c>
      <c r="C19" s="3">
        <v>2471941.56</v>
      </c>
      <c r="D19" s="3">
        <v>6056470.2999999998</v>
      </c>
    </row>
    <row r="20" spans="1:15" x14ac:dyDescent="0.3">
      <c r="A20" s="4" t="s">
        <v>27</v>
      </c>
      <c r="B20" s="3">
        <v>3288251.42</v>
      </c>
      <c r="C20" s="3">
        <v>2320855.65</v>
      </c>
      <c r="D20" s="3">
        <v>5609107.0700000003</v>
      </c>
    </row>
    <row r="21" spans="1:15" x14ac:dyDescent="0.3">
      <c r="A21" s="4" t="s">
        <v>23</v>
      </c>
      <c r="B21" s="3">
        <v>3996467.7600000002</v>
      </c>
      <c r="C21" s="3">
        <v>2794106.49</v>
      </c>
      <c r="D21" s="3">
        <v>6790574.25</v>
      </c>
    </row>
    <row r="22" spans="1:15" x14ac:dyDescent="0.3">
      <c r="A22" s="4" t="s">
        <v>22</v>
      </c>
      <c r="B22" s="3">
        <v>4023769.6699999995</v>
      </c>
      <c r="C22" s="3">
        <v>2856116.1399999997</v>
      </c>
      <c r="D22" s="3">
        <v>6879885.8099999987</v>
      </c>
    </row>
    <row r="23" spans="1:15" x14ac:dyDescent="0.3">
      <c r="A23" s="4" t="s">
        <v>10</v>
      </c>
      <c r="B23" s="3">
        <v>2907170.2299999995</v>
      </c>
      <c r="C23" s="3">
        <v>2901451.38</v>
      </c>
      <c r="D23" s="3">
        <v>5808621.6099999994</v>
      </c>
    </row>
    <row r="24" spans="1:15" x14ac:dyDescent="0.3">
      <c r="A24" s="4" t="s">
        <v>17</v>
      </c>
      <c r="B24" s="3">
        <v>3395915.67</v>
      </c>
      <c r="C24" s="3">
        <v>3050418.96</v>
      </c>
      <c r="D24" s="3">
        <v>6446334.6299999999</v>
      </c>
    </row>
    <row r="25" spans="1:15" x14ac:dyDescent="0.3">
      <c r="A25" s="4" t="s">
        <v>44</v>
      </c>
      <c r="B25" s="3">
        <v>71586870.410000011</v>
      </c>
      <c r="C25" s="3">
        <v>53722029.95000001</v>
      </c>
      <c r="D25" s="3">
        <v>125308900.36</v>
      </c>
    </row>
    <row r="27" spans="1:15" ht="60.6" customHeight="1" x14ac:dyDescent="0.3">
      <c r="F27" s="2" t="s">
        <v>45</v>
      </c>
      <c r="G27" s="2"/>
      <c r="H27" s="2"/>
      <c r="I27" s="2"/>
      <c r="J27" s="2"/>
      <c r="K27" s="2"/>
      <c r="L27" s="2"/>
      <c r="M27" s="2"/>
      <c r="N27" s="2"/>
      <c r="O27" s="2"/>
    </row>
  </sheetData>
  <mergeCells count="2">
    <mergeCell ref="F27:O27"/>
    <mergeCell ref="F1:L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7D858-816C-4593-B458-BB6F06F9A5CB}">
  <dimension ref="A1:N23"/>
  <sheetViews>
    <sheetView workbookViewId="0">
      <selection activeCell="H29" sqref="H29"/>
    </sheetView>
  </sheetViews>
  <sheetFormatPr defaultRowHeight="14.4" x14ac:dyDescent="0.3"/>
  <cols>
    <col min="1" max="1" width="12.44140625" bestFit="1" customWidth="1"/>
    <col min="2" max="2" width="28.5546875" bestFit="1" customWidth="1"/>
    <col min="13" max="13" width="11" bestFit="1" customWidth="1"/>
    <col min="14" max="14" width="27.5546875" bestFit="1" customWidth="1"/>
  </cols>
  <sheetData>
    <row r="1" spans="1:2" x14ac:dyDescent="0.3">
      <c r="A1" t="s">
        <v>46</v>
      </c>
      <c r="B1" t="s">
        <v>48</v>
      </c>
    </row>
    <row r="2" spans="1:2" x14ac:dyDescent="0.3">
      <c r="A2" t="s">
        <v>27</v>
      </c>
      <c r="B2">
        <v>5609107.0700000003</v>
      </c>
    </row>
    <row r="3" spans="1:2" x14ac:dyDescent="0.3">
      <c r="A3" t="s">
        <v>10</v>
      </c>
      <c r="B3">
        <v>5808621.6099999994</v>
      </c>
    </row>
    <row r="4" spans="1:2" x14ac:dyDescent="0.3">
      <c r="A4" t="s">
        <v>26</v>
      </c>
      <c r="B4">
        <v>5832689.459999999</v>
      </c>
    </row>
    <row r="5" spans="1:2" x14ac:dyDescent="0.3">
      <c r="A5" t="s">
        <v>3</v>
      </c>
      <c r="B5">
        <v>5887361.290000001</v>
      </c>
    </row>
    <row r="6" spans="1:2" x14ac:dyDescent="0.3">
      <c r="A6" t="s">
        <v>20</v>
      </c>
      <c r="B6">
        <v>5907491.0600000005</v>
      </c>
    </row>
    <row r="7" spans="1:2" x14ac:dyDescent="0.3">
      <c r="A7" t="s">
        <v>13</v>
      </c>
      <c r="B7">
        <v>5983283.8700000001</v>
      </c>
    </row>
    <row r="8" spans="1:2" x14ac:dyDescent="0.3">
      <c r="A8" t="s">
        <v>11</v>
      </c>
      <c r="B8">
        <v>6056470.2999999998</v>
      </c>
    </row>
    <row r="9" spans="1:2" x14ac:dyDescent="0.3">
      <c r="A9" t="s">
        <v>21</v>
      </c>
      <c r="B9">
        <v>6082367.5200000005</v>
      </c>
    </row>
    <row r="10" spans="1:2" x14ac:dyDescent="0.3">
      <c r="A10" t="s">
        <v>16</v>
      </c>
      <c r="B10">
        <v>6207707.2800000012</v>
      </c>
    </row>
    <row r="11" spans="1:2" x14ac:dyDescent="0.3">
      <c r="A11" t="s">
        <v>25</v>
      </c>
      <c r="B11">
        <v>6245313.7700000005</v>
      </c>
    </row>
    <row r="12" spans="1:2" x14ac:dyDescent="0.3">
      <c r="A12" t="s">
        <v>7</v>
      </c>
      <c r="B12">
        <v>6294447.7399999993</v>
      </c>
    </row>
    <row r="13" spans="1:2" x14ac:dyDescent="0.3">
      <c r="A13" t="s">
        <v>1</v>
      </c>
      <c r="B13">
        <v>6334495.0000000009</v>
      </c>
    </row>
    <row r="14" spans="1:2" x14ac:dyDescent="0.3">
      <c r="A14" t="s">
        <v>18</v>
      </c>
      <c r="B14">
        <v>6391752.4999999991</v>
      </c>
    </row>
    <row r="15" spans="1:2" x14ac:dyDescent="0.3">
      <c r="A15" t="s">
        <v>5</v>
      </c>
      <c r="B15">
        <v>6411096.1800000006</v>
      </c>
    </row>
    <row r="16" spans="1:2" x14ac:dyDescent="0.3">
      <c r="A16" t="s">
        <v>17</v>
      </c>
      <c r="B16">
        <v>6446334.6300000008</v>
      </c>
    </row>
    <row r="17" spans="1:14" x14ac:dyDescent="0.3">
      <c r="A17" t="s">
        <v>24</v>
      </c>
      <c r="B17">
        <v>6589169.5199999996</v>
      </c>
    </row>
    <row r="18" spans="1:14" x14ac:dyDescent="0.3">
      <c r="A18" t="s">
        <v>15</v>
      </c>
      <c r="B18">
        <v>6760053.0099999998</v>
      </c>
    </row>
    <row r="19" spans="1:14" x14ac:dyDescent="0.3">
      <c r="A19" t="s">
        <v>23</v>
      </c>
      <c r="B19">
        <v>6790574.25</v>
      </c>
    </row>
    <row r="20" spans="1:14" x14ac:dyDescent="0.3">
      <c r="A20" t="s">
        <v>19</v>
      </c>
      <c r="B20">
        <v>6790678.4900000002</v>
      </c>
    </row>
    <row r="21" spans="1:14" x14ac:dyDescent="0.3">
      <c r="A21" t="s">
        <v>22</v>
      </c>
      <c r="B21">
        <v>6879885.8100000005</v>
      </c>
    </row>
    <row r="23" spans="1:14" ht="63.6" customHeight="1" x14ac:dyDescent="0.3">
      <c r="E23" s="2" t="s">
        <v>50</v>
      </c>
      <c r="F23" s="2"/>
      <c r="G23" s="2"/>
      <c r="H23" s="2"/>
      <c r="I23" s="2"/>
      <c r="J23" s="2"/>
      <c r="K23" s="2"/>
      <c r="L23" s="2"/>
      <c r="M23" s="2"/>
      <c r="N23" s="2"/>
    </row>
  </sheetData>
  <autoFilter ref="A1:B21" xr:uid="{C2EC9E99-0334-4417-BB7D-C6599A121B59}">
    <sortState xmlns:xlrd2="http://schemas.microsoft.com/office/spreadsheetml/2017/richdata2" ref="A2:B21">
      <sortCondition ref="B1:B21"/>
    </sortState>
  </autoFilter>
  <mergeCells count="1">
    <mergeCell ref="E23:N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7E16-1013-44A8-88AB-3B24C28FEA77}">
  <dimension ref="A1:L28"/>
  <sheetViews>
    <sheetView workbookViewId="0">
      <selection activeCell="R18" sqref="R18"/>
    </sheetView>
  </sheetViews>
  <sheetFormatPr defaultRowHeight="14.4" x14ac:dyDescent="0.3"/>
  <cols>
    <col min="1" max="1" width="11" bestFit="1" customWidth="1"/>
    <col min="2" max="2" width="22.33203125" bestFit="1" customWidth="1"/>
    <col min="3" max="3" width="21.6640625" bestFit="1" customWidth="1"/>
  </cols>
  <sheetData>
    <row r="1" spans="1:3" x14ac:dyDescent="0.3">
      <c r="A1" t="s">
        <v>46</v>
      </c>
      <c r="B1" t="s">
        <v>40</v>
      </c>
      <c r="C1" t="s">
        <v>43</v>
      </c>
    </row>
    <row r="2" spans="1:3" x14ac:dyDescent="0.3">
      <c r="A2" t="s">
        <v>21</v>
      </c>
      <c r="B2" s="7">
        <v>167163.65</v>
      </c>
      <c r="C2" s="7">
        <v>6082367.5200000014</v>
      </c>
    </row>
    <row r="3" spans="1:3" x14ac:dyDescent="0.3">
      <c r="A3" t="s">
        <v>3</v>
      </c>
      <c r="B3" s="7">
        <v>156133.03000000009</v>
      </c>
      <c r="C3" s="7">
        <v>5887361.2899999991</v>
      </c>
    </row>
    <row r="4" spans="1:3" x14ac:dyDescent="0.3">
      <c r="A4" t="s">
        <v>18</v>
      </c>
      <c r="B4" s="7">
        <v>179464.97999999992</v>
      </c>
      <c r="C4" s="7">
        <v>6391752.4999999981</v>
      </c>
    </row>
    <row r="5" spans="1:3" x14ac:dyDescent="0.3">
      <c r="A5" t="s">
        <v>19</v>
      </c>
      <c r="B5" s="7">
        <v>185064.42</v>
      </c>
      <c r="C5" s="7">
        <v>6790678.4900000012</v>
      </c>
    </row>
    <row r="6" spans="1:3" x14ac:dyDescent="0.3">
      <c r="A6" t="s">
        <v>5</v>
      </c>
      <c r="B6" s="7">
        <v>190911.31999999998</v>
      </c>
      <c r="C6" s="7">
        <v>6411096.1799999941</v>
      </c>
    </row>
    <row r="7" spans="1:3" x14ac:dyDescent="0.3">
      <c r="A7" t="s">
        <v>1</v>
      </c>
      <c r="B7" s="7">
        <v>168545.38</v>
      </c>
      <c r="C7" s="7">
        <v>6334494.9999999991</v>
      </c>
    </row>
    <row r="8" spans="1:3" x14ac:dyDescent="0.3">
      <c r="A8" t="s">
        <v>15</v>
      </c>
      <c r="B8" s="7">
        <v>201093.29000000007</v>
      </c>
      <c r="C8" s="7">
        <v>6760053.0099999988</v>
      </c>
    </row>
    <row r="9" spans="1:3" x14ac:dyDescent="0.3">
      <c r="A9" t="s">
        <v>25</v>
      </c>
      <c r="B9" s="7">
        <v>180249.40999999992</v>
      </c>
      <c r="C9" s="7">
        <v>6245313.7700000023</v>
      </c>
    </row>
    <row r="10" spans="1:3" x14ac:dyDescent="0.3">
      <c r="A10" t="s">
        <v>7</v>
      </c>
      <c r="B10" s="7">
        <v>170177.44999999998</v>
      </c>
      <c r="C10" s="7">
        <v>6294447.740000003</v>
      </c>
    </row>
    <row r="11" spans="1:3" x14ac:dyDescent="0.3">
      <c r="A11" t="s">
        <v>16</v>
      </c>
      <c r="B11" s="7">
        <v>172464.81000000003</v>
      </c>
      <c r="C11" s="7">
        <v>6207707.2799999993</v>
      </c>
    </row>
    <row r="12" spans="1:3" x14ac:dyDescent="0.3">
      <c r="A12" t="s">
        <v>20</v>
      </c>
      <c r="B12" s="7">
        <v>166521.60999999996</v>
      </c>
      <c r="C12" s="7">
        <v>5907491.0599999987</v>
      </c>
    </row>
    <row r="13" spans="1:3" x14ac:dyDescent="0.3">
      <c r="A13" t="s">
        <v>24</v>
      </c>
      <c r="B13" s="7">
        <v>181415.40999999997</v>
      </c>
      <c r="C13" s="7">
        <v>6589169.5200000023</v>
      </c>
    </row>
    <row r="14" spans="1:3" x14ac:dyDescent="0.3">
      <c r="A14" t="s">
        <v>26</v>
      </c>
      <c r="B14" s="7">
        <v>170376.66999999998</v>
      </c>
      <c r="C14" s="7">
        <v>5832689.4600000037</v>
      </c>
    </row>
    <row r="15" spans="1:3" x14ac:dyDescent="0.3">
      <c r="A15" t="s">
        <v>13</v>
      </c>
      <c r="B15" s="7">
        <v>166014.88000000009</v>
      </c>
      <c r="C15" s="7">
        <v>5983283.870000001</v>
      </c>
    </row>
    <row r="16" spans="1:3" x14ac:dyDescent="0.3">
      <c r="A16" t="s">
        <v>11</v>
      </c>
      <c r="B16" s="7">
        <v>172788.62999999989</v>
      </c>
      <c r="C16" s="7">
        <v>6056470.3000000007</v>
      </c>
    </row>
    <row r="17" spans="1:12" x14ac:dyDescent="0.3">
      <c r="A17" t="s">
        <v>27</v>
      </c>
      <c r="B17" s="7">
        <v>163473.96000000002</v>
      </c>
      <c r="C17" s="7">
        <v>5609107.0699999966</v>
      </c>
    </row>
    <row r="18" spans="1:12" x14ac:dyDescent="0.3">
      <c r="A18" t="s">
        <v>23</v>
      </c>
      <c r="B18" s="7">
        <v>198565.04000000004</v>
      </c>
      <c r="C18" s="7">
        <v>6790574.25</v>
      </c>
    </row>
    <row r="19" spans="1:12" x14ac:dyDescent="0.3">
      <c r="A19" t="s">
        <v>22</v>
      </c>
      <c r="B19" s="7">
        <v>180787.13999999996</v>
      </c>
      <c r="C19" s="7">
        <v>6879885.8100000015</v>
      </c>
    </row>
    <row r="20" spans="1:12" x14ac:dyDescent="0.3">
      <c r="A20" t="s">
        <v>10</v>
      </c>
      <c r="B20" s="7">
        <v>176060.96999999988</v>
      </c>
      <c r="C20" s="7">
        <v>5808621.6100000003</v>
      </c>
    </row>
    <row r="21" spans="1:12" x14ac:dyDescent="0.3">
      <c r="A21" t="s">
        <v>17</v>
      </c>
      <c r="B21" s="7">
        <v>185760.03</v>
      </c>
      <c r="C21" s="7">
        <v>6446334.6300000008</v>
      </c>
    </row>
    <row r="28" spans="1:12" ht="69.599999999999994" customHeight="1" x14ac:dyDescent="0.3">
      <c r="F28" s="6" t="s">
        <v>51</v>
      </c>
      <c r="G28" s="6"/>
      <c r="H28" s="6"/>
      <c r="I28" s="6"/>
      <c r="J28" s="6"/>
      <c r="K28" s="6"/>
      <c r="L28" s="6"/>
    </row>
  </sheetData>
  <mergeCells count="1">
    <mergeCell ref="F28:L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global_food_wastage_dataset</vt:lpstr>
      <vt:lpstr>cleaned data pivot</vt:lpstr>
      <vt:lpstr>Cleaned Data</vt:lpstr>
      <vt:lpstr>Period Based Food Chart</vt:lpstr>
      <vt:lpstr>Country Based Waste Chart</vt:lpstr>
      <vt:lpstr>Correlation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Simge Elmas</dc:creator>
  <cp:lastModifiedBy>Simge Elmas</cp:lastModifiedBy>
  <dcterms:created xsi:type="dcterms:W3CDTF">2015-06-05T18:17:20Z</dcterms:created>
  <dcterms:modified xsi:type="dcterms:W3CDTF">2026-03-15T22:00:47Z</dcterms:modified>
</cp:coreProperties>
</file>